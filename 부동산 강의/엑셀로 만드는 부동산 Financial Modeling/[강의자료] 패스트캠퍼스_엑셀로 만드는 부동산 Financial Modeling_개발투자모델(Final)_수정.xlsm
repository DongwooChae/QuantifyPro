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참고모델\"/>
    </mc:Choice>
  </mc:AlternateContent>
  <bookViews>
    <workbookView xWindow="-120" yWindow="-16320" windowWidth="29040" windowHeight="15840" activeTab="1"/>
  </bookViews>
  <sheets>
    <sheet name="A&amp;R" sheetId="1" r:id="rId1"/>
    <sheet name="총투자비" sheetId="2" r:id="rId2"/>
    <sheet name="표준공정률" sheetId="3" r:id="rId3"/>
    <sheet name="보유세" sheetId="4" r:id="rId4"/>
    <sheet name="취득원가 및 VAT" sheetId="5" r:id="rId5"/>
    <sheet name="분양매출" sheetId="6" r:id="rId6"/>
    <sheet name="현금흐름" sheetId="7" r:id="rId7"/>
    <sheet name="재원조달" sheetId="8" r:id="rId8"/>
    <sheet name="배당" sheetId="9" r:id="rId9"/>
    <sheet name="민감도분석" sheetId="10" r:id="rId10"/>
  </sheets>
  <definedNames>
    <definedName name="Cir">'A&amp;R'!$I$9</definedName>
    <definedName name="ES">민감도분석!$I$9</definedName>
    <definedName name="Est">'A&amp;R'!$D$13</definedName>
    <definedName name="Exit">'A&amp;R'!$D$20</definedName>
    <definedName name="Output">민감도분석!$E$21:$E$24</definedName>
    <definedName name="py">'A&amp;R'!$D$11</definedName>
    <definedName name="Ref">'A&amp;R'!$I$10</definedName>
    <definedName name="Result">민감도분석!$G$21:$AO$24</definedName>
    <definedName name="SS">민감도분석!$I$8</definedName>
    <definedName name="unit">'A&amp;R'!$D$10</definedName>
    <definedName name="조달필요액">'A&amp;R'!$AE$38</definedName>
    <definedName name="준공일">'A&amp;R'!$D$18</definedName>
    <definedName name="차입액">'A&amp;R'!$S$38</definedName>
    <definedName name="착공일">'A&amp;R'!$D$17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8" i="1" l="1"/>
  <c r="AD78" i="1"/>
  <c r="AC78" i="1"/>
  <c r="AB78" i="1"/>
  <c r="AA78" i="1"/>
  <c r="AE77" i="1"/>
  <c r="AD77" i="1"/>
  <c r="AC77" i="1"/>
  <c r="AB77" i="1"/>
  <c r="AA77" i="1"/>
  <c r="AE76" i="1"/>
  <c r="AD76" i="1"/>
  <c r="AC76" i="1"/>
  <c r="AB76" i="1"/>
  <c r="AA76" i="1"/>
  <c r="AE75" i="1"/>
  <c r="AD75" i="1"/>
  <c r="AC75" i="1"/>
  <c r="AB75" i="1"/>
  <c r="AA75" i="1"/>
  <c r="AE74" i="1"/>
  <c r="AD74" i="1"/>
  <c r="AC74" i="1"/>
  <c r="AB74" i="1"/>
  <c r="AA74" i="1"/>
  <c r="AE73" i="1"/>
  <c r="AD73" i="1"/>
  <c r="AC73" i="1"/>
  <c r="AB73" i="1"/>
  <c r="AA73" i="1"/>
  <c r="AE72" i="1"/>
  <c r="AD72" i="1"/>
  <c r="AC72" i="1"/>
  <c r="AB72" i="1"/>
  <c r="AA72" i="1"/>
  <c r="W78" i="1"/>
  <c r="V78" i="1"/>
  <c r="U78" i="1"/>
  <c r="T78" i="1"/>
  <c r="S78" i="1"/>
  <c r="W77" i="1"/>
  <c r="V77" i="1"/>
  <c r="U77" i="1"/>
  <c r="T77" i="1"/>
  <c r="S77" i="1"/>
  <c r="W76" i="1"/>
  <c r="V76" i="1"/>
  <c r="U76" i="1"/>
  <c r="T76" i="1"/>
  <c r="S76" i="1"/>
  <c r="W75" i="1"/>
  <c r="V75" i="1"/>
  <c r="U75" i="1"/>
  <c r="T75" i="1"/>
  <c r="S75" i="1"/>
  <c r="W74" i="1"/>
  <c r="V74" i="1"/>
  <c r="U74" i="1"/>
  <c r="T74" i="1"/>
  <c r="S74" i="1"/>
  <c r="W73" i="1"/>
  <c r="V73" i="1"/>
  <c r="U73" i="1"/>
  <c r="T73" i="1"/>
  <c r="S73" i="1"/>
  <c r="W72" i="1"/>
  <c r="V72" i="1"/>
  <c r="U72" i="1"/>
  <c r="T72" i="1"/>
  <c r="S72" i="1"/>
  <c r="AE67" i="1"/>
  <c r="AD67" i="1"/>
  <c r="AC67" i="1"/>
  <c r="AB67" i="1"/>
  <c r="AA67" i="1"/>
  <c r="AE66" i="1"/>
  <c r="AD66" i="1"/>
  <c r="AC66" i="1"/>
  <c r="AB66" i="1"/>
  <c r="AA66" i="1"/>
  <c r="AE65" i="1"/>
  <c r="AD65" i="1"/>
  <c r="AC65" i="1"/>
  <c r="AB65" i="1"/>
  <c r="AA65" i="1"/>
  <c r="AE64" i="1"/>
  <c r="AD64" i="1"/>
  <c r="AC64" i="1"/>
  <c r="AB64" i="1"/>
  <c r="AA64" i="1"/>
  <c r="AE63" i="1"/>
  <c r="AD63" i="1"/>
  <c r="AC63" i="1"/>
  <c r="AB63" i="1"/>
  <c r="AA63" i="1"/>
  <c r="AE62" i="1"/>
  <c r="AD62" i="1"/>
  <c r="AC62" i="1"/>
  <c r="AB62" i="1"/>
  <c r="AA62" i="1"/>
  <c r="AE61" i="1"/>
  <c r="AD61" i="1"/>
  <c r="AC61" i="1"/>
  <c r="AB61" i="1"/>
  <c r="AA61" i="1"/>
  <c r="W67" i="1"/>
  <c r="V67" i="1"/>
  <c r="U67" i="1"/>
  <c r="T67" i="1"/>
  <c r="S67" i="1"/>
  <c r="W66" i="1"/>
  <c r="V66" i="1"/>
  <c r="U66" i="1"/>
  <c r="T66" i="1"/>
  <c r="S66" i="1"/>
  <c r="W65" i="1"/>
  <c r="V65" i="1"/>
  <c r="U65" i="1"/>
  <c r="T65" i="1"/>
  <c r="S65" i="1"/>
  <c r="W64" i="1"/>
  <c r="V64" i="1"/>
  <c r="U64" i="1"/>
  <c r="T64" i="1"/>
  <c r="S64" i="1"/>
  <c r="W63" i="1"/>
  <c r="V63" i="1"/>
  <c r="U63" i="1"/>
  <c r="T63" i="1"/>
  <c r="S63" i="1"/>
  <c r="W62" i="1"/>
  <c r="V62" i="1"/>
  <c r="U62" i="1"/>
  <c r="T62" i="1"/>
  <c r="S62" i="1"/>
  <c r="W61" i="1"/>
  <c r="V61" i="1"/>
  <c r="U61" i="1"/>
  <c r="T61" i="1"/>
  <c r="S61" i="1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I7" i="10" s="1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E13" i="10"/>
  <c r="V17" i="1" s="1"/>
  <c r="E12" i="10"/>
  <c r="S14" i="1" s="1"/>
  <c r="S16" i="1" s="1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B24" i="10"/>
  <c r="B23" i="10"/>
  <c r="B22" i="10"/>
  <c r="B21" i="10"/>
  <c r="Z73" i="1"/>
  <c r="Z74" i="1" s="1"/>
  <c r="Z75" i="1" s="1"/>
  <c r="Z76" i="1" s="1"/>
  <c r="Z77" i="1" s="1"/>
  <c r="Z78" i="1" s="1"/>
  <c r="AD71" i="1"/>
  <c r="AE71" i="1" s="1"/>
  <c r="AB71" i="1"/>
  <c r="AA71" i="1"/>
  <c r="R73" i="1"/>
  <c r="R74" i="1" s="1"/>
  <c r="R75" i="1" s="1"/>
  <c r="R76" i="1" s="1"/>
  <c r="R77" i="1" s="1"/>
  <c r="R78" i="1" s="1"/>
  <c r="V71" i="1"/>
  <c r="W71" i="1" s="1"/>
  <c r="T71" i="1"/>
  <c r="S71" i="1" s="1"/>
  <c r="Z62" i="1"/>
  <c r="Z63" i="1" s="1"/>
  <c r="Z64" i="1" s="1"/>
  <c r="Z65" i="1" s="1"/>
  <c r="Z66" i="1" s="1"/>
  <c r="Z67" i="1" s="1"/>
  <c r="AD60" i="1"/>
  <c r="AE60" i="1" s="1"/>
  <c r="AB60" i="1"/>
  <c r="AA60" i="1" s="1"/>
  <c r="R62" i="1"/>
  <c r="R63" i="1" s="1"/>
  <c r="R64" i="1" s="1"/>
  <c r="R65" i="1" s="1"/>
  <c r="R66" i="1" s="1"/>
  <c r="R67" i="1" s="1"/>
  <c r="T60" i="1"/>
  <c r="S60" i="1" s="1"/>
  <c r="V60" i="1"/>
  <c r="W60" i="1" s="1"/>
  <c r="F22" i="7"/>
  <c r="F21" i="7"/>
  <c r="D22" i="7"/>
  <c r="D21" i="7"/>
  <c r="X43" i="1"/>
  <c r="X42" i="1"/>
  <c r="T42" i="1"/>
  <c r="Y52" i="1"/>
  <c r="Y51" i="1"/>
  <c r="Y50" i="1"/>
  <c r="X51" i="1"/>
  <c r="X50" i="1"/>
  <c r="T29" i="1"/>
  <c r="F27" i="7" s="1"/>
  <c r="T30" i="1"/>
  <c r="F28" i="7" s="1"/>
  <c r="R31" i="1"/>
  <c r="S29" i="1" s="1"/>
  <c r="E18" i="9" s="1"/>
  <c r="S31" i="1"/>
  <c r="U31" i="1"/>
  <c r="V34" i="1"/>
  <c r="W34" i="1"/>
  <c r="W35" i="1" s="1"/>
  <c r="V35" i="1"/>
  <c r="V37" i="1"/>
  <c r="V38" i="1" s="1"/>
  <c r="W37" i="1"/>
  <c r="W38" i="1" s="1"/>
  <c r="AD23" i="1"/>
  <c r="AB23" i="1"/>
  <c r="AB24" i="1" s="1"/>
  <c r="AA23" i="1"/>
  <c r="Y23" i="1"/>
  <c r="Y24" i="1" s="1"/>
  <c r="U22" i="1"/>
  <c r="R21" i="1"/>
  <c r="Q21" i="1"/>
  <c r="AD16" i="1"/>
  <c r="AD17" i="1" s="1"/>
  <c r="W16" i="1"/>
  <c r="R15" i="1"/>
  <c r="Q15" i="1"/>
  <c r="AD14" i="1"/>
  <c r="W14" i="1"/>
  <c r="R13" i="1"/>
  <c r="Q13" i="1"/>
  <c r="AA12" i="1"/>
  <c r="AA14" i="1" s="1"/>
  <c r="F75" i="2"/>
  <c r="G45" i="5" s="1"/>
  <c r="H53" i="2"/>
  <c r="J28" i="2"/>
  <c r="J26" i="2"/>
  <c r="J25" i="2"/>
  <c r="J18" i="2"/>
  <c r="I13" i="2"/>
  <c r="F17" i="2"/>
  <c r="B85" i="1"/>
  <c r="D84" i="1"/>
  <c r="H83" i="1"/>
  <c r="D83" i="1"/>
  <c r="D82" i="1"/>
  <c r="D81" i="1"/>
  <c r="H80" i="1"/>
  <c r="D80" i="1"/>
  <c r="D79" i="1"/>
  <c r="C78" i="1"/>
  <c r="D77" i="1"/>
  <c r="H76" i="1"/>
  <c r="D76" i="1"/>
  <c r="D75" i="1"/>
  <c r="I74" i="1"/>
  <c r="H74" i="1"/>
  <c r="D74" i="1"/>
  <c r="H73" i="1"/>
  <c r="D73" i="1"/>
  <c r="D72" i="1"/>
  <c r="C71" i="1"/>
  <c r="H70" i="1"/>
  <c r="C70" i="1"/>
  <c r="B69" i="1"/>
  <c r="B68" i="1"/>
  <c r="C67" i="1"/>
  <c r="C66" i="1"/>
  <c r="B65" i="1"/>
  <c r="C64" i="1"/>
  <c r="C63" i="1"/>
  <c r="C62" i="1"/>
  <c r="B61" i="1"/>
  <c r="C60" i="1"/>
  <c r="C59" i="1"/>
  <c r="C58" i="1"/>
  <c r="F57" i="1"/>
  <c r="C57" i="1"/>
  <c r="F56" i="1"/>
  <c r="C56" i="1"/>
  <c r="G55" i="1"/>
  <c r="C55" i="1"/>
  <c r="C54" i="1"/>
  <c r="K53" i="1"/>
  <c r="I53" i="1"/>
  <c r="G53" i="1"/>
  <c r="C53" i="1"/>
  <c r="B52" i="1"/>
  <c r="K51" i="1"/>
  <c r="I51" i="1"/>
  <c r="G51" i="1"/>
  <c r="C51" i="1"/>
  <c r="K50" i="1"/>
  <c r="I50" i="1"/>
  <c r="G50" i="1"/>
  <c r="C50" i="1"/>
  <c r="B49" i="1"/>
  <c r="C48" i="1"/>
  <c r="G47" i="1"/>
  <c r="C47" i="1"/>
  <c r="G46" i="1"/>
  <c r="C46" i="1"/>
  <c r="G45" i="1"/>
  <c r="C45" i="1"/>
  <c r="J44" i="1"/>
  <c r="G44" i="1"/>
  <c r="C44" i="1"/>
  <c r="B43" i="1"/>
  <c r="G42" i="1"/>
  <c r="F42" i="1"/>
  <c r="B42" i="1"/>
  <c r="E30" i="9"/>
  <c r="E29" i="9"/>
  <c r="D19" i="9"/>
  <c r="D30" i="9" s="1"/>
  <c r="C40" i="9" s="1"/>
  <c r="D18" i="9"/>
  <c r="D29" i="9" s="1"/>
  <c r="C33" i="9" s="1"/>
  <c r="E16" i="9"/>
  <c r="E64" i="9"/>
  <c r="I74" i="9"/>
  <c r="I73" i="9"/>
  <c r="I72" i="9"/>
  <c r="I71" i="9"/>
  <c r="C74" i="9"/>
  <c r="G74" i="9" s="1"/>
  <c r="C73" i="9"/>
  <c r="G73" i="9" s="1"/>
  <c r="C72" i="9"/>
  <c r="G72" i="9" s="1"/>
  <c r="I8" i="9"/>
  <c r="J8" i="9" s="1"/>
  <c r="K8" i="9" s="1"/>
  <c r="L8" i="9" s="1"/>
  <c r="M8" i="9" s="1"/>
  <c r="N8" i="9" s="1"/>
  <c r="O8" i="9" s="1"/>
  <c r="P8" i="9" s="1"/>
  <c r="Q8" i="9" s="1"/>
  <c r="R8" i="9" s="1"/>
  <c r="S8" i="9" s="1"/>
  <c r="T8" i="9" s="1"/>
  <c r="U8" i="9" s="1"/>
  <c r="V8" i="9" s="1"/>
  <c r="W8" i="9" s="1"/>
  <c r="X8" i="9" s="1"/>
  <c r="Y8" i="9" s="1"/>
  <c r="Z8" i="9" s="1"/>
  <c r="AA8" i="9" s="1"/>
  <c r="AB8" i="9" s="1"/>
  <c r="AC8" i="9" s="1"/>
  <c r="AD8" i="9" s="1"/>
  <c r="AE8" i="9" s="1"/>
  <c r="AF8" i="9" s="1"/>
  <c r="AG8" i="9" s="1"/>
  <c r="AH8" i="9" s="1"/>
  <c r="AI8" i="9" s="1"/>
  <c r="AJ8" i="9" s="1"/>
  <c r="AK8" i="9" s="1"/>
  <c r="AL8" i="9" s="1"/>
  <c r="AM8" i="9" s="1"/>
  <c r="AN8" i="9" s="1"/>
  <c r="AO8" i="9" s="1"/>
  <c r="AP8" i="9" s="1"/>
  <c r="AQ8" i="9" s="1"/>
  <c r="AR8" i="9" s="1"/>
  <c r="AS8" i="9" s="1"/>
  <c r="AT8" i="9" s="1"/>
  <c r="AU8" i="9" s="1"/>
  <c r="AV8" i="9" s="1"/>
  <c r="AW8" i="9" s="1"/>
  <c r="AX8" i="9" s="1"/>
  <c r="AY8" i="9" s="1"/>
  <c r="AZ8" i="9" s="1"/>
  <c r="BA8" i="9" s="1"/>
  <c r="BB8" i="9" s="1"/>
  <c r="BC8" i="9" s="1"/>
  <c r="BD8" i="9" s="1"/>
  <c r="BE8" i="9" s="1"/>
  <c r="BF8" i="9" s="1"/>
  <c r="BG8" i="9" s="1"/>
  <c r="BH8" i="9" s="1"/>
  <c r="BI8" i="9" s="1"/>
  <c r="BJ8" i="9" s="1"/>
  <c r="BK8" i="9" s="1"/>
  <c r="H106" i="2"/>
  <c r="C91" i="5"/>
  <c r="F90" i="5"/>
  <c r="E90" i="5"/>
  <c r="F89" i="5"/>
  <c r="E89" i="5"/>
  <c r="E88" i="5"/>
  <c r="F87" i="5"/>
  <c r="E87" i="5"/>
  <c r="F86" i="5"/>
  <c r="E86" i="5"/>
  <c r="E85" i="5"/>
  <c r="D84" i="5"/>
  <c r="F83" i="5"/>
  <c r="E83" i="5"/>
  <c r="F82" i="5"/>
  <c r="E82" i="5"/>
  <c r="E81" i="5"/>
  <c r="F80" i="5"/>
  <c r="E80" i="5"/>
  <c r="F79" i="5"/>
  <c r="E79" i="5"/>
  <c r="E78" i="5"/>
  <c r="D77" i="5"/>
  <c r="D76" i="5"/>
  <c r="C75" i="5"/>
  <c r="E395" i="2"/>
  <c r="O386" i="2" s="1"/>
  <c r="E394" i="2"/>
  <c r="E381" i="2"/>
  <c r="O372" i="2" s="1"/>
  <c r="E380" i="2"/>
  <c r="I154" i="2"/>
  <c r="I83" i="1" s="1"/>
  <c r="G154" i="2"/>
  <c r="G83" i="1" s="1"/>
  <c r="I151" i="2"/>
  <c r="I80" i="1" s="1"/>
  <c r="I16" i="8"/>
  <c r="E366" i="2"/>
  <c r="E365" i="2"/>
  <c r="I147" i="2"/>
  <c r="I76" i="1" s="1"/>
  <c r="G147" i="2"/>
  <c r="G76" i="1" s="1"/>
  <c r="G145" i="2"/>
  <c r="G74" i="1" s="1"/>
  <c r="I144" i="2"/>
  <c r="I73" i="1" s="1"/>
  <c r="I141" i="2"/>
  <c r="I70" i="1" s="1"/>
  <c r="D40" i="7"/>
  <c r="D43" i="7" s="1"/>
  <c r="D39" i="7"/>
  <c r="D42" i="7" s="1"/>
  <c r="E34" i="7"/>
  <c r="E28" i="7"/>
  <c r="E27" i="7"/>
  <c r="D28" i="7"/>
  <c r="D31" i="7" s="1"/>
  <c r="D27" i="7"/>
  <c r="D30" i="7" s="1"/>
  <c r="I8" i="7"/>
  <c r="J8" i="7" s="1"/>
  <c r="K8" i="7" s="1"/>
  <c r="L8" i="7" s="1"/>
  <c r="M8" i="7" s="1"/>
  <c r="N8" i="7" s="1"/>
  <c r="O8" i="7" s="1"/>
  <c r="P8" i="7" s="1"/>
  <c r="Q8" i="7" s="1"/>
  <c r="R8" i="7" s="1"/>
  <c r="S8" i="7" s="1"/>
  <c r="T8" i="7" s="1"/>
  <c r="U8" i="7" s="1"/>
  <c r="V8" i="7" s="1"/>
  <c r="W8" i="7" s="1"/>
  <c r="X8" i="7" s="1"/>
  <c r="Y8" i="7" s="1"/>
  <c r="Z8" i="7" s="1"/>
  <c r="AA8" i="7" s="1"/>
  <c r="AB8" i="7" s="1"/>
  <c r="AC8" i="7" s="1"/>
  <c r="AD8" i="7" s="1"/>
  <c r="AE8" i="7" s="1"/>
  <c r="AF8" i="7" s="1"/>
  <c r="AG8" i="7" s="1"/>
  <c r="AH8" i="7" s="1"/>
  <c r="AI8" i="7" s="1"/>
  <c r="AJ8" i="7" s="1"/>
  <c r="AK8" i="7" s="1"/>
  <c r="AL8" i="7" s="1"/>
  <c r="AM8" i="7" s="1"/>
  <c r="AN8" i="7" s="1"/>
  <c r="AO8" i="7" s="1"/>
  <c r="AP8" i="7" s="1"/>
  <c r="AQ8" i="7" s="1"/>
  <c r="AR8" i="7" s="1"/>
  <c r="AS8" i="7" s="1"/>
  <c r="AT8" i="7" s="1"/>
  <c r="AU8" i="7" s="1"/>
  <c r="AV8" i="7" s="1"/>
  <c r="AW8" i="7" s="1"/>
  <c r="AX8" i="7" s="1"/>
  <c r="AY8" i="7" s="1"/>
  <c r="AZ8" i="7" s="1"/>
  <c r="BA8" i="7" s="1"/>
  <c r="BB8" i="7" s="1"/>
  <c r="BC8" i="7" s="1"/>
  <c r="BD8" i="7" s="1"/>
  <c r="BE8" i="7" s="1"/>
  <c r="BF8" i="7" s="1"/>
  <c r="BG8" i="7" s="1"/>
  <c r="BH8" i="7" s="1"/>
  <c r="BI8" i="7" s="1"/>
  <c r="BJ8" i="7" s="1"/>
  <c r="BK8" i="7" s="1"/>
  <c r="L145" i="2"/>
  <c r="F33" i="7"/>
  <c r="I8" i="8"/>
  <c r="J8" i="8" s="1"/>
  <c r="K8" i="8" s="1"/>
  <c r="L8" i="8" s="1"/>
  <c r="M8" i="8" s="1"/>
  <c r="N8" i="8" s="1"/>
  <c r="O8" i="8" s="1"/>
  <c r="P8" i="8" s="1"/>
  <c r="Q8" i="8" s="1"/>
  <c r="R8" i="8" s="1"/>
  <c r="S8" i="8" s="1"/>
  <c r="T8" i="8" s="1"/>
  <c r="U8" i="8" s="1"/>
  <c r="V8" i="8" s="1"/>
  <c r="W8" i="8" s="1"/>
  <c r="X8" i="8" s="1"/>
  <c r="Y8" i="8" s="1"/>
  <c r="Z8" i="8" s="1"/>
  <c r="AA8" i="8" s="1"/>
  <c r="AB8" i="8" s="1"/>
  <c r="AC8" i="8" s="1"/>
  <c r="AD8" i="8" s="1"/>
  <c r="AE8" i="8" s="1"/>
  <c r="AF8" i="8" s="1"/>
  <c r="AG8" i="8" s="1"/>
  <c r="AH8" i="8" s="1"/>
  <c r="AI8" i="8" s="1"/>
  <c r="AJ8" i="8" s="1"/>
  <c r="AK8" i="8" s="1"/>
  <c r="AL8" i="8" s="1"/>
  <c r="AM8" i="8" s="1"/>
  <c r="AN8" i="8" s="1"/>
  <c r="AO8" i="8" s="1"/>
  <c r="AP8" i="8" s="1"/>
  <c r="AQ8" i="8" s="1"/>
  <c r="AR8" i="8" s="1"/>
  <c r="AS8" i="8" s="1"/>
  <c r="AT8" i="8" s="1"/>
  <c r="AU8" i="8" s="1"/>
  <c r="AV8" i="8" s="1"/>
  <c r="AW8" i="8" s="1"/>
  <c r="AX8" i="8" s="1"/>
  <c r="AY8" i="8" s="1"/>
  <c r="AZ8" i="8" s="1"/>
  <c r="BA8" i="8" s="1"/>
  <c r="BB8" i="8" s="1"/>
  <c r="BC8" i="8" s="1"/>
  <c r="BD8" i="8" s="1"/>
  <c r="BE8" i="8" s="1"/>
  <c r="BF8" i="8" s="1"/>
  <c r="BG8" i="8" s="1"/>
  <c r="BH8" i="8" s="1"/>
  <c r="BI8" i="8" s="1"/>
  <c r="BJ8" i="8" s="1"/>
  <c r="BK8" i="8" s="1"/>
  <c r="G298" i="2"/>
  <c r="G297" i="2"/>
  <c r="F297" i="2"/>
  <c r="F296" i="2"/>
  <c r="B296" i="2"/>
  <c r="H56" i="2"/>
  <c r="H55" i="2"/>
  <c r="H54" i="2"/>
  <c r="E280" i="2"/>
  <c r="E119" i="2"/>
  <c r="E118" i="2"/>
  <c r="J115" i="2"/>
  <c r="I115" i="2"/>
  <c r="F112" i="2"/>
  <c r="G61" i="5" s="1"/>
  <c r="E30" i="6"/>
  <c r="E29" i="6"/>
  <c r="E28" i="6"/>
  <c r="E27" i="6"/>
  <c r="E26" i="6"/>
  <c r="E25" i="6"/>
  <c r="E24" i="6"/>
  <c r="C23" i="6"/>
  <c r="C22" i="6"/>
  <c r="E19" i="6"/>
  <c r="E18" i="6"/>
  <c r="E17" i="6"/>
  <c r="E16" i="6"/>
  <c r="E15" i="6"/>
  <c r="E14" i="6"/>
  <c r="E13" i="6"/>
  <c r="E12" i="6"/>
  <c r="C20" i="6"/>
  <c r="C32" i="6" s="1"/>
  <c r="C19" i="6"/>
  <c r="C31" i="6" s="1"/>
  <c r="C18" i="6"/>
  <c r="C30" i="6" s="1"/>
  <c r="C17" i="6"/>
  <c r="C29" i="6" s="1"/>
  <c r="C16" i="6"/>
  <c r="C28" i="6" s="1"/>
  <c r="C15" i="6"/>
  <c r="C27" i="6" s="1"/>
  <c r="C14" i="6"/>
  <c r="C26" i="6" s="1"/>
  <c r="C13" i="6"/>
  <c r="C25" i="6" s="1"/>
  <c r="C12" i="6"/>
  <c r="C24" i="6" s="1"/>
  <c r="I114" i="2"/>
  <c r="I8" i="6"/>
  <c r="I22" i="6" s="1"/>
  <c r="G56" i="5"/>
  <c r="G54" i="5"/>
  <c r="L54" i="5" s="1"/>
  <c r="G53" i="5"/>
  <c r="F331" i="2" s="1"/>
  <c r="G42" i="5"/>
  <c r="F320" i="2" s="1"/>
  <c r="G41" i="5"/>
  <c r="L41" i="5" s="1"/>
  <c r="G39" i="5"/>
  <c r="G22" i="5"/>
  <c r="C74" i="5"/>
  <c r="B352" i="2" s="1"/>
  <c r="E73" i="5"/>
  <c r="D351" i="2" s="1"/>
  <c r="E72" i="5"/>
  <c r="D350" i="2" s="1"/>
  <c r="E71" i="5"/>
  <c r="D349" i="2" s="1"/>
  <c r="E70" i="5"/>
  <c r="D348" i="2" s="1"/>
  <c r="E69" i="5"/>
  <c r="D347" i="2" s="1"/>
  <c r="E68" i="5"/>
  <c r="D346" i="2" s="1"/>
  <c r="D67" i="5"/>
  <c r="C345" i="2" s="1"/>
  <c r="E66" i="5"/>
  <c r="D344" i="2" s="1"/>
  <c r="E65" i="5"/>
  <c r="D343" i="2" s="1"/>
  <c r="E64" i="5"/>
  <c r="D342" i="2" s="1"/>
  <c r="E63" i="5"/>
  <c r="D341" i="2" s="1"/>
  <c r="E62" i="5"/>
  <c r="D340" i="2" s="1"/>
  <c r="E61" i="5"/>
  <c r="D339" i="2" s="1"/>
  <c r="E60" i="5"/>
  <c r="D338" i="2" s="1"/>
  <c r="D59" i="5"/>
  <c r="C337" i="2" s="1"/>
  <c r="C58" i="5"/>
  <c r="B336" i="2" s="1"/>
  <c r="E57" i="5"/>
  <c r="D335" i="2" s="1"/>
  <c r="E56" i="5"/>
  <c r="D334" i="2" s="1"/>
  <c r="D55" i="5"/>
  <c r="C333" i="2" s="1"/>
  <c r="E54" i="5"/>
  <c r="D332" i="2" s="1"/>
  <c r="E53" i="5"/>
  <c r="D331" i="2" s="1"/>
  <c r="D52" i="5"/>
  <c r="C330" i="2" s="1"/>
  <c r="E51" i="5"/>
  <c r="D329" i="2" s="1"/>
  <c r="E50" i="5"/>
  <c r="D328" i="2" s="1"/>
  <c r="E49" i="5"/>
  <c r="D327" i="2" s="1"/>
  <c r="E48" i="5"/>
  <c r="D326" i="2" s="1"/>
  <c r="D47" i="5"/>
  <c r="C325" i="2" s="1"/>
  <c r="C46" i="5"/>
  <c r="B324" i="2" s="1"/>
  <c r="D45" i="5"/>
  <c r="C323" i="2" s="1"/>
  <c r="D44" i="5"/>
  <c r="C322" i="2" s="1"/>
  <c r="D43" i="5"/>
  <c r="C321" i="2" s="1"/>
  <c r="D42" i="5"/>
  <c r="C320" i="2" s="1"/>
  <c r="D41" i="5"/>
  <c r="C319" i="2" s="1"/>
  <c r="D40" i="5"/>
  <c r="C318" i="2" s="1"/>
  <c r="E39" i="5"/>
  <c r="D317" i="2" s="1"/>
  <c r="E38" i="5"/>
  <c r="D316" i="2" s="1"/>
  <c r="E37" i="5"/>
  <c r="D315" i="2" s="1"/>
  <c r="E36" i="5"/>
  <c r="D314" i="2" s="1"/>
  <c r="E35" i="5"/>
  <c r="D313" i="2" s="1"/>
  <c r="D34" i="5"/>
  <c r="C312" i="2" s="1"/>
  <c r="D33" i="5"/>
  <c r="C311" i="2" s="1"/>
  <c r="C32" i="5"/>
  <c r="B310" i="2" s="1"/>
  <c r="D31" i="5"/>
  <c r="C309" i="2" s="1"/>
  <c r="D30" i="5"/>
  <c r="C308" i="2" s="1"/>
  <c r="C29" i="5"/>
  <c r="B307" i="2" s="1"/>
  <c r="E28" i="5"/>
  <c r="D306" i="2" s="1"/>
  <c r="E27" i="5"/>
  <c r="D305" i="2" s="1"/>
  <c r="E26" i="5"/>
  <c r="D304" i="2" s="1"/>
  <c r="D25" i="5"/>
  <c r="C303" i="2" s="1"/>
  <c r="D24" i="5"/>
  <c r="C302" i="2" s="1"/>
  <c r="D23" i="5"/>
  <c r="C301" i="2" s="1"/>
  <c r="D22" i="5"/>
  <c r="C300" i="2" s="1"/>
  <c r="D21" i="5"/>
  <c r="C299" i="2" s="1"/>
  <c r="C20" i="5"/>
  <c r="B298" i="2" s="1"/>
  <c r="H15" i="5"/>
  <c r="H14" i="5"/>
  <c r="H13" i="5"/>
  <c r="H12" i="5"/>
  <c r="H11" i="5"/>
  <c r="G15" i="5"/>
  <c r="H36" i="1"/>
  <c r="H34" i="1"/>
  <c r="E11" i="5"/>
  <c r="D13" i="5"/>
  <c r="D12" i="5"/>
  <c r="G103" i="2"/>
  <c r="G100" i="2"/>
  <c r="F65" i="4"/>
  <c r="F64" i="4"/>
  <c r="G62" i="4"/>
  <c r="XES96" i="2"/>
  <c r="XES95" i="2"/>
  <c r="G14" i="4"/>
  <c r="K14" i="4" s="1"/>
  <c r="L14" i="4" s="1"/>
  <c r="M14" i="4" s="1"/>
  <c r="N14" i="4" s="1"/>
  <c r="O14" i="4" s="1"/>
  <c r="P14" i="4" s="1"/>
  <c r="Q14" i="4" s="1"/>
  <c r="G13" i="4"/>
  <c r="K97" i="4"/>
  <c r="J83" i="4"/>
  <c r="J82" i="4"/>
  <c r="J81" i="4"/>
  <c r="M62" i="4"/>
  <c r="K62" i="4"/>
  <c r="J48" i="4"/>
  <c r="J47" i="4"/>
  <c r="J46" i="4"/>
  <c r="T27" i="4"/>
  <c r="S27" i="4"/>
  <c r="R27" i="4"/>
  <c r="R53" i="4" s="1"/>
  <c r="Q27" i="4"/>
  <c r="P27" i="4"/>
  <c r="O27" i="4"/>
  <c r="N27" i="4"/>
  <c r="M27" i="4"/>
  <c r="L27" i="4"/>
  <c r="K27" i="4"/>
  <c r="T22" i="4"/>
  <c r="S22" i="4"/>
  <c r="R22" i="4"/>
  <c r="Q22" i="4"/>
  <c r="P22" i="4"/>
  <c r="O22" i="4"/>
  <c r="N22" i="4"/>
  <c r="M22" i="4"/>
  <c r="L22" i="4"/>
  <c r="K22" i="4"/>
  <c r="M8" i="4"/>
  <c r="L8" i="4"/>
  <c r="L62" i="4" s="1"/>
  <c r="F39" i="7" l="1"/>
  <c r="AA16" i="1"/>
  <c r="AA17" i="1" s="1"/>
  <c r="AA18" i="1" s="1"/>
  <c r="AA19" i="1" s="1"/>
  <c r="AA20" i="1" s="1"/>
  <c r="AA21" i="1" s="1"/>
  <c r="AA22" i="1" s="1"/>
  <c r="AA24" i="1" s="1"/>
  <c r="I11" i="1" s="1"/>
  <c r="S30" i="1"/>
  <c r="E19" i="9" s="1"/>
  <c r="AD18" i="1"/>
  <c r="F25" i="6"/>
  <c r="F24" i="6"/>
  <c r="J8" i="6"/>
  <c r="J22" i="6" s="1"/>
  <c r="J23" i="6" s="1"/>
  <c r="H38" i="1"/>
  <c r="N16" i="4"/>
  <c r="N21" i="4" s="1"/>
  <c r="E31" i="6"/>
  <c r="H107" i="2"/>
  <c r="I122" i="2"/>
  <c r="I111" i="2"/>
  <c r="K151" i="2"/>
  <c r="K80" i="1" s="1"/>
  <c r="D371" i="2"/>
  <c r="E65" i="9"/>
  <c r="E66" i="9" s="1"/>
  <c r="F154" i="2"/>
  <c r="BJ27" i="7"/>
  <c r="BJ34" i="9" s="1"/>
  <c r="BB27" i="7"/>
  <c r="BB34" i="9" s="1"/>
  <c r="AT27" i="7"/>
  <c r="AT34" i="9" s="1"/>
  <c r="AL27" i="7"/>
  <c r="AL34" i="9" s="1"/>
  <c r="AD27" i="7"/>
  <c r="AD34" i="9" s="1"/>
  <c r="V27" i="7"/>
  <c r="V34" i="9" s="1"/>
  <c r="N27" i="7"/>
  <c r="N34" i="9" s="1"/>
  <c r="BI27" i="7"/>
  <c r="BI34" i="9" s="1"/>
  <c r="BA27" i="7"/>
  <c r="BA34" i="9" s="1"/>
  <c r="AS27" i="7"/>
  <c r="AS34" i="9" s="1"/>
  <c r="AK27" i="7"/>
  <c r="AK34" i="9" s="1"/>
  <c r="AC27" i="7"/>
  <c r="AC34" i="9" s="1"/>
  <c r="U27" i="7"/>
  <c r="U34" i="9" s="1"/>
  <c r="M27" i="7"/>
  <c r="M34" i="9" s="1"/>
  <c r="BH27" i="7"/>
  <c r="BH34" i="9" s="1"/>
  <c r="AZ27" i="7"/>
  <c r="AZ34" i="9" s="1"/>
  <c r="AR27" i="7"/>
  <c r="AR34" i="9" s="1"/>
  <c r="AJ27" i="7"/>
  <c r="AJ34" i="9" s="1"/>
  <c r="AB27" i="7"/>
  <c r="AB34" i="9" s="1"/>
  <c r="T27" i="7"/>
  <c r="T34" i="9" s="1"/>
  <c r="L27" i="7"/>
  <c r="L34" i="9" s="1"/>
  <c r="BG27" i="7"/>
  <c r="BG34" i="9" s="1"/>
  <c r="AY27" i="7"/>
  <c r="AY34" i="9" s="1"/>
  <c r="AQ27" i="7"/>
  <c r="AQ34" i="9" s="1"/>
  <c r="AI27" i="7"/>
  <c r="AI34" i="9" s="1"/>
  <c r="AA27" i="7"/>
  <c r="AA34" i="9" s="1"/>
  <c r="S27" i="7"/>
  <c r="S34" i="9" s="1"/>
  <c r="K27" i="7"/>
  <c r="K34" i="9" s="1"/>
  <c r="BF27" i="7"/>
  <c r="BF34" i="9" s="1"/>
  <c r="AX27" i="7"/>
  <c r="AX34" i="9" s="1"/>
  <c r="AP27" i="7"/>
  <c r="AP34" i="9" s="1"/>
  <c r="AH27" i="7"/>
  <c r="AH34" i="9" s="1"/>
  <c r="Z27" i="7"/>
  <c r="Z34" i="9" s="1"/>
  <c r="R27" i="7"/>
  <c r="R34" i="9" s="1"/>
  <c r="J27" i="7"/>
  <c r="J34" i="9" s="1"/>
  <c r="BE27" i="7"/>
  <c r="BE34" i="9" s="1"/>
  <c r="AW27" i="7"/>
  <c r="AW34" i="9" s="1"/>
  <c r="AO27" i="7"/>
  <c r="AO34" i="9" s="1"/>
  <c r="AG27" i="7"/>
  <c r="AG34" i="9" s="1"/>
  <c r="Y27" i="7"/>
  <c r="Y34" i="9" s="1"/>
  <c r="Q27" i="7"/>
  <c r="Q34" i="9" s="1"/>
  <c r="BD27" i="7"/>
  <c r="BD34" i="9" s="1"/>
  <c r="AV27" i="7"/>
  <c r="AV34" i="9" s="1"/>
  <c r="AN27" i="7"/>
  <c r="AN34" i="9" s="1"/>
  <c r="AN48" i="9" s="1"/>
  <c r="AF27" i="7"/>
  <c r="AF34" i="9" s="1"/>
  <c r="X27" i="7"/>
  <c r="X34" i="9" s="1"/>
  <c r="P27" i="7"/>
  <c r="P34" i="9" s="1"/>
  <c r="I27" i="7"/>
  <c r="I34" i="9" s="1"/>
  <c r="AM27" i="7"/>
  <c r="AM34" i="9" s="1"/>
  <c r="BK27" i="7"/>
  <c r="BK34" i="9" s="1"/>
  <c r="BC27" i="7"/>
  <c r="BC34" i="9" s="1"/>
  <c r="AU27" i="7"/>
  <c r="AU34" i="9" s="1"/>
  <c r="AE27" i="7"/>
  <c r="AE34" i="9" s="1"/>
  <c r="W27" i="7"/>
  <c r="W34" i="9" s="1"/>
  <c r="W48" i="9" s="1"/>
  <c r="O27" i="7"/>
  <c r="O34" i="9" s="1"/>
  <c r="BD28" i="7"/>
  <c r="BD41" i="9" s="1"/>
  <c r="AV28" i="7"/>
  <c r="AV41" i="9" s="1"/>
  <c r="AN28" i="7"/>
  <c r="AN41" i="9" s="1"/>
  <c r="AF28" i="7"/>
  <c r="AF41" i="9" s="1"/>
  <c r="X28" i="7"/>
  <c r="X41" i="9" s="1"/>
  <c r="P28" i="7"/>
  <c r="P41" i="9" s="1"/>
  <c r="BK28" i="7"/>
  <c r="BK41" i="9" s="1"/>
  <c r="BC28" i="7"/>
  <c r="BC41" i="9" s="1"/>
  <c r="AU28" i="7"/>
  <c r="AU41" i="9" s="1"/>
  <c r="AM28" i="7"/>
  <c r="AM41" i="9" s="1"/>
  <c r="AE28" i="7"/>
  <c r="AE41" i="9" s="1"/>
  <c r="W28" i="7"/>
  <c r="W41" i="9" s="1"/>
  <c r="O28" i="7"/>
  <c r="O41" i="9" s="1"/>
  <c r="BJ28" i="7"/>
  <c r="BJ41" i="9" s="1"/>
  <c r="BB28" i="7"/>
  <c r="BB41" i="9" s="1"/>
  <c r="AT28" i="7"/>
  <c r="AT41" i="9" s="1"/>
  <c r="AL28" i="7"/>
  <c r="AL41" i="9" s="1"/>
  <c r="AD28" i="7"/>
  <c r="AD41" i="9" s="1"/>
  <c r="V28" i="7"/>
  <c r="V41" i="9" s="1"/>
  <c r="N28" i="7"/>
  <c r="N41" i="9" s="1"/>
  <c r="BI28" i="7"/>
  <c r="BI41" i="9" s="1"/>
  <c r="BA28" i="7"/>
  <c r="BA41" i="9" s="1"/>
  <c r="AS28" i="7"/>
  <c r="AS41" i="9" s="1"/>
  <c r="AK28" i="7"/>
  <c r="AK41" i="9" s="1"/>
  <c r="AC28" i="7"/>
  <c r="AC41" i="9" s="1"/>
  <c r="U28" i="7"/>
  <c r="U41" i="9" s="1"/>
  <c r="M28" i="7"/>
  <c r="M41" i="9" s="1"/>
  <c r="BH28" i="7"/>
  <c r="BH41" i="9" s="1"/>
  <c r="AZ28" i="7"/>
  <c r="AZ41" i="9" s="1"/>
  <c r="AR28" i="7"/>
  <c r="AR41" i="9" s="1"/>
  <c r="AJ28" i="7"/>
  <c r="AJ41" i="9" s="1"/>
  <c r="AB28" i="7"/>
  <c r="AB41" i="9" s="1"/>
  <c r="T28" i="7"/>
  <c r="T41" i="9" s="1"/>
  <c r="L28" i="7"/>
  <c r="L41" i="9" s="1"/>
  <c r="BG28" i="7"/>
  <c r="BG41" i="9" s="1"/>
  <c r="AY28" i="7"/>
  <c r="AY41" i="9" s="1"/>
  <c r="AQ28" i="7"/>
  <c r="AQ41" i="9" s="1"/>
  <c r="AI28" i="7"/>
  <c r="AI41" i="9" s="1"/>
  <c r="AA28" i="7"/>
  <c r="AA41" i="9" s="1"/>
  <c r="S28" i="7"/>
  <c r="S41" i="9" s="1"/>
  <c r="K28" i="7"/>
  <c r="K41" i="9" s="1"/>
  <c r="I28" i="7"/>
  <c r="I41" i="9" s="1"/>
  <c r="BF28" i="7"/>
  <c r="BF41" i="9" s="1"/>
  <c r="AX28" i="7"/>
  <c r="AX41" i="9" s="1"/>
  <c r="AP28" i="7"/>
  <c r="AP41" i="9" s="1"/>
  <c r="AH28" i="7"/>
  <c r="AH41" i="9" s="1"/>
  <c r="Z28" i="7"/>
  <c r="Z41" i="9" s="1"/>
  <c r="R28" i="7"/>
  <c r="R41" i="9" s="1"/>
  <c r="J28" i="7"/>
  <c r="J41" i="9" s="1"/>
  <c r="BE28" i="7"/>
  <c r="BE41" i="9" s="1"/>
  <c r="AW28" i="7"/>
  <c r="AW41" i="9" s="1"/>
  <c r="AO28" i="7"/>
  <c r="AO41" i="9" s="1"/>
  <c r="AG28" i="7"/>
  <c r="AG41" i="9" s="1"/>
  <c r="Y28" i="7"/>
  <c r="Y41" i="9" s="1"/>
  <c r="Q28" i="7"/>
  <c r="Q41" i="9" s="1"/>
  <c r="F36" i="7"/>
  <c r="K145" i="2"/>
  <c r="F147" i="2"/>
  <c r="E37" i="7"/>
  <c r="O357" i="2"/>
  <c r="F339" i="2"/>
  <c r="F317" i="2"/>
  <c r="F323" i="2"/>
  <c r="F332" i="2"/>
  <c r="F300" i="2"/>
  <c r="F319" i="2"/>
  <c r="F334" i="2"/>
  <c r="L53" i="5"/>
  <c r="L42" i="5"/>
  <c r="L45" i="5"/>
  <c r="L56" i="5"/>
  <c r="L22" i="5"/>
  <c r="L39" i="5"/>
  <c r="L61" i="5"/>
  <c r="I23" i="6"/>
  <c r="I15" i="5"/>
  <c r="E12" i="5"/>
  <c r="F99" i="4"/>
  <c r="F100" i="4"/>
  <c r="L53" i="4"/>
  <c r="P53" i="4"/>
  <c r="Q53" i="4"/>
  <c r="S53" i="4"/>
  <c r="T53" i="4"/>
  <c r="R14" i="4"/>
  <c r="Q16" i="4"/>
  <c r="O53" i="4"/>
  <c r="N53" i="4"/>
  <c r="L97" i="4"/>
  <c r="K53" i="4"/>
  <c r="N8" i="4"/>
  <c r="M16" i="4"/>
  <c r="P16" i="4"/>
  <c r="L16" i="4"/>
  <c r="K16" i="4"/>
  <c r="O16" i="4"/>
  <c r="M97" i="4"/>
  <c r="M53" i="4"/>
  <c r="AU48" i="9" l="1"/>
  <c r="X48" i="9"/>
  <c r="AO48" i="9"/>
  <c r="AX48" i="9"/>
  <c r="BG48" i="9"/>
  <c r="M48" i="9"/>
  <c r="V48" i="9"/>
  <c r="BE48" i="9"/>
  <c r="K48" i="9"/>
  <c r="T48" i="9"/>
  <c r="AC48" i="9"/>
  <c r="AL48" i="9"/>
  <c r="G41" i="9"/>
  <c r="AE48" i="9"/>
  <c r="AF48" i="9"/>
  <c r="AW48" i="9"/>
  <c r="BF48" i="9"/>
  <c r="L48" i="9"/>
  <c r="U48" i="9"/>
  <c r="AD48" i="9"/>
  <c r="BC48" i="9"/>
  <c r="AV48" i="9"/>
  <c r="J48" i="9"/>
  <c r="S48" i="9"/>
  <c r="AB48" i="9"/>
  <c r="AK48" i="9"/>
  <c r="AT48" i="9"/>
  <c r="BK48" i="9"/>
  <c r="BD48" i="9"/>
  <c r="R48" i="9"/>
  <c r="AA48" i="9"/>
  <c r="AJ48" i="9"/>
  <c r="AS48" i="9"/>
  <c r="BB48" i="9"/>
  <c r="AM48" i="9"/>
  <c r="Q48" i="9"/>
  <c r="Z48" i="9"/>
  <c r="AI48" i="9"/>
  <c r="AR48" i="9"/>
  <c r="BA48" i="9"/>
  <c r="BJ48" i="9"/>
  <c r="I48" i="9"/>
  <c r="G34" i="9"/>
  <c r="Y48" i="9"/>
  <c r="AH48" i="9"/>
  <c r="AQ48" i="9"/>
  <c r="AZ48" i="9"/>
  <c r="BI48" i="9"/>
  <c r="O48" i="9"/>
  <c r="P48" i="9"/>
  <c r="AG48" i="9"/>
  <c r="AP48" i="9"/>
  <c r="AY48" i="9"/>
  <c r="BH48" i="9"/>
  <c r="N48" i="9"/>
  <c r="N39" i="4"/>
  <c r="N40" i="4" s="1"/>
  <c r="G89" i="5"/>
  <c r="F83" i="1"/>
  <c r="N70" i="4"/>
  <c r="N73" i="4" s="1"/>
  <c r="N76" i="4" s="1"/>
  <c r="G82" i="5"/>
  <c r="F76" i="1"/>
  <c r="F26" i="6"/>
  <c r="AD19" i="1"/>
  <c r="J10" i="6"/>
  <c r="K8" i="6"/>
  <c r="L8" i="6" s="1"/>
  <c r="I10" i="6"/>
  <c r="I11" i="6" s="1"/>
  <c r="AF11" i="8"/>
  <c r="BK11" i="8"/>
  <c r="L112" i="2"/>
  <c r="BD11" i="8"/>
  <c r="R11" i="8"/>
  <c r="AA11" i="8"/>
  <c r="AJ11" i="8"/>
  <c r="AS11" i="8"/>
  <c r="BB11" i="8"/>
  <c r="J145" i="2"/>
  <c r="J74" i="1" s="1"/>
  <c r="K74" i="1"/>
  <c r="AI11" i="8"/>
  <c r="J111" i="2"/>
  <c r="J114" i="2"/>
  <c r="BA11" i="8"/>
  <c r="AQ11" i="8"/>
  <c r="AZ11" i="8"/>
  <c r="BI11" i="8"/>
  <c r="F12" i="6"/>
  <c r="AR11" i="8"/>
  <c r="D385" i="2"/>
  <c r="K154" i="2"/>
  <c r="K83" i="1" s="1"/>
  <c r="BJ11" i="8"/>
  <c r="W11" i="8"/>
  <c r="X11" i="8"/>
  <c r="AO11" i="8"/>
  <c r="AX11" i="8"/>
  <c r="G28" i="7"/>
  <c r="AM11" i="8"/>
  <c r="Q11" i="8"/>
  <c r="Z11" i="8"/>
  <c r="I11" i="8"/>
  <c r="G27" i="7"/>
  <c r="Y11" i="8"/>
  <c r="AH11" i="8"/>
  <c r="O11" i="8"/>
  <c r="P11" i="8"/>
  <c r="AG11" i="8"/>
  <c r="AP11" i="8"/>
  <c r="AY11" i="8"/>
  <c r="BH11" i="8"/>
  <c r="N11" i="8"/>
  <c r="BG11" i="8"/>
  <c r="M11" i="8"/>
  <c r="V11" i="8"/>
  <c r="AE11" i="8"/>
  <c r="AW11" i="8"/>
  <c r="BF11" i="8"/>
  <c r="L11" i="8"/>
  <c r="U11" i="8"/>
  <c r="AD11" i="8"/>
  <c r="E356" i="2"/>
  <c r="F37" i="7"/>
  <c r="BJ37" i="7" s="1"/>
  <c r="BP362" i="2" s="1"/>
  <c r="AU11" i="8"/>
  <c r="AN11" i="8"/>
  <c r="BE11" i="8"/>
  <c r="K11" i="8"/>
  <c r="T11" i="8"/>
  <c r="AC11" i="8"/>
  <c r="AL11" i="8"/>
  <c r="F34" i="7"/>
  <c r="D356" i="2"/>
  <c r="K147" i="2"/>
  <c r="K76" i="1" s="1"/>
  <c r="BC11" i="8"/>
  <c r="AV11" i="8"/>
  <c r="J11" i="8"/>
  <c r="S11" i="8"/>
  <c r="AB11" i="8"/>
  <c r="AK11" i="8"/>
  <c r="AT11" i="8"/>
  <c r="Q12" i="5"/>
  <c r="N12" i="5"/>
  <c r="E13" i="5"/>
  <c r="R100" i="4"/>
  <c r="R98" i="4" s="1"/>
  <c r="M100" i="4"/>
  <c r="M98" i="4" s="1"/>
  <c r="Q100" i="4"/>
  <c r="Q98" i="4" s="1"/>
  <c r="P100" i="4"/>
  <c r="P98" i="4" s="1"/>
  <c r="O100" i="4"/>
  <c r="O98" i="4" s="1"/>
  <c r="N100" i="4"/>
  <c r="N98" i="4" s="1"/>
  <c r="T100" i="4"/>
  <c r="T98" i="4" s="1"/>
  <c r="L100" i="4"/>
  <c r="S100" i="4"/>
  <c r="S98" i="4" s="1"/>
  <c r="K100" i="4"/>
  <c r="K70" i="4"/>
  <c r="K73" i="4" s="1"/>
  <c r="K39" i="4"/>
  <c r="K21" i="4"/>
  <c r="L70" i="4"/>
  <c r="L73" i="4" s="1"/>
  <c r="L39" i="4"/>
  <c r="L21" i="4"/>
  <c r="N97" i="4"/>
  <c r="O8" i="4"/>
  <c r="N62" i="4"/>
  <c r="N42" i="4"/>
  <c r="M39" i="4"/>
  <c r="M21" i="4"/>
  <c r="M70" i="4"/>
  <c r="M73" i="4" s="1"/>
  <c r="N23" i="4"/>
  <c r="N28" i="4"/>
  <c r="P70" i="4"/>
  <c r="P73" i="4" s="1"/>
  <c r="P21" i="4"/>
  <c r="P39" i="4"/>
  <c r="Q21" i="4"/>
  <c r="Q70" i="4"/>
  <c r="Q73" i="4" s="1"/>
  <c r="Q39" i="4"/>
  <c r="O39" i="4"/>
  <c r="O70" i="4"/>
  <c r="O73" i="4" s="1"/>
  <c r="O21" i="4"/>
  <c r="S14" i="4"/>
  <c r="R16" i="4"/>
  <c r="N41" i="4" l="1"/>
  <c r="N54" i="4"/>
  <c r="G48" i="9"/>
  <c r="N74" i="4"/>
  <c r="N85" i="4"/>
  <c r="N75" i="4"/>
  <c r="F27" i="6"/>
  <c r="AD20" i="1"/>
  <c r="AB37" i="7"/>
  <c r="AH362" i="2" s="1"/>
  <c r="BB37" i="7"/>
  <c r="BH362" i="2" s="1"/>
  <c r="AZ37" i="7"/>
  <c r="BF362" i="2" s="1"/>
  <c r="V37" i="7"/>
  <c r="AB362" i="2" s="1"/>
  <c r="AV37" i="7"/>
  <c r="BB362" i="2" s="1"/>
  <c r="AJ37" i="7"/>
  <c r="AP362" i="2" s="1"/>
  <c r="J11" i="6"/>
  <c r="K10" i="6"/>
  <c r="K11" i="6" s="1"/>
  <c r="K22" i="6"/>
  <c r="K23" i="6" s="1"/>
  <c r="L37" i="7"/>
  <c r="R362" i="2" s="1"/>
  <c r="AR37" i="7"/>
  <c r="AX362" i="2" s="1"/>
  <c r="BD37" i="7"/>
  <c r="BJ362" i="2" s="1"/>
  <c r="X37" i="7"/>
  <c r="AD362" i="2" s="1"/>
  <c r="AL37" i="7"/>
  <c r="AR362" i="2" s="1"/>
  <c r="BH37" i="7"/>
  <c r="BN362" i="2" s="1"/>
  <c r="AN37" i="7"/>
  <c r="AT362" i="2" s="1"/>
  <c r="AD37" i="7"/>
  <c r="AJ362" i="2" s="1"/>
  <c r="P37" i="7"/>
  <c r="V362" i="2" s="1"/>
  <c r="BK37" i="7"/>
  <c r="BQ362" i="2" s="1"/>
  <c r="AF37" i="7"/>
  <c r="AL362" i="2" s="1"/>
  <c r="T37" i="7"/>
  <c r="Z362" i="2" s="1"/>
  <c r="AT37" i="7"/>
  <c r="AZ362" i="2" s="1"/>
  <c r="N37" i="7"/>
  <c r="T362" i="2" s="1"/>
  <c r="M8" i="6"/>
  <c r="L22" i="6"/>
  <c r="L10" i="6"/>
  <c r="F13" i="6"/>
  <c r="P34" i="7"/>
  <c r="BB34" i="7"/>
  <c r="AP34" i="7"/>
  <c r="AL34" i="7"/>
  <c r="AY34" i="7"/>
  <c r="L34" i="7"/>
  <c r="AE34" i="7"/>
  <c r="Q34" i="7"/>
  <c r="AC34" i="7"/>
  <c r="R34" i="7"/>
  <c r="K34" i="7"/>
  <c r="AJ34" i="7"/>
  <c r="BC34" i="7"/>
  <c r="Z34" i="7"/>
  <c r="AG34" i="7"/>
  <c r="V34" i="7"/>
  <c r="BI34" i="7"/>
  <c r="AX34" i="7"/>
  <c r="BG34" i="7"/>
  <c r="T34" i="7"/>
  <c r="AM34" i="7"/>
  <c r="BK34" i="7"/>
  <c r="AW34" i="7"/>
  <c r="AN34" i="7"/>
  <c r="J34" i="7"/>
  <c r="I34" i="7"/>
  <c r="AB34" i="7"/>
  <c r="AU34" i="7"/>
  <c r="BD34" i="7"/>
  <c r="AV34" i="7"/>
  <c r="AK34" i="7"/>
  <c r="Y34" i="7"/>
  <c r="AH34" i="7"/>
  <c r="X34" i="7"/>
  <c r="AT34" i="7"/>
  <c r="AF34" i="7"/>
  <c r="S34" i="7"/>
  <c r="AR34" i="7"/>
  <c r="N34" i="7"/>
  <c r="BA34" i="7"/>
  <c r="AO34" i="7"/>
  <c r="BJ34" i="7"/>
  <c r="AS34" i="7"/>
  <c r="AA34" i="7"/>
  <c r="AZ34" i="7"/>
  <c r="AD34" i="7"/>
  <c r="U34" i="7"/>
  <c r="BF34" i="7"/>
  <c r="M34" i="7"/>
  <c r="BE34" i="7"/>
  <c r="AI34" i="7"/>
  <c r="BH34" i="7"/>
  <c r="O34" i="7"/>
  <c r="AQ34" i="7"/>
  <c r="W34" i="7"/>
  <c r="R37" i="7"/>
  <c r="X362" i="2" s="1"/>
  <c r="S37" i="7"/>
  <c r="Y362" i="2" s="1"/>
  <c r="AS37" i="7"/>
  <c r="AY362" i="2" s="1"/>
  <c r="BC37" i="7"/>
  <c r="BI362" i="2" s="1"/>
  <c r="AP37" i="7"/>
  <c r="AV362" i="2" s="1"/>
  <c r="AC37" i="7"/>
  <c r="AI362" i="2" s="1"/>
  <c r="J37" i="7"/>
  <c r="P362" i="2" s="1"/>
  <c r="Z37" i="7"/>
  <c r="AF362" i="2" s="1"/>
  <c r="AA37" i="7"/>
  <c r="AG362" i="2" s="1"/>
  <c r="BA37" i="7"/>
  <c r="BG362" i="2" s="1"/>
  <c r="Q37" i="7"/>
  <c r="W362" i="2" s="1"/>
  <c r="AH37" i="7"/>
  <c r="AN362" i="2" s="1"/>
  <c r="AI37" i="7"/>
  <c r="AO362" i="2" s="1"/>
  <c r="BI37" i="7"/>
  <c r="BO362" i="2" s="1"/>
  <c r="Y37" i="7"/>
  <c r="AE362" i="2" s="1"/>
  <c r="AQ37" i="7"/>
  <c r="AW362" i="2" s="1"/>
  <c r="O37" i="7"/>
  <c r="U362" i="2" s="1"/>
  <c r="BE37" i="7"/>
  <c r="BK362" i="2" s="1"/>
  <c r="AK37" i="7"/>
  <c r="AQ362" i="2" s="1"/>
  <c r="K37" i="7"/>
  <c r="Q362" i="2" s="1"/>
  <c r="AG37" i="7"/>
  <c r="AM362" i="2" s="1"/>
  <c r="AX37" i="7"/>
  <c r="BD362" i="2" s="1"/>
  <c r="AY37" i="7"/>
  <c r="BE362" i="2" s="1"/>
  <c r="M37" i="7"/>
  <c r="S362" i="2" s="1"/>
  <c r="W37" i="7"/>
  <c r="AC362" i="2" s="1"/>
  <c r="AO37" i="7"/>
  <c r="AU362" i="2" s="1"/>
  <c r="BF37" i="7"/>
  <c r="BL362" i="2" s="1"/>
  <c r="BG37" i="7"/>
  <c r="BM362" i="2" s="1"/>
  <c r="U37" i="7"/>
  <c r="AA362" i="2" s="1"/>
  <c r="AE37" i="7"/>
  <c r="AK362" i="2" s="1"/>
  <c r="AW37" i="7"/>
  <c r="BC362" i="2" s="1"/>
  <c r="I37" i="7"/>
  <c r="O362" i="2" s="1"/>
  <c r="AM37" i="7"/>
  <c r="AS362" i="2" s="1"/>
  <c r="AU37" i="7"/>
  <c r="BA362" i="2" s="1"/>
  <c r="Q13" i="5"/>
  <c r="N13" i="5"/>
  <c r="N49" i="4"/>
  <c r="L28" i="4"/>
  <c r="L23" i="4"/>
  <c r="R39" i="4"/>
  <c r="R21" i="4"/>
  <c r="R70" i="4"/>
  <c r="R73" i="4" s="1"/>
  <c r="M85" i="4"/>
  <c r="M75" i="4"/>
  <c r="M74" i="4"/>
  <c r="M76" i="4"/>
  <c r="L74" i="4"/>
  <c r="L76" i="4"/>
  <c r="L85" i="4"/>
  <c r="L75" i="4"/>
  <c r="T14" i="4"/>
  <c r="T16" i="4" s="1"/>
  <c r="S16" i="4"/>
  <c r="M23" i="4"/>
  <c r="M28" i="4"/>
  <c r="P76" i="4"/>
  <c r="P75" i="4"/>
  <c r="P74" i="4"/>
  <c r="P85" i="4"/>
  <c r="P23" i="4"/>
  <c r="P28" i="4"/>
  <c r="Q23" i="4"/>
  <c r="Q28" i="4"/>
  <c r="L42" i="4"/>
  <c r="L54" i="4"/>
  <c r="L40" i="4"/>
  <c r="L41" i="4"/>
  <c r="O85" i="4"/>
  <c r="O74" i="4"/>
  <c r="O75" i="4"/>
  <c r="O76" i="4"/>
  <c r="K28" i="4"/>
  <c r="K30" i="4" s="1"/>
  <c r="L29" i="4" s="1"/>
  <c r="K23" i="4"/>
  <c r="K25" i="4" s="1"/>
  <c r="O28" i="4"/>
  <c r="O23" i="4"/>
  <c r="M54" i="4"/>
  <c r="M40" i="4"/>
  <c r="M41" i="4"/>
  <c r="M42" i="4"/>
  <c r="O42" i="4"/>
  <c r="O40" i="4"/>
  <c r="O54" i="4"/>
  <c r="O41" i="4"/>
  <c r="N77" i="4"/>
  <c r="O62" i="4"/>
  <c r="P8" i="4"/>
  <c r="O97" i="4"/>
  <c r="K54" i="4"/>
  <c r="K56" i="4" s="1"/>
  <c r="L55" i="4" s="1"/>
  <c r="K40" i="4"/>
  <c r="K42" i="4"/>
  <c r="K41" i="4"/>
  <c r="Q75" i="4"/>
  <c r="Q85" i="4"/>
  <c r="Q76" i="4"/>
  <c r="Q74" i="4"/>
  <c r="Q41" i="4"/>
  <c r="Q40" i="4"/>
  <c r="Q54" i="4"/>
  <c r="Q42" i="4"/>
  <c r="P54" i="4"/>
  <c r="P40" i="4"/>
  <c r="P42" i="4"/>
  <c r="P41" i="4"/>
  <c r="N87" i="4"/>
  <c r="N88" i="4"/>
  <c r="N86" i="4"/>
  <c r="K85" i="4"/>
  <c r="K76" i="4"/>
  <c r="K74" i="4"/>
  <c r="K75" i="4"/>
  <c r="L23" i="6" l="1"/>
  <c r="AD21" i="1"/>
  <c r="F28" i="6"/>
  <c r="L11" i="6"/>
  <c r="N8" i="6"/>
  <c r="M10" i="6"/>
  <c r="M22" i="6"/>
  <c r="F14" i="6"/>
  <c r="AC361" i="2"/>
  <c r="W13" i="8"/>
  <c r="AA361" i="2"/>
  <c r="U13" i="8"/>
  <c r="T361" i="2"/>
  <c r="N13" i="8"/>
  <c r="AQ361" i="2"/>
  <c r="AK13" i="8"/>
  <c r="BC361" i="2"/>
  <c r="AW13" i="8"/>
  <c r="AM361" i="2"/>
  <c r="AG13" i="8"/>
  <c r="AK361" i="2"/>
  <c r="AE13" i="8"/>
  <c r="BQ361" i="2"/>
  <c r="BK13" i="8"/>
  <c r="U361" i="2"/>
  <c r="O13" i="8"/>
  <c r="BF361" i="2"/>
  <c r="AZ13" i="8"/>
  <c r="Y361" i="2"/>
  <c r="S13" i="8"/>
  <c r="BJ361" i="2"/>
  <c r="BD13" i="8"/>
  <c r="AS361" i="2"/>
  <c r="AM13" i="8"/>
  <c r="BI361" i="2"/>
  <c r="BC13" i="8"/>
  <c r="BE361" i="2"/>
  <c r="AY13" i="8"/>
  <c r="AJ361" i="2"/>
  <c r="AD13" i="8"/>
  <c r="G37" i="7"/>
  <c r="BN361" i="2"/>
  <c r="BH13" i="8"/>
  <c r="AG361" i="2"/>
  <c r="AA13" i="8"/>
  <c r="AL361" i="2"/>
  <c r="AF13" i="8"/>
  <c r="BA361" i="2"/>
  <c r="AU13" i="8"/>
  <c r="Z361" i="2"/>
  <c r="T13" i="8"/>
  <c r="AP361" i="2"/>
  <c r="AJ13" i="8"/>
  <c r="AR361" i="2"/>
  <c r="AL13" i="8"/>
  <c r="BL361" i="2"/>
  <c r="BF13" i="8"/>
  <c r="AT361" i="2"/>
  <c r="AN13" i="8"/>
  <c r="W361" i="2"/>
  <c r="Q13" i="8"/>
  <c r="AW361" i="2"/>
  <c r="AQ13" i="8"/>
  <c r="AX361" i="2"/>
  <c r="AR13" i="8"/>
  <c r="AF361" i="2"/>
  <c r="Z13" i="8"/>
  <c r="R361" i="2"/>
  <c r="L13" i="8"/>
  <c r="AO361" i="2"/>
  <c r="AI13" i="8"/>
  <c r="AY361" i="2"/>
  <c r="AS13" i="8"/>
  <c r="AZ361" i="2"/>
  <c r="AT13" i="8"/>
  <c r="AH361" i="2"/>
  <c r="AB13" i="8"/>
  <c r="BM361" i="2"/>
  <c r="BG13" i="8"/>
  <c r="Q361" i="2"/>
  <c r="K13" i="8"/>
  <c r="AV361" i="2"/>
  <c r="AP13" i="8"/>
  <c r="BG361" i="2"/>
  <c r="BA13" i="8"/>
  <c r="AB361" i="2"/>
  <c r="V13" i="8"/>
  <c r="BK361" i="2"/>
  <c r="BE13" i="8"/>
  <c r="BP361" i="2"/>
  <c r="BJ13" i="8"/>
  <c r="AD361" i="2"/>
  <c r="X13" i="8"/>
  <c r="O361" i="2"/>
  <c r="O363" i="2" s="1"/>
  <c r="O364" i="2" s="1"/>
  <c r="I13" i="8"/>
  <c r="G34" i="7"/>
  <c r="BD361" i="2"/>
  <c r="AX13" i="8"/>
  <c r="X361" i="2"/>
  <c r="R13" i="8"/>
  <c r="BH361" i="2"/>
  <c r="BB13" i="8"/>
  <c r="AE361" i="2"/>
  <c r="Y13" i="8"/>
  <c r="BB361" i="2"/>
  <c r="AV13" i="8"/>
  <c r="S361" i="2"/>
  <c r="M13" i="8"/>
  <c r="AU361" i="2"/>
  <c r="AO13" i="8"/>
  <c r="AN361" i="2"/>
  <c r="AH13" i="8"/>
  <c r="P361" i="2"/>
  <c r="J13" i="8"/>
  <c r="BO361" i="2"/>
  <c r="BI13" i="8"/>
  <c r="AI361" i="2"/>
  <c r="AC13" i="8"/>
  <c r="V361" i="2"/>
  <c r="P13" i="8"/>
  <c r="L56" i="4"/>
  <c r="M55" i="4" s="1"/>
  <c r="M56" i="4" s="1"/>
  <c r="N55" i="4" s="1"/>
  <c r="N56" i="4" s="1"/>
  <c r="O55" i="4" s="1"/>
  <c r="O56" i="4" s="1"/>
  <c r="P55" i="4" s="1"/>
  <c r="P56" i="4" s="1"/>
  <c r="Q55" i="4" s="1"/>
  <c r="Q56" i="4" s="1"/>
  <c r="R55" i="4" s="1"/>
  <c r="L49" i="4"/>
  <c r="M77" i="4"/>
  <c r="L88" i="4"/>
  <c r="L86" i="4"/>
  <c r="L87" i="4"/>
  <c r="K49" i="4"/>
  <c r="K51" i="4" s="1"/>
  <c r="K77" i="4"/>
  <c r="M49" i="4"/>
  <c r="P86" i="4"/>
  <c r="P87" i="4"/>
  <c r="P88" i="4"/>
  <c r="L77" i="4"/>
  <c r="R75" i="4"/>
  <c r="R74" i="4"/>
  <c r="R85" i="4"/>
  <c r="R76" i="4"/>
  <c r="P49" i="4"/>
  <c r="Q77" i="4"/>
  <c r="P77" i="4"/>
  <c r="R23" i="4"/>
  <c r="R28" i="4"/>
  <c r="R41" i="4"/>
  <c r="R54" i="4"/>
  <c r="R42" i="4"/>
  <c r="R40" i="4"/>
  <c r="Q88" i="4"/>
  <c r="Q87" i="4"/>
  <c r="Q86" i="4"/>
  <c r="P62" i="4"/>
  <c r="P97" i="4"/>
  <c r="Q8" i="4"/>
  <c r="O77" i="4"/>
  <c r="S70" i="4"/>
  <c r="S73" i="4" s="1"/>
  <c r="S21" i="4"/>
  <c r="S39" i="4"/>
  <c r="K87" i="4"/>
  <c r="K86" i="4"/>
  <c r="K88" i="4"/>
  <c r="N84" i="4"/>
  <c r="N89" i="4" s="1"/>
  <c r="O49" i="4"/>
  <c r="L24" i="4"/>
  <c r="L25" i="4" s="1"/>
  <c r="K33" i="4"/>
  <c r="K34" i="4" s="1"/>
  <c r="K65" i="4" s="1"/>
  <c r="O88" i="4"/>
  <c r="O87" i="4"/>
  <c r="O86" i="4"/>
  <c r="T70" i="4"/>
  <c r="T73" i="4" s="1"/>
  <c r="T39" i="4"/>
  <c r="T21" i="4"/>
  <c r="M86" i="4"/>
  <c r="M88" i="4"/>
  <c r="M87" i="4"/>
  <c r="L30" i="4"/>
  <c r="M29" i="4" s="1"/>
  <c r="M30" i="4" s="1"/>
  <c r="N29" i="4" s="1"/>
  <c r="N30" i="4" s="1"/>
  <c r="O29" i="4" s="1"/>
  <c r="O30" i="4" s="1"/>
  <c r="P29" i="4" s="1"/>
  <c r="P30" i="4" s="1"/>
  <c r="Q29" i="4" s="1"/>
  <c r="Q30" i="4" s="1"/>
  <c r="R29" i="4" s="1"/>
  <c r="Q49" i="4"/>
  <c r="F29" i="6" l="1"/>
  <c r="AD22" i="1"/>
  <c r="M11" i="6"/>
  <c r="F15" i="6"/>
  <c r="O8" i="6"/>
  <c r="N10" i="6"/>
  <c r="N11" i="6" s="1"/>
  <c r="N22" i="6"/>
  <c r="N23" i="6" s="1"/>
  <c r="M23" i="6"/>
  <c r="P360" i="2"/>
  <c r="O365" i="2"/>
  <c r="P84" i="4"/>
  <c r="P89" i="4" s="1"/>
  <c r="M24" i="4"/>
  <c r="M25" i="4" s="1"/>
  <c r="L33" i="4"/>
  <c r="L34" i="4" s="1"/>
  <c r="L65" i="4" s="1"/>
  <c r="T74" i="4"/>
  <c r="T76" i="4"/>
  <c r="T85" i="4"/>
  <c r="T75" i="4"/>
  <c r="R30" i="4"/>
  <c r="S29" i="4" s="1"/>
  <c r="Q97" i="4"/>
  <c r="Q62" i="4"/>
  <c r="R8" i="4"/>
  <c r="R49" i="4"/>
  <c r="O84" i="4"/>
  <c r="O89" i="4" s="1"/>
  <c r="M84" i="4"/>
  <c r="M89" i="4" s="1"/>
  <c r="S28" i="4"/>
  <c r="S23" i="4"/>
  <c r="R87" i="4"/>
  <c r="R88" i="4"/>
  <c r="R86" i="4"/>
  <c r="S54" i="4"/>
  <c r="S40" i="4"/>
  <c r="S41" i="4"/>
  <c r="S42" i="4"/>
  <c r="T28" i="4"/>
  <c r="T23" i="4"/>
  <c r="K84" i="4"/>
  <c r="K89" i="4" s="1"/>
  <c r="K91" i="4" s="1"/>
  <c r="S85" i="4"/>
  <c r="S76" i="4"/>
  <c r="S75" i="4"/>
  <c r="S74" i="4"/>
  <c r="R77" i="4"/>
  <c r="L84" i="4"/>
  <c r="L89" i="4" s="1"/>
  <c r="R56" i="4"/>
  <c r="S55" i="4" s="1"/>
  <c r="K59" i="4"/>
  <c r="K60" i="4" s="1"/>
  <c r="K64" i="4" s="1"/>
  <c r="K63" i="4" s="1"/>
  <c r="L50" i="4"/>
  <c r="L51" i="4" s="1"/>
  <c r="T42" i="4"/>
  <c r="T54" i="4"/>
  <c r="T40" i="4"/>
  <c r="T41" i="4"/>
  <c r="Q84" i="4"/>
  <c r="Q89" i="4" s="1"/>
  <c r="P363" i="2" l="1"/>
  <c r="Q360" i="2" s="1"/>
  <c r="AD24" i="1"/>
  <c r="J11" i="1" s="1"/>
  <c r="F30" i="6"/>
  <c r="P8" i="6"/>
  <c r="O10" i="6"/>
  <c r="O11" i="6" s="1"/>
  <c r="O22" i="6"/>
  <c r="F16" i="6"/>
  <c r="Q363" i="2"/>
  <c r="R360" i="2" s="1"/>
  <c r="T49" i="4"/>
  <c r="S30" i="4"/>
  <c r="T29" i="4" s="1"/>
  <c r="T30" i="4" s="1"/>
  <c r="R84" i="4"/>
  <c r="R89" i="4" s="1"/>
  <c r="S87" i="4"/>
  <c r="S86" i="4"/>
  <c r="S88" i="4"/>
  <c r="S49" i="4"/>
  <c r="T88" i="4"/>
  <c r="T86" i="4"/>
  <c r="T87" i="4"/>
  <c r="S56" i="4"/>
  <c r="T55" i="4" s="1"/>
  <c r="T56" i="4" s="1"/>
  <c r="L90" i="4"/>
  <c r="L91" i="4" s="1"/>
  <c r="K94" i="4"/>
  <c r="K95" i="4" s="1"/>
  <c r="K99" i="4" s="1"/>
  <c r="K98" i="4" s="1"/>
  <c r="R97" i="4"/>
  <c r="R62" i="4"/>
  <c r="S8" i="4"/>
  <c r="T77" i="4"/>
  <c r="L59" i="4"/>
  <c r="L60" i="4" s="1"/>
  <c r="L64" i="4" s="1"/>
  <c r="L63" i="4" s="1"/>
  <c r="M50" i="4"/>
  <c r="M51" i="4" s="1"/>
  <c r="S77" i="4"/>
  <c r="M33" i="4"/>
  <c r="M34" i="4" s="1"/>
  <c r="M65" i="4" s="1"/>
  <c r="M63" i="4" s="1"/>
  <c r="N24" i="4"/>
  <c r="N25" i="4" s="1"/>
  <c r="R364" i="2" l="1"/>
  <c r="Q364" i="2"/>
  <c r="P364" i="2"/>
  <c r="P365" i="2" s="1"/>
  <c r="L94" i="4"/>
  <c r="L95" i="4" s="1"/>
  <c r="L99" i="4" s="1"/>
  <c r="L98" i="4" s="1"/>
  <c r="M90" i="4"/>
  <c r="M91" i="4" s="1"/>
  <c r="N90" i="4" s="1"/>
  <c r="N91" i="4" s="1"/>
  <c r="F17" i="6"/>
  <c r="O23" i="6"/>
  <c r="Q8" i="6"/>
  <c r="P10" i="6"/>
  <c r="P22" i="6"/>
  <c r="P23" i="6" s="1"/>
  <c r="R363" i="2"/>
  <c r="S360" i="2" s="1"/>
  <c r="Q365" i="2"/>
  <c r="S84" i="4"/>
  <c r="S89" i="4" s="1"/>
  <c r="N50" i="4"/>
  <c r="N51" i="4" s="1"/>
  <c r="M59" i="4"/>
  <c r="M60" i="4" s="1"/>
  <c r="M64" i="4" s="1"/>
  <c r="T84" i="4"/>
  <c r="T89" i="4" s="1"/>
  <c r="S62" i="4"/>
  <c r="T8" i="4"/>
  <c r="S97" i="4"/>
  <c r="N33" i="4"/>
  <c r="N34" i="4" s="1"/>
  <c r="N65" i="4" s="1"/>
  <c r="N63" i="4" s="1"/>
  <c r="O24" i="4"/>
  <c r="O25" i="4" s="1"/>
  <c r="S363" i="2" l="1"/>
  <c r="T360" i="2" s="1"/>
  <c r="M94" i="4"/>
  <c r="M95" i="4" s="1"/>
  <c r="M99" i="4" s="1"/>
  <c r="R365" i="2"/>
  <c r="R8" i="6"/>
  <c r="Q10" i="6"/>
  <c r="Q11" i="6" s="1"/>
  <c r="Q22" i="6"/>
  <c r="P11" i="6"/>
  <c r="F18" i="6"/>
  <c r="P24" i="4"/>
  <c r="P25" i="4" s="1"/>
  <c r="O33" i="4"/>
  <c r="O34" i="4" s="1"/>
  <c r="O65" i="4" s="1"/>
  <c r="O63" i="4" s="1"/>
  <c r="N94" i="4"/>
  <c r="N95" i="4" s="1"/>
  <c r="N99" i="4" s="1"/>
  <c r="O90" i="4"/>
  <c r="O91" i="4" s="1"/>
  <c r="T97" i="4"/>
  <c r="T62" i="4"/>
  <c r="N59" i="4"/>
  <c r="N60" i="4" s="1"/>
  <c r="N64" i="4" s="1"/>
  <c r="O50" i="4"/>
  <c r="O51" i="4" s="1"/>
  <c r="T363" i="2" l="1"/>
  <c r="U360" i="2" s="1"/>
  <c r="U363" i="2" s="1"/>
  <c r="V360" i="2" s="1"/>
  <c r="S364" i="2"/>
  <c r="S365" i="2" s="1"/>
  <c r="S8" i="6"/>
  <c r="R22" i="6"/>
  <c r="R10" i="6"/>
  <c r="Q23" i="6"/>
  <c r="O94" i="4"/>
  <c r="O95" i="4" s="1"/>
  <c r="O99" i="4" s="1"/>
  <c r="P90" i="4"/>
  <c r="P91" i="4" s="1"/>
  <c r="O59" i="4"/>
  <c r="O60" i="4" s="1"/>
  <c r="O64" i="4" s="1"/>
  <c r="P50" i="4"/>
  <c r="P51" i="4" s="1"/>
  <c r="Q24" i="4"/>
  <c r="Q25" i="4" s="1"/>
  <c r="P33" i="4"/>
  <c r="P34" i="4" s="1"/>
  <c r="P65" i="4" s="1"/>
  <c r="P63" i="4" s="1"/>
  <c r="V364" i="2" l="1"/>
  <c r="U364" i="2"/>
  <c r="T364" i="2"/>
  <c r="T365" i="2" s="1"/>
  <c r="T8" i="6"/>
  <c r="S22" i="6"/>
  <c r="S23" i="6" s="1"/>
  <c r="S10" i="6"/>
  <c r="S11" i="6" s="1"/>
  <c r="R11" i="6"/>
  <c r="R23" i="6"/>
  <c r="U365" i="2"/>
  <c r="V363" i="2"/>
  <c r="W360" i="2" s="1"/>
  <c r="P94" i="4"/>
  <c r="P95" i="4" s="1"/>
  <c r="P99" i="4" s="1"/>
  <c r="Q90" i="4"/>
  <c r="Q91" i="4" s="1"/>
  <c r="Q33" i="4"/>
  <c r="Q34" i="4" s="1"/>
  <c r="Q65" i="4" s="1"/>
  <c r="Q63" i="4" s="1"/>
  <c r="R24" i="4"/>
  <c r="R25" i="4" s="1"/>
  <c r="Q50" i="4"/>
  <c r="Q51" i="4" s="1"/>
  <c r="P59" i="4"/>
  <c r="P60" i="4" s="1"/>
  <c r="P64" i="4" s="1"/>
  <c r="W364" i="2" l="1"/>
  <c r="U8" i="6"/>
  <c r="T22" i="6"/>
  <c r="T23" i="6" s="1"/>
  <c r="T10" i="6"/>
  <c r="T11" i="6" s="1"/>
  <c r="V365" i="2"/>
  <c r="W363" i="2"/>
  <c r="X360" i="2" s="1"/>
  <c r="R90" i="4"/>
  <c r="R91" i="4" s="1"/>
  <c r="Q94" i="4"/>
  <c r="Q95" i="4" s="1"/>
  <c r="Q99" i="4" s="1"/>
  <c r="R50" i="4"/>
  <c r="R51" i="4" s="1"/>
  <c r="Q59" i="4"/>
  <c r="Q60" i="4" s="1"/>
  <c r="Q64" i="4" s="1"/>
  <c r="R33" i="4"/>
  <c r="R34" i="4" s="1"/>
  <c r="R65" i="4" s="1"/>
  <c r="R63" i="4" s="1"/>
  <c r="S24" i="4"/>
  <c r="S25" i="4" s="1"/>
  <c r="W365" i="2" l="1"/>
  <c r="V8" i="6"/>
  <c r="U10" i="6"/>
  <c r="U11" i="6" s="1"/>
  <c r="U22" i="6"/>
  <c r="U23" i="6" s="1"/>
  <c r="X363" i="2"/>
  <c r="Y360" i="2" s="1"/>
  <c r="R94" i="4"/>
  <c r="R95" i="4" s="1"/>
  <c r="R99" i="4" s="1"/>
  <c r="S90" i="4"/>
  <c r="S91" i="4" s="1"/>
  <c r="T24" i="4"/>
  <c r="T25" i="4" s="1"/>
  <c r="S33" i="4"/>
  <c r="S34" i="4" s="1"/>
  <c r="S65" i="4" s="1"/>
  <c r="S63" i="4" s="1"/>
  <c r="S50" i="4"/>
  <c r="S51" i="4" s="1"/>
  <c r="R59" i="4"/>
  <c r="R60" i="4" s="1"/>
  <c r="R64" i="4" s="1"/>
  <c r="X364" i="2" l="1"/>
  <c r="W8" i="6"/>
  <c r="V22" i="6"/>
  <c r="V23" i="6" s="1"/>
  <c r="V10" i="6"/>
  <c r="V11" i="6" s="1"/>
  <c r="X365" i="2"/>
  <c r="Y363" i="2"/>
  <c r="Z360" i="2" s="1"/>
  <c r="S59" i="4"/>
  <c r="S60" i="4" s="1"/>
  <c r="S64" i="4" s="1"/>
  <c r="T50" i="4"/>
  <c r="T51" i="4" s="1"/>
  <c r="T33" i="4"/>
  <c r="T34" i="4" s="1"/>
  <c r="T65" i="4" s="1"/>
  <c r="T63" i="4" s="1"/>
  <c r="T90" i="4"/>
  <c r="T91" i="4" s="1"/>
  <c r="S94" i="4"/>
  <c r="S95" i="4" s="1"/>
  <c r="S99" i="4" s="1"/>
  <c r="Y364" i="2" l="1"/>
  <c r="X8" i="6"/>
  <c r="W10" i="6"/>
  <c r="W11" i="6" s="1"/>
  <c r="W22" i="6"/>
  <c r="W23" i="6" s="1"/>
  <c r="Y365" i="2"/>
  <c r="Z363" i="2"/>
  <c r="AA360" i="2" s="1"/>
  <c r="T94" i="4"/>
  <c r="T95" i="4" s="1"/>
  <c r="T99" i="4" s="1"/>
  <c r="T59" i="4"/>
  <c r="T60" i="4" s="1"/>
  <c r="T64" i="4" s="1"/>
  <c r="Z364" i="2" l="1"/>
  <c r="Y8" i="6"/>
  <c r="X10" i="6"/>
  <c r="X11" i="6" s="1"/>
  <c r="X22" i="6"/>
  <c r="X23" i="6" s="1"/>
  <c r="Z365" i="2"/>
  <c r="AA363" i="2"/>
  <c r="AB360" i="2" s="1"/>
  <c r="J88" i="2"/>
  <c r="M81" i="2"/>
  <c r="J80" i="2"/>
  <c r="I77" i="2"/>
  <c r="I76" i="2"/>
  <c r="J72" i="2"/>
  <c r="H68" i="2"/>
  <c r="J278" i="2"/>
  <c r="J277" i="2"/>
  <c r="J276" i="2"/>
  <c r="J275" i="2"/>
  <c r="J274" i="2"/>
  <c r="J273" i="2"/>
  <c r="J272" i="2"/>
  <c r="J271" i="2"/>
  <c r="J270" i="2"/>
  <c r="F270" i="2"/>
  <c r="J269" i="2"/>
  <c r="F268" i="2"/>
  <c r="D278" i="2"/>
  <c r="H278" i="2" s="1"/>
  <c r="D277" i="2"/>
  <c r="H277" i="2" s="1"/>
  <c r="D276" i="2"/>
  <c r="H276" i="2" s="1"/>
  <c r="D275" i="2"/>
  <c r="H275" i="2" s="1"/>
  <c r="D274" i="2"/>
  <c r="H274" i="2" s="1"/>
  <c r="D273" i="2"/>
  <c r="H273" i="2" s="1"/>
  <c r="D272" i="2"/>
  <c r="H272" i="2" s="1"/>
  <c r="D271" i="2"/>
  <c r="H271" i="2" s="1"/>
  <c r="D270" i="2"/>
  <c r="H270" i="2" s="1"/>
  <c r="D269" i="2"/>
  <c r="H269" i="2" s="1"/>
  <c r="F64" i="2"/>
  <c r="F63" i="2"/>
  <c r="F62" i="2"/>
  <c r="H62" i="2"/>
  <c r="H64" i="2"/>
  <c r="F60" i="2"/>
  <c r="F59" i="2"/>
  <c r="F58" i="2"/>
  <c r="H60" i="2"/>
  <c r="H58" i="2"/>
  <c r="F52" i="2"/>
  <c r="F51" i="2"/>
  <c r="F50" i="2"/>
  <c r="I259" i="2"/>
  <c r="J259" i="2" s="1"/>
  <c r="I258" i="2"/>
  <c r="J258" i="2" s="1"/>
  <c r="I257" i="2"/>
  <c r="J257" i="2" s="1"/>
  <c r="I256" i="2"/>
  <c r="J256" i="2" s="1"/>
  <c r="I255" i="2"/>
  <c r="J255" i="2" s="1"/>
  <c r="I254" i="2"/>
  <c r="J254" i="2" s="1"/>
  <c r="I253" i="2"/>
  <c r="J253" i="2" s="1"/>
  <c r="I252" i="2"/>
  <c r="J252" i="2" s="1"/>
  <c r="I238" i="2"/>
  <c r="J238" i="2" s="1"/>
  <c r="I237" i="2"/>
  <c r="J237" i="2" s="1"/>
  <c r="I236" i="2"/>
  <c r="J236" i="2" s="1"/>
  <c r="I235" i="2"/>
  <c r="J235" i="2" s="1"/>
  <c r="I234" i="2"/>
  <c r="J234" i="2" s="1"/>
  <c r="I233" i="2"/>
  <c r="J233" i="2" s="1"/>
  <c r="I232" i="2"/>
  <c r="J232" i="2" s="1"/>
  <c r="I231" i="2"/>
  <c r="J231" i="2" s="1"/>
  <c r="I217" i="2"/>
  <c r="J217" i="2" s="1"/>
  <c r="I216" i="2"/>
  <c r="J216" i="2" s="1"/>
  <c r="I215" i="2"/>
  <c r="J215" i="2" s="1"/>
  <c r="I214" i="2"/>
  <c r="J214" i="2" s="1"/>
  <c r="I213" i="2"/>
  <c r="J213" i="2" s="1"/>
  <c r="I212" i="2"/>
  <c r="J212" i="2" s="1"/>
  <c r="I211" i="2"/>
  <c r="J211" i="2" s="1"/>
  <c r="I210" i="2"/>
  <c r="J210" i="2" s="1"/>
  <c r="H36" i="2"/>
  <c r="H35" i="2"/>
  <c r="H34" i="2"/>
  <c r="I197" i="2"/>
  <c r="J197" i="2" s="1"/>
  <c r="I196" i="2"/>
  <c r="J196" i="2" s="1"/>
  <c r="I195" i="2"/>
  <c r="J195" i="2" s="1"/>
  <c r="I194" i="2"/>
  <c r="J194" i="2" s="1"/>
  <c r="I193" i="2"/>
  <c r="J193" i="2" s="1"/>
  <c r="I192" i="2"/>
  <c r="J192" i="2" s="1"/>
  <c r="I191" i="2"/>
  <c r="J191" i="2" s="1"/>
  <c r="I190" i="2"/>
  <c r="J190" i="2" s="1"/>
  <c r="H31" i="2"/>
  <c r="H30" i="2"/>
  <c r="H29" i="2"/>
  <c r="B54" i="3"/>
  <c r="D54" i="3" s="1" a="1"/>
  <c r="D54" i="3" s="1"/>
  <c r="C54" i="3" s="1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F21" i="2"/>
  <c r="F181" i="2"/>
  <c r="D181" i="2"/>
  <c r="H181" i="2" s="1"/>
  <c r="J180" i="2"/>
  <c r="F180" i="2"/>
  <c r="J179" i="2"/>
  <c r="F179" i="2"/>
  <c r="J178" i="2"/>
  <c r="F178" i="2"/>
  <c r="J177" i="2"/>
  <c r="F177" i="2"/>
  <c r="J176" i="2"/>
  <c r="F176" i="2"/>
  <c r="J175" i="2"/>
  <c r="F175" i="2"/>
  <c r="F174" i="2"/>
  <c r="J181" i="2"/>
  <c r="D180" i="2"/>
  <c r="H180" i="2" s="1"/>
  <c r="D179" i="2"/>
  <c r="H179" i="2" s="1"/>
  <c r="D178" i="2"/>
  <c r="H178" i="2" s="1"/>
  <c r="D177" i="2"/>
  <c r="H177" i="2" s="1"/>
  <c r="D176" i="2"/>
  <c r="H176" i="2" s="1"/>
  <c r="D175" i="2"/>
  <c r="H175" i="2" s="1"/>
  <c r="J170" i="2"/>
  <c r="F170" i="2"/>
  <c r="J169" i="2"/>
  <c r="F169" i="2"/>
  <c r="J168" i="2"/>
  <c r="F168" i="2"/>
  <c r="J167" i="2"/>
  <c r="F167" i="2"/>
  <c r="J166" i="2"/>
  <c r="F166" i="2"/>
  <c r="J165" i="2"/>
  <c r="F165" i="2"/>
  <c r="F164" i="2"/>
  <c r="J164" i="2"/>
  <c r="D170" i="2"/>
  <c r="H170" i="2" s="1"/>
  <c r="D169" i="2"/>
  <c r="H169" i="2" s="1"/>
  <c r="D168" i="2"/>
  <c r="H168" i="2" s="1"/>
  <c r="D167" i="2"/>
  <c r="H167" i="2" s="1"/>
  <c r="D166" i="2"/>
  <c r="H166" i="2" s="1"/>
  <c r="D165" i="2"/>
  <c r="H165" i="2" s="1"/>
  <c r="D164" i="2"/>
  <c r="H164" i="2" s="1"/>
  <c r="J163" i="2"/>
  <c r="F163" i="2"/>
  <c r="D163" i="2"/>
  <c r="H163" i="2" s="1"/>
  <c r="F162" i="2"/>
  <c r="M91" i="2"/>
  <c r="M90" i="2"/>
  <c r="J17" i="2"/>
  <c r="J45" i="1" s="1"/>
  <c r="O11" i="2"/>
  <c r="H16" i="2"/>
  <c r="K141" i="2" s="1"/>
  <c r="J35" i="1"/>
  <c r="Q22" i="1" s="1"/>
  <c r="W23" i="1" s="1"/>
  <c r="L34" i="1"/>
  <c r="G38" i="1"/>
  <c r="F39" i="1"/>
  <c r="H25" i="2" s="1"/>
  <c r="F37" i="1"/>
  <c r="E37" i="1"/>
  <c r="R16" i="1" s="1"/>
  <c r="T16" i="1" s="1"/>
  <c r="D37" i="1"/>
  <c r="Q16" i="1" s="1"/>
  <c r="F35" i="1"/>
  <c r="E35" i="1"/>
  <c r="R14" i="1" s="1"/>
  <c r="T14" i="1" s="1"/>
  <c r="U14" i="1" s="1"/>
  <c r="D35" i="1"/>
  <c r="Q14" i="1" s="1"/>
  <c r="F30" i="1"/>
  <c r="H28" i="2" s="1"/>
  <c r="F27" i="1"/>
  <c r="K13" i="2" s="1"/>
  <c r="D18" i="1"/>
  <c r="AA364" i="2" l="1"/>
  <c r="AA365" i="2" s="1"/>
  <c r="F28" i="2"/>
  <c r="F53" i="1" s="1"/>
  <c r="H53" i="1"/>
  <c r="I123" i="2"/>
  <c r="K81" i="2"/>
  <c r="F69" i="2"/>
  <c r="K74" i="2"/>
  <c r="H39" i="2"/>
  <c r="J119" i="2"/>
  <c r="G21" i="6"/>
  <c r="H40" i="2"/>
  <c r="H80" i="2"/>
  <c r="F25" i="2"/>
  <c r="H50" i="1"/>
  <c r="D20" i="1"/>
  <c r="O137" i="2" s="1"/>
  <c r="F13" i="2"/>
  <c r="F44" i="1" s="1"/>
  <c r="K44" i="1"/>
  <c r="K144" i="2"/>
  <c r="K73" i="1" s="1"/>
  <c r="K70" i="1"/>
  <c r="H38" i="2"/>
  <c r="L35" i="1"/>
  <c r="R22" i="1" s="1"/>
  <c r="L38" i="1"/>
  <c r="Z8" i="6"/>
  <c r="Y10" i="6"/>
  <c r="Y11" i="6" s="1"/>
  <c r="Y22" i="6"/>
  <c r="Y23" i="6" s="1"/>
  <c r="O154" i="2"/>
  <c r="O355" i="2"/>
  <c r="AB363" i="2"/>
  <c r="AC360" i="2" s="1"/>
  <c r="O297" i="2"/>
  <c r="O147" i="2"/>
  <c r="O115" i="2"/>
  <c r="O114" i="2"/>
  <c r="O111" i="2"/>
  <c r="O112" i="2"/>
  <c r="H22" i="2"/>
  <c r="F22" i="2" s="1"/>
  <c r="G27" i="5" s="1"/>
  <c r="F305" i="2" s="1"/>
  <c r="G26" i="5"/>
  <c r="F304" i="2" s="1"/>
  <c r="O100" i="2"/>
  <c r="O103" i="2"/>
  <c r="K76" i="2"/>
  <c r="J85" i="2"/>
  <c r="O63" i="2"/>
  <c r="J198" i="2"/>
  <c r="J200" i="2" s="1"/>
  <c r="J201" i="2" s="1"/>
  <c r="F33" i="2" s="1"/>
  <c r="O64" i="2"/>
  <c r="O62" i="2"/>
  <c r="O21" i="2"/>
  <c r="O60" i="2"/>
  <c r="O59" i="2"/>
  <c r="O58" i="2"/>
  <c r="J260" i="2"/>
  <c r="J239" i="2"/>
  <c r="J218" i="2"/>
  <c r="O8" i="2"/>
  <c r="F23" i="2"/>
  <c r="P11" i="2"/>
  <c r="O17" i="2"/>
  <c r="AB364" i="2" l="1"/>
  <c r="F29" i="2"/>
  <c r="O29" i="2" s="1"/>
  <c r="G21" i="5"/>
  <c r="F299" i="2" s="1"/>
  <c r="F16" i="2"/>
  <c r="O16" i="2" s="1"/>
  <c r="F14" i="2"/>
  <c r="O14" i="2" s="1"/>
  <c r="K65" i="2"/>
  <c r="AE34" i="1" s="1"/>
  <c r="S34" i="1" s="1"/>
  <c r="S36" i="1" s="1"/>
  <c r="S37" i="1" s="1"/>
  <c r="F15" i="2"/>
  <c r="O15" i="2" s="1"/>
  <c r="G33" i="5"/>
  <c r="F311" i="2" s="1"/>
  <c r="F31" i="2"/>
  <c r="P31" i="2" s="1"/>
  <c r="F30" i="2"/>
  <c r="O30" i="2" s="1"/>
  <c r="O138" i="2"/>
  <c r="Y25" i="6"/>
  <c r="Y30" i="6"/>
  <c r="O134" i="2"/>
  <c r="O133" i="2"/>
  <c r="O135" i="2"/>
  <c r="O136" i="2"/>
  <c r="Y29" i="6"/>
  <c r="E14" i="5"/>
  <c r="L39" i="1"/>
  <c r="H26" i="2" s="1"/>
  <c r="E286" i="2"/>
  <c r="F19" i="6"/>
  <c r="F119" i="2"/>
  <c r="E292" i="2"/>
  <c r="F31" i="6"/>
  <c r="G44" i="5"/>
  <c r="F59" i="1"/>
  <c r="S24" i="6"/>
  <c r="K24" i="6"/>
  <c r="W24" i="6"/>
  <c r="N24" i="6"/>
  <c r="I27" i="6"/>
  <c r="V24" i="6"/>
  <c r="M24" i="6"/>
  <c r="I26" i="6"/>
  <c r="U24" i="6"/>
  <c r="L24" i="6"/>
  <c r="I24" i="6"/>
  <c r="T24" i="6"/>
  <c r="J24" i="6"/>
  <c r="Y24" i="6"/>
  <c r="P24" i="6"/>
  <c r="I29" i="6"/>
  <c r="X24" i="6"/>
  <c r="J25" i="6"/>
  <c r="Q24" i="6"/>
  <c r="R24" i="6"/>
  <c r="O24" i="6"/>
  <c r="I30" i="6"/>
  <c r="I28" i="6"/>
  <c r="J29" i="6"/>
  <c r="J26" i="6"/>
  <c r="J30" i="6"/>
  <c r="J28" i="6"/>
  <c r="J27" i="6"/>
  <c r="I25" i="6"/>
  <c r="K29" i="6"/>
  <c r="K27" i="6"/>
  <c r="K25" i="6"/>
  <c r="K28" i="6"/>
  <c r="K26" i="6"/>
  <c r="K30" i="6"/>
  <c r="L26" i="6"/>
  <c r="L29" i="6"/>
  <c r="L28" i="6"/>
  <c r="L30" i="6"/>
  <c r="L27" i="6"/>
  <c r="L25" i="6"/>
  <c r="M28" i="6"/>
  <c r="M29" i="6"/>
  <c r="M30" i="6"/>
  <c r="M26" i="6"/>
  <c r="M25" i="6"/>
  <c r="M27" i="6"/>
  <c r="N26" i="6"/>
  <c r="N25" i="6"/>
  <c r="N29" i="6"/>
  <c r="N27" i="6"/>
  <c r="N30" i="6"/>
  <c r="N28" i="6"/>
  <c r="O27" i="6"/>
  <c r="O30" i="6"/>
  <c r="O25" i="6"/>
  <c r="O28" i="6"/>
  <c r="O26" i="6"/>
  <c r="O29" i="6"/>
  <c r="P30" i="6"/>
  <c r="P25" i="6"/>
  <c r="P29" i="6"/>
  <c r="P28" i="6"/>
  <c r="P27" i="6"/>
  <c r="P26" i="6"/>
  <c r="Q26" i="6"/>
  <c r="Q29" i="6"/>
  <c r="Q30" i="6"/>
  <c r="Q25" i="6"/>
  <c r="Q28" i="6"/>
  <c r="Q27" i="6"/>
  <c r="R25" i="6"/>
  <c r="R28" i="6"/>
  <c r="R30" i="6"/>
  <c r="R26" i="6"/>
  <c r="R29" i="6"/>
  <c r="R27" i="6"/>
  <c r="S25" i="6"/>
  <c r="S28" i="6"/>
  <c r="S26" i="6"/>
  <c r="S27" i="6"/>
  <c r="S30" i="6"/>
  <c r="S29" i="6"/>
  <c r="T27" i="6"/>
  <c r="T25" i="6"/>
  <c r="T29" i="6"/>
  <c r="T30" i="6"/>
  <c r="T26" i="6"/>
  <c r="T28" i="6"/>
  <c r="U27" i="6"/>
  <c r="U29" i="6"/>
  <c r="U30" i="6"/>
  <c r="U26" i="6"/>
  <c r="U25" i="6"/>
  <c r="U28" i="6"/>
  <c r="V29" i="6"/>
  <c r="V26" i="6"/>
  <c r="V27" i="6"/>
  <c r="V30" i="6"/>
  <c r="V28" i="6"/>
  <c r="V25" i="6"/>
  <c r="W29" i="6"/>
  <c r="W30" i="6"/>
  <c r="W25" i="6"/>
  <c r="W28" i="6"/>
  <c r="W26" i="6"/>
  <c r="W27" i="6"/>
  <c r="X30" i="6"/>
  <c r="X25" i="6"/>
  <c r="X27" i="6"/>
  <c r="X26" i="6"/>
  <c r="X28" i="6"/>
  <c r="X29" i="6"/>
  <c r="Y26" i="6"/>
  <c r="H132" i="2"/>
  <c r="M16" i="9"/>
  <c r="AD16" i="9"/>
  <c r="AE16" i="9"/>
  <c r="AN16" i="9"/>
  <c r="AO16" i="9"/>
  <c r="AP16" i="9"/>
  <c r="AY16" i="9"/>
  <c r="BH16" i="9"/>
  <c r="U16" i="9"/>
  <c r="BC16" i="9"/>
  <c r="K16" i="9"/>
  <c r="Y16" i="9"/>
  <c r="AI16" i="9"/>
  <c r="W16" i="9"/>
  <c r="AG16" i="9"/>
  <c r="AQ16" i="9"/>
  <c r="AL16" i="9"/>
  <c r="AM16" i="9"/>
  <c r="AV16" i="9"/>
  <c r="AW16" i="9"/>
  <c r="AX16" i="9"/>
  <c r="BG16" i="9"/>
  <c r="AC16" i="9"/>
  <c r="T16" i="9"/>
  <c r="N16" i="9"/>
  <c r="X16" i="9"/>
  <c r="Z16" i="9"/>
  <c r="AR16" i="9"/>
  <c r="AF16" i="9"/>
  <c r="AH16" i="9"/>
  <c r="AZ16" i="9"/>
  <c r="BK16" i="9"/>
  <c r="AT16" i="9"/>
  <c r="AU16" i="9"/>
  <c r="BD16" i="9"/>
  <c r="BE16" i="9"/>
  <c r="BF16" i="9"/>
  <c r="L16" i="9"/>
  <c r="AK16" i="9"/>
  <c r="V16" i="9"/>
  <c r="BB16" i="9"/>
  <c r="BJ16" i="9"/>
  <c r="AS16" i="9"/>
  <c r="I16" i="9"/>
  <c r="J16" i="9"/>
  <c r="S16" i="9"/>
  <c r="AB16" i="9"/>
  <c r="BI16" i="9"/>
  <c r="BA16" i="9"/>
  <c r="P16" i="9"/>
  <c r="Q16" i="9"/>
  <c r="R16" i="9"/>
  <c r="AA16" i="9"/>
  <c r="AJ16" i="9"/>
  <c r="O16" i="9"/>
  <c r="I124" i="2"/>
  <c r="AA8" i="6"/>
  <c r="Z22" i="6"/>
  <c r="Z23" i="6" s="1"/>
  <c r="Z28" i="6" s="1"/>
  <c r="Z10" i="6"/>
  <c r="Z11" i="6" s="1"/>
  <c r="H44" i="2"/>
  <c r="G35" i="5"/>
  <c r="F313" i="2" s="1"/>
  <c r="O69" i="2"/>
  <c r="Y28" i="6"/>
  <c r="H42" i="2"/>
  <c r="H43" i="2"/>
  <c r="O75" i="2"/>
  <c r="F80" i="2"/>
  <c r="F82" i="2"/>
  <c r="Y27" i="6"/>
  <c r="G30" i="5"/>
  <c r="F50" i="1"/>
  <c r="Z42" i="1" s="1"/>
  <c r="O356" i="2"/>
  <c r="P154" i="2"/>
  <c r="P355" i="2"/>
  <c r="P356" i="2" s="1"/>
  <c r="Q357" i="2" s="1"/>
  <c r="AB365" i="2"/>
  <c r="AC363" i="2"/>
  <c r="AD360" i="2" s="1"/>
  <c r="P297" i="2"/>
  <c r="P147" i="2"/>
  <c r="G144" i="2"/>
  <c r="G73" i="1" s="1"/>
  <c r="P114" i="2"/>
  <c r="P115" i="2"/>
  <c r="O113" i="2"/>
  <c r="O22" i="2"/>
  <c r="O93" i="2"/>
  <c r="P111" i="2"/>
  <c r="P135" i="2"/>
  <c r="P136" i="2"/>
  <c r="P137" i="2"/>
  <c r="P112" i="2"/>
  <c r="P138" i="2"/>
  <c r="P134" i="2"/>
  <c r="P133" i="2"/>
  <c r="L26" i="5"/>
  <c r="O23" i="2"/>
  <c r="G28" i="5"/>
  <c r="F306" i="2" s="1"/>
  <c r="L27" i="5"/>
  <c r="P102" i="2"/>
  <c r="P99" i="2"/>
  <c r="P69" i="2"/>
  <c r="P75" i="2"/>
  <c r="O61" i="2"/>
  <c r="P63" i="2"/>
  <c r="P64" i="2"/>
  <c r="P62" i="2"/>
  <c r="F34" i="2"/>
  <c r="F36" i="2"/>
  <c r="F35" i="2"/>
  <c r="J241" i="2"/>
  <c r="P60" i="2"/>
  <c r="P58" i="2"/>
  <c r="P59" i="2"/>
  <c r="P29" i="2"/>
  <c r="J220" i="2"/>
  <c r="J221" i="2" s="1"/>
  <c r="J222" i="2" s="1"/>
  <c r="F37" i="2" s="1"/>
  <c r="O57" i="2"/>
  <c r="J262" i="2"/>
  <c r="J263" i="2" s="1"/>
  <c r="J264" i="2" s="1"/>
  <c r="F45" i="2" s="1"/>
  <c r="O9" i="2"/>
  <c r="O10" i="2" s="1"/>
  <c r="P14" i="2"/>
  <c r="P8" i="2"/>
  <c r="P9" i="2" s="1"/>
  <c r="P10" i="2" s="1"/>
  <c r="Q11" i="2"/>
  <c r="F20" i="2"/>
  <c r="P17" i="2"/>
  <c r="P22" i="2"/>
  <c r="P23" i="2"/>
  <c r="P21" i="2"/>
  <c r="P16" i="2"/>
  <c r="AC364" i="2" l="1"/>
  <c r="O13" i="2"/>
  <c r="AB42" i="1"/>
  <c r="G141" i="2"/>
  <c r="S39" i="1"/>
  <c r="T43" i="1" s="1"/>
  <c r="T37" i="1"/>
  <c r="T38" i="1"/>
  <c r="L33" i="5"/>
  <c r="P15" i="2"/>
  <c r="P13" i="2" s="1"/>
  <c r="F65" i="2"/>
  <c r="F66" i="2" s="1"/>
  <c r="O66" i="2" s="1"/>
  <c r="L21" i="5"/>
  <c r="O31" i="2"/>
  <c r="O28" i="2" s="1"/>
  <c r="P30" i="2"/>
  <c r="P28" i="2" s="1"/>
  <c r="Z25" i="6"/>
  <c r="O132" i="2"/>
  <c r="G48" i="5"/>
  <c r="F326" i="2" s="1"/>
  <c r="Z30" i="6"/>
  <c r="Z31" i="6"/>
  <c r="AE289" i="2"/>
  <c r="O80" i="2"/>
  <c r="Z27" i="6"/>
  <c r="P289" i="2"/>
  <c r="P80" i="2"/>
  <c r="X289" i="2"/>
  <c r="AA289" i="2"/>
  <c r="Y289" i="2"/>
  <c r="S289" i="2"/>
  <c r="K130" i="2"/>
  <c r="K128" i="2"/>
  <c r="AC289" i="2"/>
  <c r="U289" i="2"/>
  <c r="Q289" i="2"/>
  <c r="F322" i="2"/>
  <c r="L44" i="5"/>
  <c r="G38" i="5"/>
  <c r="F316" i="2" s="1"/>
  <c r="O34" i="2"/>
  <c r="F138" i="2"/>
  <c r="F135" i="2"/>
  <c r="F136" i="2"/>
  <c r="F133" i="2"/>
  <c r="F134" i="2"/>
  <c r="F137" i="2"/>
  <c r="O36" i="2"/>
  <c r="E385" i="2"/>
  <c r="Q384" i="2" s="1"/>
  <c r="E371" i="2"/>
  <c r="F42" i="7"/>
  <c r="G49" i="5"/>
  <c r="F327" i="2" s="1"/>
  <c r="H46" i="2"/>
  <c r="H48" i="2"/>
  <c r="AD289" i="2"/>
  <c r="AB289" i="2"/>
  <c r="Z289" i="2"/>
  <c r="W289" i="2"/>
  <c r="V289" i="2"/>
  <c r="O289" i="2"/>
  <c r="I31" i="6"/>
  <c r="I32" i="6" s="1"/>
  <c r="J31" i="6"/>
  <c r="J32" i="6" s="1"/>
  <c r="K31" i="6"/>
  <c r="K32" i="6" s="1"/>
  <c r="L31" i="6"/>
  <c r="L32" i="6" s="1"/>
  <c r="M31" i="6"/>
  <c r="M32" i="6" s="1"/>
  <c r="N31" i="6"/>
  <c r="N32" i="6" s="1"/>
  <c r="O31" i="6"/>
  <c r="O32" i="6" s="1"/>
  <c r="P31" i="6"/>
  <c r="P32" i="6" s="1"/>
  <c r="Q31" i="6"/>
  <c r="Q32" i="6" s="1"/>
  <c r="R31" i="6"/>
  <c r="R32" i="6" s="1"/>
  <c r="S31" i="6"/>
  <c r="S32" i="6" s="1"/>
  <c r="T31" i="6"/>
  <c r="T32" i="6" s="1"/>
  <c r="U31" i="6"/>
  <c r="U32" i="6" s="1"/>
  <c r="V31" i="6"/>
  <c r="V32" i="6" s="1"/>
  <c r="W31" i="6"/>
  <c r="W32" i="6" s="1"/>
  <c r="X31" i="6"/>
  <c r="X32" i="6" s="1"/>
  <c r="Y31" i="6"/>
  <c r="Y32" i="6" s="1"/>
  <c r="G25" i="5"/>
  <c r="F303" i="2" s="1"/>
  <c r="F48" i="1"/>
  <c r="P82" i="2"/>
  <c r="O82" i="2"/>
  <c r="F308" i="2"/>
  <c r="L30" i="5"/>
  <c r="Z26" i="6"/>
  <c r="Z29" i="6"/>
  <c r="G16" i="9"/>
  <c r="Z24" i="6"/>
  <c r="G36" i="5"/>
  <c r="F314" i="2" s="1"/>
  <c r="AB8" i="6"/>
  <c r="AA22" i="6"/>
  <c r="AG119" i="2" s="1"/>
  <c r="AA10" i="6"/>
  <c r="AA11" i="6" s="1"/>
  <c r="F141" i="2"/>
  <c r="G70" i="1"/>
  <c r="F26" i="2"/>
  <c r="P26" i="2" s="1"/>
  <c r="J22" i="7" s="1"/>
  <c r="H51" i="1"/>
  <c r="H47" i="2"/>
  <c r="O35" i="2"/>
  <c r="L35" i="5"/>
  <c r="T289" i="2"/>
  <c r="R289" i="2"/>
  <c r="AD119" i="2"/>
  <c r="T119" i="2"/>
  <c r="AF119" i="2"/>
  <c r="Z119" i="2"/>
  <c r="AE119" i="2"/>
  <c r="O119" i="2"/>
  <c r="W119" i="2"/>
  <c r="R119" i="2"/>
  <c r="V119" i="2"/>
  <c r="X119" i="2"/>
  <c r="Q119" i="2"/>
  <c r="P119" i="2"/>
  <c r="AC119" i="2"/>
  <c r="Y119" i="2"/>
  <c r="AA119" i="2"/>
  <c r="S119" i="2"/>
  <c r="U119" i="2"/>
  <c r="AB119" i="2"/>
  <c r="Q14" i="5"/>
  <c r="Q15" i="5" s="1"/>
  <c r="E15" i="5"/>
  <c r="F14" i="5" s="1"/>
  <c r="G14" i="5" s="1"/>
  <c r="I14" i="5" s="1"/>
  <c r="N14" i="5"/>
  <c r="N15" i="5" s="1"/>
  <c r="O15" i="5" s="1"/>
  <c r="Q370" i="2"/>
  <c r="Q154" i="2"/>
  <c r="Q355" i="2"/>
  <c r="Q356" i="2" s="1"/>
  <c r="R357" i="2" s="1"/>
  <c r="P357" i="2"/>
  <c r="P358" i="2" s="1"/>
  <c r="O358" i="2"/>
  <c r="O366" i="2" s="1"/>
  <c r="O148" i="2" s="1"/>
  <c r="AC365" i="2"/>
  <c r="AD363" i="2"/>
  <c r="AE360" i="2" s="1"/>
  <c r="Q297" i="2"/>
  <c r="Q147" i="2"/>
  <c r="F144" i="2"/>
  <c r="F73" i="1" s="1"/>
  <c r="F145" i="2"/>
  <c r="E33" i="7"/>
  <c r="G151" i="2"/>
  <c r="O20" i="2"/>
  <c r="Q115" i="2"/>
  <c r="Q114" i="2"/>
  <c r="P113" i="2"/>
  <c r="P132" i="2"/>
  <c r="Q111" i="2"/>
  <c r="Q135" i="2"/>
  <c r="Q136" i="2"/>
  <c r="Q137" i="2"/>
  <c r="Q112" i="2"/>
  <c r="Q138" i="2"/>
  <c r="Q133" i="2"/>
  <c r="Q134" i="2"/>
  <c r="L28" i="5"/>
  <c r="Q102" i="2"/>
  <c r="P103" i="2"/>
  <c r="Q82" i="2"/>
  <c r="Q99" i="2"/>
  <c r="P100" i="2"/>
  <c r="P61" i="2"/>
  <c r="Q75" i="2"/>
  <c r="Q80" i="2"/>
  <c r="Q69" i="2"/>
  <c r="P36" i="2"/>
  <c r="Q64" i="2"/>
  <c r="Q63" i="2"/>
  <c r="Q62" i="2"/>
  <c r="P34" i="2"/>
  <c r="P57" i="2"/>
  <c r="P35" i="2"/>
  <c r="F40" i="2"/>
  <c r="F38" i="2"/>
  <c r="F39" i="2"/>
  <c r="F48" i="2"/>
  <c r="F47" i="2"/>
  <c r="F46" i="2"/>
  <c r="J242" i="2"/>
  <c r="J243" i="2" s="1"/>
  <c r="F41" i="2" s="1"/>
  <c r="Q58" i="2"/>
  <c r="Q59" i="2"/>
  <c r="Q60" i="2"/>
  <c r="Q36" i="2"/>
  <c r="Q34" i="2"/>
  <c r="Q35" i="2"/>
  <c r="Q30" i="2"/>
  <c r="Q31" i="2"/>
  <c r="Q29" i="2"/>
  <c r="Q16" i="2"/>
  <c r="P25" i="2"/>
  <c r="J21" i="7" s="1"/>
  <c r="Q17" i="2"/>
  <c r="Q8" i="2"/>
  <c r="Q9" i="2" s="1"/>
  <c r="Q10" i="2" s="1"/>
  <c r="O25" i="2"/>
  <c r="I21" i="7" s="1"/>
  <c r="P20" i="2"/>
  <c r="Q15" i="2"/>
  <c r="Q23" i="2"/>
  <c r="Q21" i="2"/>
  <c r="Q22" i="2"/>
  <c r="R11" i="2"/>
  <c r="Q14" i="2"/>
  <c r="AD364" i="2" l="1"/>
  <c r="L25" i="5"/>
  <c r="F68" i="2"/>
  <c r="Q68" i="2" s="1"/>
  <c r="P66" i="2"/>
  <c r="Q66" i="2"/>
  <c r="F58" i="1"/>
  <c r="F67" i="2"/>
  <c r="O67" i="2" s="1"/>
  <c r="G43" i="5"/>
  <c r="F321" i="2" s="1"/>
  <c r="L48" i="5"/>
  <c r="L49" i="5"/>
  <c r="L36" i="5"/>
  <c r="O14" i="5"/>
  <c r="T22" i="1" s="1"/>
  <c r="V22" i="1" s="1"/>
  <c r="AF289" i="2"/>
  <c r="O26" i="2"/>
  <c r="I22" i="7" s="1"/>
  <c r="O33" i="2"/>
  <c r="Z32" i="6"/>
  <c r="F70" i="1"/>
  <c r="P141" i="2"/>
  <c r="G76" i="5"/>
  <c r="O141" i="2"/>
  <c r="G71" i="5"/>
  <c r="H51" i="2"/>
  <c r="R51" i="2" s="1"/>
  <c r="Q39" i="2"/>
  <c r="Q141" i="2"/>
  <c r="R15" i="5"/>
  <c r="O68" i="2"/>
  <c r="P68" i="2"/>
  <c r="G73" i="5"/>
  <c r="Q46" i="2"/>
  <c r="L38" i="5"/>
  <c r="Q38" i="2"/>
  <c r="AA23" i="6"/>
  <c r="AA24" i="6"/>
  <c r="O370" i="2"/>
  <c r="O371" i="2" s="1"/>
  <c r="P372" i="2" s="1"/>
  <c r="P370" i="2"/>
  <c r="F151" i="2"/>
  <c r="G86" i="5" s="1"/>
  <c r="G80" i="1"/>
  <c r="G80" i="5"/>
  <c r="F74" i="1"/>
  <c r="H50" i="2"/>
  <c r="G70" i="5"/>
  <c r="Q48" i="2"/>
  <c r="F15" i="5"/>
  <c r="F11" i="5"/>
  <c r="G11" i="5" s="1"/>
  <c r="I11" i="5" s="1"/>
  <c r="F12" i="5"/>
  <c r="G12" i="5" s="1"/>
  <c r="I12" i="5" s="1"/>
  <c r="O12" i="5" s="1"/>
  <c r="F13" i="5"/>
  <c r="G13" i="5" s="1"/>
  <c r="I13" i="5" s="1"/>
  <c r="O13" i="5" s="1"/>
  <c r="AC8" i="6"/>
  <c r="AB22" i="6"/>
  <c r="AB10" i="6"/>
  <c r="AB11" i="6" s="1"/>
  <c r="Q40" i="2"/>
  <c r="G31" i="5"/>
  <c r="F51" i="1"/>
  <c r="F24" i="2"/>
  <c r="O384" i="2"/>
  <c r="O385" i="2" s="1"/>
  <c r="P386" i="2" s="1"/>
  <c r="P384" i="2"/>
  <c r="G72" i="5"/>
  <c r="F132" i="2"/>
  <c r="G68" i="5"/>
  <c r="H52" i="2"/>
  <c r="R52" i="2" s="1"/>
  <c r="G69" i="5"/>
  <c r="Q144" i="2"/>
  <c r="G79" i="5"/>
  <c r="P366" i="2"/>
  <c r="P148" i="2" s="1"/>
  <c r="R384" i="2"/>
  <c r="R370" i="2"/>
  <c r="R154" i="2"/>
  <c r="R355" i="2"/>
  <c r="R356" i="2" s="1"/>
  <c r="S357" i="2" s="1"/>
  <c r="Q358" i="2"/>
  <c r="AD365" i="2"/>
  <c r="AE363" i="2"/>
  <c r="AF360" i="2" s="1"/>
  <c r="O145" i="2"/>
  <c r="P145" i="2"/>
  <c r="R297" i="2"/>
  <c r="R141" i="2"/>
  <c r="R144" i="2"/>
  <c r="R147" i="2"/>
  <c r="R145" i="2"/>
  <c r="O144" i="2"/>
  <c r="P144" i="2"/>
  <c r="Q145" i="2"/>
  <c r="E39" i="7"/>
  <c r="BH33" i="7"/>
  <c r="AZ33" i="7"/>
  <c r="AR33" i="7"/>
  <c r="AJ33" i="7"/>
  <c r="AB33" i="7"/>
  <c r="T33" i="7"/>
  <c r="L33" i="7"/>
  <c r="BF33" i="7"/>
  <c r="AX33" i="7"/>
  <c r="AP33" i="7"/>
  <c r="AH33" i="7"/>
  <c r="Z33" i="7"/>
  <c r="R33" i="7"/>
  <c r="J33" i="7"/>
  <c r="E36" i="7"/>
  <c r="BE33" i="7"/>
  <c r="AW33" i="7"/>
  <c r="AO33" i="7"/>
  <c r="AG33" i="7"/>
  <c r="Y33" i="7"/>
  <c r="Q33" i="7"/>
  <c r="I33" i="7"/>
  <c r="BK33" i="7"/>
  <c r="AY33" i="7"/>
  <c r="AL33" i="7"/>
  <c r="X33" i="7"/>
  <c r="M33" i="7"/>
  <c r="BI33" i="7"/>
  <c r="AU33" i="7"/>
  <c r="AI33" i="7"/>
  <c r="V33" i="7"/>
  <c r="BG33" i="7"/>
  <c r="AT33" i="7"/>
  <c r="AF33" i="7"/>
  <c r="U33" i="7"/>
  <c r="AS33" i="7"/>
  <c r="AA33" i="7"/>
  <c r="BJ33" i="7"/>
  <c r="AN33" i="7"/>
  <c r="S33" i="7"/>
  <c r="BD33" i="7"/>
  <c r="AM33" i="7"/>
  <c r="P33" i="7"/>
  <c r="AE33" i="7"/>
  <c r="BA33" i="7"/>
  <c r="O33" i="7"/>
  <c r="W33" i="7"/>
  <c r="BB33" i="7"/>
  <c r="K33" i="7"/>
  <c r="AQ33" i="7"/>
  <c r="AD33" i="7"/>
  <c r="AV33" i="7"/>
  <c r="BC33" i="7"/>
  <c r="AK33" i="7"/>
  <c r="AC33" i="7"/>
  <c r="N33" i="7"/>
  <c r="R115" i="2"/>
  <c r="R114" i="2"/>
  <c r="Q113" i="2"/>
  <c r="Q103" i="2"/>
  <c r="R136" i="2"/>
  <c r="R137" i="2"/>
  <c r="R112" i="2"/>
  <c r="R138" i="2"/>
  <c r="R133" i="2"/>
  <c r="R134" i="2"/>
  <c r="R111" i="2"/>
  <c r="R135" i="2"/>
  <c r="Q132" i="2"/>
  <c r="F32" i="2"/>
  <c r="F54" i="1" s="1"/>
  <c r="G37" i="5"/>
  <c r="F315" i="2" s="1"/>
  <c r="R102" i="2"/>
  <c r="P93" i="2"/>
  <c r="Q100" i="2"/>
  <c r="R82" i="2"/>
  <c r="R99" i="2"/>
  <c r="P33" i="2"/>
  <c r="Q61" i="2"/>
  <c r="R75" i="2"/>
  <c r="R80" i="2"/>
  <c r="R69" i="2"/>
  <c r="R68" i="2"/>
  <c r="R63" i="2"/>
  <c r="R66" i="2"/>
  <c r="R62" i="2"/>
  <c r="R64" i="2"/>
  <c r="Q33" i="2"/>
  <c r="O47" i="2"/>
  <c r="P47" i="2"/>
  <c r="O48" i="2"/>
  <c r="P48" i="2"/>
  <c r="Q28" i="2"/>
  <c r="Q57" i="2"/>
  <c r="O39" i="2"/>
  <c r="P39" i="2"/>
  <c r="O38" i="2"/>
  <c r="P38" i="2"/>
  <c r="F44" i="2"/>
  <c r="F43" i="2"/>
  <c r="F42" i="2"/>
  <c r="R47" i="2"/>
  <c r="R58" i="2"/>
  <c r="R48" i="2"/>
  <c r="R59" i="2"/>
  <c r="R60" i="2"/>
  <c r="R46" i="2"/>
  <c r="R38" i="2"/>
  <c r="R39" i="2"/>
  <c r="R34" i="2"/>
  <c r="R31" i="2"/>
  <c r="R40" i="2"/>
  <c r="R36" i="2"/>
  <c r="R35" i="2"/>
  <c r="R30" i="2"/>
  <c r="R29" i="2"/>
  <c r="Q47" i="2"/>
  <c r="O40" i="2"/>
  <c r="P40" i="2"/>
  <c r="O46" i="2"/>
  <c r="P46" i="2"/>
  <c r="Q26" i="2"/>
  <c r="K22" i="7" s="1"/>
  <c r="Q25" i="2"/>
  <c r="K21" i="7" s="1"/>
  <c r="Q13" i="2"/>
  <c r="R14" i="2"/>
  <c r="R8" i="2"/>
  <c r="R9" i="2" s="1"/>
  <c r="R10" i="2" s="1"/>
  <c r="O24" i="2"/>
  <c r="Q20" i="2"/>
  <c r="R16" i="2"/>
  <c r="S11" i="2"/>
  <c r="P24" i="2"/>
  <c r="R23" i="2"/>
  <c r="R21" i="2"/>
  <c r="R22" i="2"/>
  <c r="R15" i="2"/>
  <c r="R17" i="2"/>
  <c r="AE364" i="2" l="1"/>
  <c r="F49" i="1"/>
  <c r="Z43" i="1"/>
  <c r="R67" i="2"/>
  <c r="P67" i="2"/>
  <c r="P65" i="2" s="1"/>
  <c r="O65" i="2"/>
  <c r="Q67" i="2"/>
  <c r="Q65" i="2" s="1"/>
  <c r="L43" i="5"/>
  <c r="R151" i="2"/>
  <c r="P151" i="2"/>
  <c r="O151" i="2"/>
  <c r="I125" i="2"/>
  <c r="I126" i="2" s="1"/>
  <c r="P385" i="2"/>
  <c r="Q386" i="2" s="1"/>
  <c r="Q45" i="2"/>
  <c r="R385" i="2"/>
  <c r="S386" i="2" s="1"/>
  <c r="O387" i="2"/>
  <c r="Q37" i="2"/>
  <c r="Q366" i="2"/>
  <c r="Q148" i="2" s="1"/>
  <c r="O50" i="2"/>
  <c r="P50" i="2"/>
  <c r="Q50" i="2"/>
  <c r="Q385" i="2"/>
  <c r="R386" i="2" s="1"/>
  <c r="O373" i="2"/>
  <c r="AB23" i="6"/>
  <c r="AB24" i="6"/>
  <c r="AH119" i="2"/>
  <c r="F349" i="2"/>
  <c r="L71" i="5"/>
  <c r="K71" i="5"/>
  <c r="AA31" i="6"/>
  <c r="AA26" i="6"/>
  <c r="AA25" i="6"/>
  <c r="AA27" i="6"/>
  <c r="AA28" i="6"/>
  <c r="AA29" i="6"/>
  <c r="AA30" i="6"/>
  <c r="K45" i="5"/>
  <c r="M45" i="5" s="1"/>
  <c r="G323" i="2" s="1"/>
  <c r="R323" i="2" s="1"/>
  <c r="K61" i="5"/>
  <c r="M61" i="5" s="1"/>
  <c r="G339" i="2" s="1"/>
  <c r="R339" i="2" s="1"/>
  <c r="K54" i="5"/>
  <c r="M54" i="5" s="1"/>
  <c r="G332" i="2" s="1"/>
  <c r="K22" i="5"/>
  <c r="M22" i="5" s="1"/>
  <c r="G300" i="2" s="1"/>
  <c r="R300" i="2" s="1"/>
  <c r="K53" i="5"/>
  <c r="M53" i="5" s="1"/>
  <c r="G331" i="2" s="1"/>
  <c r="K39" i="5"/>
  <c r="M39" i="5" s="1"/>
  <c r="G317" i="2" s="1"/>
  <c r="K42" i="5"/>
  <c r="M42" i="5" s="1"/>
  <c r="G320" i="2" s="1"/>
  <c r="Q320" i="2" s="1"/>
  <c r="K56" i="5"/>
  <c r="M56" i="5" s="1"/>
  <c r="G334" i="2" s="1"/>
  <c r="K41" i="5"/>
  <c r="M41" i="5" s="1"/>
  <c r="G319" i="2" s="1"/>
  <c r="Q319" i="2" s="1"/>
  <c r="K26" i="5"/>
  <c r="M26" i="5" s="1"/>
  <c r="G304" i="2" s="1"/>
  <c r="K35" i="5"/>
  <c r="M35" i="5" s="1"/>
  <c r="G313" i="2" s="1"/>
  <c r="O313" i="2" s="1"/>
  <c r="K27" i="5"/>
  <c r="M27" i="5" s="1"/>
  <c r="G305" i="2" s="1"/>
  <c r="K21" i="5"/>
  <c r="M21" i="5" s="1"/>
  <c r="G299" i="2" s="1"/>
  <c r="Q299" i="2" s="1"/>
  <c r="K33" i="5"/>
  <c r="M33" i="5" s="1"/>
  <c r="G311" i="2" s="1"/>
  <c r="Q311" i="2" s="1"/>
  <c r="K28" i="5"/>
  <c r="M28" i="5" s="1"/>
  <c r="G306" i="2" s="1"/>
  <c r="P306" i="2" s="1"/>
  <c r="K48" i="5"/>
  <c r="M48" i="5" s="1"/>
  <c r="G326" i="2" s="1"/>
  <c r="O326" i="2" s="1"/>
  <c r="K25" i="5"/>
  <c r="M25" i="5" s="1"/>
  <c r="G303" i="2" s="1"/>
  <c r="Q303" i="2" s="1"/>
  <c r="K30" i="5"/>
  <c r="M30" i="5" s="1"/>
  <c r="G308" i="2" s="1"/>
  <c r="Q308" i="2" s="1"/>
  <c r="K49" i="5"/>
  <c r="M49" i="5" s="1"/>
  <c r="G327" i="2" s="1"/>
  <c r="P327" i="2" s="1"/>
  <c r="K44" i="5"/>
  <c r="M44" i="5" s="1"/>
  <c r="G322" i="2" s="1"/>
  <c r="K36" i="5"/>
  <c r="M36" i="5" s="1"/>
  <c r="G314" i="2" s="1"/>
  <c r="K43" i="5"/>
  <c r="M43" i="5" s="1"/>
  <c r="G321" i="2" s="1"/>
  <c r="F347" i="2"/>
  <c r="K69" i="5"/>
  <c r="L69" i="5"/>
  <c r="AE365" i="2"/>
  <c r="Q371" i="2"/>
  <c r="R372" i="2" s="1"/>
  <c r="O51" i="2"/>
  <c r="P51" i="2"/>
  <c r="Q51" i="2"/>
  <c r="O52" i="2"/>
  <c r="P52" i="2"/>
  <c r="Q52" i="2"/>
  <c r="R50" i="2"/>
  <c r="R49" i="2" s="1"/>
  <c r="R371" i="2"/>
  <c r="S372" i="2" s="1"/>
  <c r="F346" i="2"/>
  <c r="K68" i="5"/>
  <c r="L68" i="5"/>
  <c r="G29" i="5"/>
  <c r="AD8" i="6"/>
  <c r="AC10" i="6"/>
  <c r="AC11" i="6" s="1"/>
  <c r="AC22" i="6"/>
  <c r="F348" i="2"/>
  <c r="L70" i="5"/>
  <c r="K70" i="5"/>
  <c r="Q151" i="2"/>
  <c r="F80" i="1"/>
  <c r="F309" i="2"/>
  <c r="L31" i="5"/>
  <c r="K31" i="5"/>
  <c r="F350" i="2"/>
  <c r="L72" i="5"/>
  <c r="K72" i="5"/>
  <c r="F67" i="1"/>
  <c r="G67" i="5"/>
  <c r="P371" i="2"/>
  <c r="Q372" i="2" s="1"/>
  <c r="F351" i="2"/>
  <c r="K73" i="5"/>
  <c r="L73" i="5"/>
  <c r="K38" i="5"/>
  <c r="M38" i="5" s="1"/>
  <c r="G316" i="2" s="1"/>
  <c r="R113" i="2"/>
  <c r="S151" i="2"/>
  <c r="S384" i="2"/>
  <c r="S370" i="2"/>
  <c r="S154" i="2"/>
  <c r="S355" i="2"/>
  <c r="S356" i="2" s="1"/>
  <c r="T357" i="2" s="1"/>
  <c r="R358" i="2"/>
  <c r="AF363" i="2"/>
  <c r="AG360" i="2" s="1"/>
  <c r="R103" i="2"/>
  <c r="S297" i="2"/>
  <c r="S147" i="2"/>
  <c r="S144" i="2"/>
  <c r="S145" i="2"/>
  <c r="S141" i="2"/>
  <c r="BD36" i="7"/>
  <c r="BD12" i="8" s="1"/>
  <c r="AV36" i="7"/>
  <c r="AV12" i="8" s="1"/>
  <c r="AN36" i="7"/>
  <c r="AN12" i="8" s="1"/>
  <c r="AF36" i="7"/>
  <c r="AF12" i="8" s="1"/>
  <c r="X36" i="7"/>
  <c r="X12" i="8" s="1"/>
  <c r="P36" i="7"/>
  <c r="P12" i="8" s="1"/>
  <c r="BJ36" i="7"/>
  <c r="BJ12" i="8" s="1"/>
  <c r="BB36" i="7"/>
  <c r="BB12" i="8" s="1"/>
  <c r="AT36" i="7"/>
  <c r="AT12" i="8" s="1"/>
  <c r="AL36" i="7"/>
  <c r="AL12" i="8" s="1"/>
  <c r="AD36" i="7"/>
  <c r="AD12" i="8" s="1"/>
  <c r="V36" i="7"/>
  <c r="V12" i="8" s="1"/>
  <c r="N36" i="7"/>
  <c r="N12" i="8" s="1"/>
  <c r="BI36" i="7"/>
  <c r="BI12" i="8" s="1"/>
  <c r="BA36" i="7"/>
  <c r="BA12" i="8" s="1"/>
  <c r="AS36" i="7"/>
  <c r="AS12" i="8" s="1"/>
  <c r="AK36" i="7"/>
  <c r="AK12" i="8" s="1"/>
  <c r="AC36" i="7"/>
  <c r="AC12" i="8" s="1"/>
  <c r="U36" i="7"/>
  <c r="U12" i="8" s="1"/>
  <c r="M36" i="7"/>
  <c r="M12" i="8" s="1"/>
  <c r="AY36" i="7"/>
  <c r="AY12" i="8" s="1"/>
  <c r="AM36" i="7"/>
  <c r="AM12" i="8" s="1"/>
  <c r="Z36" i="7"/>
  <c r="Z12" i="8" s="1"/>
  <c r="L36" i="7"/>
  <c r="L12" i="8" s="1"/>
  <c r="BH36" i="7"/>
  <c r="BH12" i="8" s="1"/>
  <c r="AW36" i="7"/>
  <c r="AW12" i="8" s="1"/>
  <c r="AI36" i="7"/>
  <c r="AI12" i="8" s="1"/>
  <c r="W36" i="7"/>
  <c r="W12" i="8" s="1"/>
  <c r="J36" i="7"/>
  <c r="J12" i="8" s="1"/>
  <c r="BG36" i="7"/>
  <c r="BG12" i="8" s="1"/>
  <c r="AU36" i="7"/>
  <c r="AU12" i="8" s="1"/>
  <c r="AH36" i="7"/>
  <c r="AH12" i="8" s="1"/>
  <c r="T36" i="7"/>
  <c r="T12" i="8" s="1"/>
  <c r="I36" i="7"/>
  <c r="I12" i="8" s="1"/>
  <c r="AQ36" i="7"/>
  <c r="AQ12" i="8" s="1"/>
  <c r="Y36" i="7"/>
  <c r="Y12" i="8" s="1"/>
  <c r="BF36" i="7"/>
  <c r="BF12" i="8" s="1"/>
  <c r="AO36" i="7"/>
  <c r="AO12" i="8" s="1"/>
  <c r="R36" i="7"/>
  <c r="R12" i="8" s="1"/>
  <c r="BE36" i="7"/>
  <c r="BE12" i="8" s="1"/>
  <c r="AJ36" i="7"/>
  <c r="AJ12" i="8" s="1"/>
  <c r="Q36" i="7"/>
  <c r="Q12" i="8" s="1"/>
  <c r="AE36" i="7"/>
  <c r="AE12" i="8" s="1"/>
  <c r="AX36" i="7"/>
  <c r="AX12" i="8" s="1"/>
  <c r="O36" i="7"/>
  <c r="O12" i="8" s="1"/>
  <c r="AG36" i="7"/>
  <c r="AG12" i="8" s="1"/>
  <c r="AA36" i="7"/>
  <c r="AA12" i="8" s="1"/>
  <c r="BC36" i="7"/>
  <c r="BC12" i="8" s="1"/>
  <c r="K36" i="7"/>
  <c r="K12" i="8" s="1"/>
  <c r="AR36" i="7"/>
  <c r="AR12" i="8" s="1"/>
  <c r="S36" i="7"/>
  <c r="S12" i="8" s="1"/>
  <c r="BK36" i="7"/>
  <c r="BK12" i="8" s="1"/>
  <c r="AZ36" i="7"/>
  <c r="AZ12" i="8" s="1"/>
  <c r="AP36" i="7"/>
  <c r="AP12" i="8" s="1"/>
  <c r="AB36" i="7"/>
  <c r="AB12" i="8" s="1"/>
  <c r="G33" i="7"/>
  <c r="T39" i="7"/>
  <c r="Z376" i="2" s="1"/>
  <c r="S39" i="7"/>
  <c r="Y376" i="2" s="1"/>
  <c r="J39" i="7"/>
  <c r="P376" i="2" s="1"/>
  <c r="BD39" i="7"/>
  <c r="BJ376" i="2" s="1"/>
  <c r="AC39" i="7"/>
  <c r="AI376" i="2" s="1"/>
  <c r="O39" i="7"/>
  <c r="U376" i="2" s="1"/>
  <c r="BI39" i="7"/>
  <c r="BO376" i="2" s="1"/>
  <c r="E42" i="7"/>
  <c r="BF39" i="7"/>
  <c r="BL376" i="2" s="1"/>
  <c r="AW39" i="7"/>
  <c r="BC376" i="2" s="1"/>
  <c r="AN39" i="7"/>
  <c r="AT376" i="2" s="1"/>
  <c r="BK39" i="7"/>
  <c r="BQ376" i="2" s="1"/>
  <c r="BB39" i="7"/>
  <c r="BH376" i="2" s="1"/>
  <c r="U39" i="7"/>
  <c r="AA376" i="2" s="1"/>
  <c r="BH39" i="7"/>
  <c r="BN376" i="2" s="1"/>
  <c r="BG39" i="7"/>
  <c r="BM376" i="2" s="1"/>
  <c r="AX39" i="7"/>
  <c r="BD376" i="2" s="1"/>
  <c r="AO39" i="7"/>
  <c r="AU376" i="2" s="1"/>
  <c r="AF39" i="7"/>
  <c r="AL376" i="2" s="1"/>
  <c r="BC39" i="7"/>
  <c r="BI376" i="2" s="1"/>
  <c r="AT39" i="7"/>
  <c r="AZ376" i="2" s="1"/>
  <c r="AR39" i="7"/>
  <c r="AX376" i="2" s="1"/>
  <c r="AQ39" i="7"/>
  <c r="AW376" i="2" s="1"/>
  <c r="AH39" i="7"/>
  <c r="AN376" i="2" s="1"/>
  <c r="Y39" i="7"/>
  <c r="AE376" i="2" s="1"/>
  <c r="P39" i="7"/>
  <c r="V376" i="2" s="1"/>
  <c r="AM39" i="7"/>
  <c r="AS376" i="2" s="1"/>
  <c r="AD39" i="7"/>
  <c r="AJ376" i="2" s="1"/>
  <c r="AZ39" i="7"/>
  <c r="BF376" i="2" s="1"/>
  <c r="AY39" i="7"/>
  <c r="BE376" i="2" s="1"/>
  <c r="AP39" i="7"/>
  <c r="AV376" i="2" s="1"/>
  <c r="AG39" i="7"/>
  <c r="AM376" i="2" s="1"/>
  <c r="X39" i="7"/>
  <c r="AD376" i="2" s="1"/>
  <c r="AU39" i="7"/>
  <c r="BA376" i="2" s="1"/>
  <c r="AL39" i="7"/>
  <c r="AR376" i="2" s="1"/>
  <c r="AJ39" i="7"/>
  <c r="AP376" i="2" s="1"/>
  <c r="AI39" i="7"/>
  <c r="AO376" i="2" s="1"/>
  <c r="Z39" i="7"/>
  <c r="AF376" i="2" s="1"/>
  <c r="Q39" i="7"/>
  <c r="W376" i="2" s="1"/>
  <c r="BA39" i="7"/>
  <c r="BG376" i="2" s="1"/>
  <c r="AE39" i="7"/>
  <c r="AK376" i="2" s="1"/>
  <c r="V39" i="7"/>
  <c r="AB376" i="2" s="1"/>
  <c r="AB39" i="7"/>
  <c r="AH376" i="2" s="1"/>
  <c r="AA39" i="7"/>
  <c r="AG376" i="2" s="1"/>
  <c r="R39" i="7"/>
  <c r="X376" i="2" s="1"/>
  <c r="I39" i="7"/>
  <c r="O376" i="2" s="1"/>
  <c r="AK39" i="7"/>
  <c r="AQ376" i="2" s="1"/>
  <c r="W39" i="7"/>
  <c r="AC376" i="2" s="1"/>
  <c r="N39" i="7"/>
  <c r="T376" i="2" s="1"/>
  <c r="L39" i="7"/>
  <c r="R376" i="2" s="1"/>
  <c r="K39" i="7"/>
  <c r="Q376" i="2" s="1"/>
  <c r="BE39" i="7"/>
  <c r="BK376" i="2" s="1"/>
  <c r="AV39" i="7"/>
  <c r="BB376" i="2" s="1"/>
  <c r="M39" i="7"/>
  <c r="S376" i="2" s="1"/>
  <c r="BJ39" i="7"/>
  <c r="BP376" i="2" s="1"/>
  <c r="AS39" i="7"/>
  <c r="AY376" i="2" s="1"/>
  <c r="Q93" i="2"/>
  <c r="S114" i="2"/>
  <c r="S115" i="2"/>
  <c r="R132" i="2"/>
  <c r="K37" i="5"/>
  <c r="L37" i="5"/>
  <c r="G34" i="5"/>
  <c r="F312" i="2" s="1"/>
  <c r="S136" i="2"/>
  <c r="S137" i="2"/>
  <c r="S112" i="2"/>
  <c r="S138" i="2"/>
  <c r="S111" i="2"/>
  <c r="S135" i="2"/>
  <c r="S133" i="2"/>
  <c r="S134" i="2"/>
  <c r="S102" i="2"/>
  <c r="S82" i="2"/>
  <c r="S99" i="2"/>
  <c r="R100" i="2"/>
  <c r="R65" i="2"/>
  <c r="S75" i="2"/>
  <c r="S80" i="2"/>
  <c r="S69" i="2"/>
  <c r="S322" i="2" s="1"/>
  <c r="R33" i="2"/>
  <c r="Q24" i="2"/>
  <c r="R61" i="2"/>
  <c r="S68" i="2"/>
  <c r="S63" i="2"/>
  <c r="S66" i="2"/>
  <c r="S62" i="2"/>
  <c r="S64" i="2"/>
  <c r="S67" i="2"/>
  <c r="O43" i="2"/>
  <c r="P43" i="2"/>
  <c r="Q43" i="2"/>
  <c r="O44" i="2"/>
  <c r="P44" i="2"/>
  <c r="Q44" i="2"/>
  <c r="R43" i="2"/>
  <c r="O42" i="2"/>
  <c r="P42" i="2"/>
  <c r="Q42" i="2"/>
  <c r="S8" i="2"/>
  <c r="S9" i="2" s="1"/>
  <c r="S10" i="2" s="1"/>
  <c r="S26" i="2" s="1"/>
  <c r="M22" i="7" s="1"/>
  <c r="S52" i="2"/>
  <c r="S58" i="2"/>
  <c r="S48" i="2"/>
  <c r="S59" i="2"/>
  <c r="S50" i="2"/>
  <c r="S60" i="2"/>
  <c r="S46" i="2"/>
  <c r="S51" i="2"/>
  <c r="S47" i="2"/>
  <c r="S43" i="2"/>
  <c r="S38" i="2"/>
  <c r="S44" i="2"/>
  <c r="S39" i="2"/>
  <c r="S34" i="2"/>
  <c r="S40" i="2"/>
  <c r="S35" i="2"/>
  <c r="S42" i="2"/>
  <c r="S36" i="2"/>
  <c r="S29" i="2"/>
  <c r="S30" i="2"/>
  <c r="S31" i="2"/>
  <c r="R28" i="2"/>
  <c r="P45" i="2"/>
  <c r="R44" i="2"/>
  <c r="P37" i="2"/>
  <c r="P314" i="2" s="1"/>
  <c r="O45" i="2"/>
  <c r="R37" i="2"/>
  <c r="R57" i="2"/>
  <c r="O37" i="2"/>
  <c r="R42" i="2"/>
  <c r="R45" i="2"/>
  <c r="S16" i="2"/>
  <c r="S23" i="2"/>
  <c r="R26" i="2"/>
  <c r="L22" i="7" s="1"/>
  <c r="R25" i="2"/>
  <c r="L21" i="7" s="1"/>
  <c r="S15" i="2"/>
  <c r="S22" i="2"/>
  <c r="S305" i="2" s="1"/>
  <c r="S14" i="2"/>
  <c r="S17" i="2"/>
  <c r="S21" i="2"/>
  <c r="R13" i="2"/>
  <c r="R299" i="2" s="1"/>
  <c r="T11" i="2"/>
  <c r="R20" i="2"/>
  <c r="AF364" i="2" l="1"/>
  <c r="P321" i="2"/>
  <c r="AB43" i="1"/>
  <c r="AB44" i="1" s="1"/>
  <c r="Z44" i="1"/>
  <c r="R311" i="2"/>
  <c r="O314" i="2"/>
  <c r="O306" i="2"/>
  <c r="Q316" i="2"/>
  <c r="S300" i="2"/>
  <c r="R313" i="2"/>
  <c r="Q373" i="2"/>
  <c r="R387" i="2"/>
  <c r="S304" i="2"/>
  <c r="R306" i="2"/>
  <c r="R308" i="2"/>
  <c r="Q387" i="2"/>
  <c r="R314" i="2"/>
  <c r="Q314" i="2"/>
  <c r="R321" i="2"/>
  <c r="P313" i="2"/>
  <c r="Q327" i="2"/>
  <c r="S327" i="2"/>
  <c r="Q313" i="2"/>
  <c r="P387" i="2"/>
  <c r="S323" i="2"/>
  <c r="O316" i="2"/>
  <c r="S306" i="2"/>
  <c r="R303" i="2"/>
  <c r="R320" i="2"/>
  <c r="Q306" i="2"/>
  <c r="R326" i="2"/>
  <c r="R366" i="2"/>
  <c r="R148" i="2" s="1"/>
  <c r="P303" i="2"/>
  <c r="P326" i="2"/>
  <c r="O321" i="2"/>
  <c r="Q326" i="2"/>
  <c r="S326" i="2"/>
  <c r="R93" i="2"/>
  <c r="M72" i="5"/>
  <c r="G350" i="2" s="1"/>
  <c r="S350" i="2" s="1"/>
  <c r="M70" i="5"/>
  <c r="G348" i="2" s="1"/>
  <c r="S348" i="2" s="1"/>
  <c r="O303" i="2"/>
  <c r="Q321" i="2"/>
  <c r="R317" i="2"/>
  <c r="M71" i="5"/>
  <c r="G349" i="2" s="1"/>
  <c r="O349" i="2" s="1"/>
  <c r="AE8" i="6"/>
  <c r="AD22" i="6"/>
  <c r="AD10" i="6"/>
  <c r="AD11" i="6" s="1"/>
  <c r="O322" i="2"/>
  <c r="P322" i="2"/>
  <c r="Q322" i="2"/>
  <c r="Q305" i="2"/>
  <c r="O305" i="2"/>
  <c r="P305" i="2"/>
  <c r="O300" i="2"/>
  <c r="P300" i="2"/>
  <c r="Q300" i="2"/>
  <c r="P373" i="2"/>
  <c r="BP332" i="2"/>
  <c r="BG332" i="2"/>
  <c r="AP332" i="2"/>
  <c r="AO332" i="2"/>
  <c r="R332" i="2"/>
  <c r="Z332" i="2"/>
  <c r="AH332" i="2"/>
  <c r="X332" i="2"/>
  <c r="BD332" i="2"/>
  <c r="BH332" i="2"/>
  <c r="AY332" i="2"/>
  <c r="AE332" i="2"/>
  <c r="Y332" i="2"/>
  <c r="BI332" i="2"/>
  <c r="BE332" i="2"/>
  <c r="AL332" i="2"/>
  <c r="AD332" i="2"/>
  <c r="AC332" i="2"/>
  <c r="BO332" i="2"/>
  <c r="BJ332" i="2"/>
  <c r="AZ332" i="2"/>
  <c r="AQ332" i="2"/>
  <c r="Q332" i="2"/>
  <c r="BN332" i="2"/>
  <c r="AM332" i="2"/>
  <c r="W332" i="2"/>
  <c r="AK332" i="2"/>
  <c r="AF332" i="2"/>
  <c r="BQ332" i="2"/>
  <c r="AN332" i="2"/>
  <c r="AS332" i="2"/>
  <c r="BB332" i="2"/>
  <c r="AR332" i="2"/>
  <c r="AI332" i="2"/>
  <c r="BK332" i="2"/>
  <c r="AX332" i="2"/>
  <c r="O332" i="2"/>
  <c r="BA332" i="2"/>
  <c r="AB332" i="2"/>
  <c r="P332" i="2"/>
  <c r="T332" i="2"/>
  <c r="V332" i="2"/>
  <c r="BM332" i="2"/>
  <c r="AT332" i="2"/>
  <c r="AJ332" i="2"/>
  <c r="AA332" i="2"/>
  <c r="AW332" i="2"/>
  <c r="AG332" i="2"/>
  <c r="BC332" i="2"/>
  <c r="U332" i="2"/>
  <c r="S332" i="2"/>
  <c r="AV332" i="2"/>
  <c r="BL332" i="2"/>
  <c r="AU332" i="2"/>
  <c r="BF332" i="2"/>
  <c r="AB26" i="6"/>
  <c r="AB25" i="6"/>
  <c r="AB30" i="6"/>
  <c r="AB31" i="6"/>
  <c r="AB28" i="6"/>
  <c r="AB29" i="6"/>
  <c r="AB27" i="6"/>
  <c r="Q49" i="2"/>
  <c r="Q317" i="2" s="1"/>
  <c r="F307" i="2"/>
  <c r="K29" i="5"/>
  <c r="L29" i="5"/>
  <c r="O308" i="2"/>
  <c r="P308" i="2"/>
  <c r="Q304" i="2"/>
  <c r="O304" i="2"/>
  <c r="P304" i="2"/>
  <c r="O339" i="2"/>
  <c r="P339" i="2"/>
  <c r="Q339" i="2"/>
  <c r="AG289" i="2"/>
  <c r="P49" i="2"/>
  <c r="P317" i="2" s="1"/>
  <c r="R316" i="2"/>
  <c r="O49" i="2"/>
  <c r="O317" i="2" s="1"/>
  <c r="S339" i="2"/>
  <c r="R327" i="2"/>
  <c r="M73" i="5"/>
  <c r="G351" i="2" s="1"/>
  <c r="S351" i="2" s="1"/>
  <c r="M68" i="5"/>
  <c r="G346" i="2" s="1"/>
  <c r="M69" i="5"/>
  <c r="G347" i="2" s="1"/>
  <c r="S347" i="2" s="1"/>
  <c r="AB334" i="2"/>
  <c r="Y334" i="2"/>
  <c r="AY334" i="2"/>
  <c r="R334" i="2"/>
  <c r="BK334" i="2"/>
  <c r="W334" i="2"/>
  <c r="AE334" i="2"/>
  <c r="T334" i="2"/>
  <c r="Q334" i="2"/>
  <c r="AN334" i="2"/>
  <c r="BF334" i="2"/>
  <c r="AL334" i="2"/>
  <c r="BO334" i="2"/>
  <c r="Z334" i="2"/>
  <c r="AX334" i="2"/>
  <c r="V334" i="2"/>
  <c r="BN334" i="2"/>
  <c r="BL334" i="2"/>
  <c r="AD334" i="2"/>
  <c r="AP334" i="2"/>
  <c r="P334" i="2"/>
  <c r="U334" i="2"/>
  <c r="AF334" i="2"/>
  <c r="BC334" i="2"/>
  <c r="AH334" i="2"/>
  <c r="AG334" i="2"/>
  <c r="BJ334" i="2"/>
  <c r="O334" i="2"/>
  <c r="AK334" i="2"/>
  <c r="BP334" i="2"/>
  <c r="BM334" i="2"/>
  <c r="BB334" i="2"/>
  <c r="S334" i="2"/>
  <c r="X334" i="2"/>
  <c r="BD334" i="2"/>
  <c r="BG334" i="2"/>
  <c r="AW334" i="2"/>
  <c r="BA334" i="2"/>
  <c r="AM334" i="2"/>
  <c r="AJ334" i="2"/>
  <c r="AC334" i="2"/>
  <c r="AT334" i="2"/>
  <c r="BH334" i="2"/>
  <c r="BE334" i="2"/>
  <c r="AQ334" i="2"/>
  <c r="BI334" i="2"/>
  <c r="BQ334" i="2"/>
  <c r="AI334" i="2"/>
  <c r="AU334" i="2"/>
  <c r="AZ334" i="2"/>
  <c r="AV334" i="2"/>
  <c r="AR334" i="2"/>
  <c r="AO334" i="2"/>
  <c r="AA334" i="2"/>
  <c r="AS334" i="2"/>
  <c r="P316" i="2"/>
  <c r="AC23" i="6"/>
  <c r="AC24" i="6"/>
  <c r="AI119" i="2"/>
  <c r="O319" i="2"/>
  <c r="P319" i="2"/>
  <c r="P323" i="2"/>
  <c r="O323" i="2"/>
  <c r="Q323" i="2"/>
  <c r="O327" i="2"/>
  <c r="R373" i="2"/>
  <c r="O320" i="2"/>
  <c r="P320" i="2"/>
  <c r="R305" i="2"/>
  <c r="R319" i="2"/>
  <c r="P311" i="2"/>
  <c r="O311" i="2"/>
  <c r="AA32" i="6"/>
  <c r="F345" i="2"/>
  <c r="K67" i="5"/>
  <c r="L67" i="5"/>
  <c r="M31" i="5"/>
  <c r="G309" i="2" s="1"/>
  <c r="S309" i="2" s="1"/>
  <c r="O299" i="2"/>
  <c r="P299" i="2"/>
  <c r="BO331" i="2"/>
  <c r="BF331" i="2"/>
  <c r="AG331" i="2"/>
  <c r="AT331" i="2"/>
  <c r="X331" i="2"/>
  <c r="BP331" i="2"/>
  <c r="R331" i="2"/>
  <c r="BH331" i="2"/>
  <c r="U331" i="2"/>
  <c r="P331" i="2"/>
  <c r="BQ331" i="2"/>
  <c r="BG331" i="2"/>
  <c r="AX331" i="2"/>
  <c r="V331" i="2"/>
  <c r="AD331" i="2"/>
  <c r="BL331" i="2"/>
  <c r="AF331" i="2"/>
  <c r="AK331" i="2"/>
  <c r="AB331" i="2"/>
  <c r="W331" i="2"/>
  <c r="O331" i="2"/>
  <c r="BK331" i="2"/>
  <c r="AJ331" i="2"/>
  <c r="BI331" i="2"/>
  <c r="AY331" i="2"/>
  <c r="AP331" i="2"/>
  <c r="BM331" i="2"/>
  <c r="BC331" i="2"/>
  <c r="AO331" i="2"/>
  <c r="BJ331" i="2"/>
  <c r="AW331" i="2"/>
  <c r="BN331" i="2"/>
  <c r="BA331" i="2"/>
  <c r="AQ331" i="2"/>
  <c r="AH331" i="2"/>
  <c r="BB331" i="2"/>
  <c r="AL331" i="2"/>
  <c r="Q331" i="2"/>
  <c r="AE331" i="2"/>
  <c r="AC331" i="2"/>
  <c r="AM331" i="2"/>
  <c r="AS331" i="2"/>
  <c r="AI331" i="2"/>
  <c r="Z331" i="2"/>
  <c r="AN331" i="2"/>
  <c r="T331" i="2"/>
  <c r="AZ331" i="2"/>
  <c r="BE331" i="2"/>
  <c r="AA331" i="2"/>
  <c r="AR331" i="2"/>
  <c r="S331" i="2"/>
  <c r="Y331" i="2"/>
  <c r="BD331" i="2"/>
  <c r="AU331" i="2"/>
  <c r="AV331" i="2"/>
  <c r="R322" i="2"/>
  <c r="R304" i="2"/>
  <c r="T151" i="2"/>
  <c r="T384" i="2"/>
  <c r="T385" i="2" s="1"/>
  <c r="U386" i="2" s="1"/>
  <c r="T370" i="2"/>
  <c r="T154" i="2"/>
  <c r="T355" i="2"/>
  <c r="T356" i="2" s="1"/>
  <c r="U357" i="2" s="1"/>
  <c r="AF365" i="2"/>
  <c r="S371" i="2"/>
  <c r="S373" i="2" s="1"/>
  <c r="S358" i="2"/>
  <c r="S385" i="2"/>
  <c r="AG363" i="2"/>
  <c r="AH360" i="2" s="1"/>
  <c r="T297" i="2"/>
  <c r="T147" i="2"/>
  <c r="T144" i="2"/>
  <c r="T141" i="2"/>
  <c r="T145" i="2"/>
  <c r="AS42" i="7"/>
  <c r="AY377" i="2" s="1"/>
  <c r="BC42" i="7"/>
  <c r="BI377" i="2" s="1"/>
  <c r="AT42" i="7"/>
  <c r="AZ377" i="2" s="1"/>
  <c r="AK42" i="7"/>
  <c r="AQ377" i="2" s="1"/>
  <c r="AB42" i="7"/>
  <c r="AH377" i="2" s="1"/>
  <c r="AY42" i="7"/>
  <c r="BE377" i="2" s="1"/>
  <c r="AP42" i="7"/>
  <c r="AV377" i="2" s="1"/>
  <c r="X42" i="7"/>
  <c r="AD377" i="2" s="1"/>
  <c r="BI42" i="7"/>
  <c r="BO377" i="2" s="1"/>
  <c r="AZ42" i="7"/>
  <c r="BF377" i="2" s="1"/>
  <c r="K42" i="7"/>
  <c r="Q377" i="2" s="1"/>
  <c r="BA42" i="7"/>
  <c r="BG377" i="2" s="1"/>
  <c r="BF42" i="7"/>
  <c r="BL377" i="2" s="1"/>
  <c r="BK42" i="7"/>
  <c r="BQ377" i="2" s="1"/>
  <c r="AJ42" i="7"/>
  <c r="AP377" i="2" s="1"/>
  <c r="BG42" i="7"/>
  <c r="BM377" i="2" s="1"/>
  <c r="Q42" i="7"/>
  <c r="W377" i="2" s="1"/>
  <c r="BD42" i="7"/>
  <c r="BJ377" i="2" s="1"/>
  <c r="AU42" i="7"/>
  <c r="BA377" i="2" s="1"/>
  <c r="AL42" i="7"/>
  <c r="AR377" i="2" s="1"/>
  <c r="AC42" i="7"/>
  <c r="AI377" i="2" s="1"/>
  <c r="T42" i="7"/>
  <c r="Z377" i="2" s="1"/>
  <c r="AQ42" i="7"/>
  <c r="AW377" i="2" s="1"/>
  <c r="AH42" i="7"/>
  <c r="AN377" i="2" s="1"/>
  <c r="AV42" i="7"/>
  <c r="BB377" i="2" s="1"/>
  <c r="AM42" i="7"/>
  <c r="AS377" i="2" s="1"/>
  <c r="AD42" i="7"/>
  <c r="AJ377" i="2" s="1"/>
  <c r="U42" i="7"/>
  <c r="AA377" i="2" s="1"/>
  <c r="L42" i="7"/>
  <c r="R377" i="2" s="1"/>
  <c r="AI42" i="7"/>
  <c r="AO377" i="2" s="1"/>
  <c r="Z42" i="7"/>
  <c r="AF377" i="2" s="1"/>
  <c r="AE42" i="7"/>
  <c r="AK377" i="2" s="1"/>
  <c r="V42" i="7"/>
  <c r="AB377" i="2" s="1"/>
  <c r="M42" i="7"/>
  <c r="S377" i="2" s="1"/>
  <c r="AA42" i="7"/>
  <c r="AG377" i="2" s="1"/>
  <c r="R42" i="7"/>
  <c r="X377" i="2" s="1"/>
  <c r="N42" i="7"/>
  <c r="T377" i="2" s="1"/>
  <c r="AO42" i="7"/>
  <c r="AU377" i="2" s="1"/>
  <c r="J42" i="7"/>
  <c r="P377" i="2" s="1"/>
  <c r="AN42" i="7"/>
  <c r="AT377" i="2" s="1"/>
  <c r="BE42" i="7"/>
  <c r="BK377" i="2" s="1"/>
  <c r="AF42" i="7"/>
  <c r="AL377" i="2" s="1"/>
  <c r="W42" i="7"/>
  <c r="AC377" i="2" s="1"/>
  <c r="BH42" i="7"/>
  <c r="BN377" i="2" s="1"/>
  <c r="S42" i="7"/>
  <c r="Y377" i="2" s="1"/>
  <c r="O42" i="7"/>
  <c r="U377" i="2" s="1"/>
  <c r="Y42" i="7"/>
  <c r="AE377" i="2" s="1"/>
  <c r="AW42" i="7"/>
  <c r="BC377" i="2" s="1"/>
  <c r="P42" i="7"/>
  <c r="V377" i="2" s="1"/>
  <c r="BJ42" i="7"/>
  <c r="BP377" i="2" s="1"/>
  <c r="AR42" i="7"/>
  <c r="AX377" i="2" s="1"/>
  <c r="AG42" i="7"/>
  <c r="AM377" i="2" s="1"/>
  <c r="I42" i="7"/>
  <c r="BB42" i="7"/>
  <c r="BH377" i="2" s="1"/>
  <c r="AX42" i="7"/>
  <c r="BD377" i="2" s="1"/>
  <c r="G36" i="7"/>
  <c r="G39" i="7"/>
  <c r="T114" i="2"/>
  <c r="T115" i="2"/>
  <c r="S113" i="2"/>
  <c r="L34" i="5"/>
  <c r="K34" i="5"/>
  <c r="S132" i="2"/>
  <c r="T137" i="2"/>
  <c r="T350" i="2" s="1"/>
  <c r="T112" i="2"/>
  <c r="T339" i="2" s="1"/>
  <c r="T138" i="2"/>
  <c r="T111" i="2"/>
  <c r="T135" i="2"/>
  <c r="T134" i="2"/>
  <c r="T133" i="2"/>
  <c r="T136" i="2"/>
  <c r="M37" i="5"/>
  <c r="G315" i="2" s="1"/>
  <c r="T102" i="2"/>
  <c r="S103" i="2"/>
  <c r="T82" i="2"/>
  <c r="T327" i="2" s="1"/>
  <c r="T99" i="2"/>
  <c r="S100" i="2"/>
  <c r="S41" i="2"/>
  <c r="S65" i="2"/>
  <c r="S321" i="2" s="1"/>
  <c r="T75" i="2"/>
  <c r="T323" i="2" s="1"/>
  <c r="T80" i="2"/>
  <c r="T326" i="2" s="1"/>
  <c r="T69" i="2"/>
  <c r="T322" i="2" s="1"/>
  <c r="S61" i="2"/>
  <c r="S320" i="2" s="1"/>
  <c r="S33" i="2"/>
  <c r="S313" i="2" s="1"/>
  <c r="P41" i="2"/>
  <c r="O41" i="2"/>
  <c r="T67" i="2"/>
  <c r="T63" i="2"/>
  <c r="T62" i="2"/>
  <c r="T64" i="2"/>
  <c r="T66" i="2"/>
  <c r="T68" i="2"/>
  <c r="S28" i="2"/>
  <c r="S311" i="2" s="1"/>
  <c r="S25" i="2"/>
  <c r="M21" i="7" s="1"/>
  <c r="S37" i="2"/>
  <c r="S314" i="2" s="1"/>
  <c r="S49" i="2"/>
  <c r="S317" i="2" s="1"/>
  <c r="T8" i="2"/>
  <c r="T9" i="2" s="1"/>
  <c r="T10" i="2" s="1"/>
  <c r="T25" i="2" s="1"/>
  <c r="T58" i="2"/>
  <c r="T48" i="2"/>
  <c r="T59" i="2"/>
  <c r="T50" i="2"/>
  <c r="T60" i="2"/>
  <c r="T46" i="2"/>
  <c r="T51" i="2"/>
  <c r="T47" i="2"/>
  <c r="T52" i="2"/>
  <c r="T31" i="2"/>
  <c r="T44" i="2"/>
  <c r="T39" i="2"/>
  <c r="T34" i="2"/>
  <c r="T40" i="2"/>
  <c r="T35" i="2"/>
  <c r="T38" i="2"/>
  <c r="T36" i="2"/>
  <c r="T29" i="2"/>
  <c r="T42" i="2"/>
  <c r="T43" i="2"/>
  <c r="T30" i="2"/>
  <c r="S13" i="2"/>
  <c r="S299" i="2" s="1"/>
  <c r="R41" i="2"/>
  <c r="R32" i="2" s="1"/>
  <c r="S57" i="2"/>
  <c r="S319" i="2" s="1"/>
  <c r="S45" i="2"/>
  <c r="S316" i="2" s="1"/>
  <c r="Q41" i="2"/>
  <c r="T16" i="2"/>
  <c r="U11" i="2"/>
  <c r="T14" i="2"/>
  <c r="S20" i="2"/>
  <c r="S303" i="2" s="1"/>
  <c r="T23" i="2"/>
  <c r="T306" i="2" s="1"/>
  <c r="T17" i="2"/>
  <c r="T300" i="2" s="1"/>
  <c r="T22" i="2"/>
  <c r="T305" i="2" s="1"/>
  <c r="T21" i="2"/>
  <c r="T304" i="2" s="1"/>
  <c r="T15" i="2"/>
  <c r="R24" i="2"/>
  <c r="AG364" i="2" l="1"/>
  <c r="T308" i="2"/>
  <c r="N21" i="7"/>
  <c r="Q350" i="2"/>
  <c r="P350" i="2"/>
  <c r="O350" i="2"/>
  <c r="R350" i="2"/>
  <c r="P32" i="2"/>
  <c r="P348" i="2"/>
  <c r="T347" i="2"/>
  <c r="T348" i="2"/>
  <c r="Q32" i="2"/>
  <c r="Q348" i="2"/>
  <c r="O348" i="2"/>
  <c r="S366" i="2"/>
  <c r="S148" i="2" s="1"/>
  <c r="R348" i="2"/>
  <c r="T351" i="2"/>
  <c r="T349" i="2"/>
  <c r="R349" i="2"/>
  <c r="Q349" i="2"/>
  <c r="M67" i="5"/>
  <c r="G345" i="2" s="1"/>
  <c r="R345" i="2" s="1"/>
  <c r="S349" i="2"/>
  <c r="P349" i="2"/>
  <c r="M29" i="5"/>
  <c r="G307" i="2" s="1"/>
  <c r="Y307" i="2" s="1"/>
  <c r="O32" i="2"/>
  <c r="AB32" i="6"/>
  <c r="O346" i="2"/>
  <c r="P346" i="2"/>
  <c r="Q346" i="2"/>
  <c r="R346" i="2"/>
  <c r="O347" i="2"/>
  <c r="P347" i="2"/>
  <c r="Q347" i="2"/>
  <c r="R347" i="2"/>
  <c r="O351" i="2"/>
  <c r="P351" i="2"/>
  <c r="Q351" i="2"/>
  <c r="R351" i="2"/>
  <c r="T386" i="2"/>
  <c r="T387" i="2" s="1"/>
  <c r="S387" i="2"/>
  <c r="M331" i="2"/>
  <c r="AD23" i="6"/>
  <c r="AD24" i="6"/>
  <c r="AJ119" i="2"/>
  <c r="O345" i="2"/>
  <c r="M332" i="2"/>
  <c r="P309" i="2"/>
  <c r="O309" i="2"/>
  <c r="Q309" i="2"/>
  <c r="AC29" i="6"/>
  <c r="AC26" i="6"/>
  <c r="AC31" i="6"/>
  <c r="AC25" i="6"/>
  <c r="AC30" i="6"/>
  <c r="AC28" i="6"/>
  <c r="AC27" i="6"/>
  <c r="M334" i="2"/>
  <c r="AF8" i="6"/>
  <c r="AE22" i="6"/>
  <c r="AE10" i="6"/>
  <c r="AE11" i="6" s="1"/>
  <c r="T346" i="2"/>
  <c r="R309" i="2"/>
  <c r="AH289" i="2"/>
  <c r="S346" i="2"/>
  <c r="AL14" i="8"/>
  <c r="AB14" i="8"/>
  <c r="U151" i="2"/>
  <c r="U384" i="2"/>
  <c r="U370" i="2"/>
  <c r="U371" i="2" s="1"/>
  <c r="V372" i="2" s="1"/>
  <c r="U154" i="2"/>
  <c r="U355" i="2"/>
  <c r="U356" i="2" s="1"/>
  <c r="V357" i="2" s="1"/>
  <c r="AY14" i="8"/>
  <c r="I14" i="8"/>
  <c r="O377" i="2"/>
  <c r="J14" i="8"/>
  <c r="T372" i="2"/>
  <c r="AQ14" i="8"/>
  <c r="T358" i="2"/>
  <c r="T371" i="2"/>
  <c r="U372" i="2" s="1"/>
  <c r="AH14" i="8"/>
  <c r="T14" i="8"/>
  <c r="V14" i="8"/>
  <c r="AN14" i="8"/>
  <c r="BE14" i="8"/>
  <c r="AP14" i="8"/>
  <c r="AG14" i="8"/>
  <c r="AU14" i="8"/>
  <c r="BF14" i="8"/>
  <c r="AZ14" i="8"/>
  <c r="L14" i="8"/>
  <c r="AF14" i="8"/>
  <c r="AT14" i="8"/>
  <c r="Q14" i="8"/>
  <c r="BA14" i="8"/>
  <c r="AX14" i="8"/>
  <c r="AM14" i="8"/>
  <c r="BD14" i="8"/>
  <c r="O14" i="8"/>
  <c r="AK14" i="8"/>
  <c r="W14" i="8"/>
  <c r="Y14" i="8"/>
  <c r="S14" i="8"/>
  <c r="K14" i="8"/>
  <c r="BK14" i="8"/>
  <c r="M14" i="8"/>
  <c r="BJ14" i="8"/>
  <c r="AS14" i="8"/>
  <c r="AA14" i="8"/>
  <c r="X14" i="8"/>
  <c r="AW14" i="8"/>
  <c r="AC14" i="8"/>
  <c r="BC14" i="8"/>
  <c r="U14" i="8"/>
  <c r="R14" i="8"/>
  <c r="BB14" i="8"/>
  <c r="AE14" i="8"/>
  <c r="AO14" i="8"/>
  <c r="AI14" i="8"/>
  <c r="AD14" i="8"/>
  <c r="BI14" i="8"/>
  <c r="Z14" i="8"/>
  <c r="AV14" i="8"/>
  <c r="N14" i="8"/>
  <c r="P14" i="8"/>
  <c r="AJ14" i="8"/>
  <c r="BH14" i="8"/>
  <c r="BG14" i="8"/>
  <c r="AR14" i="8"/>
  <c r="AG365" i="2"/>
  <c r="AH363" i="2"/>
  <c r="AI360" i="2" s="1"/>
  <c r="U297" i="2"/>
  <c r="U147" i="2"/>
  <c r="U144" i="2"/>
  <c r="U145" i="2"/>
  <c r="U141" i="2"/>
  <c r="Q315" i="2"/>
  <c r="S315" i="2"/>
  <c r="R315" i="2"/>
  <c r="P315" i="2"/>
  <c r="O315" i="2"/>
  <c r="G42" i="7"/>
  <c r="S24" i="2"/>
  <c r="S308" i="2"/>
  <c r="M34" i="5"/>
  <c r="G312" i="2" s="1"/>
  <c r="U115" i="2"/>
  <c r="U114" i="2"/>
  <c r="T113" i="2"/>
  <c r="S93" i="2"/>
  <c r="T132" i="2"/>
  <c r="U137" i="2"/>
  <c r="U350" i="2" s="1"/>
  <c r="U112" i="2"/>
  <c r="U339" i="2" s="1"/>
  <c r="U138" i="2"/>
  <c r="U351" i="2" s="1"/>
  <c r="U111" i="2"/>
  <c r="U135" i="2"/>
  <c r="U348" i="2" s="1"/>
  <c r="U136" i="2"/>
  <c r="U349" i="2" s="1"/>
  <c r="U133" i="2"/>
  <c r="U346" i="2" s="1"/>
  <c r="U134" i="2"/>
  <c r="U347" i="2" s="1"/>
  <c r="U102" i="2"/>
  <c r="T103" i="2"/>
  <c r="T100" i="2"/>
  <c r="U82" i="2"/>
  <c r="U327" i="2" s="1"/>
  <c r="U99" i="2"/>
  <c r="S32" i="2"/>
  <c r="U23" i="2"/>
  <c r="U306" i="2" s="1"/>
  <c r="U14" i="2"/>
  <c r="U75" i="2"/>
  <c r="U323" i="2" s="1"/>
  <c r="U80" i="2"/>
  <c r="U326" i="2" s="1"/>
  <c r="U69" i="2"/>
  <c r="U322" i="2" s="1"/>
  <c r="T65" i="2"/>
  <c r="T321" i="2" s="1"/>
  <c r="U15" i="2"/>
  <c r="U17" i="2"/>
  <c r="U300" i="2" s="1"/>
  <c r="T37" i="2"/>
  <c r="T314" i="2" s="1"/>
  <c r="T13" i="2"/>
  <c r="T299" i="2" s="1"/>
  <c r="T61" i="2"/>
  <c r="T320" i="2" s="1"/>
  <c r="U64" i="2"/>
  <c r="U63" i="2"/>
  <c r="U66" i="2"/>
  <c r="U67" i="2"/>
  <c r="U68" i="2"/>
  <c r="U62" i="2"/>
  <c r="T26" i="2"/>
  <c r="N22" i="7" s="1"/>
  <c r="T45" i="2"/>
  <c r="T316" i="2" s="1"/>
  <c r="T20" i="2"/>
  <c r="T303" i="2" s="1"/>
  <c r="U8" i="2"/>
  <c r="U9" i="2" s="1"/>
  <c r="U10" i="2" s="1"/>
  <c r="U25" i="2" s="1"/>
  <c r="U59" i="2"/>
  <c r="U50" i="2"/>
  <c r="U60" i="2"/>
  <c r="U46" i="2"/>
  <c r="U51" i="2"/>
  <c r="U47" i="2"/>
  <c r="U52" i="2"/>
  <c r="U58" i="2"/>
  <c r="U48" i="2"/>
  <c r="U44" i="2"/>
  <c r="U39" i="2"/>
  <c r="U34" i="2"/>
  <c r="U40" i="2"/>
  <c r="U35" i="2"/>
  <c r="U42" i="2"/>
  <c r="U36" i="2"/>
  <c r="U43" i="2"/>
  <c r="U38" i="2"/>
  <c r="U29" i="2"/>
  <c r="U30" i="2"/>
  <c r="U31" i="2"/>
  <c r="T33" i="2"/>
  <c r="T313" i="2" s="1"/>
  <c r="T57" i="2"/>
  <c r="T319" i="2" s="1"/>
  <c r="U22" i="2"/>
  <c r="U305" i="2" s="1"/>
  <c r="T41" i="2"/>
  <c r="T315" i="2" s="1"/>
  <c r="T49" i="2"/>
  <c r="T317" i="2" s="1"/>
  <c r="U16" i="2"/>
  <c r="T28" i="2"/>
  <c r="T311" i="2" s="1"/>
  <c r="U21" i="2"/>
  <c r="U304" i="2" s="1"/>
  <c r="V11" i="2"/>
  <c r="AH364" i="2" l="1"/>
  <c r="U308" i="2"/>
  <c r="O21" i="7"/>
  <c r="T366" i="2"/>
  <c r="T148" i="2" s="1"/>
  <c r="AD307" i="2"/>
  <c r="BJ307" i="2"/>
  <c r="U307" i="2"/>
  <c r="BD307" i="2"/>
  <c r="Z307" i="2"/>
  <c r="X307" i="2"/>
  <c r="BH307" i="2"/>
  <c r="Q345" i="2"/>
  <c r="P345" i="2"/>
  <c r="S345" i="2"/>
  <c r="AC307" i="2"/>
  <c r="AX307" i="2"/>
  <c r="BI307" i="2"/>
  <c r="AV307" i="2"/>
  <c r="T307" i="2"/>
  <c r="R307" i="2"/>
  <c r="BQ307" i="2"/>
  <c r="AG307" i="2"/>
  <c r="BB307" i="2"/>
  <c r="BM307" i="2"/>
  <c r="AB307" i="2"/>
  <c r="AW307" i="2"/>
  <c r="AQ307" i="2"/>
  <c r="BL307" i="2"/>
  <c r="AY307" i="2"/>
  <c r="AS307" i="2"/>
  <c r="AF307" i="2"/>
  <c r="AI307" i="2"/>
  <c r="T373" i="2"/>
  <c r="BO307" i="2"/>
  <c r="O307" i="2"/>
  <c r="AJ307" i="2"/>
  <c r="BC307" i="2"/>
  <c r="BG307" i="2"/>
  <c r="AL307" i="2"/>
  <c r="AP307" i="2"/>
  <c r="AZ307" i="2"/>
  <c r="AN307" i="2"/>
  <c r="AM307" i="2"/>
  <c r="AR307" i="2"/>
  <c r="Q307" i="2"/>
  <c r="V307" i="2"/>
  <c r="S307" i="2"/>
  <c r="BA307" i="2"/>
  <c r="BK307" i="2"/>
  <c r="BP307" i="2"/>
  <c r="AH307" i="2"/>
  <c r="AK307" i="2"/>
  <c r="AU307" i="2"/>
  <c r="W307" i="2"/>
  <c r="AA307" i="2"/>
  <c r="BN307" i="2"/>
  <c r="BE307" i="2"/>
  <c r="AO307" i="2"/>
  <c r="BF307" i="2"/>
  <c r="AT307" i="2"/>
  <c r="P307" i="2"/>
  <c r="AE307" i="2"/>
  <c r="AG8" i="6"/>
  <c r="AF10" i="6"/>
  <c r="AF11" i="6" s="1"/>
  <c r="AF22" i="6"/>
  <c r="AD27" i="6"/>
  <c r="AD28" i="6"/>
  <c r="AD31" i="6"/>
  <c r="AD29" i="6"/>
  <c r="AD26" i="6"/>
  <c r="AD30" i="6"/>
  <c r="AD25" i="6"/>
  <c r="U373" i="2"/>
  <c r="AE23" i="6"/>
  <c r="AE24" i="6"/>
  <c r="AK119" i="2"/>
  <c r="AI289" i="2"/>
  <c r="AC32" i="6"/>
  <c r="U358" i="2"/>
  <c r="V384" i="2"/>
  <c r="V370" i="2"/>
  <c r="V151" i="2"/>
  <c r="V154" i="2"/>
  <c r="V355" i="2"/>
  <c r="V356" i="2" s="1"/>
  <c r="W357" i="2" s="1"/>
  <c r="U385" i="2"/>
  <c r="AH365" i="2"/>
  <c r="AI363" i="2"/>
  <c r="AJ360" i="2" s="1"/>
  <c r="V297" i="2"/>
  <c r="V144" i="2"/>
  <c r="V145" i="2"/>
  <c r="V141" i="2"/>
  <c r="V147" i="2"/>
  <c r="T345" i="2"/>
  <c r="U113" i="2"/>
  <c r="T24" i="2"/>
  <c r="T309" i="2"/>
  <c r="P312" i="2"/>
  <c r="O312" i="2"/>
  <c r="S312" i="2"/>
  <c r="Q312" i="2"/>
  <c r="R312" i="2"/>
  <c r="V114" i="2"/>
  <c r="V115" i="2"/>
  <c r="U103" i="2"/>
  <c r="V112" i="2"/>
  <c r="V339" i="2" s="1"/>
  <c r="V138" i="2"/>
  <c r="V351" i="2" s="1"/>
  <c r="V134" i="2"/>
  <c r="V347" i="2" s="1"/>
  <c r="V111" i="2"/>
  <c r="V135" i="2"/>
  <c r="V348" i="2" s="1"/>
  <c r="V136" i="2"/>
  <c r="V349" i="2" s="1"/>
  <c r="V137" i="2"/>
  <c r="V350" i="2" s="1"/>
  <c r="V133" i="2"/>
  <c r="V346" i="2" s="1"/>
  <c r="U132" i="2"/>
  <c r="U345" i="2" s="1"/>
  <c r="T93" i="2"/>
  <c r="V102" i="2"/>
  <c r="U100" i="2"/>
  <c r="V82" i="2"/>
  <c r="V327" i="2" s="1"/>
  <c r="V99" i="2"/>
  <c r="U33" i="2"/>
  <c r="U313" i="2" s="1"/>
  <c r="U13" i="2"/>
  <c r="U299" i="2" s="1"/>
  <c r="V80" i="2"/>
  <c r="V326" i="2" s="1"/>
  <c r="V69" i="2"/>
  <c r="V322" i="2" s="1"/>
  <c r="V75" i="2"/>
  <c r="V323" i="2" s="1"/>
  <c r="U65" i="2"/>
  <c r="U321" i="2" s="1"/>
  <c r="V68" i="2"/>
  <c r="V64" i="2"/>
  <c r="V67" i="2"/>
  <c r="V63" i="2"/>
  <c r="V66" i="2"/>
  <c r="V62" i="2"/>
  <c r="U20" i="2"/>
  <c r="U303" i="2" s="1"/>
  <c r="U61" i="2"/>
  <c r="U320" i="2" s="1"/>
  <c r="U41" i="2"/>
  <c r="U315" i="2" s="1"/>
  <c r="T32" i="2"/>
  <c r="T312" i="2" s="1"/>
  <c r="U45" i="2"/>
  <c r="U316" i="2" s="1"/>
  <c r="V8" i="2"/>
  <c r="V9" i="2" s="1"/>
  <c r="V10" i="2" s="1"/>
  <c r="V25" i="2" s="1"/>
  <c r="V59" i="2"/>
  <c r="V50" i="2"/>
  <c r="V60" i="2"/>
  <c r="V46" i="2"/>
  <c r="V51" i="2"/>
  <c r="V47" i="2"/>
  <c r="V52" i="2"/>
  <c r="V58" i="2"/>
  <c r="V48" i="2"/>
  <c r="V40" i="2"/>
  <c r="V35" i="2"/>
  <c r="V42" i="2"/>
  <c r="V36" i="2"/>
  <c r="V44" i="2"/>
  <c r="V39" i="2"/>
  <c r="V34" i="2"/>
  <c r="V30" i="2"/>
  <c r="V43" i="2"/>
  <c r="V31" i="2"/>
  <c r="V38" i="2"/>
  <c r="V29" i="2"/>
  <c r="U37" i="2"/>
  <c r="U314" i="2" s="1"/>
  <c r="U49" i="2"/>
  <c r="U317" i="2" s="1"/>
  <c r="U57" i="2"/>
  <c r="U319" i="2" s="1"/>
  <c r="U26" i="2"/>
  <c r="O22" i="7" s="1"/>
  <c r="U28" i="2"/>
  <c r="U311" i="2" s="1"/>
  <c r="W11" i="2"/>
  <c r="V22" i="2"/>
  <c r="V305" i="2" s="1"/>
  <c r="V21" i="2"/>
  <c r="V304" i="2" s="1"/>
  <c r="V16" i="2"/>
  <c r="V23" i="2"/>
  <c r="V306" i="2" s="1"/>
  <c r="V15" i="2"/>
  <c r="V17" i="2"/>
  <c r="V300" i="2" s="1"/>
  <c r="V14" i="2"/>
  <c r="AI364" i="2" l="1"/>
  <c r="V308" i="2"/>
  <c r="P21" i="7"/>
  <c r="U366" i="2"/>
  <c r="U148" i="2" s="1"/>
  <c r="M307" i="2"/>
  <c r="AI365" i="2"/>
  <c r="AD32" i="6"/>
  <c r="V386" i="2"/>
  <c r="U387" i="2"/>
  <c r="AJ289" i="2"/>
  <c r="AF23" i="6"/>
  <c r="AF24" i="6"/>
  <c r="AL119" i="2"/>
  <c r="AH8" i="6"/>
  <c r="AG10" i="6"/>
  <c r="AG11" i="6" s="1"/>
  <c r="AG22" i="6"/>
  <c r="AE26" i="6"/>
  <c r="AE25" i="6"/>
  <c r="AE27" i="6"/>
  <c r="AE28" i="6"/>
  <c r="AE31" i="6"/>
  <c r="AE30" i="6"/>
  <c r="AE29" i="6"/>
  <c r="V371" i="2"/>
  <c r="V385" i="2"/>
  <c r="W386" i="2" s="1"/>
  <c r="W384" i="2"/>
  <c r="W385" i="2" s="1"/>
  <c r="X386" i="2" s="1"/>
  <c r="W370" i="2"/>
  <c r="W371" i="2" s="1"/>
  <c r="X372" i="2" s="1"/>
  <c r="W151" i="2"/>
  <c r="W154" i="2"/>
  <c r="W355" i="2"/>
  <c r="W356" i="2" s="1"/>
  <c r="X357" i="2" s="1"/>
  <c r="V358" i="2"/>
  <c r="AJ363" i="2"/>
  <c r="AK360" i="2" s="1"/>
  <c r="W297" i="2"/>
  <c r="W145" i="2"/>
  <c r="W141" i="2"/>
  <c r="W147" i="2"/>
  <c r="W144" i="2"/>
  <c r="U24" i="2"/>
  <c r="U309" i="2"/>
  <c r="V100" i="2"/>
  <c r="U93" i="2"/>
  <c r="V103" i="2"/>
  <c r="W114" i="2"/>
  <c r="W115" i="2"/>
  <c r="V113" i="2"/>
  <c r="V132" i="2"/>
  <c r="W138" i="2"/>
  <c r="W351" i="2" s="1"/>
  <c r="W111" i="2"/>
  <c r="W135" i="2"/>
  <c r="W348" i="2" s="1"/>
  <c r="W136" i="2"/>
  <c r="W349" i="2" s="1"/>
  <c r="W137" i="2"/>
  <c r="W350" i="2" s="1"/>
  <c r="W133" i="2"/>
  <c r="W346" i="2" s="1"/>
  <c r="W112" i="2"/>
  <c r="W339" i="2" s="1"/>
  <c r="W134" i="2"/>
  <c r="W347" i="2" s="1"/>
  <c r="W102" i="2"/>
  <c r="W82" i="2"/>
  <c r="W327" i="2" s="1"/>
  <c r="W99" i="2"/>
  <c r="X11" i="2"/>
  <c r="W23" i="2"/>
  <c r="W306" i="2" s="1"/>
  <c r="W80" i="2"/>
  <c r="W326" i="2" s="1"/>
  <c r="W69" i="2"/>
  <c r="W322" i="2" s="1"/>
  <c r="W75" i="2"/>
  <c r="W323" i="2" s="1"/>
  <c r="W21" i="2"/>
  <c r="W304" i="2" s="1"/>
  <c r="V65" i="2"/>
  <c r="V321" i="2" s="1"/>
  <c r="V61" i="2"/>
  <c r="V320" i="2" s="1"/>
  <c r="W16" i="2"/>
  <c r="W14" i="2"/>
  <c r="V20" i="2"/>
  <c r="V303" i="2" s="1"/>
  <c r="V49" i="2"/>
  <c r="V317" i="2" s="1"/>
  <c r="V37" i="2"/>
  <c r="V314" i="2" s="1"/>
  <c r="W17" i="2"/>
  <c r="W300" i="2" s="1"/>
  <c r="W68" i="2"/>
  <c r="W63" i="2"/>
  <c r="W67" i="2"/>
  <c r="W62" i="2"/>
  <c r="W64" i="2"/>
  <c r="W66" i="2"/>
  <c r="V26" i="2"/>
  <c r="P22" i="7" s="1"/>
  <c r="V33" i="2"/>
  <c r="V313" i="2" s="1"/>
  <c r="W15" i="2"/>
  <c r="W22" i="2"/>
  <c r="W305" i="2" s="1"/>
  <c r="V41" i="2"/>
  <c r="V315" i="2" s="1"/>
  <c r="V45" i="2"/>
  <c r="V316" i="2" s="1"/>
  <c r="V57" i="2"/>
  <c r="V319" i="2" s="1"/>
  <c r="W8" i="2"/>
  <c r="W9" i="2" s="1"/>
  <c r="W10" i="2" s="1"/>
  <c r="W26" i="2" s="1"/>
  <c r="W50" i="2"/>
  <c r="W60" i="2"/>
  <c r="W46" i="2"/>
  <c r="W51" i="2"/>
  <c r="W47" i="2"/>
  <c r="W52" i="2"/>
  <c r="W58" i="2"/>
  <c r="W48" i="2"/>
  <c r="W59" i="2"/>
  <c r="W40" i="2"/>
  <c r="W35" i="2"/>
  <c r="W42" i="2"/>
  <c r="W36" i="2"/>
  <c r="W43" i="2"/>
  <c r="W38" i="2"/>
  <c r="W44" i="2"/>
  <c r="W39" i="2"/>
  <c r="W34" i="2"/>
  <c r="W29" i="2"/>
  <c r="W30" i="2"/>
  <c r="W31" i="2"/>
  <c r="V28" i="2"/>
  <c r="V311" i="2" s="1"/>
  <c r="V13" i="2"/>
  <c r="V299" i="2" s="1"/>
  <c r="U32" i="2"/>
  <c r="U312" i="2" s="1"/>
  <c r="AJ364" i="2" l="1"/>
  <c r="W309" i="2"/>
  <c r="Q22" i="7"/>
  <c r="V366" i="2"/>
  <c r="V148" i="2" s="1"/>
  <c r="V387" i="2"/>
  <c r="AF27" i="6"/>
  <c r="AF26" i="6"/>
  <c r="AF29" i="6"/>
  <c r="AF28" i="6"/>
  <c r="AF31" i="6"/>
  <c r="AF30" i="6"/>
  <c r="AF25" i="6"/>
  <c r="AK289" i="2"/>
  <c r="AJ365" i="2"/>
  <c r="W387" i="2"/>
  <c r="W372" i="2"/>
  <c r="W373" i="2" s="1"/>
  <c r="V373" i="2"/>
  <c r="AG23" i="6"/>
  <c r="AG24" i="6"/>
  <c r="AM119" i="2"/>
  <c r="AI8" i="6"/>
  <c r="AH22" i="6"/>
  <c r="AH10" i="6"/>
  <c r="AH11" i="6" s="1"/>
  <c r="AE32" i="6"/>
  <c r="W358" i="2"/>
  <c r="X384" i="2"/>
  <c r="X385" i="2" s="1"/>
  <c r="Y386" i="2" s="1"/>
  <c r="X370" i="2"/>
  <c r="X371" i="2" s="1"/>
  <c r="Y372" i="2" s="1"/>
  <c r="X151" i="2"/>
  <c r="X154" i="2"/>
  <c r="X355" i="2"/>
  <c r="X356" i="2" s="1"/>
  <c r="Y357" i="2" s="1"/>
  <c r="AK363" i="2"/>
  <c r="AL360" i="2" s="1"/>
  <c r="X297" i="2"/>
  <c r="X145" i="2"/>
  <c r="X141" i="2"/>
  <c r="X147" i="2"/>
  <c r="X144" i="2"/>
  <c r="V24" i="2"/>
  <c r="V309" i="2"/>
  <c r="V93" i="2"/>
  <c r="V345" i="2"/>
  <c r="W100" i="2"/>
  <c r="W103" i="2"/>
  <c r="W113" i="2"/>
  <c r="X114" i="2"/>
  <c r="X115" i="2"/>
  <c r="X111" i="2"/>
  <c r="X135" i="2"/>
  <c r="X348" i="2" s="1"/>
  <c r="X136" i="2"/>
  <c r="X349" i="2" s="1"/>
  <c r="X137" i="2"/>
  <c r="X350" i="2" s="1"/>
  <c r="X112" i="2"/>
  <c r="X339" i="2" s="1"/>
  <c r="X133" i="2"/>
  <c r="X346" i="2" s="1"/>
  <c r="X134" i="2"/>
  <c r="X347" i="2" s="1"/>
  <c r="X138" i="2"/>
  <c r="X351" i="2" s="1"/>
  <c r="W132" i="2"/>
  <c r="W345" i="2" s="1"/>
  <c r="X22" i="2"/>
  <c r="X305" i="2" s="1"/>
  <c r="X102" i="2"/>
  <c r="X82" i="2"/>
  <c r="X327" i="2" s="1"/>
  <c r="X99" i="2"/>
  <c r="X34" i="2"/>
  <c r="X58" i="2"/>
  <c r="X39" i="2"/>
  <c r="X52" i="2"/>
  <c r="X67" i="2"/>
  <c r="X44" i="2"/>
  <c r="X68" i="2"/>
  <c r="X38" i="2"/>
  <c r="X46" i="2"/>
  <c r="X64" i="2"/>
  <c r="X40" i="2"/>
  <c r="X59" i="2"/>
  <c r="X21" i="2"/>
  <c r="X304" i="2" s="1"/>
  <c r="X63" i="2"/>
  <c r="X14" i="2"/>
  <c r="X23" i="2"/>
  <c r="X306" i="2" s="1"/>
  <c r="X47" i="2"/>
  <c r="X16" i="2"/>
  <c r="X15" i="2"/>
  <c r="X31" i="2"/>
  <c r="X43" i="2"/>
  <c r="X60" i="2"/>
  <c r="X17" i="2"/>
  <c r="X300" i="2" s="1"/>
  <c r="X30" i="2"/>
  <c r="X42" i="2"/>
  <c r="X8" i="2"/>
  <c r="X9" i="2" s="1"/>
  <c r="X10" i="2" s="1"/>
  <c r="X25" i="2" s="1"/>
  <c r="Y11" i="2"/>
  <c r="X35" i="2"/>
  <c r="X50" i="2"/>
  <c r="X75" i="2"/>
  <c r="X323" i="2" s="1"/>
  <c r="X69" i="2"/>
  <c r="X322" i="2" s="1"/>
  <c r="X62" i="2"/>
  <c r="W65" i="2"/>
  <c r="W321" i="2" s="1"/>
  <c r="W20" i="2"/>
  <c r="W303" i="2" s="1"/>
  <c r="X48" i="2"/>
  <c r="X29" i="2"/>
  <c r="X36" i="2"/>
  <c r="X51" i="2"/>
  <c r="X66" i="2"/>
  <c r="X80" i="2"/>
  <c r="X326" i="2" s="1"/>
  <c r="W61" i="2"/>
  <c r="W320" i="2" s="1"/>
  <c r="W13" i="2"/>
  <c r="W299" i="2" s="1"/>
  <c r="W37" i="2"/>
  <c r="W314" i="2" s="1"/>
  <c r="W57" i="2"/>
  <c r="W319" i="2" s="1"/>
  <c r="W41" i="2"/>
  <c r="W315" i="2" s="1"/>
  <c r="V32" i="2"/>
  <c r="V312" i="2" s="1"/>
  <c r="W45" i="2"/>
  <c r="W316" i="2" s="1"/>
  <c r="W33" i="2"/>
  <c r="W313" i="2" s="1"/>
  <c r="W25" i="2"/>
  <c r="Q21" i="7" s="1"/>
  <c r="W28" i="2"/>
  <c r="W311" i="2" s="1"/>
  <c r="W49" i="2"/>
  <c r="W317" i="2" s="1"/>
  <c r="AK364" i="2" l="1"/>
  <c r="W366" i="2"/>
  <c r="W148" i="2" s="1"/>
  <c r="X308" i="2"/>
  <c r="R21" i="7"/>
  <c r="X387" i="2"/>
  <c r="X373" i="2"/>
  <c r="AH23" i="6"/>
  <c r="AH24" i="6"/>
  <c r="AN119" i="2"/>
  <c r="AJ8" i="6"/>
  <c r="AI10" i="6"/>
  <c r="AI11" i="6" s="1"/>
  <c r="AI22" i="6"/>
  <c r="AG31" i="6"/>
  <c r="AG28" i="6"/>
  <c r="AG29" i="6"/>
  <c r="AG27" i="6"/>
  <c r="AG30" i="6"/>
  <c r="AG25" i="6"/>
  <c r="AG26" i="6"/>
  <c r="AL289" i="2"/>
  <c r="AF32" i="6"/>
  <c r="W93" i="2"/>
  <c r="X103" i="2"/>
  <c r="Y151" i="2"/>
  <c r="Y384" i="2"/>
  <c r="Y385" i="2" s="1"/>
  <c r="Y387" i="2" s="1"/>
  <c r="Y370" i="2"/>
  <c r="Y371" i="2" s="1"/>
  <c r="Z372" i="2" s="1"/>
  <c r="Y154" i="2"/>
  <c r="Y355" i="2"/>
  <c r="Y356" i="2" s="1"/>
  <c r="Z357" i="2" s="1"/>
  <c r="X358" i="2"/>
  <c r="X366" i="2" s="1"/>
  <c r="X148" i="2" s="1"/>
  <c r="AK365" i="2"/>
  <c r="AL363" i="2"/>
  <c r="AM360" i="2" s="1"/>
  <c r="Y145" i="2"/>
  <c r="Y141" i="2"/>
  <c r="Y147" i="2"/>
  <c r="Y144" i="2"/>
  <c r="Y69" i="2"/>
  <c r="Y322" i="2" s="1"/>
  <c r="Y297" i="2"/>
  <c r="W24" i="2"/>
  <c r="W308" i="2"/>
  <c r="X100" i="2"/>
  <c r="Y51" i="2"/>
  <c r="X113" i="2"/>
  <c r="Y44" i="2"/>
  <c r="Y115" i="2"/>
  <c r="Y114" i="2"/>
  <c r="Y80" i="2"/>
  <c r="Y326" i="2" s="1"/>
  <c r="X37" i="2"/>
  <c r="X314" i="2" s="1"/>
  <c r="X132" i="2"/>
  <c r="Y111" i="2"/>
  <c r="Y135" i="2"/>
  <c r="Y348" i="2" s="1"/>
  <c r="Y136" i="2"/>
  <c r="Y349" i="2" s="1"/>
  <c r="Y137" i="2"/>
  <c r="Y350" i="2" s="1"/>
  <c r="Y112" i="2"/>
  <c r="Y339" i="2" s="1"/>
  <c r="Y138" i="2"/>
  <c r="Y351" i="2" s="1"/>
  <c r="Y134" i="2"/>
  <c r="Y347" i="2" s="1"/>
  <c r="Y133" i="2"/>
  <c r="Y346" i="2" s="1"/>
  <c r="Y30" i="2"/>
  <c r="X28" i="2"/>
  <c r="X311" i="2" s="1"/>
  <c r="X45" i="2"/>
  <c r="X316" i="2" s="1"/>
  <c r="Y102" i="2"/>
  <c r="Y103" i="2" s="1"/>
  <c r="X57" i="2"/>
  <c r="X319" i="2" s="1"/>
  <c r="Y38" i="2"/>
  <c r="Z11" i="2"/>
  <c r="Z30" i="2" s="1"/>
  <c r="X41" i="2"/>
  <c r="X315" i="2" s="1"/>
  <c r="Y22" i="2"/>
  <c r="Y305" i="2" s="1"/>
  <c r="Y48" i="2"/>
  <c r="Y36" i="2"/>
  <c r="Y21" i="2"/>
  <c r="Y47" i="2"/>
  <c r="X20" i="2"/>
  <c r="X303" i="2" s="1"/>
  <c r="Y82" i="2"/>
  <c r="Y327" i="2" s="1"/>
  <c r="Y99" i="2"/>
  <c r="Y100" i="2" s="1"/>
  <c r="Y14" i="2"/>
  <c r="Y23" i="2"/>
  <c r="Y306" i="2" s="1"/>
  <c r="Y35" i="2"/>
  <c r="Y46" i="2"/>
  <c r="Y63" i="2"/>
  <c r="Y60" i="2"/>
  <c r="Y34" i="2"/>
  <c r="Y50" i="2"/>
  <c r="Y64" i="2"/>
  <c r="Y17" i="2"/>
  <c r="Y300" i="2" s="1"/>
  <c r="Y31" i="2"/>
  <c r="Y42" i="2"/>
  <c r="Y8" i="2"/>
  <c r="Y9" i="2" s="1"/>
  <c r="Y10" i="2" s="1"/>
  <c r="Y25" i="2" s="1"/>
  <c r="Y75" i="2"/>
  <c r="Y323" i="2" s="1"/>
  <c r="Y40" i="2"/>
  <c r="Y68" i="2"/>
  <c r="Y16" i="2"/>
  <c r="Y15" i="2"/>
  <c r="Y39" i="2"/>
  <c r="Y59" i="2"/>
  <c r="Y67" i="2"/>
  <c r="X65" i="2"/>
  <c r="X321" i="2" s="1"/>
  <c r="X13" i="2"/>
  <c r="X299" i="2" s="1"/>
  <c r="X49" i="2"/>
  <c r="X317" i="2" s="1"/>
  <c r="X33" i="2"/>
  <c r="X313" i="2" s="1"/>
  <c r="Y29" i="2"/>
  <c r="Y43" i="2"/>
  <c r="Y58" i="2"/>
  <c r="Y62" i="2"/>
  <c r="Y52" i="2"/>
  <c r="Y66" i="2"/>
  <c r="X61" i="2"/>
  <c r="X320" i="2" s="1"/>
  <c r="W32" i="2"/>
  <c r="W312" i="2" s="1"/>
  <c r="X26" i="2"/>
  <c r="R22" i="7" s="1"/>
  <c r="AL364" i="2" l="1"/>
  <c r="AL365" i="2" s="1"/>
  <c r="Y308" i="2"/>
  <c r="S21" i="7"/>
  <c r="AG32" i="6"/>
  <c r="Y373" i="2"/>
  <c r="Z17" i="2"/>
  <c r="Z300" i="2" s="1"/>
  <c r="Z31" i="2"/>
  <c r="AM289" i="2"/>
  <c r="AK8" i="6"/>
  <c r="AJ22" i="6"/>
  <c r="AJ10" i="6"/>
  <c r="AJ11" i="6" s="1"/>
  <c r="AI23" i="6"/>
  <c r="AI24" i="6"/>
  <c r="AO119" i="2"/>
  <c r="AH27" i="6"/>
  <c r="AH31" i="6"/>
  <c r="AH28" i="6"/>
  <c r="AH29" i="6"/>
  <c r="AH25" i="6"/>
  <c r="AH30" i="6"/>
  <c r="AH26" i="6"/>
  <c r="Z23" i="2"/>
  <c r="Z306" i="2" s="1"/>
  <c r="Z29" i="2"/>
  <c r="X93" i="2"/>
  <c r="Z151" i="2"/>
  <c r="Z384" i="2"/>
  <c r="Z385" i="2" s="1"/>
  <c r="AA386" i="2" s="1"/>
  <c r="Z370" i="2"/>
  <c r="Z371" i="2" s="1"/>
  <c r="Z373" i="2" s="1"/>
  <c r="Z154" i="2"/>
  <c r="Z355" i="2"/>
  <c r="Z356" i="2" s="1"/>
  <c r="AA357" i="2" s="1"/>
  <c r="Z386" i="2"/>
  <c r="Z40" i="2"/>
  <c r="Z58" i="2"/>
  <c r="Z15" i="2"/>
  <c r="Z47" i="2"/>
  <c r="Y358" i="2"/>
  <c r="Y366" i="2" s="1"/>
  <c r="Y148" i="2" s="1"/>
  <c r="AM363" i="2"/>
  <c r="AN360" i="2" s="1"/>
  <c r="Z297" i="2"/>
  <c r="Z141" i="2"/>
  <c r="Z147" i="2"/>
  <c r="Z144" i="2"/>
  <c r="Z145" i="2"/>
  <c r="X345" i="2"/>
  <c r="X24" i="2"/>
  <c r="X309" i="2"/>
  <c r="Y20" i="2"/>
  <c r="Y303" i="2" s="1"/>
  <c r="Y304" i="2"/>
  <c r="Y113" i="2"/>
  <c r="X32" i="2"/>
  <c r="X312" i="2" s="1"/>
  <c r="Z67" i="2"/>
  <c r="Z115" i="2"/>
  <c r="Z114" i="2"/>
  <c r="Z8" i="2"/>
  <c r="Z9" i="2" s="1"/>
  <c r="Z10" i="2" s="1"/>
  <c r="Z25" i="2" s="1"/>
  <c r="Y45" i="2"/>
  <c r="Y316" i="2" s="1"/>
  <c r="Z99" i="2"/>
  <c r="Z100" i="2" s="1"/>
  <c r="Z46" i="2"/>
  <c r="Z16" i="2"/>
  <c r="Z59" i="2"/>
  <c r="Y49" i="2"/>
  <c r="Y317" i="2" s="1"/>
  <c r="AA11" i="2"/>
  <c r="AA47" i="2" s="1"/>
  <c r="Z39" i="2"/>
  <c r="Z62" i="2"/>
  <c r="Y57" i="2"/>
  <c r="Y319" i="2" s="1"/>
  <c r="Z22" i="2"/>
  <c r="Z305" i="2" s="1"/>
  <c r="Z51" i="2"/>
  <c r="Z66" i="2"/>
  <c r="Y132" i="2"/>
  <c r="Z36" i="2"/>
  <c r="Z44" i="2"/>
  <c r="Z48" i="2"/>
  <c r="Z63" i="2"/>
  <c r="Z82" i="2"/>
  <c r="Z327" i="2" s="1"/>
  <c r="Y33" i="2"/>
  <c r="Y313" i="2" s="1"/>
  <c r="Y61" i="2"/>
  <c r="Y320" i="2" s="1"/>
  <c r="Z38" i="2"/>
  <c r="Z68" i="2"/>
  <c r="Z21" i="2"/>
  <c r="Z35" i="2"/>
  <c r="Z43" i="2"/>
  <c r="Z52" i="2"/>
  <c r="Z102" i="2"/>
  <c r="Z103" i="2" s="1"/>
  <c r="Z136" i="2"/>
  <c r="Z349" i="2" s="1"/>
  <c r="Z137" i="2"/>
  <c r="Z350" i="2" s="1"/>
  <c r="Z112" i="2"/>
  <c r="Z339" i="2" s="1"/>
  <c r="Z138" i="2"/>
  <c r="Z351" i="2" s="1"/>
  <c r="Z133" i="2"/>
  <c r="Z346" i="2" s="1"/>
  <c r="Z134" i="2"/>
  <c r="Z347" i="2" s="1"/>
  <c r="Z135" i="2"/>
  <c r="Z348" i="2" s="1"/>
  <c r="Z111" i="2"/>
  <c r="Z42" i="2"/>
  <c r="Z60" i="2"/>
  <c r="Z69" i="2"/>
  <c r="Z322" i="2" s="1"/>
  <c r="Z14" i="2"/>
  <c r="Z34" i="2"/>
  <c r="Z50" i="2"/>
  <c r="Z64" i="2"/>
  <c r="Z75" i="2"/>
  <c r="Z323" i="2" s="1"/>
  <c r="Y93" i="2"/>
  <c r="Y26" i="2"/>
  <c r="S22" i="7" s="1"/>
  <c r="Z80" i="2"/>
  <c r="Z326" i="2" s="1"/>
  <c r="Y41" i="2"/>
  <c r="Y315" i="2" s="1"/>
  <c r="Y37" i="2"/>
  <c r="Y314" i="2" s="1"/>
  <c r="Y13" i="2"/>
  <c r="Y28" i="2"/>
  <c r="Y311" i="2" s="1"/>
  <c r="Y65" i="2"/>
  <c r="Y321" i="2" s="1"/>
  <c r="Z28" i="2"/>
  <c r="Z311" i="2" s="1"/>
  <c r="AM364" i="2" l="1"/>
  <c r="Z308" i="2"/>
  <c r="T21" i="7"/>
  <c r="Z387" i="2"/>
  <c r="Z13" i="2"/>
  <c r="Z299" i="2" s="1"/>
  <c r="Z45" i="2"/>
  <c r="Z316" i="2" s="1"/>
  <c r="AH32" i="6"/>
  <c r="AN289" i="2"/>
  <c r="AI27" i="6"/>
  <c r="AI31" i="6"/>
  <c r="AI25" i="6"/>
  <c r="AI26" i="6"/>
  <c r="AI28" i="6"/>
  <c r="AI29" i="6"/>
  <c r="AI30" i="6"/>
  <c r="AL8" i="6"/>
  <c r="AK10" i="6"/>
  <c r="AK11" i="6" s="1"/>
  <c r="AK22" i="6"/>
  <c r="AJ23" i="6"/>
  <c r="AJ24" i="6"/>
  <c r="AP119" i="2"/>
  <c r="AA151" i="2"/>
  <c r="AA384" i="2"/>
  <c r="AA385" i="2" s="1"/>
  <c r="AB386" i="2" s="1"/>
  <c r="AA370" i="2"/>
  <c r="AA371" i="2" s="1"/>
  <c r="AA154" i="2"/>
  <c r="AA355" i="2"/>
  <c r="AA356" i="2" s="1"/>
  <c r="AB357" i="2" s="1"/>
  <c r="AA8" i="2"/>
  <c r="AA9" i="2" s="1"/>
  <c r="AA10" i="2" s="1"/>
  <c r="AA25" i="2" s="1"/>
  <c r="Z358" i="2"/>
  <c r="Z366" i="2" s="1"/>
  <c r="Z148" i="2" s="1"/>
  <c r="AA372" i="2"/>
  <c r="AM365" i="2"/>
  <c r="AN363" i="2"/>
  <c r="AO360" i="2" s="1"/>
  <c r="AA147" i="2"/>
  <c r="AA144" i="2"/>
  <c r="AA145" i="2"/>
  <c r="AA141" i="2"/>
  <c r="Y299" i="2"/>
  <c r="Y24" i="2"/>
  <c r="Y309" i="2"/>
  <c r="Z57" i="2"/>
  <c r="Z319" i="2" s="1"/>
  <c r="Z20" i="2"/>
  <c r="Z303" i="2" s="1"/>
  <c r="Z304" i="2"/>
  <c r="AA136" i="2"/>
  <c r="AA349" i="2" s="1"/>
  <c r="AA297" i="2"/>
  <c r="AA62" i="2"/>
  <c r="Y345" i="2"/>
  <c r="Z113" i="2"/>
  <c r="AA82" i="2"/>
  <c r="AA327" i="2" s="1"/>
  <c r="AA15" i="2"/>
  <c r="AA22" i="2"/>
  <c r="AA305" i="2" s="1"/>
  <c r="Z49" i="2"/>
  <c r="Z317" i="2" s="1"/>
  <c r="AA29" i="2"/>
  <c r="Z41" i="2"/>
  <c r="Z315" i="2" s="1"/>
  <c r="AA38" i="2"/>
  <c r="AA43" i="2"/>
  <c r="AA138" i="2"/>
  <c r="AA351" i="2" s="1"/>
  <c r="AA102" i="2"/>
  <c r="AA103" i="2" s="1"/>
  <c r="AA63" i="2"/>
  <c r="AA31" i="2"/>
  <c r="AA36" i="2"/>
  <c r="AA60" i="2"/>
  <c r="AA16" i="2"/>
  <c r="AA42" i="2"/>
  <c r="AA48" i="2"/>
  <c r="AA68" i="2"/>
  <c r="AA64" i="2"/>
  <c r="AA14" i="2"/>
  <c r="AA51" i="2"/>
  <c r="AA40" i="2"/>
  <c r="AA58" i="2"/>
  <c r="AA69" i="2"/>
  <c r="AA322" i="2" s="1"/>
  <c r="AA44" i="2"/>
  <c r="AA52" i="2"/>
  <c r="AA80" i="2"/>
  <c r="AA326" i="2" s="1"/>
  <c r="AA137" i="2"/>
  <c r="AA350" i="2" s="1"/>
  <c r="AA23" i="2"/>
  <c r="AA306" i="2" s="1"/>
  <c r="AA35" i="2"/>
  <c r="AA46" i="2"/>
  <c r="AA67" i="2"/>
  <c r="AA75" i="2"/>
  <c r="AA323" i="2" s="1"/>
  <c r="AA17" i="2"/>
  <c r="AA300" i="2" s="1"/>
  <c r="AA21" i="2"/>
  <c r="AA304" i="2" s="1"/>
  <c r="AA34" i="2"/>
  <c r="AA59" i="2"/>
  <c r="AA66" i="2"/>
  <c r="AA99" i="2"/>
  <c r="AA100" i="2" s="1"/>
  <c r="Z33" i="2"/>
  <c r="Z313" i="2" s="1"/>
  <c r="Z61" i="2"/>
  <c r="Z320" i="2" s="1"/>
  <c r="AA112" i="2"/>
  <c r="AA339" i="2" s="1"/>
  <c r="AA134" i="2"/>
  <c r="AA347" i="2" s="1"/>
  <c r="AA114" i="2"/>
  <c r="AA115" i="2"/>
  <c r="AA133" i="2"/>
  <c r="AA346" i="2" s="1"/>
  <c r="AA135" i="2"/>
  <c r="AA348" i="2" s="1"/>
  <c r="Z65" i="2"/>
  <c r="Z321" i="2" s="1"/>
  <c r="AA111" i="2"/>
  <c r="Y32" i="2"/>
  <c r="Y312" i="2" s="1"/>
  <c r="Z37" i="2"/>
  <c r="Z314" i="2" s="1"/>
  <c r="AB11" i="2"/>
  <c r="AA30" i="2"/>
  <c r="AA39" i="2"/>
  <c r="AA50" i="2"/>
  <c r="Z93" i="2"/>
  <c r="Z132" i="2"/>
  <c r="Z26" i="2"/>
  <c r="T22" i="7" s="1"/>
  <c r="AN364" i="2" l="1"/>
  <c r="AA308" i="2"/>
  <c r="U21" i="7"/>
  <c r="AA26" i="2"/>
  <c r="U22" i="7" s="1"/>
  <c r="AA45" i="2"/>
  <c r="AA316" i="2" s="1"/>
  <c r="AA373" i="2"/>
  <c r="AA358" i="2"/>
  <c r="AA366" i="2" s="1"/>
  <c r="AA148" i="2" s="1"/>
  <c r="AJ26" i="6"/>
  <c r="AJ25" i="6"/>
  <c r="AJ29" i="6"/>
  <c r="AJ30" i="6"/>
  <c r="AJ27" i="6"/>
  <c r="AJ31" i="6"/>
  <c r="AJ28" i="6"/>
  <c r="AO289" i="2"/>
  <c r="AM8" i="6"/>
  <c r="AL22" i="6"/>
  <c r="AL10" i="6"/>
  <c r="AL11" i="6" s="1"/>
  <c r="AA387" i="2"/>
  <c r="AK23" i="6"/>
  <c r="AK24" i="6"/>
  <c r="AQ119" i="2"/>
  <c r="AI32" i="6"/>
  <c r="AB372" i="2"/>
  <c r="AB151" i="2"/>
  <c r="AB384" i="2"/>
  <c r="AB385" i="2" s="1"/>
  <c r="AB387" i="2" s="1"/>
  <c r="AB370" i="2"/>
  <c r="AB371" i="2" s="1"/>
  <c r="AC372" i="2" s="1"/>
  <c r="AB154" i="2"/>
  <c r="AB355" i="2"/>
  <c r="AB356" i="2" s="1"/>
  <c r="AC357" i="2" s="1"/>
  <c r="AN365" i="2"/>
  <c r="AO363" i="2"/>
  <c r="AP360" i="2" s="1"/>
  <c r="AB147" i="2"/>
  <c r="AB144" i="2"/>
  <c r="AB145" i="2"/>
  <c r="AB141" i="2"/>
  <c r="AA41" i="2"/>
  <c r="AA315" i="2" s="1"/>
  <c r="AA65" i="2"/>
  <c r="AA321" i="2" s="1"/>
  <c r="Z24" i="2"/>
  <c r="Z309" i="2"/>
  <c r="Z345" i="2"/>
  <c r="AA24" i="2"/>
  <c r="AA309" i="2"/>
  <c r="AB138" i="2"/>
  <c r="AB351" i="2" s="1"/>
  <c r="AB297" i="2"/>
  <c r="AA20" i="2"/>
  <c r="AA303" i="2" s="1"/>
  <c r="AA61" i="2"/>
  <c r="AA320" i="2" s="1"/>
  <c r="AA37" i="2"/>
  <c r="AA314" i="2" s="1"/>
  <c r="AA33" i="2"/>
  <c r="AA313" i="2" s="1"/>
  <c r="Z32" i="2"/>
  <c r="Z312" i="2" s="1"/>
  <c r="AA13" i="2"/>
  <c r="AA299" i="2" s="1"/>
  <c r="AA28" i="2"/>
  <c r="AA311" i="2" s="1"/>
  <c r="AA57" i="2"/>
  <c r="AA319" i="2" s="1"/>
  <c r="AA49" i="2"/>
  <c r="AA317" i="2" s="1"/>
  <c r="AA132" i="2"/>
  <c r="AB16" i="2"/>
  <c r="AB21" i="2"/>
  <c r="AB304" i="2" s="1"/>
  <c r="AB42" i="2"/>
  <c r="AB48" i="2"/>
  <c r="AB68" i="2"/>
  <c r="AB14" i="2"/>
  <c r="AB39" i="2"/>
  <c r="AB58" i="2"/>
  <c r="AB66" i="2"/>
  <c r="AB136" i="2"/>
  <c r="AB349" i="2" s="1"/>
  <c r="AB135" i="2"/>
  <c r="AB348" i="2" s="1"/>
  <c r="AA113" i="2"/>
  <c r="AB44" i="2"/>
  <c r="AB36" i="2"/>
  <c r="AB69" i="2"/>
  <c r="AB322" i="2" s="1"/>
  <c r="AB99" i="2"/>
  <c r="AB100" i="2" s="1"/>
  <c r="AB111" i="2"/>
  <c r="AB38" i="2"/>
  <c r="AB80" i="2"/>
  <c r="AB326" i="2" s="1"/>
  <c r="AB82" i="2"/>
  <c r="AB327" i="2" s="1"/>
  <c r="AB102" i="2"/>
  <c r="AB103" i="2" s="1"/>
  <c r="AB114" i="2"/>
  <c r="AB115" i="2"/>
  <c r="AB17" i="2"/>
  <c r="AB300" i="2" s="1"/>
  <c r="AB31" i="2"/>
  <c r="AB52" i="2"/>
  <c r="AB23" i="2"/>
  <c r="AB306" i="2" s="1"/>
  <c r="AB50" i="2"/>
  <c r="AB64" i="2"/>
  <c r="AB75" i="2"/>
  <c r="AB323" i="2" s="1"/>
  <c r="AB15" i="2"/>
  <c r="AB8" i="2"/>
  <c r="AB9" i="2" s="1"/>
  <c r="AB10" i="2" s="1"/>
  <c r="AB25" i="2" s="1"/>
  <c r="AB134" i="2"/>
  <c r="AB347" i="2" s="1"/>
  <c r="AB47" i="2"/>
  <c r="AB29" i="2"/>
  <c r="AB22" i="2"/>
  <c r="AB305" i="2" s="1"/>
  <c r="AB43" i="2"/>
  <c r="AB59" i="2"/>
  <c r="AB62" i="2"/>
  <c r="AA93" i="2"/>
  <c r="AB35" i="2"/>
  <c r="AB51" i="2"/>
  <c r="AB63" i="2"/>
  <c r="AB112" i="2"/>
  <c r="AB339" i="2" s="1"/>
  <c r="AC11" i="2"/>
  <c r="AC102" i="2" s="1"/>
  <c r="AC103" i="2" s="1"/>
  <c r="AB40" i="2"/>
  <c r="AB46" i="2"/>
  <c r="AB67" i="2"/>
  <c r="AB137" i="2"/>
  <c r="AB350" i="2" s="1"/>
  <c r="AB30" i="2"/>
  <c r="AB34" i="2"/>
  <c r="AB60" i="2"/>
  <c r="AB133" i="2"/>
  <c r="AB346" i="2" s="1"/>
  <c r="AP364" i="2" l="1"/>
  <c r="AO364" i="2"/>
  <c r="AB308" i="2"/>
  <c r="V21" i="7"/>
  <c r="AB373" i="2"/>
  <c r="AK27" i="6"/>
  <c r="AK30" i="6"/>
  <c r="AK29" i="6"/>
  <c r="AK26" i="6"/>
  <c r="AK31" i="6"/>
  <c r="AK25" i="6"/>
  <c r="AK28" i="6"/>
  <c r="AL23" i="6"/>
  <c r="AL24" i="6"/>
  <c r="AR119" i="2"/>
  <c r="AP289" i="2"/>
  <c r="AN8" i="6"/>
  <c r="AM22" i="6"/>
  <c r="AM10" i="6"/>
  <c r="AM11" i="6" s="1"/>
  <c r="AJ32" i="6"/>
  <c r="AA32" i="2"/>
  <c r="AA312" i="2" s="1"/>
  <c r="AC386" i="2"/>
  <c r="AC151" i="2"/>
  <c r="AC384" i="2"/>
  <c r="AC385" i="2" s="1"/>
  <c r="AD386" i="2" s="1"/>
  <c r="AC370" i="2"/>
  <c r="AC371" i="2" s="1"/>
  <c r="AD372" i="2" s="1"/>
  <c r="AC154" i="2"/>
  <c r="AC355" i="2"/>
  <c r="AC356" i="2" s="1"/>
  <c r="AD357" i="2" s="1"/>
  <c r="AB358" i="2"/>
  <c r="AB366" i="2" s="1"/>
  <c r="AB148" i="2" s="1"/>
  <c r="AO365" i="2"/>
  <c r="AP363" i="2"/>
  <c r="AQ360" i="2" s="1"/>
  <c r="AC147" i="2"/>
  <c r="AC144" i="2"/>
  <c r="AC145" i="2"/>
  <c r="AC141" i="2"/>
  <c r="AA345" i="2"/>
  <c r="AC22" i="2"/>
  <c r="AC305" i="2" s="1"/>
  <c r="AC297" i="2"/>
  <c r="AB65" i="2"/>
  <c r="AB321" i="2" s="1"/>
  <c r="AB93" i="2"/>
  <c r="AB49" i="2"/>
  <c r="AB317" i="2" s="1"/>
  <c r="AB37" i="2"/>
  <c r="AB20" i="2"/>
  <c r="AB303" i="2" s="1"/>
  <c r="AB28" i="2"/>
  <c r="AB311" i="2" s="1"/>
  <c r="AB45" i="2"/>
  <c r="AB316" i="2" s="1"/>
  <c r="AB41" i="2"/>
  <c r="AB315" i="2" s="1"/>
  <c r="AB33" i="2"/>
  <c r="AB313" i="2" s="1"/>
  <c r="AB13" i="2"/>
  <c r="AB299" i="2" s="1"/>
  <c r="AB132" i="2"/>
  <c r="AC31" i="2"/>
  <c r="AC17" i="2"/>
  <c r="AC300" i="2" s="1"/>
  <c r="AC51" i="2"/>
  <c r="AC40" i="2"/>
  <c r="AC137" i="2"/>
  <c r="AC350" i="2" s="1"/>
  <c r="AC114" i="2"/>
  <c r="AC115" i="2"/>
  <c r="AC63" i="2"/>
  <c r="AB57" i="2"/>
  <c r="AB319" i="2" s="1"/>
  <c r="AB113" i="2"/>
  <c r="AC69" i="2"/>
  <c r="AC322" i="2" s="1"/>
  <c r="AB61" i="2"/>
  <c r="AB320" i="2" s="1"/>
  <c r="AB26" i="2"/>
  <c r="V22" i="7" s="1"/>
  <c r="AC66" i="2"/>
  <c r="AC14" i="2"/>
  <c r="AC75" i="2"/>
  <c r="AC323" i="2" s="1"/>
  <c r="AD11" i="2"/>
  <c r="AD14" i="2" s="1"/>
  <c r="AC133" i="2"/>
  <c r="AC346" i="2" s="1"/>
  <c r="AC21" i="2"/>
  <c r="AC304" i="2" s="1"/>
  <c r="AC34" i="2"/>
  <c r="AC136" i="2"/>
  <c r="AC349" i="2" s="1"/>
  <c r="AC39" i="2"/>
  <c r="AC60" i="2"/>
  <c r="AC62" i="2"/>
  <c r="AC135" i="2"/>
  <c r="AC348" i="2" s="1"/>
  <c r="AC38" i="2"/>
  <c r="AC44" i="2"/>
  <c r="AC50" i="2"/>
  <c r="AC64" i="2"/>
  <c r="AC111" i="2"/>
  <c r="AC43" i="2"/>
  <c r="AC48" i="2"/>
  <c r="AC59" i="2"/>
  <c r="AC68" i="2"/>
  <c r="AC134" i="2"/>
  <c r="AC347" i="2" s="1"/>
  <c r="AC36" i="2"/>
  <c r="AC58" i="2"/>
  <c r="AC8" i="2"/>
  <c r="AC9" i="2" s="1"/>
  <c r="AC10" i="2" s="1"/>
  <c r="AC26" i="2" s="1"/>
  <c r="AC138" i="2"/>
  <c r="AC351" i="2" s="1"/>
  <c r="AC15" i="2"/>
  <c r="AC30" i="2"/>
  <c r="AC46" i="2"/>
  <c r="AC80" i="2"/>
  <c r="AC326" i="2" s="1"/>
  <c r="AC29" i="2"/>
  <c r="AC42" i="2"/>
  <c r="AC52" i="2"/>
  <c r="AC99" i="2"/>
  <c r="AC100" i="2" s="1"/>
  <c r="AC93" i="2" s="1"/>
  <c r="AC112" i="2"/>
  <c r="AC339" i="2" s="1"/>
  <c r="AC16" i="2"/>
  <c r="AC23" i="2"/>
  <c r="AC306" i="2" s="1"/>
  <c r="AC35" i="2"/>
  <c r="AC47" i="2"/>
  <c r="AC67" i="2"/>
  <c r="AC82" i="2"/>
  <c r="AC327" i="2" s="1"/>
  <c r="AD29" i="2"/>
  <c r="AQ364" i="2" l="1"/>
  <c r="AC309" i="2"/>
  <c r="W22" i="7"/>
  <c r="AD35" i="2"/>
  <c r="AD60" i="2"/>
  <c r="AD63" i="2"/>
  <c r="AD102" i="2"/>
  <c r="AD103" i="2" s="1"/>
  <c r="AC387" i="2"/>
  <c r="AQ289" i="2"/>
  <c r="AO8" i="6"/>
  <c r="AN22" i="6"/>
  <c r="AN10" i="6"/>
  <c r="AN11" i="6" s="1"/>
  <c r="AD99" i="2"/>
  <c r="AD100" i="2" s="1"/>
  <c r="AC373" i="2"/>
  <c r="AM23" i="6"/>
  <c r="AM24" i="6"/>
  <c r="AS119" i="2"/>
  <c r="AL26" i="6"/>
  <c r="AL25" i="6"/>
  <c r="AL31" i="6"/>
  <c r="AL27" i="6"/>
  <c r="AL29" i="6"/>
  <c r="AL28" i="6"/>
  <c r="AL30" i="6"/>
  <c r="AK32" i="6"/>
  <c r="AC358" i="2"/>
  <c r="AC366" i="2" s="1"/>
  <c r="AC148" i="2" s="1"/>
  <c r="AD384" i="2"/>
  <c r="AD385" i="2" s="1"/>
  <c r="AE386" i="2" s="1"/>
  <c r="AD370" i="2"/>
  <c r="AD371" i="2" s="1"/>
  <c r="AE372" i="2" s="1"/>
  <c r="AD151" i="2"/>
  <c r="AD154" i="2"/>
  <c r="AD355" i="2"/>
  <c r="AD356" i="2" s="1"/>
  <c r="AE357" i="2" s="1"/>
  <c r="AP365" i="2"/>
  <c r="AQ363" i="2"/>
  <c r="AR360" i="2" s="1"/>
  <c r="AD144" i="2"/>
  <c r="AD145" i="2"/>
  <c r="AD141" i="2"/>
  <c r="AD147" i="2"/>
  <c r="AD138" i="2"/>
  <c r="AD351" i="2" s="1"/>
  <c r="AD297" i="2"/>
  <c r="AB32" i="2"/>
  <c r="AB312" i="2" s="1"/>
  <c r="AB314" i="2"/>
  <c r="AB345" i="2"/>
  <c r="AB24" i="2"/>
  <c r="AB309" i="2"/>
  <c r="AD43" i="2"/>
  <c r="AD82" i="2"/>
  <c r="AD327" i="2" s="1"/>
  <c r="AD15" i="2"/>
  <c r="AD59" i="2"/>
  <c r="AD36" i="2"/>
  <c r="AD62" i="2"/>
  <c r="AD137" i="2"/>
  <c r="AD350" i="2" s="1"/>
  <c r="AD16" i="2"/>
  <c r="AD42" i="2"/>
  <c r="AD66" i="2"/>
  <c r="AD111" i="2"/>
  <c r="AD67" i="2"/>
  <c r="AD21" i="2"/>
  <c r="AD304" i="2" s="1"/>
  <c r="AD48" i="2"/>
  <c r="AD39" i="2"/>
  <c r="AD52" i="2"/>
  <c r="AD80" i="2"/>
  <c r="AD326" i="2" s="1"/>
  <c r="AD44" i="2"/>
  <c r="AD47" i="2"/>
  <c r="AD112" i="2"/>
  <c r="AD339" i="2" s="1"/>
  <c r="AC28" i="2"/>
  <c r="AC311" i="2" s="1"/>
  <c r="AC61" i="2"/>
  <c r="AC320" i="2" s="1"/>
  <c r="AD51" i="2"/>
  <c r="AD134" i="2"/>
  <c r="AD347" i="2" s="1"/>
  <c r="AD34" i="2"/>
  <c r="AD68" i="2"/>
  <c r="AD23" i="2"/>
  <c r="AD306" i="2" s="1"/>
  <c r="AD38" i="2"/>
  <c r="AD46" i="2"/>
  <c r="AD75" i="2"/>
  <c r="AD323" i="2" s="1"/>
  <c r="AC13" i="2"/>
  <c r="AC299" i="2" s="1"/>
  <c r="AC45" i="2"/>
  <c r="AC316" i="2" s="1"/>
  <c r="AC37" i="2"/>
  <c r="AC314" i="2" s="1"/>
  <c r="AC20" i="2"/>
  <c r="AC65" i="2"/>
  <c r="AC321" i="2" s="1"/>
  <c r="AC41" i="2"/>
  <c r="AC315" i="2" s="1"/>
  <c r="AC33" i="2"/>
  <c r="AC313" i="2" s="1"/>
  <c r="AC57" i="2"/>
  <c r="AC319" i="2" s="1"/>
  <c r="AD135" i="2"/>
  <c r="AD348" i="2" s="1"/>
  <c r="AD114" i="2"/>
  <c r="AD115" i="2"/>
  <c r="AC25" i="2"/>
  <c r="W21" i="7" s="1"/>
  <c r="AD136" i="2"/>
  <c r="AD349" i="2" s="1"/>
  <c r="AC113" i="2"/>
  <c r="AC49" i="2"/>
  <c r="AC317" i="2" s="1"/>
  <c r="AC132" i="2"/>
  <c r="AD17" i="2"/>
  <c r="AD300" i="2" s="1"/>
  <c r="AD22" i="2"/>
  <c r="AD305" i="2" s="1"/>
  <c r="AD31" i="2"/>
  <c r="AD40" i="2"/>
  <c r="AD50" i="2"/>
  <c r="AD64" i="2"/>
  <c r="AD69" i="2"/>
  <c r="AD322" i="2" s="1"/>
  <c r="AD133" i="2"/>
  <c r="AD346" i="2" s="1"/>
  <c r="AE11" i="2"/>
  <c r="AD30" i="2"/>
  <c r="AD58" i="2"/>
  <c r="AD8" i="2"/>
  <c r="AD9" i="2" s="1"/>
  <c r="AD10" i="2" s="1"/>
  <c r="AD26" i="2" s="1"/>
  <c r="AD309" i="2" l="1"/>
  <c r="X22" i="7"/>
  <c r="AD93" i="2"/>
  <c r="AD41" i="2"/>
  <c r="AD315" i="2" s="1"/>
  <c r="AD13" i="2"/>
  <c r="AD299" i="2" s="1"/>
  <c r="AD57" i="2"/>
  <c r="AD319" i="2" s="1"/>
  <c r="AD33" i="2"/>
  <c r="AD313" i="2" s="1"/>
  <c r="AD387" i="2"/>
  <c r="AR289" i="2"/>
  <c r="AM26" i="6"/>
  <c r="AM31" i="6"/>
  <c r="AM29" i="6"/>
  <c r="AM25" i="6"/>
  <c r="AM30" i="6"/>
  <c r="AM27" i="6"/>
  <c r="AM28" i="6"/>
  <c r="AN23" i="6"/>
  <c r="AN24" i="6"/>
  <c r="AT119" i="2"/>
  <c r="AL32" i="6"/>
  <c r="AP8" i="6"/>
  <c r="AO10" i="6"/>
  <c r="AO11" i="6" s="1"/>
  <c r="AO22" i="6"/>
  <c r="AD45" i="2"/>
  <c r="AD316" i="2" s="1"/>
  <c r="AD61" i="2"/>
  <c r="AD320" i="2" s="1"/>
  <c r="AD373" i="2"/>
  <c r="AQ365" i="2"/>
  <c r="AE384" i="2"/>
  <c r="AE385" i="2" s="1"/>
  <c r="AF386" i="2" s="1"/>
  <c r="AE370" i="2"/>
  <c r="AE371" i="2" s="1"/>
  <c r="AE373" i="2" s="1"/>
  <c r="AE151" i="2"/>
  <c r="AE154" i="2"/>
  <c r="AE355" i="2"/>
  <c r="AE356" i="2" s="1"/>
  <c r="AF357" i="2" s="1"/>
  <c r="AD358" i="2"/>
  <c r="AD366" i="2" s="1"/>
  <c r="AD148" i="2" s="1"/>
  <c r="AR363" i="2"/>
  <c r="AS360" i="2" s="1"/>
  <c r="AE145" i="2"/>
  <c r="AE141" i="2"/>
  <c r="AE147" i="2"/>
  <c r="AE144" i="2"/>
  <c r="AC24" i="2"/>
  <c r="AC308" i="2"/>
  <c r="AC303" i="2"/>
  <c r="AD65" i="2"/>
  <c r="AD321" i="2" s="1"/>
  <c r="AE137" i="2"/>
  <c r="AE350" i="2" s="1"/>
  <c r="AE297" i="2"/>
  <c r="AC345" i="2"/>
  <c r="AD49" i="2"/>
  <c r="AD317" i="2" s="1"/>
  <c r="AD37" i="2"/>
  <c r="AD314" i="2" s="1"/>
  <c r="AD20" i="2"/>
  <c r="AD303" i="2" s="1"/>
  <c r="AE21" i="2"/>
  <c r="AE304" i="2" s="1"/>
  <c r="AE40" i="2"/>
  <c r="AE67" i="2"/>
  <c r="AD132" i="2"/>
  <c r="AC32" i="2"/>
  <c r="AC312" i="2" s="1"/>
  <c r="AE99" i="2"/>
  <c r="AE100" i="2" s="1"/>
  <c r="AE29" i="2"/>
  <c r="AE66" i="2"/>
  <c r="AE23" i="2"/>
  <c r="AE306" i="2" s="1"/>
  <c r="AE30" i="2"/>
  <c r="AE48" i="2"/>
  <c r="AE15" i="2"/>
  <c r="AE22" i="2"/>
  <c r="AE305" i="2" s="1"/>
  <c r="AE34" i="2"/>
  <c r="AE47" i="2"/>
  <c r="AE63" i="2"/>
  <c r="AE112" i="2"/>
  <c r="AE339" i="2" s="1"/>
  <c r="AE44" i="2"/>
  <c r="AE16" i="2"/>
  <c r="AE46" i="2"/>
  <c r="AE136" i="2"/>
  <c r="AE349" i="2" s="1"/>
  <c r="AE17" i="2"/>
  <c r="AE300" i="2" s="1"/>
  <c r="AE133" i="2"/>
  <c r="AE346" i="2" s="1"/>
  <c r="AE43" i="2"/>
  <c r="AE14" i="2"/>
  <c r="AE36" i="2"/>
  <c r="AE60" i="2"/>
  <c r="AE75" i="2"/>
  <c r="AE323" i="2" s="1"/>
  <c r="AE138" i="2"/>
  <c r="AE351" i="2" s="1"/>
  <c r="AF11" i="2"/>
  <c r="AE42" i="2"/>
  <c r="AE8" i="2"/>
  <c r="AE9" i="2" s="1"/>
  <c r="AE10" i="2" s="1"/>
  <c r="AE26" i="2" s="1"/>
  <c r="AE80" i="2"/>
  <c r="AE326" i="2" s="1"/>
  <c r="AE102" i="2"/>
  <c r="AE103" i="2" s="1"/>
  <c r="AE51" i="2"/>
  <c r="AE31" i="2"/>
  <c r="AE35" i="2"/>
  <c r="AE64" i="2"/>
  <c r="AD25" i="2"/>
  <c r="X21" i="7" s="1"/>
  <c r="AD28" i="2"/>
  <c r="AD311" i="2" s="1"/>
  <c r="AE69" i="2"/>
  <c r="AE322" i="2" s="1"/>
  <c r="AD113" i="2"/>
  <c r="AE134" i="2"/>
  <c r="AE347" i="2" s="1"/>
  <c r="AE114" i="2"/>
  <c r="AE115" i="2"/>
  <c r="AE52" i="2"/>
  <c r="AE49" i="2" s="1"/>
  <c r="AE317" i="2" s="1"/>
  <c r="AE62" i="2"/>
  <c r="AE111" i="2"/>
  <c r="AE39" i="2"/>
  <c r="AE59" i="2"/>
  <c r="AE50" i="2"/>
  <c r="AE68" i="2"/>
  <c r="AE135" i="2"/>
  <c r="AE348" i="2" s="1"/>
  <c r="AE38" i="2"/>
  <c r="AE58" i="2"/>
  <c r="AE82" i="2"/>
  <c r="AE327" i="2" s="1"/>
  <c r="AR364" i="2" l="1"/>
  <c r="AR365" i="2" s="1"/>
  <c r="AE309" i="2"/>
  <c r="Y22" i="7"/>
  <c r="AS289" i="2"/>
  <c r="AM32" i="6"/>
  <c r="AE387" i="2"/>
  <c r="AO23" i="6"/>
  <c r="AO24" i="6"/>
  <c r="AU119" i="2"/>
  <c r="AQ8" i="6"/>
  <c r="AP22" i="6"/>
  <c r="AP10" i="6"/>
  <c r="AP11" i="6" s="1"/>
  <c r="AN26" i="6"/>
  <c r="AN31" i="6"/>
  <c r="AN29" i="6"/>
  <c r="AN28" i="6"/>
  <c r="AN30" i="6"/>
  <c r="AN25" i="6"/>
  <c r="AN27" i="6"/>
  <c r="AF384" i="2"/>
  <c r="AF385" i="2" s="1"/>
  <c r="AF387" i="2" s="1"/>
  <c r="AF370" i="2"/>
  <c r="AF371" i="2" s="1"/>
  <c r="AG372" i="2" s="1"/>
  <c r="AF151" i="2"/>
  <c r="AF154" i="2"/>
  <c r="AF355" i="2"/>
  <c r="AF356" i="2" s="1"/>
  <c r="AG357" i="2" s="1"/>
  <c r="AE33" i="2"/>
  <c r="AE313" i="2" s="1"/>
  <c r="AE358" i="2"/>
  <c r="AE366" i="2" s="1"/>
  <c r="AE148" i="2" s="1"/>
  <c r="AF372" i="2"/>
  <c r="AS363" i="2"/>
  <c r="AT360" i="2" s="1"/>
  <c r="AF145" i="2"/>
  <c r="AF141" i="2"/>
  <c r="AF144" i="2"/>
  <c r="AF147" i="2"/>
  <c r="AD345" i="2"/>
  <c r="AD32" i="2"/>
  <c r="AD312" i="2" s="1"/>
  <c r="AE65" i="2"/>
  <c r="AE321" i="2" s="1"/>
  <c r="AF137" i="2"/>
  <c r="AF350" i="2" s="1"/>
  <c r="AF297" i="2"/>
  <c r="AD24" i="2"/>
  <c r="AD308" i="2"/>
  <c r="AF60" i="2"/>
  <c r="AF22" i="2"/>
  <c r="AF305" i="2" s="1"/>
  <c r="AE41" i="2"/>
  <c r="AE315" i="2" s="1"/>
  <c r="AE28" i="2"/>
  <c r="AE311" i="2" s="1"/>
  <c r="AF82" i="2"/>
  <c r="AF327" i="2" s="1"/>
  <c r="AF31" i="2"/>
  <c r="AF50" i="2"/>
  <c r="AF58" i="2"/>
  <c r="AF134" i="2"/>
  <c r="AF347" i="2" s="1"/>
  <c r="AE61" i="2"/>
  <c r="AE320" i="2" s="1"/>
  <c r="AF16" i="2"/>
  <c r="AE20" i="2"/>
  <c r="AE303" i="2" s="1"/>
  <c r="AF114" i="2"/>
  <c r="AE25" i="2"/>
  <c r="Y21" i="7" s="1"/>
  <c r="AF111" i="2"/>
  <c r="AF17" i="2"/>
  <c r="AF300" i="2" s="1"/>
  <c r="AF34" i="2"/>
  <c r="AF64" i="2"/>
  <c r="AF102" i="2"/>
  <c r="AF103" i="2" s="1"/>
  <c r="AF44" i="2"/>
  <c r="AG11" i="2"/>
  <c r="AF42" i="2"/>
  <c r="AF67" i="2"/>
  <c r="AE13" i="2"/>
  <c r="AE299" i="2" s="1"/>
  <c r="AE45" i="2"/>
  <c r="AE316" i="2" s="1"/>
  <c r="AF15" i="2"/>
  <c r="AF23" i="2"/>
  <c r="AF306" i="2" s="1"/>
  <c r="AF35" i="2"/>
  <c r="AF48" i="2"/>
  <c r="AF133" i="2"/>
  <c r="AF346" i="2" s="1"/>
  <c r="AE57" i="2"/>
  <c r="AE319" i="2" s="1"/>
  <c r="AE113" i="2"/>
  <c r="AF39" i="2"/>
  <c r="AF38" i="2"/>
  <c r="AF47" i="2"/>
  <c r="AF62" i="2"/>
  <c r="AF75" i="2"/>
  <c r="AF323" i="2" s="1"/>
  <c r="AF112" i="2"/>
  <c r="AF339" i="2" s="1"/>
  <c r="AF52" i="2"/>
  <c r="AF40" i="2"/>
  <c r="AF138" i="2"/>
  <c r="AF351" i="2" s="1"/>
  <c r="AF30" i="2"/>
  <c r="AF43" i="2"/>
  <c r="AF51" i="2"/>
  <c r="AF63" i="2"/>
  <c r="AF69" i="2"/>
  <c r="AF322" i="2" s="1"/>
  <c r="AF136" i="2"/>
  <c r="AF349" i="2" s="1"/>
  <c r="AF14" i="2"/>
  <c r="AF21" i="2"/>
  <c r="AF304" i="2" s="1"/>
  <c r="AF29" i="2"/>
  <c r="AF36" i="2"/>
  <c r="AF46" i="2"/>
  <c r="AF66" i="2"/>
  <c r="AF99" i="2"/>
  <c r="AF100" i="2" s="1"/>
  <c r="AF135" i="2"/>
  <c r="AF348" i="2" s="1"/>
  <c r="AF115" i="2"/>
  <c r="AE93" i="2"/>
  <c r="AF59" i="2"/>
  <c r="AF8" i="2"/>
  <c r="AF9" i="2" s="1"/>
  <c r="AF10" i="2" s="1"/>
  <c r="AF25" i="2" s="1"/>
  <c r="AF68" i="2"/>
  <c r="AF80" i="2"/>
  <c r="AF326" i="2" s="1"/>
  <c r="AE37" i="2"/>
  <c r="AE314" i="2" s="1"/>
  <c r="AE132" i="2"/>
  <c r="AG40" i="2"/>
  <c r="AS364" i="2" l="1"/>
  <c r="AF49" i="2"/>
  <c r="AF317" i="2" s="1"/>
  <c r="AF308" i="2"/>
  <c r="Z21" i="7"/>
  <c r="AF373" i="2"/>
  <c r="AR8" i="6"/>
  <c r="AQ10" i="6"/>
  <c r="AQ11" i="6" s="1"/>
  <c r="AQ22" i="6"/>
  <c r="AT289" i="2"/>
  <c r="AN32" i="6"/>
  <c r="AO27" i="6"/>
  <c r="AO26" i="6"/>
  <c r="AO30" i="6"/>
  <c r="AO25" i="6"/>
  <c r="AO31" i="6"/>
  <c r="AO29" i="6"/>
  <c r="AO28" i="6"/>
  <c r="AP23" i="6"/>
  <c r="AP24" i="6"/>
  <c r="AV119" i="2"/>
  <c r="AF358" i="2"/>
  <c r="AF366" i="2" s="1"/>
  <c r="AF148" i="2" s="1"/>
  <c r="AF61" i="2"/>
  <c r="AF320" i="2" s="1"/>
  <c r="AG151" i="2"/>
  <c r="AG384" i="2"/>
  <c r="AG385" i="2" s="1"/>
  <c r="AH386" i="2" s="1"/>
  <c r="AG370" i="2"/>
  <c r="AG371" i="2" s="1"/>
  <c r="AG373" i="2" s="1"/>
  <c r="AG154" i="2"/>
  <c r="AG355" i="2"/>
  <c r="AG356" i="2" s="1"/>
  <c r="AH357" i="2" s="1"/>
  <c r="AG386" i="2"/>
  <c r="AS365" i="2"/>
  <c r="AT363" i="2"/>
  <c r="AU360" i="2" s="1"/>
  <c r="AG145" i="2"/>
  <c r="AG141" i="2"/>
  <c r="AG147" i="2"/>
  <c r="AG144" i="2"/>
  <c r="AG114" i="2"/>
  <c r="AG297" i="2"/>
  <c r="AE345" i="2"/>
  <c r="AF57" i="2"/>
  <c r="AF319" i="2" s="1"/>
  <c r="AE24" i="2"/>
  <c r="AE308" i="2"/>
  <c r="AF28" i="2"/>
  <c r="AF311" i="2" s="1"/>
  <c r="AG34" i="2"/>
  <c r="AG75" i="2"/>
  <c r="AG323" i="2" s="1"/>
  <c r="AG46" i="2"/>
  <c r="AG137" i="2"/>
  <c r="AG350" i="2" s="1"/>
  <c r="AG69" i="2"/>
  <c r="AG322" i="2" s="1"/>
  <c r="AG42" i="2"/>
  <c r="AG60" i="2"/>
  <c r="AG51" i="2"/>
  <c r="AG8" i="2"/>
  <c r="AG9" i="2" s="1"/>
  <c r="AG10" i="2" s="1"/>
  <c r="AG25" i="2" s="1"/>
  <c r="AG17" i="2"/>
  <c r="AG300" i="2" s="1"/>
  <c r="AG112" i="2"/>
  <c r="AG339" i="2" s="1"/>
  <c r="AG22" i="2"/>
  <c r="AG305" i="2" s="1"/>
  <c r="AG21" i="2"/>
  <c r="AG304" i="2" s="1"/>
  <c r="AG136" i="2"/>
  <c r="AG349" i="2" s="1"/>
  <c r="AG35" i="2"/>
  <c r="AF65" i="2"/>
  <c r="AF321" i="2" s="1"/>
  <c r="AG31" i="2"/>
  <c r="AG38" i="2"/>
  <c r="AG48" i="2"/>
  <c r="AG64" i="2"/>
  <c r="AG82" i="2"/>
  <c r="AG327" i="2" s="1"/>
  <c r="AG14" i="2"/>
  <c r="AG23" i="2"/>
  <c r="AG306" i="2" s="1"/>
  <c r="AG39" i="2"/>
  <c r="AG50" i="2"/>
  <c r="AG63" i="2"/>
  <c r="AG135" i="2"/>
  <c r="AG348" i="2" s="1"/>
  <c r="AG16" i="2"/>
  <c r="AG44" i="2"/>
  <c r="AG59" i="2"/>
  <c r="AG62" i="2"/>
  <c r="AG99" i="2"/>
  <c r="AG100" i="2" s="1"/>
  <c r="AG102" i="2"/>
  <c r="AG103" i="2" s="1"/>
  <c r="AF33" i="2"/>
  <c r="AF313" i="2" s="1"/>
  <c r="AF41" i="2"/>
  <c r="AF315" i="2" s="1"/>
  <c r="AF45" i="2"/>
  <c r="AF316" i="2" s="1"/>
  <c r="AG15" i="2"/>
  <c r="AG29" i="2"/>
  <c r="AG43" i="2"/>
  <c r="AG58" i="2"/>
  <c r="AG67" i="2"/>
  <c r="AG133" i="2"/>
  <c r="AG346" i="2" s="1"/>
  <c r="AG115" i="2"/>
  <c r="AG113" i="2" s="1"/>
  <c r="AH11" i="2"/>
  <c r="AH58" i="2" s="1"/>
  <c r="AG30" i="2"/>
  <c r="AG36" i="2"/>
  <c r="AG52" i="2"/>
  <c r="AG66" i="2"/>
  <c r="AG134" i="2"/>
  <c r="AG347" i="2" s="1"/>
  <c r="AE32" i="2"/>
  <c r="AE312" i="2" s="1"/>
  <c r="AF113" i="2"/>
  <c r="AF13" i="2"/>
  <c r="AF299" i="2" s="1"/>
  <c r="AF93" i="2"/>
  <c r="AG111" i="2"/>
  <c r="AF132" i="2"/>
  <c r="AG47" i="2"/>
  <c r="AG68" i="2"/>
  <c r="AG80" i="2"/>
  <c r="AG326" i="2" s="1"/>
  <c r="AG138" i="2"/>
  <c r="AG351" i="2" s="1"/>
  <c r="AF20" i="2"/>
  <c r="AF303" i="2" s="1"/>
  <c r="AF37" i="2"/>
  <c r="AF314" i="2" s="1"/>
  <c r="AF26" i="2"/>
  <c r="Z22" i="7" s="1"/>
  <c r="AU364" i="2" l="1"/>
  <c r="AT364" i="2"/>
  <c r="AT365" i="2" s="1"/>
  <c r="AG308" i="2"/>
  <c r="AA21" i="7"/>
  <c r="AG387" i="2"/>
  <c r="AO32" i="6"/>
  <c r="AQ23" i="6"/>
  <c r="AQ24" i="6"/>
  <c r="AW119" i="2"/>
  <c r="AP25" i="6"/>
  <c r="AP26" i="6"/>
  <c r="AP27" i="6"/>
  <c r="AP30" i="6"/>
  <c r="AP31" i="6"/>
  <c r="AP29" i="6"/>
  <c r="AP28" i="6"/>
  <c r="AU289" i="2"/>
  <c r="AS8" i="6"/>
  <c r="AR10" i="6"/>
  <c r="AR11" i="6" s="1"/>
  <c r="AR22" i="6"/>
  <c r="AH23" i="2"/>
  <c r="AH306" i="2" s="1"/>
  <c r="AH48" i="2"/>
  <c r="AH15" i="2"/>
  <c r="AG93" i="2"/>
  <c r="AH151" i="2"/>
  <c r="AH384" i="2"/>
  <c r="AH385" i="2" s="1"/>
  <c r="AI386" i="2" s="1"/>
  <c r="AH370" i="2"/>
  <c r="AH371" i="2" s="1"/>
  <c r="AH154" i="2"/>
  <c r="AH355" i="2"/>
  <c r="AH356" i="2" s="1"/>
  <c r="AI357" i="2" s="1"/>
  <c r="AH30" i="2"/>
  <c r="AH63" i="2"/>
  <c r="AH44" i="2"/>
  <c r="AH137" i="2"/>
  <c r="AH350" i="2" s="1"/>
  <c r="AH38" i="2"/>
  <c r="AG358" i="2"/>
  <c r="AG366" i="2" s="1"/>
  <c r="AG148" i="2" s="1"/>
  <c r="AH358" i="2"/>
  <c r="AH22" i="2"/>
  <c r="AH305" i="2" s="1"/>
  <c r="AH66" i="2"/>
  <c r="AH372" i="2"/>
  <c r="AH36" i="2"/>
  <c r="AH99" i="2"/>
  <c r="AH100" i="2" s="1"/>
  <c r="AH35" i="2"/>
  <c r="AH112" i="2"/>
  <c r="AH339" i="2" s="1"/>
  <c r="AU363" i="2"/>
  <c r="AV360" i="2" s="1"/>
  <c r="AG37" i="2"/>
  <c r="AG314" i="2" s="1"/>
  <c r="AG26" i="2"/>
  <c r="AA22" i="7" s="1"/>
  <c r="AH141" i="2"/>
  <c r="AH147" i="2"/>
  <c r="AH144" i="2"/>
  <c r="AH145" i="2"/>
  <c r="AF24" i="2"/>
  <c r="AF309" i="2"/>
  <c r="AG61" i="2"/>
  <c r="AG320" i="2" s="1"/>
  <c r="AG20" i="2"/>
  <c r="AG303" i="2" s="1"/>
  <c r="AG13" i="2"/>
  <c r="AG299" i="2" s="1"/>
  <c r="AH138" i="2"/>
  <c r="AH351" i="2" s="1"/>
  <c r="AH297" i="2"/>
  <c r="AG49" i="2"/>
  <c r="AG317" i="2" s="1"/>
  <c r="AG45" i="2"/>
  <c r="AG316" i="2" s="1"/>
  <c r="AF345" i="2"/>
  <c r="AG28" i="2"/>
  <c r="AG311" i="2" s="1"/>
  <c r="AG132" i="2"/>
  <c r="AG65" i="2"/>
  <c r="AG321" i="2" s="1"/>
  <c r="AG33" i="2"/>
  <c r="AG313" i="2" s="1"/>
  <c r="AG57" i="2"/>
  <c r="AG319" i="2" s="1"/>
  <c r="AG41" i="2"/>
  <c r="AG315" i="2" s="1"/>
  <c r="AF32" i="2"/>
  <c r="AF312" i="2" s="1"/>
  <c r="AH21" i="2"/>
  <c r="AH51" i="2"/>
  <c r="AH47" i="2"/>
  <c r="AH102" i="2"/>
  <c r="AH103" i="2" s="1"/>
  <c r="AH40" i="2"/>
  <c r="AH8" i="2"/>
  <c r="AH9" i="2" s="1"/>
  <c r="AH10" i="2" s="1"/>
  <c r="AH26" i="2" s="1"/>
  <c r="AH80" i="2"/>
  <c r="AH326" i="2" s="1"/>
  <c r="AH114" i="2"/>
  <c r="AH14" i="2"/>
  <c r="AH42" i="2"/>
  <c r="AH60" i="2"/>
  <c r="AH62" i="2"/>
  <c r="AH75" i="2"/>
  <c r="AH323" i="2" s="1"/>
  <c r="AH111" i="2"/>
  <c r="AH115" i="2"/>
  <c r="AH43" i="2"/>
  <c r="AH52" i="2"/>
  <c r="AH82" i="2"/>
  <c r="AH327" i="2" s="1"/>
  <c r="AH136" i="2"/>
  <c r="AH349" i="2" s="1"/>
  <c r="AH17" i="2"/>
  <c r="AH300" i="2" s="1"/>
  <c r="AH31" i="2"/>
  <c r="AH69" i="2"/>
  <c r="AH322" i="2" s="1"/>
  <c r="AH134" i="2"/>
  <c r="AH347" i="2" s="1"/>
  <c r="AH46" i="2"/>
  <c r="AH64" i="2"/>
  <c r="AH135" i="2"/>
  <c r="AH348" i="2" s="1"/>
  <c r="AH16" i="2"/>
  <c r="AH34" i="2"/>
  <c r="AH50" i="2"/>
  <c r="AH67" i="2"/>
  <c r="AH133" i="2"/>
  <c r="AH346" i="2" s="1"/>
  <c r="AI11" i="2"/>
  <c r="AI134" i="2" s="1"/>
  <c r="AI347" i="2" s="1"/>
  <c r="AH29" i="2"/>
  <c r="AH39" i="2"/>
  <c r="AH59" i="2"/>
  <c r="AH68" i="2"/>
  <c r="AV364" i="2" l="1"/>
  <c r="AH309" i="2"/>
  <c r="AB22" i="7"/>
  <c r="AH45" i="2"/>
  <c r="AH316" i="2" s="1"/>
  <c r="AH13" i="2"/>
  <c r="AH299" i="2" s="1"/>
  <c r="AI62" i="2"/>
  <c r="AG32" i="2"/>
  <c r="AG312" i="2" s="1"/>
  <c r="AH33" i="2"/>
  <c r="AH313" i="2" s="1"/>
  <c r="AI69" i="2"/>
  <c r="AI322" i="2" s="1"/>
  <c r="AJ11" i="2"/>
  <c r="AJ384" i="2" s="1"/>
  <c r="AI29" i="2"/>
  <c r="AI138" i="2"/>
  <c r="AI351" i="2" s="1"/>
  <c r="AI36" i="2"/>
  <c r="AI42" i="2"/>
  <c r="AI43" i="2"/>
  <c r="AI47" i="2"/>
  <c r="AI52" i="2"/>
  <c r="AI16" i="2"/>
  <c r="AI51" i="2"/>
  <c r="AI111" i="2"/>
  <c r="AI8" i="2"/>
  <c r="AI9" i="2" s="1"/>
  <c r="AI10" i="2" s="1"/>
  <c r="AI25" i="2" s="1"/>
  <c r="AI112" i="2"/>
  <c r="AI339" i="2" s="1"/>
  <c r="AH61" i="2"/>
  <c r="AH320" i="2" s="1"/>
  <c r="AR23" i="6"/>
  <c r="AR24" i="6"/>
  <c r="AX119" i="2"/>
  <c r="AT8" i="6"/>
  <c r="AS10" i="6"/>
  <c r="AS11" i="6" s="1"/>
  <c r="AS22" i="6"/>
  <c r="AV289" i="2"/>
  <c r="AH387" i="2"/>
  <c r="AP32" i="6"/>
  <c r="AH373" i="2"/>
  <c r="AQ25" i="6"/>
  <c r="AQ28" i="6"/>
  <c r="AQ31" i="6"/>
  <c r="AQ30" i="6"/>
  <c r="AQ26" i="6"/>
  <c r="AQ29" i="6"/>
  <c r="AQ27" i="6"/>
  <c r="AI23" i="2"/>
  <c r="AI306" i="2" s="1"/>
  <c r="AI35" i="2"/>
  <c r="AI46" i="2"/>
  <c r="AI66" i="2"/>
  <c r="AI80" i="2"/>
  <c r="AI326" i="2" s="1"/>
  <c r="AI137" i="2"/>
  <c r="AI350" i="2" s="1"/>
  <c r="AI22" i="2"/>
  <c r="AI305" i="2" s="1"/>
  <c r="AI40" i="2"/>
  <c r="AI50" i="2"/>
  <c r="AI64" i="2"/>
  <c r="AI75" i="2"/>
  <c r="AI323" i="2" s="1"/>
  <c r="AI136" i="2"/>
  <c r="AI349" i="2" s="1"/>
  <c r="AI15" i="2"/>
  <c r="AI21" i="2"/>
  <c r="AI304" i="2" s="1"/>
  <c r="AI39" i="2"/>
  <c r="AI59" i="2"/>
  <c r="AI67" i="2"/>
  <c r="AI115" i="2"/>
  <c r="AI17" i="2"/>
  <c r="AI300" i="2" s="1"/>
  <c r="AI30" i="2"/>
  <c r="AI44" i="2"/>
  <c r="AI48" i="2"/>
  <c r="AI63" i="2"/>
  <c r="AI99" i="2"/>
  <c r="AI14" i="2"/>
  <c r="AI31" i="2"/>
  <c r="AI38" i="2"/>
  <c r="AI58" i="2"/>
  <c r="AI68" i="2"/>
  <c r="AI133" i="2"/>
  <c r="AI346" i="2" s="1"/>
  <c r="AJ151" i="2"/>
  <c r="AH49" i="2"/>
  <c r="AH317" i="2" s="1"/>
  <c r="AH366" i="2"/>
  <c r="AH148" i="2" s="1"/>
  <c r="AG24" i="2"/>
  <c r="AI372" i="2"/>
  <c r="AI151" i="2"/>
  <c r="AI384" i="2"/>
  <c r="AI385" i="2" s="1"/>
  <c r="AI387" i="2" s="1"/>
  <c r="AI370" i="2"/>
  <c r="AI371" i="2" s="1"/>
  <c r="AJ372" i="2" s="1"/>
  <c r="AI154" i="2"/>
  <c r="AI355" i="2"/>
  <c r="AI356" i="2" s="1"/>
  <c r="AJ357" i="2" s="1"/>
  <c r="AU365" i="2"/>
  <c r="AV363" i="2"/>
  <c r="AW360" i="2" s="1"/>
  <c r="AH28" i="2"/>
  <c r="AH311" i="2" s="1"/>
  <c r="AI147" i="2"/>
  <c r="AI144" i="2"/>
  <c r="AI145" i="2"/>
  <c r="AI141" i="2"/>
  <c r="AG309" i="2"/>
  <c r="AJ297" i="2"/>
  <c r="AJ147" i="2"/>
  <c r="AJ144" i="2"/>
  <c r="AI114" i="2"/>
  <c r="AI113" i="2" s="1"/>
  <c r="AI297" i="2"/>
  <c r="AG345" i="2"/>
  <c r="AH113" i="2"/>
  <c r="AH20" i="2"/>
  <c r="AH303" i="2" s="1"/>
  <c r="AH304" i="2"/>
  <c r="AH37" i="2"/>
  <c r="AH314" i="2" s="1"/>
  <c r="AH57" i="2"/>
  <c r="AH319" i="2" s="1"/>
  <c r="AH65" i="2"/>
  <c r="AH321" i="2" s="1"/>
  <c r="AH132" i="2"/>
  <c r="AH93" i="2"/>
  <c r="AI82" i="2"/>
  <c r="AI327" i="2" s="1"/>
  <c r="AI102" i="2"/>
  <c r="AI103" i="2" s="1"/>
  <c r="AH41" i="2"/>
  <c r="AH25" i="2"/>
  <c r="AB21" i="7" s="1"/>
  <c r="AI34" i="2"/>
  <c r="AI60" i="2"/>
  <c r="AI135" i="2"/>
  <c r="AJ114" i="2"/>
  <c r="AJ102" i="2"/>
  <c r="AJ138" i="2"/>
  <c r="AJ351" i="2" s="1"/>
  <c r="AJ111" i="2"/>
  <c r="AJ135" i="2"/>
  <c r="AJ348" i="2" s="1"/>
  <c r="AJ134" i="2"/>
  <c r="AJ347" i="2" s="1"/>
  <c r="AJ136" i="2"/>
  <c r="AJ349" i="2" s="1"/>
  <c r="AJ133" i="2"/>
  <c r="AJ346" i="2" s="1"/>
  <c r="AI100" i="2"/>
  <c r="AJ99" i="2"/>
  <c r="AJ75" i="2"/>
  <c r="AJ323" i="2" s="1"/>
  <c r="AJ80" i="2"/>
  <c r="AJ326" i="2" s="1"/>
  <c r="AJ69" i="2"/>
  <c r="AJ322" i="2" s="1"/>
  <c r="AJ67" i="2"/>
  <c r="AJ63" i="2"/>
  <c r="AJ68" i="2"/>
  <c r="AI49" i="2"/>
  <c r="AI317" i="2" s="1"/>
  <c r="AJ8" i="2"/>
  <c r="AJ58" i="2"/>
  <c r="AJ48" i="2"/>
  <c r="AJ60" i="2"/>
  <c r="AJ46" i="2"/>
  <c r="AJ51" i="2"/>
  <c r="AJ52" i="2"/>
  <c r="AJ31" i="2"/>
  <c r="AJ34" i="2"/>
  <c r="AJ40" i="2"/>
  <c r="AJ35" i="2"/>
  <c r="AJ43" i="2"/>
  <c r="AJ29" i="2"/>
  <c r="AJ30" i="2"/>
  <c r="AJ21" i="2"/>
  <c r="AJ304" i="2" s="1"/>
  <c r="AJ22" i="2"/>
  <c r="AJ305" i="2" s="1"/>
  <c r="AJ23" i="2"/>
  <c r="AJ306" i="2" s="1"/>
  <c r="AK11" i="2"/>
  <c r="AJ15" i="2"/>
  <c r="AJ16" i="2"/>
  <c r="AJ38" i="2" l="1"/>
  <c r="AJ47" i="2"/>
  <c r="AJ62" i="2"/>
  <c r="AJ115" i="2"/>
  <c r="AJ355" i="2"/>
  <c r="AJ356" i="2" s="1"/>
  <c r="AK357" i="2" s="1"/>
  <c r="AJ154" i="2"/>
  <c r="AI308" i="2"/>
  <c r="AC21" i="7"/>
  <c r="AI61" i="2"/>
  <c r="AI320" i="2" s="1"/>
  <c r="AI65" i="2"/>
  <c r="AI321" i="2" s="1"/>
  <c r="AI41" i="2"/>
  <c r="AI315" i="2" s="1"/>
  <c r="AI373" i="2"/>
  <c r="AJ141" i="2"/>
  <c r="AJ370" i="2"/>
  <c r="AJ371" i="2" s="1"/>
  <c r="AK372" i="2" s="1"/>
  <c r="AJ14" i="2"/>
  <c r="AJ13" i="2" s="1"/>
  <c r="AJ299" i="2" s="1"/>
  <c r="AJ42" i="2"/>
  <c r="AJ39" i="2"/>
  <c r="AJ37" i="2" s="1"/>
  <c r="AJ314" i="2" s="1"/>
  <c r="AJ50" i="2"/>
  <c r="AJ66" i="2"/>
  <c r="AJ82" i="2"/>
  <c r="AJ327" i="2" s="1"/>
  <c r="AJ112" i="2"/>
  <c r="AJ339" i="2" s="1"/>
  <c r="AJ17" i="2"/>
  <c r="AJ300" i="2" s="1"/>
  <c r="AJ36" i="2"/>
  <c r="AJ44" i="2"/>
  <c r="AJ59" i="2"/>
  <c r="AJ57" i="2" s="1"/>
  <c r="AJ319" i="2" s="1"/>
  <c r="AJ64" i="2"/>
  <c r="AJ137" i="2"/>
  <c r="AJ350" i="2" s="1"/>
  <c r="AJ145" i="2"/>
  <c r="AI33" i="2"/>
  <c r="AI313" i="2" s="1"/>
  <c r="AI28" i="2"/>
  <c r="AI311" i="2" s="1"/>
  <c r="AI20" i="2"/>
  <c r="AI303" i="2" s="1"/>
  <c r="AI37" i="2"/>
  <c r="AI314" i="2" s="1"/>
  <c r="AI45" i="2"/>
  <c r="AI316" i="2" s="1"/>
  <c r="AI13" i="2"/>
  <c r="AI299" i="2" s="1"/>
  <c r="AI57" i="2"/>
  <c r="AI319" i="2" s="1"/>
  <c r="AJ9" i="2"/>
  <c r="AJ10" i="2" s="1"/>
  <c r="AJ25" i="2" s="1"/>
  <c r="AQ32" i="6"/>
  <c r="AS23" i="6"/>
  <c r="AS24" i="6"/>
  <c r="AY119" i="2"/>
  <c r="AW289" i="2"/>
  <c r="AU8" i="6"/>
  <c r="AT22" i="6"/>
  <c r="AT10" i="6"/>
  <c r="AT11" i="6" s="1"/>
  <c r="AR29" i="6"/>
  <c r="AR27" i="6"/>
  <c r="AR28" i="6"/>
  <c r="AR25" i="6"/>
  <c r="AR30" i="6"/>
  <c r="AR26" i="6"/>
  <c r="AR31" i="6"/>
  <c r="AK151" i="2"/>
  <c r="AK384" i="2"/>
  <c r="AK385" i="2" s="1"/>
  <c r="AL386" i="2" s="1"/>
  <c r="AK370" i="2"/>
  <c r="AK371" i="2" s="1"/>
  <c r="AL372" i="2" s="1"/>
  <c r="AK154" i="2"/>
  <c r="AK355" i="2"/>
  <c r="AK356" i="2" s="1"/>
  <c r="AL357" i="2" s="1"/>
  <c r="AI358" i="2"/>
  <c r="AI366" i="2" s="1"/>
  <c r="AI148" i="2" s="1"/>
  <c r="AJ386" i="2"/>
  <c r="AJ385" i="2"/>
  <c r="AV365" i="2"/>
  <c r="AW363" i="2"/>
  <c r="AX360" i="2" s="1"/>
  <c r="AK297" i="2"/>
  <c r="AK147" i="2"/>
  <c r="AK144" i="2"/>
  <c r="AK145" i="2"/>
  <c r="AK141" i="2"/>
  <c r="AH32" i="2"/>
  <c r="AH312" i="2" s="1"/>
  <c r="AH315" i="2"/>
  <c r="AI132" i="2"/>
  <c r="AI348" i="2"/>
  <c r="AJ100" i="2"/>
  <c r="AH345" i="2"/>
  <c r="AH24" i="2"/>
  <c r="AH308" i="2"/>
  <c r="AJ103" i="2"/>
  <c r="AI26" i="2"/>
  <c r="AC22" i="7" s="1"/>
  <c r="AI93" i="2"/>
  <c r="AJ113" i="2"/>
  <c r="AK114" i="2"/>
  <c r="AK115" i="2"/>
  <c r="AJ132" i="2"/>
  <c r="AK102" i="2"/>
  <c r="AK137" i="2"/>
  <c r="AK350" i="2" s="1"/>
  <c r="AK112" i="2"/>
  <c r="AK339" i="2" s="1"/>
  <c r="AK138" i="2"/>
  <c r="AK351" i="2" s="1"/>
  <c r="AK134" i="2"/>
  <c r="AK347" i="2" s="1"/>
  <c r="AK111" i="2"/>
  <c r="AK135" i="2"/>
  <c r="AK348" i="2" s="1"/>
  <c r="AK136" i="2"/>
  <c r="AK349" i="2" s="1"/>
  <c r="AK133" i="2"/>
  <c r="AK346" i="2" s="1"/>
  <c r="AK82" i="2"/>
  <c r="AK327" i="2" s="1"/>
  <c r="AK99" i="2"/>
  <c r="AJ65" i="2"/>
  <c r="AJ321" i="2" s="1"/>
  <c r="AK75" i="2"/>
  <c r="AK323" i="2" s="1"/>
  <c r="AK80" i="2"/>
  <c r="AK326" i="2" s="1"/>
  <c r="AK69" i="2"/>
  <c r="AK322" i="2" s="1"/>
  <c r="AJ45" i="2"/>
  <c r="AJ316" i="2" s="1"/>
  <c r="AJ61" i="2"/>
  <c r="AJ320" i="2" s="1"/>
  <c r="AJ49" i="2"/>
  <c r="AJ317" i="2" s="1"/>
  <c r="AK66" i="2"/>
  <c r="AK67" i="2"/>
  <c r="AK68" i="2"/>
  <c r="AK62" i="2"/>
  <c r="AK64" i="2"/>
  <c r="AK63" i="2"/>
  <c r="AK8" i="2"/>
  <c r="AK9" i="2" s="1"/>
  <c r="AK10" i="2" s="1"/>
  <c r="AK26" i="2" s="1"/>
  <c r="AK59" i="2"/>
  <c r="AK50" i="2"/>
  <c r="AK60" i="2"/>
  <c r="AK46" i="2"/>
  <c r="AK51" i="2"/>
  <c r="AK47" i="2"/>
  <c r="AK52" i="2"/>
  <c r="AK58" i="2"/>
  <c r="AK48" i="2"/>
  <c r="AK44" i="2"/>
  <c r="AK39" i="2"/>
  <c r="AK34" i="2"/>
  <c r="AK40" i="2"/>
  <c r="AK35" i="2"/>
  <c r="AK42" i="2"/>
  <c r="AK36" i="2"/>
  <c r="AK43" i="2"/>
  <c r="AK38" i="2"/>
  <c r="AK31" i="2"/>
  <c r="AK29" i="2"/>
  <c r="AK30" i="2"/>
  <c r="AJ33" i="2"/>
  <c r="AJ313" i="2" s="1"/>
  <c r="AJ28" i="2"/>
  <c r="AJ311" i="2" s="1"/>
  <c r="AK21" i="2"/>
  <c r="AK304" i="2" s="1"/>
  <c r="AK22" i="2"/>
  <c r="AK305" i="2" s="1"/>
  <c r="AK23" i="2"/>
  <c r="AK306" i="2" s="1"/>
  <c r="AJ20" i="2"/>
  <c r="AJ303" i="2" s="1"/>
  <c r="AL11" i="2"/>
  <c r="AK15" i="2"/>
  <c r="AK14" i="2"/>
  <c r="AK17" i="2"/>
  <c r="AK300" i="2" s="1"/>
  <c r="AK16" i="2"/>
  <c r="AW364" i="2" l="1"/>
  <c r="AJ308" i="2"/>
  <c r="AD21" i="7"/>
  <c r="AK309" i="2"/>
  <c r="AE22" i="7"/>
  <c r="AJ41" i="2"/>
  <c r="AJ315" i="2" s="1"/>
  <c r="AI32" i="2"/>
  <c r="AI312" i="2" s="1"/>
  <c r="AJ26" i="2"/>
  <c r="AJ387" i="2"/>
  <c r="AR32" i="6"/>
  <c r="AK103" i="2"/>
  <c r="AK373" i="2"/>
  <c r="AV8" i="6"/>
  <c r="AU22" i="6"/>
  <c r="AU10" i="6"/>
  <c r="AU11" i="6" s="1"/>
  <c r="AX289" i="2"/>
  <c r="AJ373" i="2"/>
  <c r="AT23" i="6"/>
  <c r="AT24" i="6"/>
  <c r="AZ119" i="2"/>
  <c r="AS30" i="6"/>
  <c r="AS26" i="6"/>
  <c r="AS28" i="6"/>
  <c r="AS27" i="6"/>
  <c r="AS29" i="6"/>
  <c r="AS31" i="6"/>
  <c r="AS25" i="6"/>
  <c r="AJ93" i="2"/>
  <c r="AK100" i="2"/>
  <c r="AJ358" i="2"/>
  <c r="AJ366" i="2" s="1"/>
  <c r="AJ148" i="2" s="1"/>
  <c r="AK386" i="2"/>
  <c r="AK387" i="2" s="1"/>
  <c r="AK358" i="2"/>
  <c r="AL384" i="2"/>
  <c r="AL385" i="2" s="1"/>
  <c r="AM386" i="2" s="1"/>
  <c r="AL370" i="2"/>
  <c r="AL371" i="2" s="1"/>
  <c r="AM372" i="2" s="1"/>
  <c r="AL151" i="2"/>
  <c r="AL154" i="2"/>
  <c r="AL355" i="2"/>
  <c r="AL356" i="2" s="1"/>
  <c r="AM357" i="2" s="1"/>
  <c r="AW365" i="2"/>
  <c r="AX363" i="2"/>
  <c r="AY360" i="2" s="1"/>
  <c r="AL297" i="2"/>
  <c r="AL144" i="2"/>
  <c r="AL145" i="2"/>
  <c r="AL141" i="2"/>
  <c r="AL147" i="2"/>
  <c r="AJ345" i="2"/>
  <c r="AI24" i="2"/>
  <c r="AI309" i="2"/>
  <c r="AI345" i="2"/>
  <c r="AL114" i="2"/>
  <c r="AL115" i="2"/>
  <c r="AK113" i="2"/>
  <c r="AK132" i="2"/>
  <c r="AL102" i="2"/>
  <c r="AL103" i="2" s="1"/>
  <c r="AL112" i="2"/>
  <c r="AL339" i="2" s="1"/>
  <c r="AL138" i="2"/>
  <c r="AL351" i="2" s="1"/>
  <c r="AL134" i="2"/>
  <c r="AL347" i="2" s="1"/>
  <c r="AL111" i="2"/>
  <c r="AL135" i="2"/>
  <c r="AL348" i="2" s="1"/>
  <c r="AL136" i="2"/>
  <c r="AL349" i="2" s="1"/>
  <c r="AL133" i="2"/>
  <c r="AL346" i="2" s="1"/>
  <c r="AL137" i="2"/>
  <c r="AL350" i="2" s="1"/>
  <c r="AK93" i="2"/>
  <c r="AL82" i="2"/>
  <c r="AL327" i="2" s="1"/>
  <c r="AL99" i="2"/>
  <c r="AL100" i="2" s="1"/>
  <c r="AK37" i="2"/>
  <c r="AK314" i="2" s="1"/>
  <c r="AL80" i="2"/>
  <c r="AL326" i="2" s="1"/>
  <c r="AL69" i="2"/>
  <c r="AL322" i="2" s="1"/>
  <c r="AL75" i="2"/>
  <c r="AL323" i="2" s="1"/>
  <c r="AK65" i="2"/>
  <c r="AK321" i="2" s="1"/>
  <c r="AK57" i="2"/>
  <c r="AK319" i="2" s="1"/>
  <c r="AK45" i="2"/>
  <c r="AK316" i="2" s="1"/>
  <c r="AK61" i="2"/>
  <c r="AK320" i="2" s="1"/>
  <c r="AL68" i="2"/>
  <c r="AL64" i="2"/>
  <c r="AL67" i="2"/>
  <c r="AL66" i="2"/>
  <c r="AL63" i="2"/>
  <c r="AL62" i="2"/>
  <c r="AK41" i="2"/>
  <c r="AK315" i="2" s="1"/>
  <c r="AK28" i="2"/>
  <c r="AK311" i="2" s="1"/>
  <c r="AK25" i="2"/>
  <c r="AE21" i="7" s="1"/>
  <c r="AK49" i="2"/>
  <c r="AK317" i="2" s="1"/>
  <c r="AL8" i="2"/>
  <c r="AL9" i="2" s="1"/>
  <c r="AL10" i="2" s="1"/>
  <c r="AL26" i="2" s="1"/>
  <c r="AL59" i="2"/>
  <c r="AL50" i="2"/>
  <c r="AL60" i="2"/>
  <c r="AL46" i="2"/>
  <c r="AL51" i="2"/>
  <c r="AL47" i="2"/>
  <c r="AL52" i="2"/>
  <c r="AL58" i="2"/>
  <c r="AL48" i="2"/>
  <c r="AL40" i="2"/>
  <c r="AL35" i="2"/>
  <c r="AL42" i="2"/>
  <c r="AL36" i="2"/>
  <c r="AL43" i="2"/>
  <c r="AL44" i="2"/>
  <c r="AL38" i="2"/>
  <c r="AL30" i="2"/>
  <c r="AL39" i="2"/>
  <c r="AL34" i="2"/>
  <c r="AL31" i="2"/>
  <c r="AL29" i="2"/>
  <c r="AK33" i="2"/>
  <c r="AK313" i="2" s="1"/>
  <c r="AJ32" i="2"/>
  <c r="AJ312" i="2" s="1"/>
  <c r="AL22" i="2"/>
  <c r="AL305" i="2" s="1"/>
  <c r="AL23" i="2"/>
  <c r="AL306" i="2" s="1"/>
  <c r="AL21" i="2"/>
  <c r="AL304" i="2" s="1"/>
  <c r="AK20" i="2"/>
  <c r="AK303" i="2" s="1"/>
  <c r="AK13" i="2"/>
  <c r="AK299" i="2" s="1"/>
  <c r="AM11" i="2"/>
  <c r="AL14" i="2"/>
  <c r="AL17" i="2"/>
  <c r="AL300" i="2" s="1"/>
  <c r="AL15" i="2"/>
  <c r="AL16" i="2"/>
  <c r="AX364" i="2" l="1"/>
  <c r="AJ24" i="2"/>
  <c r="AD22" i="7"/>
  <c r="AL309" i="2"/>
  <c r="AF22" i="7"/>
  <c r="AJ309" i="2"/>
  <c r="AL387" i="2"/>
  <c r="AL373" i="2"/>
  <c r="AU23" i="6"/>
  <c r="AU24" i="6"/>
  <c r="BA119" i="2"/>
  <c r="AY289" i="2"/>
  <c r="AV22" i="6"/>
  <c r="AW8" i="6"/>
  <c r="AV10" i="6"/>
  <c r="AV11" i="6" s="1"/>
  <c r="AT27" i="6"/>
  <c r="AT29" i="6"/>
  <c r="AT26" i="6"/>
  <c r="AT28" i="6"/>
  <c r="AT31" i="6"/>
  <c r="AT25" i="6"/>
  <c r="AT30" i="6"/>
  <c r="AS32" i="6"/>
  <c r="AK366" i="2"/>
  <c r="AK148" i="2" s="1"/>
  <c r="AL358" i="2"/>
  <c r="AM384" i="2"/>
  <c r="AM385" i="2" s="1"/>
  <c r="AN386" i="2" s="1"/>
  <c r="AM370" i="2"/>
  <c r="AM371" i="2" s="1"/>
  <c r="AM373" i="2" s="1"/>
  <c r="AM151" i="2"/>
  <c r="AM154" i="2"/>
  <c r="AM355" i="2"/>
  <c r="AM356" i="2" s="1"/>
  <c r="AN357" i="2" s="1"/>
  <c r="AX365" i="2"/>
  <c r="AY363" i="2"/>
  <c r="AZ360" i="2" s="1"/>
  <c r="AM297" i="2"/>
  <c r="AM145" i="2"/>
  <c r="AM141" i="2"/>
  <c r="AM147" i="2"/>
  <c r="AM144" i="2"/>
  <c r="AK345" i="2"/>
  <c r="AK24" i="2"/>
  <c r="AK308" i="2"/>
  <c r="AM114" i="2"/>
  <c r="AM115" i="2"/>
  <c r="AL113" i="2"/>
  <c r="AL132" i="2"/>
  <c r="AL93" i="2"/>
  <c r="AM102" i="2"/>
  <c r="AM103" i="2" s="1"/>
  <c r="AM138" i="2"/>
  <c r="AM351" i="2" s="1"/>
  <c r="AM134" i="2"/>
  <c r="AM347" i="2" s="1"/>
  <c r="AM111" i="2"/>
  <c r="AM135" i="2"/>
  <c r="AM348" i="2" s="1"/>
  <c r="AM136" i="2"/>
  <c r="AM349" i="2" s="1"/>
  <c r="AM137" i="2"/>
  <c r="AM350" i="2" s="1"/>
  <c r="AM112" i="2"/>
  <c r="AM339" i="2" s="1"/>
  <c r="AM133" i="2"/>
  <c r="AM346" i="2" s="1"/>
  <c r="AM82" i="2"/>
  <c r="AM327" i="2" s="1"/>
  <c r="AM99" i="2"/>
  <c r="AM100" i="2" s="1"/>
  <c r="AL65" i="2"/>
  <c r="AL321" i="2" s="1"/>
  <c r="AL45" i="2"/>
  <c r="AL316" i="2" s="1"/>
  <c r="AM80" i="2"/>
  <c r="AM326" i="2" s="1"/>
  <c r="AM69" i="2"/>
  <c r="AM322" i="2" s="1"/>
  <c r="AM75" i="2"/>
  <c r="AM323" i="2" s="1"/>
  <c r="AK32" i="2"/>
  <c r="AK312" i="2" s="1"/>
  <c r="AM63" i="2"/>
  <c r="AM68" i="2"/>
  <c r="AM66" i="2"/>
  <c r="AM67" i="2"/>
  <c r="AM62" i="2"/>
  <c r="AM64" i="2"/>
  <c r="AL41" i="2"/>
  <c r="AL315" i="2" s="1"/>
  <c r="AL57" i="2"/>
  <c r="AL319" i="2" s="1"/>
  <c r="AL28" i="2"/>
  <c r="AL311" i="2" s="1"/>
  <c r="AL61" i="2"/>
  <c r="AL320" i="2" s="1"/>
  <c r="AL33" i="2"/>
  <c r="AL313" i="2" s="1"/>
  <c r="AL37" i="2"/>
  <c r="AL314" i="2" s="1"/>
  <c r="AM8" i="2"/>
  <c r="AM9" i="2" s="1"/>
  <c r="AM10" i="2" s="1"/>
  <c r="AM26" i="2" s="1"/>
  <c r="AM50" i="2"/>
  <c r="AM60" i="2"/>
  <c r="AM46" i="2"/>
  <c r="AM51" i="2"/>
  <c r="AM47" i="2"/>
  <c r="AM52" i="2"/>
  <c r="AM58" i="2"/>
  <c r="AM48" i="2"/>
  <c r="AM59" i="2"/>
  <c r="AM40" i="2"/>
  <c r="AM35" i="2"/>
  <c r="AM42" i="2"/>
  <c r="AM36" i="2"/>
  <c r="AM43" i="2"/>
  <c r="AM38" i="2"/>
  <c r="AM44" i="2"/>
  <c r="AM39" i="2"/>
  <c r="AM34" i="2"/>
  <c r="AM31" i="2"/>
  <c r="AM30" i="2"/>
  <c r="AM29" i="2"/>
  <c r="AL25" i="2"/>
  <c r="AF21" i="7" s="1"/>
  <c r="AL49" i="2"/>
  <c r="AL317" i="2" s="1"/>
  <c r="AL20" i="2"/>
  <c r="AL303" i="2" s="1"/>
  <c r="AM22" i="2"/>
  <c r="AM305" i="2" s="1"/>
  <c r="AM23" i="2"/>
  <c r="AM306" i="2" s="1"/>
  <c r="AM21" i="2"/>
  <c r="AM304" i="2" s="1"/>
  <c r="AL13" i="2"/>
  <c r="AL299" i="2" s="1"/>
  <c r="AN11" i="2"/>
  <c r="AM14" i="2"/>
  <c r="AM17" i="2"/>
  <c r="AM300" i="2" s="1"/>
  <c r="AM15" i="2"/>
  <c r="AM16" i="2"/>
  <c r="AY364" i="2" l="1"/>
  <c r="AM309" i="2"/>
  <c r="AG22" i="7"/>
  <c r="AM387" i="2"/>
  <c r="AL366" i="2"/>
  <c r="AL148" i="2" s="1"/>
  <c r="AT32" i="6"/>
  <c r="AM358" i="2"/>
  <c r="AZ289" i="2"/>
  <c r="AW22" i="6"/>
  <c r="AX8" i="6"/>
  <c r="AW10" i="6"/>
  <c r="AW11" i="6" s="1"/>
  <c r="AU31" i="6"/>
  <c r="AU27" i="6"/>
  <c r="AU30" i="6"/>
  <c r="AU25" i="6"/>
  <c r="AU28" i="6"/>
  <c r="AU26" i="6"/>
  <c r="AU29" i="6"/>
  <c r="AV23" i="6"/>
  <c r="AV24" i="6"/>
  <c r="BB119" i="2"/>
  <c r="AN384" i="2"/>
  <c r="AN385" i="2" s="1"/>
  <c r="AO386" i="2" s="1"/>
  <c r="AN370" i="2"/>
  <c r="AN371" i="2" s="1"/>
  <c r="AO372" i="2" s="1"/>
  <c r="AN151" i="2"/>
  <c r="AN154" i="2"/>
  <c r="AN355" i="2"/>
  <c r="AN356" i="2" s="1"/>
  <c r="AO357" i="2" s="1"/>
  <c r="AN372" i="2"/>
  <c r="AY365" i="2"/>
  <c r="AZ363" i="2"/>
  <c r="BA360" i="2" s="1"/>
  <c r="AN297" i="2"/>
  <c r="AN145" i="2"/>
  <c r="AN141" i="2"/>
  <c r="AN147" i="2"/>
  <c r="AN144" i="2"/>
  <c r="AL345" i="2"/>
  <c r="AL24" i="2"/>
  <c r="AL308" i="2"/>
  <c r="AN114" i="2"/>
  <c r="AN115" i="2"/>
  <c r="AM113" i="2"/>
  <c r="AM132" i="2"/>
  <c r="AN102" i="2"/>
  <c r="AN103" i="2" s="1"/>
  <c r="AN111" i="2"/>
  <c r="AN135" i="2"/>
  <c r="AN348" i="2" s="1"/>
  <c r="AN136" i="2"/>
  <c r="AN349" i="2" s="1"/>
  <c r="AN137" i="2"/>
  <c r="AN350" i="2" s="1"/>
  <c r="AN112" i="2"/>
  <c r="AN339" i="2" s="1"/>
  <c r="AN133" i="2"/>
  <c r="AN346" i="2" s="1"/>
  <c r="AN134" i="2"/>
  <c r="AN347" i="2" s="1"/>
  <c r="AN138" i="2"/>
  <c r="AN351" i="2" s="1"/>
  <c r="AM93" i="2"/>
  <c r="AN82" i="2"/>
  <c r="AN327" i="2" s="1"/>
  <c r="AN99" i="2"/>
  <c r="AN100" i="2" s="1"/>
  <c r="AN80" i="2"/>
  <c r="AN326" i="2" s="1"/>
  <c r="AN69" i="2"/>
  <c r="AN322" i="2" s="1"/>
  <c r="AN75" i="2"/>
  <c r="AN323" i="2" s="1"/>
  <c r="AM65" i="2"/>
  <c r="AM321" i="2" s="1"/>
  <c r="AN64" i="2"/>
  <c r="AN68" i="2"/>
  <c r="AN67" i="2"/>
  <c r="AN63" i="2"/>
  <c r="AN66" i="2"/>
  <c r="AN62" i="2"/>
  <c r="AM28" i="2"/>
  <c r="AM311" i="2" s="1"/>
  <c r="AM61" i="2"/>
  <c r="AM320" i="2" s="1"/>
  <c r="AM41" i="2"/>
  <c r="AM315" i="2" s="1"/>
  <c r="AM45" i="2"/>
  <c r="AM316" i="2" s="1"/>
  <c r="AM25" i="2"/>
  <c r="AG21" i="7" s="1"/>
  <c r="AM33" i="2"/>
  <c r="AM313" i="2" s="1"/>
  <c r="AN8" i="2"/>
  <c r="AN9" i="2" s="1"/>
  <c r="AN10" i="2" s="1"/>
  <c r="AN26" i="2" s="1"/>
  <c r="AN60" i="2"/>
  <c r="AN46" i="2"/>
  <c r="AN51" i="2"/>
  <c r="AN47" i="2"/>
  <c r="AN52" i="2"/>
  <c r="AN58" i="2"/>
  <c r="AN48" i="2"/>
  <c r="AN59" i="2"/>
  <c r="AN50" i="2"/>
  <c r="AN42" i="2"/>
  <c r="AN36" i="2"/>
  <c r="AN43" i="2"/>
  <c r="AN38" i="2"/>
  <c r="AN40" i="2"/>
  <c r="AN39" i="2"/>
  <c r="AN35" i="2"/>
  <c r="AN44" i="2"/>
  <c r="AN31" i="2"/>
  <c r="AN29" i="2"/>
  <c r="AN34" i="2"/>
  <c r="AN30" i="2"/>
  <c r="AM37" i="2"/>
  <c r="AM314" i="2" s="1"/>
  <c r="AM57" i="2"/>
  <c r="AM319" i="2" s="1"/>
  <c r="AM49" i="2"/>
  <c r="AM317" i="2" s="1"/>
  <c r="AL32" i="2"/>
  <c r="AL312" i="2" s="1"/>
  <c r="AN23" i="2"/>
  <c r="AN306" i="2" s="1"/>
  <c r="AN22" i="2"/>
  <c r="AN305" i="2" s="1"/>
  <c r="AN21" i="2"/>
  <c r="AN304" i="2" s="1"/>
  <c r="AM20" i="2"/>
  <c r="AM303" i="2" s="1"/>
  <c r="AM13" i="2"/>
  <c r="AM299" i="2" s="1"/>
  <c r="AO11" i="2"/>
  <c r="AN17" i="2"/>
  <c r="AN300" i="2" s="1"/>
  <c r="AN15" i="2"/>
  <c r="AN16" i="2"/>
  <c r="AN14" i="2"/>
  <c r="AZ364" i="2" l="1"/>
  <c r="AZ365" i="2" s="1"/>
  <c r="AN309" i="2"/>
  <c r="AH22" i="7"/>
  <c r="AN373" i="2"/>
  <c r="AN358" i="2"/>
  <c r="AM366" i="2"/>
  <c r="AM148" i="2" s="1"/>
  <c r="AU32" i="6"/>
  <c r="AW23" i="6"/>
  <c r="AW24" i="6"/>
  <c r="BC119" i="2"/>
  <c r="AV31" i="6"/>
  <c r="AV25" i="6"/>
  <c r="AV27" i="6"/>
  <c r="AV28" i="6"/>
  <c r="AV29" i="6"/>
  <c r="AV30" i="6"/>
  <c r="AV26" i="6"/>
  <c r="AX22" i="6"/>
  <c r="AX10" i="6"/>
  <c r="AX11" i="6" s="1"/>
  <c r="AY8" i="6"/>
  <c r="AN387" i="2"/>
  <c r="BA289" i="2"/>
  <c r="AO370" i="2"/>
  <c r="AO371" i="2" s="1"/>
  <c r="AP372" i="2" s="1"/>
  <c r="AO151" i="2"/>
  <c r="AO384" i="2"/>
  <c r="AO385" i="2" s="1"/>
  <c r="AP386" i="2" s="1"/>
  <c r="AO154" i="2"/>
  <c r="AO355" i="2"/>
  <c r="AO356" i="2" s="1"/>
  <c r="AP357" i="2" s="1"/>
  <c r="BA363" i="2"/>
  <c r="BB360" i="2" s="1"/>
  <c r="AO297" i="2"/>
  <c r="AO145" i="2"/>
  <c r="AO141" i="2"/>
  <c r="AO147" i="2"/>
  <c r="AO144" i="2"/>
  <c r="AM345" i="2"/>
  <c r="AM24" i="2"/>
  <c r="AM308" i="2"/>
  <c r="AO115" i="2"/>
  <c r="AO114" i="2"/>
  <c r="AN113" i="2"/>
  <c r="AN132" i="2"/>
  <c r="AO102" i="2"/>
  <c r="AO103" i="2" s="1"/>
  <c r="AO111" i="2"/>
  <c r="AO135" i="2"/>
  <c r="AO348" i="2" s="1"/>
  <c r="AO136" i="2"/>
  <c r="AO349" i="2" s="1"/>
  <c r="AO137" i="2"/>
  <c r="AO350" i="2" s="1"/>
  <c r="AO112" i="2"/>
  <c r="AO339" i="2" s="1"/>
  <c r="AO138" i="2"/>
  <c r="AO351" i="2" s="1"/>
  <c r="AO134" i="2"/>
  <c r="AO347" i="2" s="1"/>
  <c r="AO133" i="2"/>
  <c r="AO346" i="2" s="1"/>
  <c r="AN93" i="2"/>
  <c r="AO82" i="2"/>
  <c r="AO327" i="2" s="1"/>
  <c r="AO99" i="2"/>
  <c r="AO100" i="2" s="1"/>
  <c r="AO75" i="2"/>
  <c r="AO323" i="2" s="1"/>
  <c r="AO80" i="2"/>
  <c r="AO326" i="2" s="1"/>
  <c r="AO69" i="2"/>
  <c r="AO322" i="2" s="1"/>
  <c r="AN61" i="2"/>
  <c r="AN320" i="2" s="1"/>
  <c r="AN65" i="2"/>
  <c r="AN321" i="2" s="1"/>
  <c r="AO66" i="2"/>
  <c r="AO67" i="2"/>
  <c r="AO68" i="2"/>
  <c r="AO63" i="2"/>
  <c r="AO64" i="2"/>
  <c r="AO62" i="2"/>
  <c r="AN33" i="2"/>
  <c r="AN313" i="2" s="1"/>
  <c r="AN28" i="2"/>
  <c r="AN311" i="2" s="1"/>
  <c r="AN25" i="2"/>
  <c r="AH21" i="7" s="1"/>
  <c r="AN45" i="2"/>
  <c r="AN316" i="2" s="1"/>
  <c r="AN49" i="2"/>
  <c r="AN317" i="2" s="1"/>
  <c r="AN13" i="2"/>
  <c r="AN299" i="2" s="1"/>
  <c r="AM32" i="2"/>
  <c r="AM312" i="2" s="1"/>
  <c r="AO8" i="2"/>
  <c r="AO9" i="2" s="1"/>
  <c r="AO10" i="2" s="1"/>
  <c r="AO25" i="2" s="1"/>
  <c r="AO51" i="2"/>
  <c r="AO47" i="2"/>
  <c r="AO52" i="2"/>
  <c r="AO58" i="2"/>
  <c r="AO48" i="2"/>
  <c r="AO59" i="2"/>
  <c r="AO50" i="2"/>
  <c r="AO60" i="2"/>
  <c r="AO46" i="2"/>
  <c r="AO42" i="2"/>
  <c r="AO36" i="2"/>
  <c r="AO43" i="2"/>
  <c r="AO38" i="2"/>
  <c r="AO44" i="2"/>
  <c r="AO39" i="2"/>
  <c r="AO34" i="2"/>
  <c r="AO40" i="2"/>
  <c r="AO35" i="2"/>
  <c r="AO31" i="2"/>
  <c r="AO29" i="2"/>
  <c r="AO30" i="2"/>
  <c r="AN57" i="2"/>
  <c r="AN319" i="2" s="1"/>
  <c r="AN41" i="2"/>
  <c r="AN315" i="2" s="1"/>
  <c r="AN20" i="2"/>
  <c r="AN303" i="2" s="1"/>
  <c r="AN37" i="2"/>
  <c r="AN314" i="2" s="1"/>
  <c r="AO23" i="2"/>
  <c r="AO306" i="2" s="1"/>
  <c r="AO21" i="2"/>
  <c r="AO304" i="2" s="1"/>
  <c r="AO22" i="2"/>
  <c r="AO305" i="2" s="1"/>
  <c r="AP11" i="2"/>
  <c r="AO15" i="2"/>
  <c r="AO16" i="2"/>
  <c r="AO14" i="2"/>
  <c r="AO17" i="2"/>
  <c r="AO300" i="2" s="1"/>
  <c r="BA364" i="2" l="1"/>
  <c r="AO308" i="2"/>
  <c r="AI21" i="7"/>
  <c r="AN366" i="2"/>
  <c r="AN148" i="2" s="1"/>
  <c r="BA365" i="2"/>
  <c r="AO373" i="2"/>
  <c r="BB289" i="2"/>
  <c r="AZ8" i="6"/>
  <c r="AY10" i="6"/>
  <c r="AY11" i="6" s="1"/>
  <c r="AY22" i="6"/>
  <c r="AX23" i="6"/>
  <c r="AX24" i="6"/>
  <c r="BD119" i="2"/>
  <c r="AV32" i="6"/>
  <c r="AO387" i="2"/>
  <c r="AW25" i="6"/>
  <c r="AW28" i="6"/>
  <c r="AW26" i="6"/>
  <c r="AW31" i="6"/>
  <c r="AW29" i="6"/>
  <c r="AW27" i="6"/>
  <c r="AW30" i="6"/>
  <c r="AO358" i="2"/>
  <c r="AP151" i="2"/>
  <c r="AP384" i="2"/>
  <c r="AP385" i="2" s="1"/>
  <c r="AQ386" i="2" s="1"/>
  <c r="AP370" i="2"/>
  <c r="AP371" i="2" s="1"/>
  <c r="AP373" i="2" s="1"/>
  <c r="AP154" i="2"/>
  <c r="AP355" i="2"/>
  <c r="AP356" i="2" s="1"/>
  <c r="AQ357" i="2" s="1"/>
  <c r="BB363" i="2"/>
  <c r="BC360" i="2" s="1"/>
  <c r="AP297" i="2"/>
  <c r="AP141" i="2"/>
  <c r="AP144" i="2"/>
  <c r="AP147" i="2"/>
  <c r="AP145" i="2"/>
  <c r="AN345" i="2"/>
  <c r="AN24" i="2"/>
  <c r="AN308" i="2"/>
  <c r="AO113" i="2"/>
  <c r="AP115" i="2"/>
  <c r="AP114" i="2"/>
  <c r="AP102" i="2"/>
  <c r="AP103" i="2" s="1"/>
  <c r="AP136" i="2"/>
  <c r="AP349" i="2" s="1"/>
  <c r="AP137" i="2"/>
  <c r="AP350" i="2" s="1"/>
  <c r="AP112" i="2"/>
  <c r="AP339" i="2" s="1"/>
  <c r="AP138" i="2"/>
  <c r="AP351" i="2" s="1"/>
  <c r="AP133" i="2"/>
  <c r="AP346" i="2" s="1"/>
  <c r="AP134" i="2"/>
  <c r="AP347" i="2" s="1"/>
  <c r="AP111" i="2"/>
  <c r="AP135" i="2"/>
  <c r="AP348" i="2" s="1"/>
  <c r="AO93" i="2"/>
  <c r="AO132" i="2"/>
  <c r="AP82" i="2"/>
  <c r="AP327" i="2" s="1"/>
  <c r="AP99" i="2"/>
  <c r="AP100" i="2" s="1"/>
  <c r="AO61" i="2"/>
  <c r="AO320" i="2" s="1"/>
  <c r="AO65" i="2"/>
  <c r="AO321" i="2" s="1"/>
  <c r="AP75" i="2"/>
  <c r="AP323" i="2" s="1"/>
  <c r="AP80" i="2"/>
  <c r="AP326" i="2" s="1"/>
  <c r="AP69" i="2"/>
  <c r="AP322" i="2" s="1"/>
  <c r="AN32" i="2"/>
  <c r="AN312" i="2" s="1"/>
  <c r="AP66" i="2"/>
  <c r="AP68" i="2"/>
  <c r="AP67" i="2"/>
  <c r="AP63" i="2"/>
  <c r="AP62" i="2"/>
  <c r="AP64" i="2"/>
  <c r="AO33" i="2"/>
  <c r="AO313" i="2" s="1"/>
  <c r="AO28" i="2"/>
  <c r="AO311" i="2" s="1"/>
  <c r="AO37" i="2"/>
  <c r="AO314" i="2" s="1"/>
  <c r="AO57" i="2"/>
  <c r="AO319" i="2" s="1"/>
  <c r="AO26" i="2"/>
  <c r="AI22" i="7" s="1"/>
  <c r="AO41" i="2"/>
  <c r="AO315" i="2" s="1"/>
  <c r="AP8" i="2"/>
  <c r="AP9" i="2" s="1"/>
  <c r="AP10" i="2" s="1"/>
  <c r="AP25" i="2" s="1"/>
  <c r="AP47" i="2"/>
  <c r="AP52" i="2"/>
  <c r="AP58" i="2"/>
  <c r="AP48" i="2"/>
  <c r="AP59" i="2"/>
  <c r="AP50" i="2"/>
  <c r="AP60" i="2"/>
  <c r="AP46" i="2"/>
  <c r="AP51" i="2"/>
  <c r="AP43" i="2"/>
  <c r="AP38" i="2"/>
  <c r="AP44" i="2"/>
  <c r="AP39" i="2"/>
  <c r="AP34" i="2"/>
  <c r="AP35" i="2"/>
  <c r="AP36" i="2"/>
  <c r="AP30" i="2"/>
  <c r="AP42" i="2"/>
  <c r="AP40" i="2"/>
  <c r="AP31" i="2"/>
  <c r="AP29" i="2"/>
  <c r="AO45" i="2"/>
  <c r="AO316" i="2" s="1"/>
  <c r="AO49" i="2"/>
  <c r="AO317" i="2" s="1"/>
  <c r="AO20" i="2"/>
  <c r="AO303" i="2" s="1"/>
  <c r="AO13" i="2"/>
  <c r="AO299" i="2" s="1"/>
  <c r="AP21" i="2"/>
  <c r="AP304" i="2" s="1"/>
  <c r="AP23" i="2"/>
  <c r="AP306" i="2" s="1"/>
  <c r="AP22" i="2"/>
  <c r="AP305" i="2" s="1"/>
  <c r="AQ11" i="2"/>
  <c r="AP16" i="2"/>
  <c r="AP14" i="2"/>
  <c r="AP17" i="2"/>
  <c r="AP300" i="2" s="1"/>
  <c r="AP15" i="2"/>
  <c r="BB364" i="2" l="1"/>
  <c r="AP308" i="2"/>
  <c r="AJ21" i="7"/>
  <c r="AO366" i="2"/>
  <c r="AO148" i="2" s="1"/>
  <c r="AW32" i="6"/>
  <c r="AP387" i="2"/>
  <c r="BC289" i="2"/>
  <c r="AX28" i="6"/>
  <c r="AX26" i="6"/>
  <c r="AX27" i="6"/>
  <c r="AX29" i="6"/>
  <c r="AX30" i="6"/>
  <c r="AX25" i="6"/>
  <c r="AX31" i="6"/>
  <c r="AY23" i="6"/>
  <c r="AY24" i="6"/>
  <c r="BE119" i="2"/>
  <c r="BA8" i="6"/>
  <c r="AZ10" i="6"/>
  <c r="AZ11" i="6" s="1"/>
  <c r="AZ22" i="6"/>
  <c r="AQ372" i="2"/>
  <c r="AQ151" i="2"/>
  <c r="AQ384" i="2"/>
  <c r="AQ385" i="2" s="1"/>
  <c r="AR386" i="2" s="1"/>
  <c r="AQ370" i="2"/>
  <c r="AQ371" i="2" s="1"/>
  <c r="AR372" i="2" s="1"/>
  <c r="AQ154" i="2"/>
  <c r="AQ355" i="2"/>
  <c r="AQ356" i="2" s="1"/>
  <c r="AR357" i="2" s="1"/>
  <c r="BB365" i="2"/>
  <c r="AP358" i="2"/>
  <c r="BC363" i="2"/>
  <c r="BD360" i="2" s="1"/>
  <c r="AP113" i="2"/>
  <c r="AQ297" i="2"/>
  <c r="AQ147" i="2"/>
  <c r="AQ144" i="2"/>
  <c r="AQ145" i="2"/>
  <c r="AQ141" i="2"/>
  <c r="AO24" i="2"/>
  <c r="AO309" i="2"/>
  <c r="AO345" i="2"/>
  <c r="AQ114" i="2"/>
  <c r="AQ115" i="2"/>
  <c r="AQ102" i="2"/>
  <c r="AQ103" i="2" s="1"/>
  <c r="AQ136" i="2"/>
  <c r="AQ349" i="2" s="1"/>
  <c r="AQ137" i="2"/>
  <c r="AQ350" i="2" s="1"/>
  <c r="AQ112" i="2"/>
  <c r="AQ339" i="2" s="1"/>
  <c r="AQ138" i="2"/>
  <c r="AQ351" i="2" s="1"/>
  <c r="AQ134" i="2"/>
  <c r="AQ347" i="2" s="1"/>
  <c r="AQ111" i="2"/>
  <c r="AQ135" i="2"/>
  <c r="AQ348" i="2" s="1"/>
  <c r="AQ133" i="2"/>
  <c r="AQ346" i="2" s="1"/>
  <c r="AP132" i="2"/>
  <c r="AP93" i="2"/>
  <c r="AQ82" i="2"/>
  <c r="AQ327" i="2" s="1"/>
  <c r="AQ99" i="2"/>
  <c r="AQ100" i="2" s="1"/>
  <c r="AP65" i="2"/>
  <c r="AP321" i="2" s="1"/>
  <c r="AQ75" i="2"/>
  <c r="AQ323" i="2" s="1"/>
  <c r="AQ80" i="2"/>
  <c r="AQ326" i="2" s="1"/>
  <c r="AQ69" i="2"/>
  <c r="AQ322" i="2" s="1"/>
  <c r="AO32" i="2"/>
  <c r="AO312" i="2" s="1"/>
  <c r="AP41" i="2"/>
  <c r="AP315" i="2" s="1"/>
  <c r="AP45" i="2"/>
  <c r="AP316" i="2" s="1"/>
  <c r="AQ68" i="2"/>
  <c r="AQ63" i="2"/>
  <c r="AQ62" i="2"/>
  <c r="AQ67" i="2"/>
  <c r="AQ66" i="2"/>
  <c r="AQ64" i="2"/>
  <c r="AP61" i="2"/>
  <c r="AP320" i="2" s="1"/>
  <c r="AQ8" i="2"/>
  <c r="AQ9" i="2" s="1"/>
  <c r="AQ10" i="2" s="1"/>
  <c r="AQ26" i="2" s="1"/>
  <c r="AQ52" i="2"/>
  <c r="AQ58" i="2"/>
  <c r="AQ48" i="2"/>
  <c r="AQ59" i="2"/>
  <c r="AQ50" i="2"/>
  <c r="AQ60" i="2"/>
  <c r="AQ46" i="2"/>
  <c r="AQ51" i="2"/>
  <c r="AQ47" i="2"/>
  <c r="AQ43" i="2"/>
  <c r="AQ38" i="2"/>
  <c r="AQ44" i="2"/>
  <c r="AQ39" i="2"/>
  <c r="AQ34" i="2"/>
  <c r="AQ40" i="2"/>
  <c r="AQ35" i="2"/>
  <c r="AQ42" i="2"/>
  <c r="AQ36" i="2"/>
  <c r="AQ31" i="2"/>
  <c r="AQ29" i="2"/>
  <c r="AQ30" i="2"/>
  <c r="AP26" i="2"/>
  <c r="AJ22" i="7" s="1"/>
  <c r="AP33" i="2"/>
  <c r="AP313" i="2" s="1"/>
  <c r="AP49" i="2"/>
  <c r="AP317" i="2" s="1"/>
  <c r="AP28" i="2"/>
  <c r="AP311" i="2" s="1"/>
  <c r="AP37" i="2"/>
  <c r="AP314" i="2" s="1"/>
  <c r="AP57" i="2"/>
  <c r="AP319" i="2" s="1"/>
  <c r="AQ21" i="2"/>
  <c r="AQ304" i="2" s="1"/>
  <c r="AQ22" i="2"/>
  <c r="AQ305" i="2" s="1"/>
  <c r="AQ23" i="2"/>
  <c r="AQ306" i="2" s="1"/>
  <c r="AP20" i="2"/>
  <c r="AP303" i="2" s="1"/>
  <c r="AP13" i="2"/>
  <c r="AP299" i="2" s="1"/>
  <c r="AR11" i="2"/>
  <c r="AQ16" i="2"/>
  <c r="AQ14" i="2"/>
  <c r="AQ17" i="2"/>
  <c r="AQ300" i="2" s="1"/>
  <c r="AQ15" i="2"/>
  <c r="BC364" i="2" l="1"/>
  <c r="AQ309" i="2"/>
  <c r="AK22" i="7"/>
  <c r="AP366" i="2"/>
  <c r="AP148" i="2" s="1"/>
  <c r="AX32" i="6"/>
  <c r="BB8" i="6"/>
  <c r="BA10" i="6"/>
  <c r="BA11" i="6" s="1"/>
  <c r="BA22" i="6"/>
  <c r="AZ23" i="6"/>
  <c r="AZ24" i="6"/>
  <c r="BF119" i="2"/>
  <c r="AY26" i="6"/>
  <c r="AY27" i="6"/>
  <c r="AY28" i="6"/>
  <c r="AY30" i="6"/>
  <c r="AY29" i="6"/>
  <c r="AY25" i="6"/>
  <c r="AY31" i="6"/>
  <c r="BC365" i="2"/>
  <c r="BD289" i="2"/>
  <c r="AQ387" i="2"/>
  <c r="AQ373" i="2"/>
  <c r="AR151" i="2"/>
  <c r="AR384" i="2"/>
  <c r="AR385" i="2" s="1"/>
  <c r="AS386" i="2" s="1"/>
  <c r="AR370" i="2"/>
  <c r="AR371" i="2" s="1"/>
  <c r="AR373" i="2" s="1"/>
  <c r="AR154" i="2"/>
  <c r="AR355" i="2"/>
  <c r="AR356" i="2" s="1"/>
  <c r="AS357" i="2" s="1"/>
  <c r="AQ358" i="2"/>
  <c r="BD363" i="2"/>
  <c r="BE360" i="2" s="1"/>
  <c r="AR297" i="2"/>
  <c r="AR147" i="2"/>
  <c r="AR145" i="2"/>
  <c r="AR144" i="2"/>
  <c r="AR141" i="2"/>
  <c r="AP24" i="2"/>
  <c r="AP309" i="2"/>
  <c r="AP345" i="2"/>
  <c r="AQ113" i="2"/>
  <c r="AR114" i="2"/>
  <c r="AR115" i="2"/>
  <c r="AQ132" i="2"/>
  <c r="AR102" i="2"/>
  <c r="AR103" i="2" s="1"/>
  <c r="AR137" i="2"/>
  <c r="AR350" i="2" s="1"/>
  <c r="AR112" i="2"/>
  <c r="AR339" i="2" s="1"/>
  <c r="AR138" i="2"/>
  <c r="AR351" i="2" s="1"/>
  <c r="AR134" i="2"/>
  <c r="AR347" i="2" s="1"/>
  <c r="AR111" i="2"/>
  <c r="AR135" i="2"/>
  <c r="AR348" i="2" s="1"/>
  <c r="AR136" i="2"/>
  <c r="AR349" i="2" s="1"/>
  <c r="AR133" i="2"/>
  <c r="AR346" i="2" s="1"/>
  <c r="AQ93" i="2"/>
  <c r="AR82" i="2"/>
  <c r="AR327" i="2" s="1"/>
  <c r="AR99" i="2"/>
  <c r="AR100" i="2" s="1"/>
  <c r="AR75" i="2"/>
  <c r="AR323" i="2" s="1"/>
  <c r="AR80" i="2"/>
  <c r="AR326" i="2" s="1"/>
  <c r="AR69" i="2"/>
  <c r="AR322" i="2" s="1"/>
  <c r="AQ65" i="2"/>
  <c r="AQ321" i="2" s="1"/>
  <c r="AQ33" i="2"/>
  <c r="AQ313" i="2" s="1"/>
  <c r="AQ45" i="2"/>
  <c r="AQ316" i="2" s="1"/>
  <c r="AR67" i="2"/>
  <c r="AR63" i="2"/>
  <c r="AR64" i="2"/>
  <c r="AR66" i="2"/>
  <c r="AR68" i="2"/>
  <c r="AR62" i="2"/>
  <c r="AQ61" i="2"/>
  <c r="AQ320" i="2" s="1"/>
  <c r="AQ49" i="2"/>
  <c r="AQ317" i="2" s="1"/>
  <c r="AP32" i="2"/>
  <c r="AP312" i="2" s="1"/>
  <c r="AQ25" i="2"/>
  <c r="AK21" i="7" s="1"/>
  <c r="AR8" i="2"/>
  <c r="AR9" i="2" s="1"/>
  <c r="AR10" i="2" s="1"/>
  <c r="AR26" i="2" s="1"/>
  <c r="AR58" i="2"/>
  <c r="AR48" i="2"/>
  <c r="AR59" i="2"/>
  <c r="AR50" i="2"/>
  <c r="AR60" i="2"/>
  <c r="AR46" i="2"/>
  <c r="AR51" i="2"/>
  <c r="AR47" i="2"/>
  <c r="AR52" i="2"/>
  <c r="AR31" i="2"/>
  <c r="AR44" i="2"/>
  <c r="AR39" i="2"/>
  <c r="AR34" i="2"/>
  <c r="AR40" i="2"/>
  <c r="AR35" i="2"/>
  <c r="AR43" i="2"/>
  <c r="AR38" i="2"/>
  <c r="AR29" i="2"/>
  <c r="AR36" i="2"/>
  <c r="AR42" i="2"/>
  <c r="AR30" i="2"/>
  <c r="AQ28" i="2"/>
  <c r="AQ311" i="2" s="1"/>
  <c r="AQ41" i="2"/>
  <c r="AQ315" i="2" s="1"/>
  <c r="AQ57" i="2"/>
  <c r="AQ319" i="2" s="1"/>
  <c r="AQ37" i="2"/>
  <c r="AQ314" i="2" s="1"/>
  <c r="AR21" i="2"/>
  <c r="AR304" i="2" s="1"/>
  <c r="AR22" i="2"/>
  <c r="AR305" i="2" s="1"/>
  <c r="AR23" i="2"/>
  <c r="AR306" i="2" s="1"/>
  <c r="AQ13" i="2"/>
  <c r="AQ299" i="2" s="1"/>
  <c r="AQ20" i="2"/>
  <c r="AQ303" i="2" s="1"/>
  <c r="AS11" i="2"/>
  <c r="AR17" i="2"/>
  <c r="AR300" i="2" s="1"/>
  <c r="AR14" i="2"/>
  <c r="AR15" i="2"/>
  <c r="AR16" i="2"/>
  <c r="BD364" i="2" l="1"/>
  <c r="BD365" i="2" s="1"/>
  <c r="AQ366" i="2"/>
  <c r="AQ148" i="2" s="1"/>
  <c r="AR309" i="2"/>
  <c r="AL22" i="7"/>
  <c r="AY32" i="6"/>
  <c r="AR387" i="2"/>
  <c r="BE289" i="2"/>
  <c r="AR358" i="2"/>
  <c r="AR366" i="2" s="1"/>
  <c r="AR148" i="2" s="1"/>
  <c r="AZ31" i="6"/>
  <c r="AZ26" i="6"/>
  <c r="AZ28" i="6"/>
  <c r="AZ27" i="6"/>
  <c r="AZ29" i="6"/>
  <c r="AZ30" i="6"/>
  <c r="AZ25" i="6"/>
  <c r="BA23" i="6"/>
  <c r="BA24" i="6"/>
  <c r="BG119" i="2"/>
  <c r="BC8" i="6"/>
  <c r="BB10" i="6"/>
  <c r="BB11" i="6" s="1"/>
  <c r="BB22" i="6"/>
  <c r="AS372" i="2"/>
  <c r="AS151" i="2"/>
  <c r="AS384" i="2"/>
  <c r="AS385" i="2" s="1"/>
  <c r="AT386" i="2" s="1"/>
  <c r="AS370" i="2"/>
  <c r="AS371" i="2" s="1"/>
  <c r="AT372" i="2" s="1"/>
  <c r="AS154" i="2"/>
  <c r="AS355" i="2"/>
  <c r="AS356" i="2" s="1"/>
  <c r="AT357" i="2" s="1"/>
  <c r="BE363" i="2"/>
  <c r="BF360" i="2" s="1"/>
  <c r="AS297" i="2"/>
  <c r="AS147" i="2"/>
  <c r="AS144" i="2"/>
  <c r="AS145" i="2"/>
  <c r="AS141" i="2"/>
  <c r="AQ345" i="2"/>
  <c r="AQ24" i="2"/>
  <c r="AQ308" i="2"/>
  <c r="AR132" i="2"/>
  <c r="AS115" i="2"/>
  <c r="AS114" i="2"/>
  <c r="AR113" i="2"/>
  <c r="AS102" i="2"/>
  <c r="AS103" i="2" s="1"/>
  <c r="AS137" i="2"/>
  <c r="AS350" i="2" s="1"/>
  <c r="AS112" i="2"/>
  <c r="AS339" i="2" s="1"/>
  <c r="AS138" i="2"/>
  <c r="AS351" i="2" s="1"/>
  <c r="AS134" i="2"/>
  <c r="AS347" i="2" s="1"/>
  <c r="AS111" i="2"/>
  <c r="AS135" i="2"/>
  <c r="AS348" i="2" s="1"/>
  <c r="AS136" i="2"/>
  <c r="AS349" i="2" s="1"/>
  <c r="AS133" i="2"/>
  <c r="AS346" i="2" s="1"/>
  <c r="AR93" i="2"/>
  <c r="AS82" i="2"/>
  <c r="AS327" i="2" s="1"/>
  <c r="AS99" i="2"/>
  <c r="AS100" i="2" s="1"/>
  <c r="AR61" i="2"/>
  <c r="AR320" i="2" s="1"/>
  <c r="AR65" i="2"/>
  <c r="AR321" i="2" s="1"/>
  <c r="AS75" i="2"/>
  <c r="AS323" i="2" s="1"/>
  <c r="AS80" i="2"/>
  <c r="AS326" i="2" s="1"/>
  <c r="AS69" i="2"/>
  <c r="AS322" i="2" s="1"/>
  <c r="AR45" i="2"/>
  <c r="AR316" i="2" s="1"/>
  <c r="AS67" i="2"/>
  <c r="AS64" i="2"/>
  <c r="AS68" i="2"/>
  <c r="AS62" i="2"/>
  <c r="AS66" i="2"/>
  <c r="AS63" i="2"/>
  <c r="AR28" i="2"/>
  <c r="AR311" i="2" s="1"/>
  <c r="AR41" i="2"/>
  <c r="AR315" i="2" s="1"/>
  <c r="AQ32" i="2"/>
  <c r="AQ312" i="2" s="1"/>
  <c r="AR25" i="2"/>
  <c r="AL21" i="7" s="1"/>
  <c r="AR37" i="2"/>
  <c r="AR314" i="2" s="1"/>
  <c r="AR57" i="2"/>
  <c r="AR319" i="2" s="1"/>
  <c r="AS8" i="2"/>
  <c r="AS9" i="2" s="1"/>
  <c r="AS10" i="2" s="1"/>
  <c r="AS26" i="2" s="1"/>
  <c r="AS59" i="2"/>
  <c r="AS50" i="2"/>
  <c r="AS60" i="2"/>
  <c r="AS46" i="2"/>
  <c r="AS51" i="2"/>
  <c r="AS47" i="2"/>
  <c r="AS52" i="2"/>
  <c r="AS58" i="2"/>
  <c r="AS48" i="2"/>
  <c r="AS44" i="2"/>
  <c r="AS39" i="2"/>
  <c r="AS34" i="2"/>
  <c r="AS40" i="2"/>
  <c r="AS35" i="2"/>
  <c r="AS42" i="2"/>
  <c r="AS36" i="2"/>
  <c r="AS43" i="2"/>
  <c r="AS38" i="2"/>
  <c r="AS29" i="2"/>
  <c r="AS30" i="2"/>
  <c r="AS31" i="2"/>
  <c r="AR49" i="2"/>
  <c r="AR317" i="2" s="1"/>
  <c r="AR33" i="2"/>
  <c r="AR313" i="2" s="1"/>
  <c r="AS21" i="2"/>
  <c r="AS304" i="2" s="1"/>
  <c r="AS22" i="2"/>
  <c r="AS305" i="2" s="1"/>
  <c r="AS23" i="2"/>
  <c r="AS306" i="2" s="1"/>
  <c r="AR13" i="2"/>
  <c r="AR299" i="2" s="1"/>
  <c r="AR20" i="2"/>
  <c r="AR303" i="2" s="1"/>
  <c r="AT11" i="2"/>
  <c r="AS15" i="2"/>
  <c r="AS14" i="2"/>
  <c r="AS17" i="2"/>
  <c r="AS300" i="2" s="1"/>
  <c r="AS16" i="2"/>
  <c r="BE364" i="2" l="1"/>
  <c r="AS309" i="2"/>
  <c r="AM22" i="7"/>
  <c r="AS373" i="2"/>
  <c r="AS387" i="2"/>
  <c r="AZ32" i="6"/>
  <c r="BA29" i="6"/>
  <c r="BA26" i="6"/>
  <c r="BA31" i="6"/>
  <c r="BA28" i="6"/>
  <c r="BA25" i="6"/>
  <c r="BA27" i="6"/>
  <c r="BA30" i="6"/>
  <c r="BF289" i="2"/>
  <c r="BB23" i="6"/>
  <c r="BB24" i="6"/>
  <c r="BH119" i="2"/>
  <c r="BD8" i="6"/>
  <c r="BC22" i="6"/>
  <c r="BC10" i="6"/>
  <c r="BC11" i="6" s="1"/>
  <c r="BE365" i="2"/>
  <c r="AT384" i="2"/>
  <c r="AT385" i="2" s="1"/>
  <c r="AU386" i="2" s="1"/>
  <c r="AT370" i="2"/>
  <c r="AT371" i="2" s="1"/>
  <c r="AU372" i="2" s="1"/>
  <c r="AT151" i="2"/>
  <c r="AT154" i="2"/>
  <c r="AT355" i="2"/>
  <c r="AT356" i="2" s="1"/>
  <c r="AU357" i="2" s="1"/>
  <c r="AS358" i="2"/>
  <c r="AS366" i="2" s="1"/>
  <c r="AS148" i="2" s="1"/>
  <c r="BF363" i="2"/>
  <c r="BG360" i="2" s="1"/>
  <c r="AT297" i="2"/>
  <c r="AT144" i="2"/>
  <c r="AT141" i="2"/>
  <c r="AT145" i="2"/>
  <c r="AT147" i="2"/>
  <c r="AR345" i="2"/>
  <c r="AR24" i="2"/>
  <c r="AR308" i="2"/>
  <c r="AS113" i="2"/>
  <c r="AT114" i="2"/>
  <c r="AT115" i="2"/>
  <c r="AS132" i="2"/>
  <c r="AT102" i="2"/>
  <c r="AT103" i="2" s="1"/>
  <c r="AT112" i="2"/>
  <c r="AT339" i="2" s="1"/>
  <c r="AT138" i="2"/>
  <c r="AT351" i="2" s="1"/>
  <c r="AT134" i="2"/>
  <c r="AT347" i="2" s="1"/>
  <c r="AT111" i="2"/>
  <c r="AT135" i="2"/>
  <c r="AT348" i="2" s="1"/>
  <c r="AT136" i="2"/>
  <c r="AT349" i="2" s="1"/>
  <c r="AT133" i="2"/>
  <c r="AT346" i="2" s="1"/>
  <c r="AT137" i="2"/>
  <c r="AT350" i="2" s="1"/>
  <c r="AS93" i="2"/>
  <c r="AT82" i="2"/>
  <c r="AT327" i="2" s="1"/>
  <c r="AT99" i="2"/>
  <c r="AT100" i="2" s="1"/>
  <c r="AS65" i="2"/>
  <c r="AS321" i="2" s="1"/>
  <c r="AT80" i="2"/>
  <c r="AT326" i="2" s="1"/>
  <c r="AT69" i="2"/>
  <c r="AT322" i="2" s="1"/>
  <c r="AT75" i="2"/>
  <c r="AT323" i="2" s="1"/>
  <c r="AT68" i="2"/>
  <c r="AT62" i="2"/>
  <c r="AT63" i="2"/>
  <c r="AT67" i="2"/>
  <c r="AT66" i="2"/>
  <c r="AT64" i="2"/>
  <c r="AS41" i="2"/>
  <c r="AS315" i="2" s="1"/>
  <c r="AS49" i="2"/>
  <c r="AS317" i="2" s="1"/>
  <c r="AR32" i="2"/>
  <c r="AR312" i="2" s="1"/>
  <c r="AS61" i="2"/>
  <c r="AS320" i="2" s="1"/>
  <c r="AT8" i="2"/>
  <c r="AT9" i="2" s="1"/>
  <c r="AT10" i="2" s="1"/>
  <c r="AT26" i="2" s="1"/>
  <c r="AT59" i="2"/>
  <c r="AT50" i="2"/>
  <c r="AT60" i="2"/>
  <c r="AT46" i="2"/>
  <c r="AT51" i="2"/>
  <c r="AT47" i="2"/>
  <c r="AT52" i="2"/>
  <c r="AT58" i="2"/>
  <c r="AT48" i="2"/>
  <c r="AT40" i="2"/>
  <c r="AT35" i="2"/>
  <c r="AT42" i="2"/>
  <c r="AT36" i="2"/>
  <c r="AT43" i="2"/>
  <c r="AT38" i="2"/>
  <c r="AT31" i="2"/>
  <c r="AT39" i="2"/>
  <c r="AT44" i="2"/>
  <c r="AT30" i="2"/>
  <c r="AT29" i="2"/>
  <c r="AT34" i="2"/>
  <c r="AS25" i="2"/>
  <c r="AM21" i="7" s="1"/>
  <c r="AS28" i="2"/>
  <c r="AS311" i="2" s="1"/>
  <c r="AS33" i="2"/>
  <c r="AS313" i="2" s="1"/>
  <c r="AS45" i="2"/>
  <c r="AS316" i="2" s="1"/>
  <c r="AS57" i="2"/>
  <c r="AS319" i="2" s="1"/>
  <c r="AS37" i="2"/>
  <c r="AS314" i="2" s="1"/>
  <c r="AS20" i="2"/>
  <c r="AS303" i="2" s="1"/>
  <c r="AT22" i="2"/>
  <c r="AT305" i="2" s="1"/>
  <c r="AT21" i="2"/>
  <c r="AT304" i="2" s="1"/>
  <c r="AT23" i="2"/>
  <c r="AT306" i="2" s="1"/>
  <c r="AS13" i="2"/>
  <c r="AS299" i="2" s="1"/>
  <c r="AU11" i="2"/>
  <c r="AT14" i="2"/>
  <c r="AT17" i="2"/>
  <c r="AT300" i="2" s="1"/>
  <c r="AT16" i="2"/>
  <c r="AT15" i="2"/>
  <c r="BF364" i="2" l="1"/>
  <c r="AT309" i="2"/>
  <c r="AN22" i="7"/>
  <c r="BA32" i="6"/>
  <c r="BE8" i="6"/>
  <c r="BD22" i="6"/>
  <c r="BD10" i="6"/>
  <c r="BD11" i="6" s="1"/>
  <c r="BG289" i="2"/>
  <c r="BB27" i="6"/>
  <c r="BB31" i="6"/>
  <c r="BB28" i="6"/>
  <c r="BB29" i="6"/>
  <c r="BB26" i="6"/>
  <c r="BB25" i="6"/>
  <c r="BB30" i="6"/>
  <c r="BC23" i="6"/>
  <c r="BC24" i="6"/>
  <c r="BI119" i="2"/>
  <c r="AT387" i="2"/>
  <c r="AT373" i="2"/>
  <c r="AT358" i="2"/>
  <c r="AT366" i="2" s="1"/>
  <c r="AT148" i="2" s="1"/>
  <c r="AU384" i="2"/>
  <c r="AU385" i="2" s="1"/>
  <c r="AV386" i="2" s="1"/>
  <c r="AU370" i="2"/>
  <c r="AU371" i="2" s="1"/>
  <c r="AU373" i="2" s="1"/>
  <c r="AU151" i="2"/>
  <c r="AU154" i="2"/>
  <c r="AU355" i="2"/>
  <c r="AU356" i="2" s="1"/>
  <c r="AV357" i="2" s="1"/>
  <c r="BF365" i="2"/>
  <c r="BG363" i="2"/>
  <c r="BH360" i="2" s="1"/>
  <c r="AU297" i="2"/>
  <c r="AU145" i="2"/>
  <c r="AU141" i="2"/>
  <c r="AU147" i="2"/>
  <c r="AU144" i="2"/>
  <c r="AS345" i="2"/>
  <c r="AS24" i="2"/>
  <c r="AS308" i="2"/>
  <c r="AT113" i="2"/>
  <c r="AU114" i="2"/>
  <c r="AU115" i="2"/>
  <c r="AT132" i="2"/>
  <c r="AU102" i="2"/>
  <c r="AU103" i="2" s="1"/>
  <c r="AU138" i="2"/>
  <c r="AU351" i="2" s="1"/>
  <c r="AU134" i="2"/>
  <c r="AU347" i="2" s="1"/>
  <c r="AU111" i="2"/>
  <c r="AU135" i="2"/>
  <c r="AU348" i="2" s="1"/>
  <c r="AU136" i="2"/>
  <c r="AU349" i="2" s="1"/>
  <c r="AU137" i="2"/>
  <c r="AU350" i="2" s="1"/>
  <c r="AU112" i="2"/>
  <c r="AU339" i="2" s="1"/>
  <c r="AU133" i="2"/>
  <c r="AU346" i="2" s="1"/>
  <c r="AT93" i="2"/>
  <c r="AU82" i="2"/>
  <c r="AU327" i="2" s="1"/>
  <c r="AU99" i="2"/>
  <c r="AU100" i="2" s="1"/>
  <c r="AU80" i="2"/>
  <c r="AU326" i="2" s="1"/>
  <c r="AU69" i="2"/>
  <c r="AU322" i="2" s="1"/>
  <c r="AU75" i="2"/>
  <c r="AU323" i="2" s="1"/>
  <c r="AT65" i="2"/>
  <c r="AT321" i="2" s="1"/>
  <c r="AS32" i="2"/>
  <c r="AS312" i="2" s="1"/>
  <c r="AT57" i="2"/>
  <c r="AT319" i="2" s="1"/>
  <c r="AU63" i="2"/>
  <c r="AU68" i="2"/>
  <c r="AU64" i="2"/>
  <c r="AU67" i="2"/>
  <c r="AU66" i="2"/>
  <c r="AU62" i="2"/>
  <c r="AT33" i="2"/>
  <c r="AT313" i="2" s="1"/>
  <c r="AT49" i="2"/>
  <c r="AT317" i="2" s="1"/>
  <c r="AT61" i="2"/>
  <c r="AT320" i="2" s="1"/>
  <c r="AT25" i="2"/>
  <c r="AN21" i="7" s="1"/>
  <c r="AU8" i="2"/>
  <c r="AU9" i="2" s="1"/>
  <c r="AU10" i="2" s="1"/>
  <c r="AU26" i="2" s="1"/>
  <c r="AU50" i="2"/>
  <c r="AU60" i="2"/>
  <c r="AU46" i="2"/>
  <c r="AU51" i="2"/>
  <c r="AU47" i="2"/>
  <c r="AU52" i="2"/>
  <c r="AU58" i="2"/>
  <c r="AU48" i="2"/>
  <c r="AU59" i="2"/>
  <c r="AU40" i="2"/>
  <c r="AU35" i="2"/>
  <c r="AU42" i="2"/>
  <c r="AU36" i="2"/>
  <c r="AU43" i="2"/>
  <c r="AU38" i="2"/>
  <c r="AU44" i="2"/>
  <c r="AU39" i="2"/>
  <c r="AU34" i="2"/>
  <c r="AU29" i="2"/>
  <c r="AU30" i="2"/>
  <c r="AU31" i="2"/>
  <c r="AT41" i="2"/>
  <c r="AT315" i="2" s="1"/>
  <c r="AT28" i="2"/>
  <c r="AT311" i="2" s="1"/>
  <c r="AT37" i="2"/>
  <c r="AT314" i="2" s="1"/>
  <c r="AT45" i="2"/>
  <c r="AT316" i="2" s="1"/>
  <c r="AU22" i="2"/>
  <c r="AU305" i="2" s="1"/>
  <c r="AU23" i="2"/>
  <c r="AU306" i="2" s="1"/>
  <c r="AU21" i="2"/>
  <c r="AU304" i="2" s="1"/>
  <c r="AT20" i="2"/>
  <c r="AT303" i="2" s="1"/>
  <c r="AT13" i="2"/>
  <c r="AT299" i="2" s="1"/>
  <c r="AV11" i="2"/>
  <c r="AU14" i="2"/>
  <c r="AU17" i="2"/>
  <c r="AU300" i="2" s="1"/>
  <c r="AU16" i="2"/>
  <c r="AU15" i="2"/>
  <c r="BG364" i="2" l="1"/>
  <c r="AU309" i="2"/>
  <c r="AO22" i="7"/>
  <c r="AU387" i="2"/>
  <c r="BB32" i="6"/>
  <c r="BC28" i="6"/>
  <c r="BC26" i="6"/>
  <c r="BC29" i="6"/>
  <c r="BC30" i="6"/>
  <c r="BC27" i="6"/>
  <c r="BC31" i="6"/>
  <c r="BC25" i="6"/>
  <c r="BD23" i="6"/>
  <c r="BD24" i="6"/>
  <c r="BJ119" i="2"/>
  <c r="BH289" i="2"/>
  <c r="BF8" i="6"/>
  <c r="BE22" i="6"/>
  <c r="BE10" i="6"/>
  <c r="BE11" i="6" s="1"/>
  <c r="AV384" i="2"/>
  <c r="AV385" i="2" s="1"/>
  <c r="AV387" i="2" s="1"/>
  <c r="AV370" i="2"/>
  <c r="AV371" i="2" s="1"/>
  <c r="AW372" i="2" s="1"/>
  <c r="AV151" i="2"/>
  <c r="AV154" i="2"/>
  <c r="AV355" i="2"/>
  <c r="AV356" i="2" s="1"/>
  <c r="AW357" i="2" s="1"/>
  <c r="AV372" i="2"/>
  <c r="AU358" i="2"/>
  <c r="AU366" i="2" s="1"/>
  <c r="AU148" i="2" s="1"/>
  <c r="BG365" i="2"/>
  <c r="BH363" i="2"/>
  <c r="BI360" i="2" s="1"/>
  <c r="AV297" i="2"/>
  <c r="AV145" i="2"/>
  <c r="AV141" i="2"/>
  <c r="AV144" i="2"/>
  <c r="AV147" i="2"/>
  <c r="AT345" i="2"/>
  <c r="AT24" i="2"/>
  <c r="AT308" i="2"/>
  <c r="AU113" i="2"/>
  <c r="AV114" i="2"/>
  <c r="AV115" i="2"/>
  <c r="AU132" i="2"/>
  <c r="AV102" i="2"/>
  <c r="AV103" i="2" s="1"/>
  <c r="AV111" i="2"/>
  <c r="AV135" i="2"/>
  <c r="AV348" i="2" s="1"/>
  <c r="AV136" i="2"/>
  <c r="AV349" i="2" s="1"/>
  <c r="AV137" i="2"/>
  <c r="AV350" i="2" s="1"/>
  <c r="AV112" i="2"/>
  <c r="AV339" i="2" s="1"/>
  <c r="AV133" i="2"/>
  <c r="AV346" i="2" s="1"/>
  <c r="AV134" i="2"/>
  <c r="AV347" i="2" s="1"/>
  <c r="AV138" i="2"/>
  <c r="AV351" i="2" s="1"/>
  <c r="AU93" i="2"/>
  <c r="AV82" i="2"/>
  <c r="AV327" i="2" s="1"/>
  <c r="AV99" i="2"/>
  <c r="AV100" i="2" s="1"/>
  <c r="AU65" i="2"/>
  <c r="AU321" i="2" s="1"/>
  <c r="AU28" i="2"/>
  <c r="AU311" i="2" s="1"/>
  <c r="AV80" i="2"/>
  <c r="AV326" i="2" s="1"/>
  <c r="AV69" i="2"/>
  <c r="AV322" i="2" s="1"/>
  <c r="AV75" i="2"/>
  <c r="AV323" i="2" s="1"/>
  <c r="AT32" i="2"/>
  <c r="AT312" i="2" s="1"/>
  <c r="AU61" i="2"/>
  <c r="AU320" i="2" s="1"/>
  <c r="AV67" i="2"/>
  <c r="AV64" i="2"/>
  <c r="AV68" i="2"/>
  <c r="AV63" i="2"/>
  <c r="AV66" i="2"/>
  <c r="AV62" i="2"/>
  <c r="AU25" i="2"/>
  <c r="AO21" i="7" s="1"/>
  <c r="AV8" i="2"/>
  <c r="AV9" i="2" s="1"/>
  <c r="AV10" i="2" s="1"/>
  <c r="AV26" i="2" s="1"/>
  <c r="AV60" i="2"/>
  <c r="AV46" i="2"/>
  <c r="AV51" i="2"/>
  <c r="AV47" i="2"/>
  <c r="AV52" i="2"/>
  <c r="AV58" i="2"/>
  <c r="AV48" i="2"/>
  <c r="AV59" i="2"/>
  <c r="AV50" i="2"/>
  <c r="AV42" i="2"/>
  <c r="AV36" i="2"/>
  <c r="AV43" i="2"/>
  <c r="AV38" i="2"/>
  <c r="AV44" i="2"/>
  <c r="AV39" i="2"/>
  <c r="AV40" i="2"/>
  <c r="AV34" i="2"/>
  <c r="AV29" i="2"/>
  <c r="AV31" i="2"/>
  <c r="AV35" i="2"/>
  <c r="AV30" i="2"/>
  <c r="AU41" i="2"/>
  <c r="AU315" i="2" s="1"/>
  <c r="AU45" i="2"/>
  <c r="AU316" i="2" s="1"/>
  <c r="AU33" i="2"/>
  <c r="AU313" i="2" s="1"/>
  <c r="AU20" i="2"/>
  <c r="AU303" i="2" s="1"/>
  <c r="AU49" i="2"/>
  <c r="AU317" i="2" s="1"/>
  <c r="AU37" i="2"/>
  <c r="AU314" i="2" s="1"/>
  <c r="AU57" i="2"/>
  <c r="AU319" i="2" s="1"/>
  <c r="AV23" i="2"/>
  <c r="AV306" i="2" s="1"/>
  <c r="AV21" i="2"/>
  <c r="AV304" i="2" s="1"/>
  <c r="AV22" i="2"/>
  <c r="AV305" i="2" s="1"/>
  <c r="AU13" i="2"/>
  <c r="AU299" i="2" s="1"/>
  <c r="AW11" i="2"/>
  <c r="AV17" i="2"/>
  <c r="AV300" i="2" s="1"/>
  <c r="AV15" i="2"/>
  <c r="AV16" i="2"/>
  <c r="AV14" i="2"/>
  <c r="BH364" i="2" l="1"/>
  <c r="AV309" i="2"/>
  <c r="AP22" i="7"/>
  <c r="BI289" i="2"/>
  <c r="BG8" i="6"/>
  <c r="BF22" i="6"/>
  <c r="BF10" i="6"/>
  <c r="BF11" i="6" s="1"/>
  <c r="AV373" i="2"/>
  <c r="BE23" i="6"/>
  <c r="BE24" i="6"/>
  <c r="BK119" i="2"/>
  <c r="BD26" i="6"/>
  <c r="BD28" i="6"/>
  <c r="BD25" i="6"/>
  <c r="BD29" i="6"/>
  <c r="BD31" i="6"/>
  <c r="BD30" i="6"/>
  <c r="BD27" i="6"/>
  <c r="BC32" i="6"/>
  <c r="AW386" i="2"/>
  <c r="AW151" i="2"/>
  <c r="AW384" i="2"/>
  <c r="AW385" i="2" s="1"/>
  <c r="AX386" i="2" s="1"/>
  <c r="AW370" i="2"/>
  <c r="AW371" i="2" s="1"/>
  <c r="AX372" i="2" s="1"/>
  <c r="AW154" i="2"/>
  <c r="AW355" i="2"/>
  <c r="AW356" i="2" s="1"/>
  <c r="AX357" i="2" s="1"/>
  <c r="AV358" i="2"/>
  <c r="AV366" i="2" s="1"/>
  <c r="AV148" i="2" s="1"/>
  <c r="BH365" i="2"/>
  <c r="BI363" i="2"/>
  <c r="BJ360" i="2" s="1"/>
  <c r="AW297" i="2"/>
  <c r="AW145" i="2"/>
  <c r="AW141" i="2"/>
  <c r="AW147" i="2"/>
  <c r="AW144" i="2"/>
  <c r="AU24" i="2"/>
  <c r="AU308" i="2"/>
  <c r="AU345" i="2"/>
  <c r="AW115" i="2"/>
  <c r="AW114" i="2"/>
  <c r="AV113" i="2"/>
  <c r="AV132" i="2"/>
  <c r="AW102" i="2"/>
  <c r="AW103" i="2" s="1"/>
  <c r="AW111" i="2"/>
  <c r="AW135" i="2"/>
  <c r="AW348" i="2" s="1"/>
  <c r="AW136" i="2"/>
  <c r="AW349" i="2" s="1"/>
  <c r="AW137" i="2"/>
  <c r="AW350" i="2" s="1"/>
  <c r="AW112" i="2"/>
  <c r="AW339" i="2" s="1"/>
  <c r="AW138" i="2"/>
  <c r="AW351" i="2" s="1"/>
  <c r="AW134" i="2"/>
  <c r="AW347" i="2" s="1"/>
  <c r="AW133" i="2"/>
  <c r="AW346" i="2" s="1"/>
  <c r="AV93" i="2"/>
  <c r="AW82" i="2"/>
  <c r="AW327" i="2" s="1"/>
  <c r="AW99" i="2"/>
  <c r="AW100" i="2" s="1"/>
  <c r="AV65" i="2"/>
  <c r="AV321" i="2" s="1"/>
  <c r="AW75" i="2"/>
  <c r="AW323" i="2" s="1"/>
  <c r="AW80" i="2"/>
  <c r="AW326" i="2" s="1"/>
  <c r="AW69" i="2"/>
  <c r="AW322" i="2" s="1"/>
  <c r="AV61" i="2"/>
  <c r="AV320" i="2" s="1"/>
  <c r="AV57" i="2"/>
  <c r="AV319" i="2" s="1"/>
  <c r="AV37" i="2"/>
  <c r="AV314" i="2" s="1"/>
  <c r="AW67" i="2"/>
  <c r="AW66" i="2"/>
  <c r="AW68" i="2"/>
  <c r="AW63" i="2"/>
  <c r="AW64" i="2"/>
  <c r="AW62" i="2"/>
  <c r="AW8" i="2"/>
  <c r="AW9" i="2" s="1"/>
  <c r="AW10" i="2" s="1"/>
  <c r="AW26" i="2" s="1"/>
  <c r="AW51" i="2"/>
  <c r="AW47" i="2"/>
  <c r="AW52" i="2"/>
  <c r="AW58" i="2"/>
  <c r="AW48" i="2"/>
  <c r="AW59" i="2"/>
  <c r="AW50" i="2"/>
  <c r="AW60" i="2"/>
  <c r="AW46" i="2"/>
  <c r="AW42" i="2"/>
  <c r="AW36" i="2"/>
  <c r="AW43" i="2"/>
  <c r="AW38" i="2"/>
  <c r="AW31" i="2"/>
  <c r="AW44" i="2"/>
  <c r="AW39" i="2"/>
  <c r="AW34" i="2"/>
  <c r="AW40" i="2"/>
  <c r="AW35" i="2"/>
  <c r="AW30" i="2"/>
  <c r="AW29" i="2"/>
  <c r="AV28" i="2"/>
  <c r="AV311" i="2" s="1"/>
  <c r="AV41" i="2"/>
  <c r="AV315" i="2" s="1"/>
  <c r="AV45" i="2"/>
  <c r="AV316" i="2" s="1"/>
  <c r="AV33" i="2"/>
  <c r="AV313" i="2" s="1"/>
  <c r="AV49" i="2"/>
  <c r="AV317" i="2" s="1"/>
  <c r="AV25" i="2"/>
  <c r="AP21" i="7" s="1"/>
  <c r="AU32" i="2"/>
  <c r="AU312" i="2" s="1"/>
  <c r="AV20" i="2"/>
  <c r="AV303" i="2" s="1"/>
  <c r="AW23" i="2"/>
  <c r="AW306" i="2" s="1"/>
  <c r="AW21" i="2"/>
  <c r="AW304" i="2" s="1"/>
  <c r="AW22" i="2"/>
  <c r="AW305" i="2" s="1"/>
  <c r="AV13" i="2"/>
  <c r="AV299" i="2" s="1"/>
  <c r="AX11" i="2"/>
  <c r="AW15" i="2"/>
  <c r="AW16" i="2"/>
  <c r="AW14" i="2"/>
  <c r="AW17" i="2"/>
  <c r="AW300" i="2" s="1"/>
  <c r="BI364" i="2" l="1"/>
  <c r="AW309" i="2"/>
  <c r="AQ22" i="7"/>
  <c r="BJ289" i="2"/>
  <c r="AW387" i="2"/>
  <c r="AW373" i="2"/>
  <c r="BE27" i="6"/>
  <c r="BE30" i="6"/>
  <c r="BE25" i="6"/>
  <c r="BE26" i="6"/>
  <c r="BE31" i="6"/>
  <c r="BE28" i="6"/>
  <c r="BE29" i="6"/>
  <c r="BD32" i="6"/>
  <c r="BF23" i="6"/>
  <c r="BF24" i="6"/>
  <c r="BL119" i="2"/>
  <c r="BH8" i="6"/>
  <c r="BG22" i="6"/>
  <c r="BG10" i="6"/>
  <c r="BG11" i="6" s="1"/>
  <c r="AX151" i="2"/>
  <c r="AX384" i="2"/>
  <c r="AX385" i="2" s="1"/>
  <c r="AX387" i="2" s="1"/>
  <c r="AX370" i="2"/>
  <c r="AX371" i="2" s="1"/>
  <c r="AY372" i="2" s="1"/>
  <c r="AX154" i="2"/>
  <c r="AX355" i="2"/>
  <c r="AX356" i="2" s="1"/>
  <c r="AY357" i="2" s="1"/>
  <c r="BI365" i="2"/>
  <c r="AW358" i="2"/>
  <c r="AW366" i="2" s="1"/>
  <c r="AW148" i="2" s="1"/>
  <c r="BJ363" i="2"/>
  <c r="BK360" i="2" s="1"/>
  <c r="AX297" i="2"/>
  <c r="AX141" i="2"/>
  <c r="AX147" i="2"/>
  <c r="AX144" i="2"/>
  <c r="AX145" i="2"/>
  <c r="AW113" i="2"/>
  <c r="AV345" i="2"/>
  <c r="AV24" i="2"/>
  <c r="AV308" i="2"/>
  <c r="AX115" i="2"/>
  <c r="AX114" i="2"/>
  <c r="AW132" i="2"/>
  <c r="AX102" i="2"/>
  <c r="AX103" i="2" s="1"/>
  <c r="AX136" i="2"/>
  <c r="AX349" i="2" s="1"/>
  <c r="AX137" i="2"/>
  <c r="AX350" i="2" s="1"/>
  <c r="AX112" i="2"/>
  <c r="AX339" i="2" s="1"/>
  <c r="AX138" i="2"/>
  <c r="AX351" i="2" s="1"/>
  <c r="AX134" i="2"/>
  <c r="AX347" i="2" s="1"/>
  <c r="AX133" i="2"/>
  <c r="AX346" i="2" s="1"/>
  <c r="AX111" i="2"/>
  <c r="AX135" i="2"/>
  <c r="AX348" i="2" s="1"/>
  <c r="AW93" i="2"/>
  <c r="AX82" i="2"/>
  <c r="AX327" i="2" s="1"/>
  <c r="AX99" i="2"/>
  <c r="AX100" i="2" s="1"/>
  <c r="AX75" i="2"/>
  <c r="AX323" i="2" s="1"/>
  <c r="AX80" i="2"/>
  <c r="AX326" i="2" s="1"/>
  <c r="AX69" i="2"/>
  <c r="AX322" i="2" s="1"/>
  <c r="AW65" i="2"/>
  <c r="AW321" i="2" s="1"/>
  <c r="AW33" i="2"/>
  <c r="AW313" i="2" s="1"/>
  <c r="AW61" i="2"/>
  <c r="AW320" i="2" s="1"/>
  <c r="AX63" i="2"/>
  <c r="AX68" i="2"/>
  <c r="AX67" i="2"/>
  <c r="AX66" i="2"/>
  <c r="AX62" i="2"/>
  <c r="AX64" i="2"/>
  <c r="AW25" i="2"/>
  <c r="AW57" i="2"/>
  <c r="AW319" i="2" s="1"/>
  <c r="AW37" i="2"/>
  <c r="AW314" i="2" s="1"/>
  <c r="AX8" i="2"/>
  <c r="AX9" i="2" s="1"/>
  <c r="AX10" i="2" s="1"/>
  <c r="AX26" i="2" s="1"/>
  <c r="AX47" i="2"/>
  <c r="AX52" i="2"/>
  <c r="AX58" i="2"/>
  <c r="AX48" i="2"/>
  <c r="AX59" i="2"/>
  <c r="AX50" i="2"/>
  <c r="AX60" i="2"/>
  <c r="AX46" i="2"/>
  <c r="AX51" i="2"/>
  <c r="AX43" i="2"/>
  <c r="AX38" i="2"/>
  <c r="AX44" i="2"/>
  <c r="AX39" i="2"/>
  <c r="AX34" i="2"/>
  <c r="AX40" i="2"/>
  <c r="AX36" i="2"/>
  <c r="AX42" i="2"/>
  <c r="AX31" i="2"/>
  <c r="AX30" i="2"/>
  <c r="AX35" i="2"/>
  <c r="AX29" i="2"/>
  <c r="AW28" i="2"/>
  <c r="AW311" i="2" s="1"/>
  <c r="AW41" i="2"/>
  <c r="AW315" i="2" s="1"/>
  <c r="AV32" i="2"/>
  <c r="AV312" i="2" s="1"/>
  <c r="AW45" i="2"/>
  <c r="AW316" i="2" s="1"/>
  <c r="AW49" i="2"/>
  <c r="AW317" i="2" s="1"/>
  <c r="AW20" i="2"/>
  <c r="AW303" i="2" s="1"/>
  <c r="AX23" i="2"/>
  <c r="AX306" i="2" s="1"/>
  <c r="AX21" i="2"/>
  <c r="AX304" i="2" s="1"/>
  <c r="AX22" i="2"/>
  <c r="AX305" i="2" s="1"/>
  <c r="AW13" i="2"/>
  <c r="AW299" i="2" s="1"/>
  <c r="AY11" i="2"/>
  <c r="AX16" i="2"/>
  <c r="AX14" i="2"/>
  <c r="AX17" i="2"/>
  <c r="AX300" i="2" s="1"/>
  <c r="AX15" i="2"/>
  <c r="BJ364" i="2" l="1"/>
  <c r="BJ365" i="2" s="1"/>
  <c r="AW308" i="2"/>
  <c r="AQ21" i="7"/>
  <c r="AX309" i="2"/>
  <c r="AR22" i="7"/>
  <c r="AW24" i="2"/>
  <c r="BH10" i="6"/>
  <c r="BH11" i="6" s="1"/>
  <c r="BI8" i="6"/>
  <c r="BH22" i="6"/>
  <c r="BK289" i="2"/>
  <c r="BG23" i="6"/>
  <c r="BG24" i="6"/>
  <c r="BM119" i="2"/>
  <c r="BF28" i="6"/>
  <c r="BF27" i="6"/>
  <c r="BF29" i="6"/>
  <c r="BF31" i="6"/>
  <c r="BF30" i="6"/>
  <c r="BF25" i="6"/>
  <c r="BF26" i="6"/>
  <c r="AX373" i="2"/>
  <c r="BE32" i="6"/>
  <c r="AX358" i="2"/>
  <c r="AX366" i="2" s="1"/>
  <c r="AX148" i="2" s="1"/>
  <c r="AY151" i="2"/>
  <c r="AY384" i="2"/>
  <c r="AY385" i="2" s="1"/>
  <c r="AZ386" i="2" s="1"/>
  <c r="AY370" i="2"/>
  <c r="AY371" i="2" s="1"/>
  <c r="AY373" i="2" s="1"/>
  <c r="AY154" i="2"/>
  <c r="AY355" i="2"/>
  <c r="AY356" i="2" s="1"/>
  <c r="AZ357" i="2" s="1"/>
  <c r="AX113" i="2"/>
  <c r="AY386" i="2"/>
  <c r="BK363" i="2"/>
  <c r="BL360" i="2" s="1"/>
  <c r="AY297" i="2"/>
  <c r="AY147" i="2"/>
  <c r="AY144" i="2"/>
  <c r="AY145" i="2"/>
  <c r="AY141" i="2"/>
  <c r="AW345" i="2"/>
  <c r="AY114" i="2"/>
  <c r="AY115" i="2"/>
  <c r="AY102" i="2"/>
  <c r="AY103" i="2" s="1"/>
  <c r="AY136" i="2"/>
  <c r="AY349" i="2" s="1"/>
  <c r="AY137" i="2"/>
  <c r="AY350" i="2" s="1"/>
  <c r="AY112" i="2"/>
  <c r="AY339" i="2" s="1"/>
  <c r="AY138" i="2"/>
  <c r="AY351" i="2" s="1"/>
  <c r="AY134" i="2"/>
  <c r="AY347" i="2" s="1"/>
  <c r="AY111" i="2"/>
  <c r="AY135" i="2"/>
  <c r="AY348" i="2" s="1"/>
  <c r="AY133" i="2"/>
  <c r="AY346" i="2" s="1"/>
  <c r="AX132" i="2"/>
  <c r="AX93" i="2"/>
  <c r="AY82" i="2"/>
  <c r="AY327" i="2" s="1"/>
  <c r="AY99" i="2"/>
  <c r="AY100" i="2" s="1"/>
  <c r="AX65" i="2"/>
  <c r="AX321" i="2" s="1"/>
  <c r="AY75" i="2"/>
  <c r="AY323" i="2" s="1"/>
  <c r="AY80" i="2"/>
  <c r="AY326" i="2" s="1"/>
  <c r="AY69" i="2"/>
  <c r="AY322" i="2" s="1"/>
  <c r="AY68" i="2"/>
  <c r="AY63" i="2"/>
  <c r="AY66" i="2"/>
  <c r="AY67" i="2"/>
  <c r="AY62" i="2"/>
  <c r="AY64" i="2"/>
  <c r="AX37" i="2"/>
  <c r="AX314" i="2" s="1"/>
  <c r="AX61" i="2"/>
  <c r="AX320" i="2" s="1"/>
  <c r="AX57" i="2"/>
  <c r="AX319" i="2" s="1"/>
  <c r="AW32" i="2"/>
  <c r="AW312" i="2" s="1"/>
  <c r="AX41" i="2"/>
  <c r="AX315" i="2" s="1"/>
  <c r="AX45" i="2"/>
  <c r="AX316" i="2" s="1"/>
  <c r="AY8" i="2"/>
  <c r="AY9" i="2" s="1"/>
  <c r="AY10" i="2" s="1"/>
  <c r="AY25" i="2" s="1"/>
  <c r="AY52" i="2"/>
  <c r="AY58" i="2"/>
  <c r="AY48" i="2"/>
  <c r="AY59" i="2"/>
  <c r="AY50" i="2"/>
  <c r="AY60" i="2"/>
  <c r="AY46" i="2"/>
  <c r="AY51" i="2"/>
  <c r="AY47" i="2"/>
  <c r="AY43" i="2"/>
  <c r="AY38" i="2"/>
  <c r="AY31" i="2"/>
  <c r="AY44" i="2"/>
  <c r="AY39" i="2"/>
  <c r="AY34" i="2"/>
  <c r="AY40" i="2"/>
  <c r="AY35" i="2"/>
  <c r="AY42" i="2"/>
  <c r="AY36" i="2"/>
  <c r="AY29" i="2"/>
  <c r="AY30" i="2"/>
  <c r="AX25" i="2"/>
  <c r="AR21" i="7" s="1"/>
  <c r="AX33" i="2"/>
  <c r="AX313" i="2" s="1"/>
  <c r="AX49" i="2"/>
  <c r="AX317" i="2" s="1"/>
  <c r="AX28" i="2"/>
  <c r="AX311" i="2" s="1"/>
  <c r="AX20" i="2"/>
  <c r="AX303" i="2" s="1"/>
  <c r="AY21" i="2"/>
  <c r="AY304" i="2" s="1"/>
  <c r="AY22" i="2"/>
  <c r="AY305" i="2" s="1"/>
  <c r="AY23" i="2"/>
  <c r="AY306" i="2" s="1"/>
  <c r="AX13" i="2"/>
  <c r="AX299" i="2" s="1"/>
  <c r="AZ11" i="2"/>
  <c r="AY16" i="2"/>
  <c r="AY17" i="2"/>
  <c r="AY300" i="2" s="1"/>
  <c r="AY14" i="2"/>
  <c r="AY15" i="2"/>
  <c r="BK364" i="2" l="1"/>
  <c r="AY308" i="2"/>
  <c r="AS21" i="7"/>
  <c r="AY387" i="2"/>
  <c r="BL289" i="2"/>
  <c r="BH23" i="6"/>
  <c r="BH24" i="6"/>
  <c r="BN119" i="2"/>
  <c r="BG28" i="6"/>
  <c r="BG31" i="6"/>
  <c r="BG30" i="6"/>
  <c r="BG29" i="6"/>
  <c r="BG25" i="6"/>
  <c r="BG26" i="6"/>
  <c r="BG27" i="6"/>
  <c r="BJ8" i="6"/>
  <c r="BI10" i="6"/>
  <c r="BI11" i="6" s="1"/>
  <c r="BI22" i="6"/>
  <c r="BF32" i="6"/>
  <c r="AY358" i="2"/>
  <c r="AY366" i="2" s="1"/>
  <c r="AY148" i="2" s="1"/>
  <c r="BK365" i="2"/>
  <c r="AZ151" i="2"/>
  <c r="AZ384" i="2"/>
  <c r="AZ385" i="2" s="1"/>
  <c r="BA386" i="2" s="1"/>
  <c r="AZ370" i="2"/>
  <c r="AZ371" i="2" s="1"/>
  <c r="BA372" i="2" s="1"/>
  <c r="AZ154" i="2"/>
  <c r="AZ355" i="2"/>
  <c r="AZ356" i="2" s="1"/>
  <c r="BA357" i="2" s="1"/>
  <c r="AZ372" i="2"/>
  <c r="BL363" i="2"/>
  <c r="BM360" i="2" s="1"/>
  <c r="AZ297" i="2"/>
  <c r="AZ147" i="2"/>
  <c r="AZ144" i="2"/>
  <c r="AZ141" i="2"/>
  <c r="AZ145" i="2"/>
  <c r="AX24" i="2"/>
  <c r="AX308" i="2"/>
  <c r="AX345" i="2"/>
  <c r="AZ114" i="2"/>
  <c r="AZ115" i="2"/>
  <c r="AY113" i="2"/>
  <c r="AY132" i="2"/>
  <c r="AZ102" i="2"/>
  <c r="AZ103" i="2" s="1"/>
  <c r="AZ137" i="2"/>
  <c r="AZ350" i="2" s="1"/>
  <c r="AZ112" i="2"/>
  <c r="AZ339" i="2" s="1"/>
  <c r="AZ138" i="2"/>
  <c r="AZ351" i="2" s="1"/>
  <c r="AZ134" i="2"/>
  <c r="AZ347" i="2" s="1"/>
  <c r="AZ111" i="2"/>
  <c r="AZ135" i="2"/>
  <c r="AZ348" i="2" s="1"/>
  <c r="AZ136" i="2"/>
  <c r="AZ349" i="2" s="1"/>
  <c r="AZ133" i="2"/>
  <c r="AZ346" i="2" s="1"/>
  <c r="AY93" i="2"/>
  <c r="AZ82" i="2"/>
  <c r="AZ327" i="2" s="1"/>
  <c r="AZ99" i="2"/>
  <c r="AZ100" i="2" s="1"/>
  <c r="AY65" i="2"/>
  <c r="AY321" i="2" s="1"/>
  <c r="AZ75" i="2"/>
  <c r="AZ323" i="2" s="1"/>
  <c r="AZ80" i="2"/>
  <c r="AZ326" i="2" s="1"/>
  <c r="AZ69" i="2"/>
  <c r="AZ322" i="2" s="1"/>
  <c r="AY49" i="2"/>
  <c r="AY317" i="2" s="1"/>
  <c r="AY61" i="2"/>
  <c r="AY320" i="2" s="1"/>
  <c r="AZ67" i="2"/>
  <c r="AZ63" i="2"/>
  <c r="AZ64" i="2"/>
  <c r="AZ66" i="2"/>
  <c r="AZ68" i="2"/>
  <c r="AZ62" i="2"/>
  <c r="AY26" i="2"/>
  <c r="AS22" i="7" s="1"/>
  <c r="AY28" i="2"/>
  <c r="AY311" i="2" s="1"/>
  <c r="AY41" i="2"/>
  <c r="AY315" i="2" s="1"/>
  <c r="AY57" i="2"/>
  <c r="AY319" i="2" s="1"/>
  <c r="AY33" i="2"/>
  <c r="AY313" i="2" s="1"/>
  <c r="AX32" i="2"/>
  <c r="AX312" i="2" s="1"/>
  <c r="AY45" i="2"/>
  <c r="AY316" i="2" s="1"/>
  <c r="AZ8" i="2"/>
  <c r="AZ9" i="2" s="1"/>
  <c r="AZ10" i="2" s="1"/>
  <c r="AZ25" i="2" s="1"/>
  <c r="AZ58" i="2"/>
  <c r="AZ48" i="2"/>
  <c r="AZ44" i="2"/>
  <c r="AZ59" i="2"/>
  <c r="AZ50" i="2"/>
  <c r="AZ60" i="2"/>
  <c r="AZ46" i="2"/>
  <c r="AZ51" i="2"/>
  <c r="AZ47" i="2"/>
  <c r="AZ52" i="2"/>
  <c r="AZ31" i="2"/>
  <c r="AZ39" i="2"/>
  <c r="AZ34" i="2"/>
  <c r="AZ40" i="2"/>
  <c r="AZ35" i="2"/>
  <c r="AZ38" i="2"/>
  <c r="AZ36" i="2"/>
  <c r="AZ29" i="2"/>
  <c r="AZ42" i="2"/>
  <c r="AZ43" i="2"/>
  <c r="AZ30" i="2"/>
  <c r="AY37" i="2"/>
  <c r="AY314" i="2" s="1"/>
  <c r="AZ21" i="2"/>
  <c r="AZ304" i="2" s="1"/>
  <c r="AZ22" i="2"/>
  <c r="AZ305" i="2" s="1"/>
  <c r="AZ23" i="2"/>
  <c r="AZ306" i="2" s="1"/>
  <c r="AY20" i="2"/>
  <c r="AY303" i="2" s="1"/>
  <c r="AY13" i="2"/>
  <c r="AY299" i="2" s="1"/>
  <c r="BA11" i="2"/>
  <c r="AZ15" i="2"/>
  <c r="AZ17" i="2"/>
  <c r="AZ300" i="2" s="1"/>
  <c r="AZ14" i="2"/>
  <c r="AZ16" i="2"/>
  <c r="BL364" i="2" l="1"/>
  <c r="AZ308" i="2"/>
  <c r="AT21" i="7"/>
  <c r="AZ373" i="2"/>
  <c r="BM289" i="2"/>
  <c r="AZ387" i="2"/>
  <c r="BI23" i="6"/>
  <c r="BI24" i="6"/>
  <c r="BO119" i="2"/>
  <c r="BK8" i="6"/>
  <c r="BJ10" i="6"/>
  <c r="BJ11" i="6" s="1"/>
  <c r="BJ22" i="6"/>
  <c r="BG32" i="6"/>
  <c r="BH30" i="6"/>
  <c r="BH29" i="6"/>
  <c r="BH25" i="6"/>
  <c r="BH28" i="6"/>
  <c r="BH26" i="6"/>
  <c r="BH27" i="6"/>
  <c r="BH31" i="6"/>
  <c r="BA151" i="2"/>
  <c r="BA384" i="2"/>
  <c r="BA385" i="2" s="1"/>
  <c r="BB386" i="2" s="1"/>
  <c r="BA370" i="2"/>
  <c r="BA371" i="2" s="1"/>
  <c r="BA373" i="2" s="1"/>
  <c r="BA154" i="2"/>
  <c r="BA355" i="2"/>
  <c r="BA356" i="2" s="1"/>
  <c r="BB357" i="2" s="1"/>
  <c r="AZ358" i="2"/>
  <c r="AZ366" i="2" s="1"/>
  <c r="AZ148" i="2" s="1"/>
  <c r="BL365" i="2"/>
  <c r="BM363" i="2"/>
  <c r="BN360" i="2" s="1"/>
  <c r="BA297" i="2"/>
  <c r="BA147" i="2"/>
  <c r="BA145" i="2"/>
  <c r="BA144" i="2"/>
  <c r="BA141" i="2"/>
  <c r="AY345" i="2"/>
  <c r="AY24" i="2"/>
  <c r="AY309" i="2"/>
  <c r="BA114" i="2"/>
  <c r="BA115" i="2"/>
  <c r="AZ113" i="2"/>
  <c r="BA102" i="2"/>
  <c r="BA103" i="2" s="1"/>
  <c r="BA137" i="2"/>
  <c r="BA350" i="2" s="1"/>
  <c r="BA112" i="2"/>
  <c r="BA339" i="2" s="1"/>
  <c r="BA138" i="2"/>
  <c r="BA351" i="2" s="1"/>
  <c r="BA134" i="2"/>
  <c r="BA347" i="2" s="1"/>
  <c r="BA111" i="2"/>
  <c r="BA135" i="2"/>
  <c r="BA348" i="2" s="1"/>
  <c r="BA136" i="2"/>
  <c r="BA349" i="2" s="1"/>
  <c r="BA133" i="2"/>
  <c r="BA346" i="2" s="1"/>
  <c r="AZ93" i="2"/>
  <c r="AZ132" i="2"/>
  <c r="BA82" i="2"/>
  <c r="BA327" i="2" s="1"/>
  <c r="BA99" i="2"/>
  <c r="BA100" i="2" s="1"/>
  <c r="AZ65" i="2"/>
  <c r="AZ321" i="2" s="1"/>
  <c r="AZ37" i="2"/>
  <c r="AZ314" i="2" s="1"/>
  <c r="AZ49" i="2"/>
  <c r="AZ317" i="2" s="1"/>
  <c r="BA75" i="2"/>
  <c r="BA323" i="2" s="1"/>
  <c r="BA80" i="2"/>
  <c r="BA326" i="2" s="1"/>
  <c r="BA69" i="2"/>
  <c r="BA322" i="2" s="1"/>
  <c r="AZ61" i="2"/>
  <c r="AZ320" i="2" s="1"/>
  <c r="BA63" i="2"/>
  <c r="BA67" i="2"/>
  <c r="BA66" i="2"/>
  <c r="BA64" i="2"/>
  <c r="BA68" i="2"/>
  <c r="BA62" i="2"/>
  <c r="AZ26" i="2"/>
  <c r="AT22" i="7" s="1"/>
  <c r="AZ33" i="2"/>
  <c r="AZ313" i="2" s="1"/>
  <c r="AY32" i="2"/>
  <c r="AY312" i="2" s="1"/>
  <c r="AZ41" i="2"/>
  <c r="AZ315" i="2" s="1"/>
  <c r="AZ28" i="2"/>
  <c r="AZ311" i="2" s="1"/>
  <c r="BA8" i="2"/>
  <c r="BA9" i="2" s="1"/>
  <c r="BA10" i="2" s="1"/>
  <c r="BA25" i="2" s="1"/>
  <c r="BA44" i="2"/>
  <c r="BA59" i="2"/>
  <c r="BA50" i="2"/>
  <c r="BA60" i="2"/>
  <c r="BA46" i="2"/>
  <c r="BA51" i="2"/>
  <c r="BA47" i="2"/>
  <c r="BA52" i="2"/>
  <c r="BA58" i="2"/>
  <c r="BA48" i="2"/>
  <c r="BA39" i="2"/>
  <c r="BA34" i="2"/>
  <c r="BA40" i="2"/>
  <c r="BA35" i="2"/>
  <c r="BA42" i="2"/>
  <c r="BA36" i="2"/>
  <c r="BA43" i="2"/>
  <c r="BA38" i="2"/>
  <c r="BA29" i="2"/>
  <c r="BA30" i="2"/>
  <c r="BA31" i="2"/>
  <c r="AZ45" i="2"/>
  <c r="AZ316" i="2" s="1"/>
  <c r="AZ57" i="2"/>
  <c r="AZ319" i="2" s="1"/>
  <c r="BA21" i="2"/>
  <c r="BA304" i="2" s="1"/>
  <c r="BA22" i="2"/>
  <c r="BA305" i="2" s="1"/>
  <c r="BA23" i="2"/>
  <c r="BA306" i="2" s="1"/>
  <c r="AZ20" i="2"/>
  <c r="AZ303" i="2" s="1"/>
  <c r="AZ13" i="2"/>
  <c r="AZ299" i="2" s="1"/>
  <c r="BB11" i="2"/>
  <c r="BA14" i="2"/>
  <c r="BA17" i="2"/>
  <c r="BA300" i="2" s="1"/>
  <c r="BA15" i="2"/>
  <c r="BA16" i="2"/>
  <c r="BN364" i="2" l="1"/>
  <c r="BM364" i="2"/>
  <c r="BA308" i="2"/>
  <c r="AU21" i="7"/>
  <c r="BH32" i="6"/>
  <c r="BJ23" i="6"/>
  <c r="BJ24" i="6"/>
  <c r="BP119" i="2"/>
  <c r="BK10" i="6"/>
  <c r="BK22" i="6"/>
  <c r="BN289" i="2"/>
  <c r="BI25" i="6"/>
  <c r="BI26" i="6"/>
  <c r="BI29" i="6"/>
  <c r="BI28" i="6"/>
  <c r="BI31" i="6"/>
  <c r="BI27" i="6"/>
  <c r="BI30" i="6"/>
  <c r="BA387" i="2"/>
  <c r="BB372" i="2"/>
  <c r="BB151" i="2"/>
  <c r="BB384" i="2"/>
  <c r="BB385" i="2" s="1"/>
  <c r="BC386" i="2" s="1"/>
  <c r="BB370" i="2"/>
  <c r="BB371" i="2" s="1"/>
  <c r="BC372" i="2" s="1"/>
  <c r="BB154" i="2"/>
  <c r="BB355" i="2"/>
  <c r="BB356" i="2" s="1"/>
  <c r="BC357" i="2" s="1"/>
  <c r="BA358" i="2"/>
  <c r="BA366" i="2" s="1"/>
  <c r="BA148" i="2" s="1"/>
  <c r="BM365" i="2"/>
  <c r="BN363" i="2"/>
  <c r="BO360" i="2" s="1"/>
  <c r="BB297" i="2"/>
  <c r="BB144" i="2"/>
  <c r="BB141" i="2"/>
  <c r="BB145" i="2"/>
  <c r="BB147" i="2"/>
  <c r="AZ24" i="2"/>
  <c r="AZ309" i="2"/>
  <c r="AZ345" i="2"/>
  <c r="BA113" i="2"/>
  <c r="BB114" i="2"/>
  <c r="BB115" i="2"/>
  <c r="BA93" i="2"/>
  <c r="BA132" i="2"/>
  <c r="BB102" i="2"/>
  <c r="BB103" i="2" s="1"/>
  <c r="BB112" i="2"/>
  <c r="BB339" i="2" s="1"/>
  <c r="BB138" i="2"/>
  <c r="BB351" i="2" s="1"/>
  <c r="BB134" i="2"/>
  <c r="BB347" i="2" s="1"/>
  <c r="BB111" i="2"/>
  <c r="BB135" i="2"/>
  <c r="BB348" i="2" s="1"/>
  <c r="BB136" i="2"/>
  <c r="BB349" i="2" s="1"/>
  <c r="BB137" i="2"/>
  <c r="BB350" i="2" s="1"/>
  <c r="BB133" i="2"/>
  <c r="BB346" i="2" s="1"/>
  <c r="BB82" i="2"/>
  <c r="BB327" i="2" s="1"/>
  <c r="BB99" i="2"/>
  <c r="BB100" i="2" s="1"/>
  <c r="BA61" i="2"/>
  <c r="BA320" i="2" s="1"/>
  <c r="BB80" i="2"/>
  <c r="BB326" i="2" s="1"/>
  <c r="BB69" i="2"/>
  <c r="BB322" i="2" s="1"/>
  <c r="BB75" i="2"/>
  <c r="BB323" i="2" s="1"/>
  <c r="BA65" i="2"/>
  <c r="BA321" i="2" s="1"/>
  <c r="BA33" i="2"/>
  <c r="BA313" i="2" s="1"/>
  <c r="BA37" i="2"/>
  <c r="BA314" i="2" s="1"/>
  <c r="BA45" i="2"/>
  <c r="BA316" i="2" s="1"/>
  <c r="BB68" i="2"/>
  <c r="BB62" i="2"/>
  <c r="BB64" i="2"/>
  <c r="BB63" i="2"/>
  <c r="BB67" i="2"/>
  <c r="BB66" i="2"/>
  <c r="BA57" i="2"/>
  <c r="BA319" i="2" s="1"/>
  <c r="BA26" i="2"/>
  <c r="AU22" i="7" s="1"/>
  <c r="BA41" i="2"/>
  <c r="BA315" i="2" s="1"/>
  <c r="AZ32" i="2"/>
  <c r="AZ312" i="2" s="1"/>
  <c r="BA28" i="2"/>
  <c r="BA311" i="2" s="1"/>
  <c r="BA49" i="2"/>
  <c r="BA317" i="2" s="1"/>
  <c r="BB8" i="2"/>
  <c r="BB9" i="2" s="1"/>
  <c r="BB10" i="2" s="1"/>
  <c r="BB26" i="2" s="1"/>
  <c r="BB59" i="2"/>
  <c r="BB50" i="2"/>
  <c r="BB60" i="2"/>
  <c r="BB46" i="2"/>
  <c r="BB51" i="2"/>
  <c r="BB47" i="2"/>
  <c r="BB52" i="2"/>
  <c r="BB58" i="2"/>
  <c r="BB48" i="2"/>
  <c r="BB44" i="2"/>
  <c r="BB40" i="2"/>
  <c r="BB35" i="2"/>
  <c r="BB42" i="2"/>
  <c r="BB36" i="2"/>
  <c r="BB29" i="2"/>
  <c r="BB39" i="2"/>
  <c r="BB34" i="2"/>
  <c r="BB30" i="2"/>
  <c r="BB43" i="2"/>
  <c r="BB38" i="2"/>
  <c r="BB31" i="2"/>
  <c r="BB22" i="2"/>
  <c r="BB305" i="2" s="1"/>
  <c r="BB23" i="2"/>
  <c r="BB306" i="2" s="1"/>
  <c r="BB21" i="2"/>
  <c r="BB304" i="2" s="1"/>
  <c r="BA20" i="2"/>
  <c r="BA303" i="2" s="1"/>
  <c r="BC11" i="2"/>
  <c r="BB14" i="2"/>
  <c r="BB16" i="2"/>
  <c r="BB17" i="2"/>
  <c r="BB300" i="2" s="1"/>
  <c r="BB15" i="2"/>
  <c r="BA13" i="2"/>
  <c r="BA299" i="2" s="1"/>
  <c r="BB309" i="2" l="1"/>
  <c r="AV22" i="7"/>
  <c r="BI32" i="6"/>
  <c r="BB373" i="2"/>
  <c r="BO289" i="2"/>
  <c r="BK11" i="6"/>
  <c r="G10" i="6"/>
  <c r="BB387" i="2"/>
  <c r="BK23" i="6"/>
  <c r="BK24" i="6"/>
  <c r="BQ119" i="2"/>
  <c r="M119" i="2" s="1"/>
  <c r="BJ30" i="6"/>
  <c r="BJ28" i="6"/>
  <c r="BJ29" i="6"/>
  <c r="BJ26" i="6"/>
  <c r="BJ25" i="6"/>
  <c r="BJ31" i="6"/>
  <c r="BJ27" i="6"/>
  <c r="BN365" i="2"/>
  <c r="BC384" i="2"/>
  <c r="BC385" i="2" s="1"/>
  <c r="BD386" i="2" s="1"/>
  <c r="BC370" i="2"/>
  <c r="BC371" i="2" s="1"/>
  <c r="BD372" i="2" s="1"/>
  <c r="BC151" i="2"/>
  <c r="BC154" i="2"/>
  <c r="BC355" i="2"/>
  <c r="BC356" i="2" s="1"/>
  <c r="BD357" i="2" s="1"/>
  <c r="BB358" i="2"/>
  <c r="BB366" i="2" s="1"/>
  <c r="BB148" i="2" s="1"/>
  <c r="BO363" i="2"/>
  <c r="BP360" i="2" s="1"/>
  <c r="BC297" i="2"/>
  <c r="BC145" i="2"/>
  <c r="BC141" i="2"/>
  <c r="BC147" i="2"/>
  <c r="BC144" i="2"/>
  <c r="BA24" i="2"/>
  <c r="BA309" i="2"/>
  <c r="BA345" i="2"/>
  <c r="BB113" i="2"/>
  <c r="BC114" i="2"/>
  <c r="BC115" i="2"/>
  <c r="BB132" i="2"/>
  <c r="BC102" i="2"/>
  <c r="BC103" i="2" s="1"/>
  <c r="BC138" i="2"/>
  <c r="BC351" i="2" s="1"/>
  <c r="BC134" i="2"/>
  <c r="BC347" i="2" s="1"/>
  <c r="BC111" i="2"/>
  <c r="BC135" i="2"/>
  <c r="BC348" i="2" s="1"/>
  <c r="BC136" i="2"/>
  <c r="BC349" i="2" s="1"/>
  <c r="BC137" i="2"/>
  <c r="BC350" i="2" s="1"/>
  <c r="BC112" i="2"/>
  <c r="BC339" i="2" s="1"/>
  <c r="BC133" i="2"/>
  <c r="BC346" i="2" s="1"/>
  <c r="BB93" i="2"/>
  <c r="BC82" i="2"/>
  <c r="BC327" i="2" s="1"/>
  <c r="BC99" i="2"/>
  <c r="BC100" i="2" s="1"/>
  <c r="BB65" i="2"/>
  <c r="BB321" i="2" s="1"/>
  <c r="BA32" i="2"/>
  <c r="BA312" i="2" s="1"/>
  <c r="BB37" i="2"/>
  <c r="BB314" i="2" s="1"/>
  <c r="BC80" i="2"/>
  <c r="BC326" i="2" s="1"/>
  <c r="BC69" i="2"/>
  <c r="BC322" i="2" s="1"/>
  <c r="BC75" i="2"/>
  <c r="BC323" i="2" s="1"/>
  <c r="BB57" i="2"/>
  <c r="BB319" i="2" s="1"/>
  <c r="BB28" i="2"/>
  <c r="BB311" i="2" s="1"/>
  <c r="BB49" i="2"/>
  <c r="BB317" i="2" s="1"/>
  <c r="BB61" i="2"/>
  <c r="BB320" i="2" s="1"/>
  <c r="BC68" i="2"/>
  <c r="BC63" i="2"/>
  <c r="BC62" i="2"/>
  <c r="BC64" i="2"/>
  <c r="BC67" i="2"/>
  <c r="BC66" i="2"/>
  <c r="BC8" i="2"/>
  <c r="BC9" i="2" s="1"/>
  <c r="BC10" i="2" s="1"/>
  <c r="BC25" i="2" s="1"/>
  <c r="BC50" i="2"/>
  <c r="BC60" i="2"/>
  <c r="BC46" i="2"/>
  <c r="BC51" i="2"/>
  <c r="BC47" i="2"/>
  <c r="BC52" i="2"/>
  <c r="BC58" i="2"/>
  <c r="BC48" i="2"/>
  <c r="BC59" i="2"/>
  <c r="BC44" i="2"/>
  <c r="BC40" i="2"/>
  <c r="BC35" i="2"/>
  <c r="BC42" i="2"/>
  <c r="BC36" i="2"/>
  <c r="BC43" i="2"/>
  <c r="BC38" i="2"/>
  <c r="BC39" i="2"/>
  <c r="BC34" i="2"/>
  <c r="BC30" i="2"/>
  <c r="BC31" i="2"/>
  <c r="BC29" i="2"/>
  <c r="BB33" i="2"/>
  <c r="BB313" i="2" s="1"/>
  <c r="BB41" i="2"/>
  <c r="BB315" i="2" s="1"/>
  <c r="BB25" i="2"/>
  <c r="AV21" i="7" s="1"/>
  <c r="BB20" i="2"/>
  <c r="BB303" i="2" s="1"/>
  <c r="BB45" i="2"/>
  <c r="BB316" i="2" s="1"/>
  <c r="BC22" i="2"/>
  <c r="BC305" i="2" s="1"/>
  <c r="BC23" i="2"/>
  <c r="BC306" i="2" s="1"/>
  <c r="BC21" i="2"/>
  <c r="BC304" i="2" s="1"/>
  <c r="BB13" i="2"/>
  <c r="BB299" i="2" s="1"/>
  <c r="BD11" i="2"/>
  <c r="BC14" i="2"/>
  <c r="BC17" i="2"/>
  <c r="BC300" i="2" s="1"/>
  <c r="BC15" i="2"/>
  <c r="BC16" i="2"/>
  <c r="BO364" i="2" l="1"/>
  <c r="BC308" i="2"/>
  <c r="AW21" i="7"/>
  <c r="BP289" i="2"/>
  <c r="G24" i="6"/>
  <c r="BK27" i="6"/>
  <c r="G27" i="6" s="1"/>
  <c r="BK31" i="6"/>
  <c r="G31" i="6" s="1"/>
  <c r="BK25" i="6"/>
  <c r="BK30" i="6"/>
  <c r="G30" i="6" s="1"/>
  <c r="BK28" i="6"/>
  <c r="G28" i="6" s="1"/>
  <c r="BK29" i="6"/>
  <c r="G29" i="6" s="1"/>
  <c r="BK26" i="6"/>
  <c r="G26" i="6" s="1"/>
  <c r="BJ32" i="6"/>
  <c r="BC387" i="2"/>
  <c r="BC373" i="2"/>
  <c r="BD384" i="2"/>
  <c r="BD385" i="2" s="1"/>
  <c r="BD387" i="2" s="1"/>
  <c r="BD370" i="2"/>
  <c r="BD371" i="2" s="1"/>
  <c r="BE372" i="2" s="1"/>
  <c r="BD151" i="2"/>
  <c r="BD154" i="2"/>
  <c r="BD355" i="2"/>
  <c r="BD356" i="2" s="1"/>
  <c r="BE357" i="2" s="1"/>
  <c r="BC358" i="2"/>
  <c r="BC366" i="2" s="1"/>
  <c r="BC148" i="2" s="1"/>
  <c r="BO365" i="2"/>
  <c r="BP363" i="2"/>
  <c r="BQ360" i="2" s="1"/>
  <c r="BD297" i="2"/>
  <c r="BD145" i="2"/>
  <c r="BD141" i="2"/>
  <c r="BD144" i="2"/>
  <c r="BD147" i="2"/>
  <c r="BB345" i="2"/>
  <c r="BB24" i="2"/>
  <c r="BB308" i="2"/>
  <c r="BC113" i="2"/>
  <c r="BD114" i="2"/>
  <c r="BD115" i="2"/>
  <c r="BC132" i="2"/>
  <c r="BD102" i="2"/>
  <c r="BD103" i="2" s="1"/>
  <c r="BD111" i="2"/>
  <c r="BD135" i="2"/>
  <c r="BD348" i="2" s="1"/>
  <c r="BD136" i="2"/>
  <c r="BD349" i="2" s="1"/>
  <c r="BD137" i="2"/>
  <c r="BD350" i="2" s="1"/>
  <c r="BD112" i="2"/>
  <c r="BD339" i="2" s="1"/>
  <c r="BD134" i="2"/>
  <c r="BD347" i="2" s="1"/>
  <c r="BD138" i="2"/>
  <c r="BD351" i="2" s="1"/>
  <c r="BD133" i="2"/>
  <c r="BD346" i="2" s="1"/>
  <c r="BC93" i="2"/>
  <c r="BD82" i="2"/>
  <c r="BD327" i="2" s="1"/>
  <c r="BD99" i="2"/>
  <c r="BD100" i="2" s="1"/>
  <c r="BC65" i="2"/>
  <c r="BC321" i="2" s="1"/>
  <c r="BD80" i="2"/>
  <c r="BD326" i="2" s="1"/>
  <c r="BD69" i="2"/>
  <c r="BD322" i="2" s="1"/>
  <c r="BD75" i="2"/>
  <c r="BD323" i="2" s="1"/>
  <c r="BC61" i="2"/>
  <c r="BC320" i="2" s="1"/>
  <c r="BC37" i="2"/>
  <c r="BC314" i="2" s="1"/>
  <c r="BC28" i="2"/>
  <c r="BC311" i="2" s="1"/>
  <c r="BC33" i="2"/>
  <c r="BC313" i="2" s="1"/>
  <c r="BD68" i="2"/>
  <c r="BD67" i="2"/>
  <c r="BD64" i="2"/>
  <c r="BD66" i="2"/>
  <c r="BD63" i="2"/>
  <c r="BD62" i="2"/>
  <c r="BC57" i="2"/>
  <c r="BC319" i="2" s="1"/>
  <c r="BB32" i="2"/>
  <c r="BB312" i="2" s="1"/>
  <c r="BC41" i="2"/>
  <c r="BC315" i="2" s="1"/>
  <c r="BC26" i="2"/>
  <c r="AW22" i="7" s="1"/>
  <c r="BD8" i="2"/>
  <c r="BD9" i="2" s="1"/>
  <c r="BD10" i="2" s="1"/>
  <c r="BD26" i="2" s="1"/>
  <c r="BD60" i="2"/>
  <c r="BD46" i="2"/>
  <c r="BD51" i="2"/>
  <c r="BD47" i="2"/>
  <c r="BD52" i="2"/>
  <c r="BD58" i="2"/>
  <c r="BD48" i="2"/>
  <c r="BD44" i="2"/>
  <c r="BD59" i="2"/>
  <c r="BD50" i="2"/>
  <c r="BD42" i="2"/>
  <c r="BD36" i="2"/>
  <c r="BD43" i="2"/>
  <c r="BD38" i="2"/>
  <c r="BD30" i="2"/>
  <c r="BD39" i="2"/>
  <c r="BD34" i="2"/>
  <c r="BD31" i="2"/>
  <c r="BD40" i="2"/>
  <c r="BD35" i="2"/>
  <c r="BD29" i="2"/>
  <c r="BC45" i="2"/>
  <c r="BC316" i="2" s="1"/>
  <c r="BC49" i="2"/>
  <c r="BC317" i="2" s="1"/>
  <c r="BC20" i="2"/>
  <c r="BC303" i="2" s="1"/>
  <c r="BD22" i="2"/>
  <c r="BD305" i="2" s="1"/>
  <c r="BD23" i="2"/>
  <c r="BD306" i="2" s="1"/>
  <c r="BD21" i="2"/>
  <c r="BD304" i="2" s="1"/>
  <c r="BC13" i="2"/>
  <c r="BC299" i="2" s="1"/>
  <c r="BE11" i="2"/>
  <c r="BD17" i="2"/>
  <c r="BD300" i="2" s="1"/>
  <c r="BD15" i="2"/>
  <c r="BD16" i="2"/>
  <c r="BD14" i="2"/>
  <c r="BP364" i="2" l="1"/>
  <c r="BD309" i="2"/>
  <c r="AX22" i="7"/>
  <c r="BD373" i="2"/>
  <c r="BQ289" i="2"/>
  <c r="G25" i="6"/>
  <c r="BK32" i="6"/>
  <c r="G32" i="6" s="1"/>
  <c r="F32" i="6" s="1"/>
  <c r="L13" i="1" s="1"/>
  <c r="BE151" i="2"/>
  <c r="BE384" i="2"/>
  <c r="BE385" i="2" s="1"/>
  <c r="BF386" i="2" s="1"/>
  <c r="BE370" i="2"/>
  <c r="BE371" i="2" s="1"/>
  <c r="BE373" i="2" s="1"/>
  <c r="BE154" i="2"/>
  <c r="BE355" i="2"/>
  <c r="BE356" i="2" s="1"/>
  <c r="BF357" i="2" s="1"/>
  <c r="BE386" i="2"/>
  <c r="BD358" i="2"/>
  <c r="BD366" i="2" s="1"/>
  <c r="BD148" i="2" s="1"/>
  <c r="BP365" i="2"/>
  <c r="BQ363" i="2"/>
  <c r="BE297" i="2"/>
  <c r="BE145" i="2"/>
  <c r="BE141" i="2"/>
  <c r="BE147" i="2"/>
  <c r="BE144" i="2"/>
  <c r="BC345" i="2"/>
  <c r="BC24" i="2"/>
  <c r="BC309" i="2"/>
  <c r="BE115" i="2"/>
  <c r="BE114" i="2"/>
  <c r="BD113" i="2"/>
  <c r="BD132" i="2"/>
  <c r="BE102" i="2"/>
  <c r="BE103" i="2" s="1"/>
  <c r="BE111" i="2"/>
  <c r="BE135" i="2"/>
  <c r="BE348" i="2" s="1"/>
  <c r="BE136" i="2"/>
  <c r="BE349" i="2" s="1"/>
  <c r="BE137" i="2"/>
  <c r="BE350" i="2" s="1"/>
  <c r="BE112" i="2"/>
  <c r="BE339" i="2" s="1"/>
  <c r="BE138" i="2"/>
  <c r="BE351" i="2" s="1"/>
  <c r="BE134" i="2"/>
  <c r="BE347" i="2" s="1"/>
  <c r="BE133" i="2"/>
  <c r="BE346" i="2" s="1"/>
  <c r="BD93" i="2"/>
  <c r="BE82" i="2"/>
  <c r="BE327" i="2" s="1"/>
  <c r="BE99" i="2"/>
  <c r="BE100" i="2" s="1"/>
  <c r="BD33" i="2"/>
  <c r="BD313" i="2" s="1"/>
  <c r="BD65" i="2"/>
  <c r="BD321" i="2" s="1"/>
  <c r="BC32" i="2"/>
  <c r="BC312" i="2" s="1"/>
  <c r="BE75" i="2"/>
  <c r="BE323" i="2" s="1"/>
  <c r="BE80" i="2"/>
  <c r="BE326" i="2" s="1"/>
  <c r="BE69" i="2"/>
  <c r="BE322" i="2" s="1"/>
  <c r="BE66" i="2"/>
  <c r="BE67" i="2"/>
  <c r="BE62" i="2"/>
  <c r="BE68" i="2"/>
  <c r="BE63" i="2"/>
  <c r="BE64" i="2"/>
  <c r="BD20" i="2"/>
  <c r="BD303" i="2" s="1"/>
  <c r="BD28" i="2"/>
  <c r="BD311" i="2" s="1"/>
  <c r="BD61" i="2"/>
  <c r="BD320" i="2" s="1"/>
  <c r="BD25" i="2"/>
  <c r="AX21" i="7" s="1"/>
  <c r="BD41" i="2"/>
  <c r="BD315" i="2" s="1"/>
  <c r="BD49" i="2"/>
  <c r="BD317" i="2" s="1"/>
  <c r="BD45" i="2"/>
  <c r="BD316" i="2" s="1"/>
  <c r="BE8" i="2"/>
  <c r="BE9" i="2" s="1"/>
  <c r="BE10" i="2" s="1"/>
  <c r="BE26" i="2" s="1"/>
  <c r="BE51" i="2"/>
  <c r="BE47" i="2"/>
  <c r="BE52" i="2"/>
  <c r="BE58" i="2"/>
  <c r="BE48" i="2"/>
  <c r="BE59" i="2"/>
  <c r="BE50" i="2"/>
  <c r="BE60" i="2"/>
  <c r="BE46" i="2"/>
  <c r="BE42" i="2"/>
  <c r="BE36" i="2"/>
  <c r="BE43" i="2"/>
  <c r="BE38" i="2"/>
  <c r="BE31" i="2"/>
  <c r="BE39" i="2"/>
  <c r="BE34" i="2"/>
  <c r="BE40" i="2"/>
  <c r="BE35" i="2"/>
  <c r="BE44" i="2"/>
  <c r="BE29" i="2"/>
  <c r="BE30" i="2"/>
  <c r="BD37" i="2"/>
  <c r="BD314" i="2" s="1"/>
  <c r="BD57" i="2"/>
  <c r="BD319" i="2" s="1"/>
  <c r="BE23" i="2"/>
  <c r="BE306" i="2" s="1"/>
  <c r="BE21" i="2"/>
  <c r="BE304" i="2" s="1"/>
  <c r="BE22" i="2"/>
  <c r="BE305" i="2" s="1"/>
  <c r="BD13" i="2"/>
  <c r="BD299" i="2" s="1"/>
  <c r="BF11" i="2"/>
  <c r="BE15" i="2"/>
  <c r="BE16" i="2"/>
  <c r="BE14" i="2"/>
  <c r="BE17" i="2"/>
  <c r="BE300" i="2" s="1"/>
  <c r="BQ365" i="2" l="1"/>
  <c r="M365" i="2" s="1"/>
  <c r="BQ364" i="2"/>
  <c r="BE309" i="2"/>
  <c r="AY22" i="7"/>
  <c r="BE387" i="2"/>
  <c r="BE113" i="2"/>
  <c r="BE358" i="2"/>
  <c r="BE366" i="2" s="1"/>
  <c r="BE148" i="2" s="1"/>
  <c r="BF151" i="2"/>
  <c r="BF384" i="2"/>
  <c r="BF385" i="2" s="1"/>
  <c r="BF387" i="2" s="1"/>
  <c r="BF370" i="2"/>
  <c r="BF371" i="2" s="1"/>
  <c r="BF154" i="2"/>
  <c r="BF355" i="2"/>
  <c r="BF356" i="2" s="1"/>
  <c r="BG357" i="2" s="1"/>
  <c r="BF372" i="2"/>
  <c r="BF297" i="2"/>
  <c r="BF141" i="2"/>
  <c r="BF144" i="2"/>
  <c r="BF147" i="2"/>
  <c r="BF145" i="2"/>
  <c r="BD345" i="2"/>
  <c r="BD24" i="2"/>
  <c r="BD308" i="2"/>
  <c r="BF115" i="2"/>
  <c r="BF114" i="2"/>
  <c r="BE132" i="2"/>
  <c r="BF102" i="2"/>
  <c r="BF103" i="2" s="1"/>
  <c r="BF136" i="2"/>
  <c r="BF349" i="2" s="1"/>
  <c r="BF137" i="2"/>
  <c r="BF350" i="2" s="1"/>
  <c r="BF112" i="2"/>
  <c r="BF339" i="2" s="1"/>
  <c r="BF138" i="2"/>
  <c r="BF351" i="2" s="1"/>
  <c r="BF134" i="2"/>
  <c r="BF347" i="2" s="1"/>
  <c r="BF133" i="2"/>
  <c r="BF346" i="2" s="1"/>
  <c r="BF111" i="2"/>
  <c r="BF135" i="2"/>
  <c r="BF348" i="2" s="1"/>
  <c r="BE93" i="2"/>
  <c r="BF82" i="2"/>
  <c r="BF327" i="2" s="1"/>
  <c r="BF99" i="2"/>
  <c r="BF100" i="2" s="1"/>
  <c r="BD32" i="2"/>
  <c r="BD312" i="2" s="1"/>
  <c r="BE65" i="2"/>
  <c r="BE321" i="2" s="1"/>
  <c r="BF75" i="2"/>
  <c r="BF323" i="2" s="1"/>
  <c r="BF80" i="2"/>
  <c r="BF326" i="2" s="1"/>
  <c r="BF69" i="2"/>
  <c r="BF322" i="2" s="1"/>
  <c r="BE49" i="2"/>
  <c r="BE317" i="2" s="1"/>
  <c r="BF67" i="2"/>
  <c r="BF66" i="2"/>
  <c r="BF63" i="2"/>
  <c r="BF68" i="2"/>
  <c r="BF62" i="2"/>
  <c r="BF64" i="2"/>
  <c r="BE45" i="2"/>
  <c r="BE316" i="2" s="1"/>
  <c r="BE28" i="2"/>
  <c r="BE311" i="2" s="1"/>
  <c r="BE61" i="2"/>
  <c r="BE320" i="2" s="1"/>
  <c r="BE25" i="2"/>
  <c r="AY21" i="7" s="1"/>
  <c r="BE41" i="2"/>
  <c r="BE315" i="2" s="1"/>
  <c r="BE33" i="2"/>
  <c r="BE313" i="2" s="1"/>
  <c r="BF8" i="2"/>
  <c r="BF9" i="2" s="1"/>
  <c r="BF10" i="2" s="1"/>
  <c r="BF26" i="2" s="1"/>
  <c r="BF47" i="2"/>
  <c r="BF52" i="2"/>
  <c r="BF58" i="2"/>
  <c r="BF48" i="2"/>
  <c r="BF59" i="2"/>
  <c r="BF50" i="2"/>
  <c r="BF60" i="2"/>
  <c r="BF46" i="2"/>
  <c r="BF51" i="2"/>
  <c r="BF43" i="2"/>
  <c r="BF38" i="2"/>
  <c r="BF39" i="2"/>
  <c r="BF34" i="2"/>
  <c r="BF44" i="2"/>
  <c r="BF31" i="2"/>
  <c r="BF42" i="2"/>
  <c r="BF40" i="2"/>
  <c r="BF35" i="2"/>
  <c r="BF30" i="2"/>
  <c r="BF36" i="2"/>
  <c r="BF29" i="2"/>
  <c r="BE37" i="2"/>
  <c r="BE314" i="2" s="1"/>
  <c r="BE57" i="2"/>
  <c r="BE319" i="2" s="1"/>
  <c r="BF21" i="2"/>
  <c r="BF304" i="2" s="1"/>
  <c r="BF22" i="2"/>
  <c r="BF305" i="2" s="1"/>
  <c r="BF23" i="2"/>
  <c r="BF306" i="2" s="1"/>
  <c r="BE20" i="2"/>
  <c r="BE303" i="2" s="1"/>
  <c r="BE13" i="2"/>
  <c r="BE299" i="2" s="1"/>
  <c r="BG11" i="2"/>
  <c r="BF14" i="2"/>
  <c r="BF16" i="2"/>
  <c r="BF17" i="2"/>
  <c r="BF300" i="2" s="1"/>
  <c r="BF15" i="2"/>
  <c r="BF309" i="2" l="1"/>
  <c r="AZ22" i="7"/>
  <c r="BF373" i="2"/>
  <c r="BG151" i="2"/>
  <c r="BG384" i="2"/>
  <c r="BG385" i="2" s="1"/>
  <c r="BG370" i="2"/>
  <c r="BG371" i="2" s="1"/>
  <c r="BH372" i="2" s="1"/>
  <c r="BG154" i="2"/>
  <c r="BG355" i="2"/>
  <c r="BG356" i="2" s="1"/>
  <c r="BH357" i="2" s="1"/>
  <c r="BG372" i="2"/>
  <c r="BG386" i="2"/>
  <c r="BF358" i="2"/>
  <c r="BF366" i="2" s="1"/>
  <c r="BF148" i="2" s="1"/>
  <c r="BG297" i="2"/>
  <c r="BG147" i="2"/>
  <c r="BG144" i="2"/>
  <c r="BG145" i="2"/>
  <c r="BG141" i="2"/>
  <c r="BE345" i="2"/>
  <c r="BE24" i="2"/>
  <c r="BE308" i="2"/>
  <c r="BF113" i="2"/>
  <c r="BG114" i="2"/>
  <c r="BG115" i="2"/>
  <c r="BG102" i="2"/>
  <c r="BG103" i="2" s="1"/>
  <c r="BG136" i="2"/>
  <c r="BG349" i="2" s="1"/>
  <c r="BG137" i="2"/>
  <c r="BG350" i="2" s="1"/>
  <c r="BG112" i="2"/>
  <c r="BG339" i="2" s="1"/>
  <c r="BG138" i="2"/>
  <c r="BG351" i="2" s="1"/>
  <c r="BG134" i="2"/>
  <c r="BG347" i="2" s="1"/>
  <c r="BG111" i="2"/>
  <c r="BG135" i="2"/>
  <c r="BG348" i="2" s="1"/>
  <c r="BG133" i="2"/>
  <c r="BG346" i="2" s="1"/>
  <c r="BF132" i="2"/>
  <c r="BF93" i="2"/>
  <c r="BG82" i="2"/>
  <c r="BG327" i="2" s="1"/>
  <c r="BG99" i="2"/>
  <c r="BG100" i="2" s="1"/>
  <c r="BF65" i="2"/>
  <c r="BF321" i="2" s="1"/>
  <c r="BG75" i="2"/>
  <c r="BG323" i="2" s="1"/>
  <c r="BG80" i="2"/>
  <c r="BG326" i="2" s="1"/>
  <c r="BG69" i="2"/>
  <c r="BG322" i="2" s="1"/>
  <c r="BF61" i="2"/>
  <c r="BF320" i="2" s="1"/>
  <c r="BF57" i="2"/>
  <c r="BF319" i="2" s="1"/>
  <c r="BG63" i="2"/>
  <c r="BG68" i="2"/>
  <c r="BG62" i="2"/>
  <c r="BG64" i="2"/>
  <c r="BG66" i="2"/>
  <c r="BG67" i="2"/>
  <c r="BF37" i="2"/>
  <c r="BF314" i="2" s="1"/>
  <c r="BG8" i="2"/>
  <c r="BG9" i="2" s="1"/>
  <c r="BG10" i="2" s="1"/>
  <c r="BG26" i="2" s="1"/>
  <c r="BG52" i="2"/>
  <c r="BG58" i="2"/>
  <c r="BG48" i="2"/>
  <c r="BG59" i="2"/>
  <c r="BG50" i="2"/>
  <c r="BG60" i="2"/>
  <c r="BG46" i="2"/>
  <c r="BG51" i="2"/>
  <c r="BG47" i="2"/>
  <c r="BG43" i="2"/>
  <c r="BG38" i="2"/>
  <c r="BG31" i="2"/>
  <c r="BG39" i="2"/>
  <c r="BG34" i="2"/>
  <c r="BG40" i="2"/>
  <c r="BG35" i="2"/>
  <c r="BG42" i="2"/>
  <c r="BG36" i="2"/>
  <c r="BG44" i="2"/>
  <c r="BG29" i="2"/>
  <c r="BG30" i="2"/>
  <c r="BF25" i="2"/>
  <c r="AZ21" i="7" s="1"/>
  <c r="BE32" i="2"/>
  <c r="BE312" i="2" s="1"/>
  <c r="BF45" i="2"/>
  <c r="BF316" i="2" s="1"/>
  <c r="BF49" i="2"/>
  <c r="BF317" i="2" s="1"/>
  <c r="BF41" i="2"/>
  <c r="BF315" i="2" s="1"/>
  <c r="BF28" i="2"/>
  <c r="BF311" i="2" s="1"/>
  <c r="BF33" i="2"/>
  <c r="BF313" i="2" s="1"/>
  <c r="BF20" i="2"/>
  <c r="BF303" i="2" s="1"/>
  <c r="BG21" i="2"/>
  <c r="BG304" i="2" s="1"/>
  <c r="BG22" i="2"/>
  <c r="BG305" i="2" s="1"/>
  <c r="BG23" i="2"/>
  <c r="BG306" i="2" s="1"/>
  <c r="BF13" i="2"/>
  <c r="BF299" i="2" s="1"/>
  <c r="BH11" i="2"/>
  <c r="BG16" i="2"/>
  <c r="BG17" i="2"/>
  <c r="BG300" i="2" s="1"/>
  <c r="BG14" i="2"/>
  <c r="BG15" i="2"/>
  <c r="BG309" i="2" l="1"/>
  <c r="BA22" i="7"/>
  <c r="BG373" i="2"/>
  <c r="BG387" i="2"/>
  <c r="BH151" i="2"/>
  <c r="BH384" i="2"/>
  <c r="BH385" i="2" s="1"/>
  <c r="BI386" i="2" s="1"/>
  <c r="BH370" i="2"/>
  <c r="BH371" i="2" s="1"/>
  <c r="BH373" i="2" s="1"/>
  <c r="BH154" i="2"/>
  <c r="BH355" i="2"/>
  <c r="BH356" i="2" s="1"/>
  <c r="BI357" i="2" s="1"/>
  <c r="BH386" i="2"/>
  <c r="BG358" i="2"/>
  <c r="BG366" i="2" s="1"/>
  <c r="BH297" i="2"/>
  <c r="BH147" i="2"/>
  <c r="BH144" i="2"/>
  <c r="BH145" i="2"/>
  <c r="BH141" i="2"/>
  <c r="BF24" i="2"/>
  <c r="BF308" i="2"/>
  <c r="BF345" i="2"/>
  <c r="BH114" i="2"/>
  <c r="BH115" i="2"/>
  <c r="BG113" i="2"/>
  <c r="BG132" i="2"/>
  <c r="BH102" i="2"/>
  <c r="BH103" i="2" s="1"/>
  <c r="BH137" i="2"/>
  <c r="BH350" i="2" s="1"/>
  <c r="BH112" i="2"/>
  <c r="BH339" i="2" s="1"/>
  <c r="BH138" i="2"/>
  <c r="BH351" i="2" s="1"/>
  <c r="BH134" i="2"/>
  <c r="BH347" i="2" s="1"/>
  <c r="BH111" i="2"/>
  <c r="BH135" i="2"/>
  <c r="BH348" i="2" s="1"/>
  <c r="BH136" i="2"/>
  <c r="BH349" i="2" s="1"/>
  <c r="BH133" i="2"/>
  <c r="BH346" i="2" s="1"/>
  <c r="BG93" i="2"/>
  <c r="BH82" i="2"/>
  <c r="BH327" i="2" s="1"/>
  <c r="BH99" i="2"/>
  <c r="BH100" i="2" s="1"/>
  <c r="BH75" i="2"/>
  <c r="BH323" i="2" s="1"/>
  <c r="BH80" i="2"/>
  <c r="BH326" i="2" s="1"/>
  <c r="BH69" i="2"/>
  <c r="BH322" i="2" s="1"/>
  <c r="BG65" i="2"/>
  <c r="BG321" i="2" s="1"/>
  <c r="BG49" i="2"/>
  <c r="BG317" i="2" s="1"/>
  <c r="BF32" i="2"/>
  <c r="BF312" i="2" s="1"/>
  <c r="BG61" i="2"/>
  <c r="BG320" i="2" s="1"/>
  <c r="BH67" i="2"/>
  <c r="BH63" i="2"/>
  <c r="BH66" i="2"/>
  <c r="BH68" i="2"/>
  <c r="BH64" i="2"/>
  <c r="BH62" i="2"/>
  <c r="BG41" i="2"/>
  <c r="BG315" i="2" s="1"/>
  <c r="BG37" i="2"/>
  <c r="BG314" i="2" s="1"/>
  <c r="BH8" i="2"/>
  <c r="BH9" i="2" s="1"/>
  <c r="BH10" i="2" s="1"/>
  <c r="BH25" i="2" s="1"/>
  <c r="BH58" i="2"/>
  <c r="BH48" i="2"/>
  <c r="BH44" i="2"/>
  <c r="BH59" i="2"/>
  <c r="BH50" i="2"/>
  <c r="BH60" i="2"/>
  <c r="BH46" i="2"/>
  <c r="BH51" i="2"/>
  <c r="BH47" i="2"/>
  <c r="BH52" i="2"/>
  <c r="BH31" i="2"/>
  <c r="BH39" i="2"/>
  <c r="BH34" i="2"/>
  <c r="BH40" i="2"/>
  <c r="BH35" i="2"/>
  <c r="BH36" i="2"/>
  <c r="BH42" i="2"/>
  <c r="BH29" i="2"/>
  <c r="BH43" i="2"/>
  <c r="BH38" i="2"/>
  <c r="BH30" i="2"/>
  <c r="BG28" i="2"/>
  <c r="BG311" i="2" s="1"/>
  <c r="BG57" i="2"/>
  <c r="BG319" i="2" s="1"/>
  <c r="BG25" i="2"/>
  <c r="BA21" i="7" s="1"/>
  <c r="BG33" i="2"/>
  <c r="BG313" i="2" s="1"/>
  <c r="BG45" i="2"/>
  <c r="BG316" i="2" s="1"/>
  <c r="BH21" i="2"/>
  <c r="BH304" i="2" s="1"/>
  <c r="BH22" i="2"/>
  <c r="BH305" i="2" s="1"/>
  <c r="BH23" i="2"/>
  <c r="BH306" i="2" s="1"/>
  <c r="BG20" i="2"/>
  <c r="BG303" i="2" s="1"/>
  <c r="BI11" i="2"/>
  <c r="BH17" i="2"/>
  <c r="BH300" i="2" s="1"/>
  <c r="BH15" i="2"/>
  <c r="BH14" i="2"/>
  <c r="BH16" i="2"/>
  <c r="BG13" i="2"/>
  <c r="BG299" i="2" s="1"/>
  <c r="BH308" i="2" l="1"/>
  <c r="BB21" i="7"/>
  <c r="BH387" i="2"/>
  <c r="BI372" i="2"/>
  <c r="BI151" i="2"/>
  <c r="BI384" i="2"/>
  <c r="BI385" i="2" s="1"/>
  <c r="BJ386" i="2" s="1"/>
  <c r="BI370" i="2"/>
  <c r="BI371" i="2" s="1"/>
  <c r="BJ372" i="2" s="1"/>
  <c r="BI154" i="2"/>
  <c r="BI355" i="2"/>
  <c r="BI356" i="2" s="1"/>
  <c r="BJ357" i="2" s="1"/>
  <c r="BG148" i="2"/>
  <c r="BH358" i="2"/>
  <c r="BH366" i="2" s="1"/>
  <c r="BH148" i="2" s="1"/>
  <c r="BI297" i="2"/>
  <c r="BI147" i="2"/>
  <c r="BI144" i="2"/>
  <c r="BI145" i="2"/>
  <c r="BI141" i="2"/>
  <c r="BG345" i="2"/>
  <c r="BG24" i="2"/>
  <c r="BG308" i="2"/>
  <c r="BI114" i="2"/>
  <c r="BI115" i="2"/>
  <c r="BH113" i="2"/>
  <c r="BH132" i="2"/>
  <c r="BI102" i="2"/>
  <c r="BI103" i="2" s="1"/>
  <c r="BI137" i="2"/>
  <c r="BI350" i="2" s="1"/>
  <c r="BI112" i="2"/>
  <c r="BI339" i="2" s="1"/>
  <c r="BI138" i="2"/>
  <c r="BI351" i="2" s="1"/>
  <c r="BI134" i="2"/>
  <c r="BI347" i="2" s="1"/>
  <c r="BI111" i="2"/>
  <c r="BI135" i="2"/>
  <c r="BI348" i="2" s="1"/>
  <c r="BI136" i="2"/>
  <c r="BI349" i="2" s="1"/>
  <c r="BI133" i="2"/>
  <c r="BI346" i="2" s="1"/>
  <c r="BH93" i="2"/>
  <c r="BI82" i="2"/>
  <c r="BI327" i="2" s="1"/>
  <c r="BI99" i="2"/>
  <c r="BI100" i="2" s="1"/>
  <c r="BH37" i="2"/>
  <c r="BH314" i="2" s="1"/>
  <c r="BH65" i="2"/>
  <c r="BH321" i="2" s="1"/>
  <c r="BI75" i="2"/>
  <c r="BI323" i="2" s="1"/>
  <c r="BI80" i="2"/>
  <c r="BI326" i="2" s="1"/>
  <c r="BI69" i="2"/>
  <c r="BI322" i="2" s="1"/>
  <c r="BH41" i="2"/>
  <c r="BH315" i="2" s="1"/>
  <c r="BG32" i="2"/>
  <c r="BG312" i="2" s="1"/>
  <c r="BI66" i="2"/>
  <c r="BI62" i="2"/>
  <c r="BI67" i="2"/>
  <c r="BI63" i="2"/>
  <c r="BI68" i="2"/>
  <c r="BI64" i="2"/>
  <c r="BH49" i="2"/>
  <c r="BH317" i="2" s="1"/>
  <c r="BH61" i="2"/>
  <c r="BH320" i="2" s="1"/>
  <c r="BH33" i="2"/>
  <c r="BH313" i="2" s="1"/>
  <c r="BI8" i="2"/>
  <c r="BI9" i="2" s="1"/>
  <c r="BI10" i="2" s="1"/>
  <c r="BI26" i="2" s="1"/>
  <c r="BI44" i="2"/>
  <c r="BI59" i="2"/>
  <c r="BI50" i="2"/>
  <c r="BI60" i="2"/>
  <c r="BI46" i="2"/>
  <c r="BI51" i="2"/>
  <c r="BI47" i="2"/>
  <c r="BI52" i="2"/>
  <c r="BI58" i="2"/>
  <c r="BI48" i="2"/>
  <c r="BI39" i="2"/>
  <c r="BI34" i="2"/>
  <c r="BI40" i="2"/>
  <c r="BI35" i="2"/>
  <c r="BI42" i="2"/>
  <c r="BI36" i="2"/>
  <c r="BI43" i="2"/>
  <c r="BI38" i="2"/>
  <c r="BI29" i="2"/>
  <c r="BI30" i="2"/>
  <c r="BI31" i="2"/>
  <c r="BH26" i="2"/>
  <c r="BB22" i="7" s="1"/>
  <c r="BH28" i="2"/>
  <c r="BH311" i="2" s="1"/>
  <c r="BH45" i="2"/>
  <c r="BH316" i="2" s="1"/>
  <c r="BH57" i="2"/>
  <c r="BH319" i="2" s="1"/>
  <c r="BI21" i="2"/>
  <c r="BI304" i="2" s="1"/>
  <c r="BI22" i="2"/>
  <c r="BI305" i="2" s="1"/>
  <c r="BI23" i="2"/>
  <c r="BI306" i="2" s="1"/>
  <c r="BH13" i="2"/>
  <c r="BH299" i="2" s="1"/>
  <c r="BH20" i="2"/>
  <c r="BH303" i="2" s="1"/>
  <c r="BJ11" i="2"/>
  <c r="BI14" i="2"/>
  <c r="BI15" i="2"/>
  <c r="BI17" i="2"/>
  <c r="BI300" i="2" s="1"/>
  <c r="BI16" i="2"/>
  <c r="BI309" i="2" l="1"/>
  <c r="BC22" i="7"/>
  <c r="BI373" i="2"/>
  <c r="BI387" i="2"/>
  <c r="BJ384" i="2"/>
  <c r="BJ385" i="2" s="1"/>
  <c r="BK386" i="2" s="1"/>
  <c r="BJ370" i="2"/>
  <c r="BJ371" i="2" s="1"/>
  <c r="BK372" i="2" s="1"/>
  <c r="BJ151" i="2"/>
  <c r="BJ154" i="2"/>
  <c r="BJ355" i="2"/>
  <c r="BJ356" i="2" s="1"/>
  <c r="BK357" i="2" s="1"/>
  <c r="BI358" i="2"/>
  <c r="BI366" i="2" s="1"/>
  <c r="BJ297" i="2"/>
  <c r="BJ144" i="2"/>
  <c r="BJ145" i="2"/>
  <c r="BJ141" i="2"/>
  <c r="BJ147" i="2"/>
  <c r="BH345" i="2"/>
  <c r="BH24" i="2"/>
  <c r="BH309" i="2"/>
  <c r="BI113" i="2"/>
  <c r="BJ114" i="2"/>
  <c r="BJ115" i="2"/>
  <c r="BI132" i="2"/>
  <c r="BJ102" i="2"/>
  <c r="BJ103" i="2" s="1"/>
  <c r="BJ112" i="2"/>
  <c r="BJ339" i="2" s="1"/>
  <c r="BJ138" i="2"/>
  <c r="BJ351" i="2" s="1"/>
  <c r="BJ134" i="2"/>
  <c r="BJ347" i="2" s="1"/>
  <c r="BJ111" i="2"/>
  <c r="BJ135" i="2"/>
  <c r="BJ348" i="2" s="1"/>
  <c r="BJ136" i="2"/>
  <c r="BJ349" i="2" s="1"/>
  <c r="BJ137" i="2"/>
  <c r="BJ350" i="2" s="1"/>
  <c r="BJ133" i="2"/>
  <c r="BJ346" i="2" s="1"/>
  <c r="BI93" i="2"/>
  <c r="BJ82" i="2"/>
  <c r="BJ327" i="2" s="1"/>
  <c r="BJ99" i="2"/>
  <c r="BJ100" i="2" s="1"/>
  <c r="BI65" i="2"/>
  <c r="BI321" i="2" s="1"/>
  <c r="BJ80" i="2"/>
  <c r="BJ326" i="2" s="1"/>
  <c r="BJ69" i="2"/>
  <c r="BJ322" i="2" s="1"/>
  <c r="BJ75" i="2"/>
  <c r="BJ323" i="2" s="1"/>
  <c r="BI37" i="2"/>
  <c r="BI314" i="2" s="1"/>
  <c r="BI33" i="2"/>
  <c r="BI313" i="2" s="1"/>
  <c r="BI61" i="2"/>
  <c r="BI320" i="2" s="1"/>
  <c r="BJ63" i="2"/>
  <c r="BJ68" i="2"/>
  <c r="BJ62" i="2"/>
  <c r="BJ64" i="2"/>
  <c r="BJ67" i="2"/>
  <c r="BJ66" i="2"/>
  <c r="BI57" i="2"/>
  <c r="BI319" i="2" s="1"/>
  <c r="BI25" i="2"/>
  <c r="BC21" i="7" s="1"/>
  <c r="BJ8" i="2"/>
  <c r="BJ9" i="2" s="1"/>
  <c r="BJ10" i="2" s="1"/>
  <c r="BJ25" i="2" s="1"/>
  <c r="BJ59" i="2"/>
  <c r="BJ50" i="2"/>
  <c r="BJ60" i="2"/>
  <c r="BJ46" i="2"/>
  <c r="BJ51" i="2"/>
  <c r="BJ47" i="2"/>
  <c r="BJ52" i="2"/>
  <c r="BJ58" i="2"/>
  <c r="BJ48" i="2"/>
  <c r="BJ40" i="2"/>
  <c r="BJ35" i="2"/>
  <c r="BJ42" i="2"/>
  <c r="BJ36" i="2"/>
  <c r="BJ44" i="2"/>
  <c r="BJ39" i="2"/>
  <c r="BJ38" i="2"/>
  <c r="BJ34" i="2"/>
  <c r="BJ30" i="2"/>
  <c r="BJ43" i="2"/>
  <c r="BJ31" i="2"/>
  <c r="BJ29" i="2"/>
  <c r="BI49" i="2"/>
  <c r="BI317" i="2" s="1"/>
  <c r="BI28" i="2"/>
  <c r="BI311" i="2" s="1"/>
  <c r="BI41" i="2"/>
  <c r="BI315" i="2" s="1"/>
  <c r="BI45" i="2"/>
  <c r="BI316" i="2" s="1"/>
  <c r="BH32" i="2"/>
  <c r="BH312" i="2" s="1"/>
  <c r="BJ22" i="2"/>
  <c r="BJ305" i="2" s="1"/>
  <c r="BJ21" i="2"/>
  <c r="BJ304" i="2" s="1"/>
  <c r="BJ23" i="2"/>
  <c r="BJ306" i="2" s="1"/>
  <c r="BI20" i="2"/>
  <c r="BI303" i="2" s="1"/>
  <c r="BI13" i="2"/>
  <c r="BI299" i="2" s="1"/>
  <c r="BK11" i="2"/>
  <c r="BJ16" i="2"/>
  <c r="BJ14" i="2"/>
  <c r="BJ17" i="2"/>
  <c r="BJ300" i="2" s="1"/>
  <c r="BJ15" i="2"/>
  <c r="BJ308" i="2" l="1"/>
  <c r="BD21" i="7"/>
  <c r="BJ373" i="2"/>
  <c r="BJ387" i="2"/>
  <c r="BJ358" i="2"/>
  <c r="BJ366" i="2" s="1"/>
  <c r="BJ148" i="2" s="1"/>
  <c r="BK384" i="2"/>
  <c r="BK385" i="2" s="1"/>
  <c r="BL386" i="2" s="1"/>
  <c r="BK370" i="2"/>
  <c r="BK371" i="2" s="1"/>
  <c r="BL372" i="2" s="1"/>
  <c r="BK151" i="2"/>
  <c r="BK154" i="2"/>
  <c r="BK355" i="2"/>
  <c r="BK356" i="2" s="1"/>
  <c r="BL357" i="2" s="1"/>
  <c r="BI148" i="2"/>
  <c r="BK297" i="2"/>
  <c r="BK145" i="2"/>
  <c r="BK141" i="2"/>
  <c r="BK147" i="2"/>
  <c r="BK144" i="2"/>
  <c r="BI345" i="2"/>
  <c r="BI24" i="2"/>
  <c r="BI308" i="2"/>
  <c r="BK114" i="2"/>
  <c r="BK115" i="2"/>
  <c r="BJ113" i="2"/>
  <c r="BJ132" i="2"/>
  <c r="BK102" i="2"/>
  <c r="BK103" i="2" s="1"/>
  <c r="BK138" i="2"/>
  <c r="BK351" i="2" s="1"/>
  <c r="BK134" i="2"/>
  <c r="BK347" i="2" s="1"/>
  <c r="BK111" i="2"/>
  <c r="BK135" i="2"/>
  <c r="BK348" i="2" s="1"/>
  <c r="BK136" i="2"/>
  <c r="BK349" i="2" s="1"/>
  <c r="BK137" i="2"/>
  <c r="BK350" i="2" s="1"/>
  <c r="BK112" i="2"/>
  <c r="BK339" i="2" s="1"/>
  <c r="BK133" i="2"/>
  <c r="BK346" i="2" s="1"/>
  <c r="BJ93" i="2"/>
  <c r="BK82" i="2"/>
  <c r="BK327" i="2" s="1"/>
  <c r="BK99" i="2"/>
  <c r="BK100" i="2" s="1"/>
  <c r="BJ65" i="2"/>
  <c r="BJ321" i="2" s="1"/>
  <c r="BK80" i="2"/>
  <c r="BK326" i="2" s="1"/>
  <c r="BK69" i="2"/>
  <c r="BK322" i="2" s="1"/>
  <c r="BK75" i="2"/>
  <c r="BK323" i="2" s="1"/>
  <c r="BJ61" i="2"/>
  <c r="BJ320" i="2" s="1"/>
  <c r="BK63" i="2"/>
  <c r="BK68" i="2"/>
  <c r="BK66" i="2"/>
  <c r="BK64" i="2"/>
  <c r="BK67" i="2"/>
  <c r="BK62" i="2"/>
  <c r="BI32" i="2"/>
  <c r="BI312" i="2" s="1"/>
  <c r="BJ57" i="2"/>
  <c r="BJ319" i="2" s="1"/>
  <c r="BK8" i="2"/>
  <c r="BK9" i="2" s="1"/>
  <c r="BK10" i="2" s="1"/>
  <c r="BK25" i="2" s="1"/>
  <c r="BK50" i="2"/>
  <c r="BK60" i="2"/>
  <c r="BK46" i="2"/>
  <c r="BK51" i="2"/>
  <c r="BK47" i="2"/>
  <c r="BK52" i="2"/>
  <c r="BK58" i="2"/>
  <c r="BK48" i="2"/>
  <c r="BK59" i="2"/>
  <c r="BK40" i="2"/>
  <c r="BK35" i="2"/>
  <c r="BK42" i="2"/>
  <c r="BK36" i="2"/>
  <c r="BK44" i="2"/>
  <c r="BK43" i="2"/>
  <c r="BK38" i="2"/>
  <c r="BK39" i="2"/>
  <c r="BK34" i="2"/>
  <c r="BK30" i="2"/>
  <c r="BK31" i="2"/>
  <c r="BK29" i="2"/>
  <c r="BJ26" i="2"/>
  <c r="BD22" i="7" s="1"/>
  <c r="BJ28" i="2"/>
  <c r="BJ311" i="2" s="1"/>
  <c r="BJ41" i="2"/>
  <c r="BJ315" i="2" s="1"/>
  <c r="BJ33" i="2"/>
  <c r="BJ313" i="2" s="1"/>
  <c r="BJ45" i="2"/>
  <c r="BJ316" i="2" s="1"/>
  <c r="BJ37" i="2"/>
  <c r="BJ314" i="2" s="1"/>
  <c r="BJ49" i="2"/>
  <c r="BJ317" i="2" s="1"/>
  <c r="BK22" i="2"/>
  <c r="BK305" i="2" s="1"/>
  <c r="BK23" i="2"/>
  <c r="BK306" i="2" s="1"/>
  <c r="BK21" i="2"/>
  <c r="BK304" i="2" s="1"/>
  <c r="BJ20" i="2"/>
  <c r="BJ303" i="2" s="1"/>
  <c r="BJ13" i="2"/>
  <c r="BJ299" i="2" s="1"/>
  <c r="BL11" i="2"/>
  <c r="BK14" i="2"/>
  <c r="BK17" i="2"/>
  <c r="BK300" i="2" s="1"/>
  <c r="BK15" i="2"/>
  <c r="BK16" i="2"/>
  <c r="BK308" i="2" l="1"/>
  <c r="BE21" i="7"/>
  <c r="BK387" i="2"/>
  <c r="BK373" i="2"/>
  <c r="BK358" i="2"/>
  <c r="BK366" i="2" s="1"/>
  <c r="BK148" i="2" s="1"/>
  <c r="BL384" i="2"/>
  <c r="BL385" i="2" s="1"/>
  <c r="BM386" i="2" s="1"/>
  <c r="BL370" i="2"/>
  <c r="BL371" i="2" s="1"/>
  <c r="BM372" i="2" s="1"/>
  <c r="BL151" i="2"/>
  <c r="BL154" i="2"/>
  <c r="BL355" i="2"/>
  <c r="BL356" i="2" s="1"/>
  <c r="BM357" i="2" s="1"/>
  <c r="BL297" i="2"/>
  <c r="BL145" i="2"/>
  <c r="BL141" i="2"/>
  <c r="BL147" i="2"/>
  <c r="BL144" i="2"/>
  <c r="BJ24" i="2"/>
  <c r="BJ309" i="2"/>
  <c r="BJ345" i="2"/>
  <c r="BK113" i="2"/>
  <c r="BL114" i="2"/>
  <c r="BL115" i="2"/>
  <c r="BK132" i="2"/>
  <c r="BL102" i="2"/>
  <c r="BL103" i="2" s="1"/>
  <c r="BL111" i="2"/>
  <c r="BL135" i="2"/>
  <c r="BL348" i="2" s="1"/>
  <c r="BL136" i="2"/>
  <c r="BL349" i="2" s="1"/>
  <c r="BL137" i="2"/>
  <c r="BL350" i="2" s="1"/>
  <c r="BL112" i="2"/>
  <c r="BL339" i="2" s="1"/>
  <c r="BL133" i="2"/>
  <c r="BL346" i="2" s="1"/>
  <c r="BL138" i="2"/>
  <c r="BL351" i="2" s="1"/>
  <c r="BL134" i="2"/>
  <c r="BL347" i="2" s="1"/>
  <c r="BK93" i="2"/>
  <c r="BL82" i="2"/>
  <c r="BL327" i="2" s="1"/>
  <c r="BL99" i="2"/>
  <c r="BL100" i="2" s="1"/>
  <c r="BK28" i="2"/>
  <c r="BK311" i="2" s="1"/>
  <c r="BL80" i="2"/>
  <c r="BL326" i="2" s="1"/>
  <c r="BL69" i="2"/>
  <c r="BL322" i="2" s="1"/>
  <c r="BL75" i="2"/>
  <c r="BL323" i="2" s="1"/>
  <c r="BK65" i="2"/>
  <c r="BK321" i="2" s="1"/>
  <c r="BK61" i="2"/>
  <c r="BK320" i="2" s="1"/>
  <c r="BL67" i="2"/>
  <c r="BL68" i="2"/>
  <c r="BL64" i="2"/>
  <c r="BL62" i="2"/>
  <c r="BL66" i="2"/>
  <c r="BL63" i="2"/>
  <c r="BK20" i="2"/>
  <c r="BK303" i="2" s="1"/>
  <c r="BL8" i="2"/>
  <c r="BL9" i="2" s="1"/>
  <c r="BL10" i="2" s="1"/>
  <c r="BL26" i="2" s="1"/>
  <c r="BL60" i="2"/>
  <c r="BL46" i="2"/>
  <c r="BL51" i="2"/>
  <c r="BL47" i="2"/>
  <c r="BL52" i="2"/>
  <c r="BL58" i="2"/>
  <c r="BL48" i="2"/>
  <c r="BL44" i="2"/>
  <c r="BL59" i="2"/>
  <c r="BL50" i="2"/>
  <c r="BL42" i="2"/>
  <c r="BL36" i="2"/>
  <c r="BL43" i="2"/>
  <c r="BL38" i="2"/>
  <c r="BL40" i="2"/>
  <c r="BL34" i="2"/>
  <c r="BL35" i="2"/>
  <c r="BL31" i="2"/>
  <c r="BL29" i="2"/>
  <c r="BL39" i="2"/>
  <c r="BL30" i="2"/>
  <c r="BK45" i="2"/>
  <c r="BK316" i="2" s="1"/>
  <c r="BK26" i="2"/>
  <c r="BE22" i="7" s="1"/>
  <c r="BK41" i="2"/>
  <c r="BK315" i="2" s="1"/>
  <c r="BJ32" i="2"/>
  <c r="BJ312" i="2" s="1"/>
  <c r="BK33" i="2"/>
  <c r="BK313" i="2" s="1"/>
  <c r="BK49" i="2"/>
  <c r="BK317" i="2" s="1"/>
  <c r="BK37" i="2"/>
  <c r="BK314" i="2" s="1"/>
  <c r="BK57" i="2"/>
  <c r="BK319" i="2" s="1"/>
  <c r="BL23" i="2"/>
  <c r="BL306" i="2" s="1"/>
  <c r="BL22" i="2"/>
  <c r="BL305" i="2" s="1"/>
  <c r="BL21" i="2"/>
  <c r="BL304" i="2" s="1"/>
  <c r="BK13" i="2"/>
  <c r="BK299" i="2" s="1"/>
  <c r="BM11" i="2"/>
  <c r="BL17" i="2"/>
  <c r="BL300" i="2" s="1"/>
  <c r="BL15" i="2"/>
  <c r="BL16" i="2"/>
  <c r="BL14" i="2"/>
  <c r="BL309" i="2" l="1"/>
  <c r="BF22" i="7"/>
  <c r="BL387" i="2"/>
  <c r="BL373" i="2"/>
  <c r="BM151" i="2"/>
  <c r="BM384" i="2"/>
  <c r="BM385" i="2" s="1"/>
  <c r="BN386" i="2" s="1"/>
  <c r="BM370" i="2"/>
  <c r="BM371" i="2" s="1"/>
  <c r="BM373" i="2" s="1"/>
  <c r="BM154" i="2"/>
  <c r="BM355" i="2"/>
  <c r="BM356" i="2" s="1"/>
  <c r="BN357" i="2" s="1"/>
  <c r="BL358" i="2"/>
  <c r="BL366" i="2" s="1"/>
  <c r="BM297" i="2"/>
  <c r="BM145" i="2"/>
  <c r="BM141" i="2"/>
  <c r="BM147" i="2"/>
  <c r="BM144" i="2"/>
  <c r="BK345" i="2"/>
  <c r="BK24" i="2"/>
  <c r="BK309" i="2"/>
  <c r="BL113" i="2"/>
  <c r="BM115" i="2"/>
  <c r="BM114" i="2"/>
  <c r="BL132" i="2"/>
  <c r="BM102" i="2"/>
  <c r="BM103" i="2" s="1"/>
  <c r="BM111" i="2"/>
  <c r="BM135" i="2"/>
  <c r="BM348" i="2" s="1"/>
  <c r="BM136" i="2"/>
  <c r="BM349" i="2" s="1"/>
  <c r="BM137" i="2"/>
  <c r="BM350" i="2" s="1"/>
  <c r="BM112" i="2"/>
  <c r="BM339" i="2" s="1"/>
  <c r="BM138" i="2"/>
  <c r="BM351" i="2" s="1"/>
  <c r="BM134" i="2"/>
  <c r="BM347" i="2" s="1"/>
  <c r="BM133" i="2"/>
  <c r="BM346" i="2" s="1"/>
  <c r="BL93" i="2"/>
  <c r="BM82" i="2"/>
  <c r="BM327" i="2" s="1"/>
  <c r="BM99" i="2"/>
  <c r="BM100" i="2" s="1"/>
  <c r="BL57" i="2"/>
  <c r="BL319" i="2" s="1"/>
  <c r="BL65" i="2"/>
  <c r="BL321" i="2" s="1"/>
  <c r="BM75" i="2"/>
  <c r="BM323" i="2" s="1"/>
  <c r="BM80" i="2"/>
  <c r="BM326" i="2" s="1"/>
  <c r="BM69" i="2"/>
  <c r="BM322" i="2" s="1"/>
  <c r="BL37" i="2"/>
  <c r="BL314" i="2" s="1"/>
  <c r="BL61" i="2"/>
  <c r="BL320" i="2" s="1"/>
  <c r="BM66" i="2"/>
  <c r="BM67" i="2"/>
  <c r="BM62" i="2"/>
  <c r="BM68" i="2"/>
  <c r="BM63" i="2"/>
  <c r="BM64" i="2"/>
  <c r="BL25" i="2"/>
  <c r="BF21" i="7" s="1"/>
  <c r="BL28" i="2"/>
  <c r="BL311" i="2" s="1"/>
  <c r="BL49" i="2"/>
  <c r="BL317" i="2" s="1"/>
  <c r="BM8" i="2"/>
  <c r="BM9" i="2" s="1"/>
  <c r="BM10" i="2" s="1"/>
  <c r="BM26" i="2" s="1"/>
  <c r="BM51" i="2"/>
  <c r="BM47" i="2"/>
  <c r="BM52" i="2"/>
  <c r="BM58" i="2"/>
  <c r="BM48" i="2"/>
  <c r="BM59" i="2"/>
  <c r="BM50" i="2"/>
  <c r="BM60" i="2"/>
  <c r="BM46" i="2"/>
  <c r="BM42" i="2"/>
  <c r="BM36" i="2"/>
  <c r="BM44" i="2"/>
  <c r="BM43" i="2"/>
  <c r="BM38" i="2"/>
  <c r="BM31" i="2"/>
  <c r="BM39" i="2"/>
  <c r="BM34" i="2"/>
  <c r="BM40" i="2"/>
  <c r="BM35" i="2"/>
  <c r="BM30" i="2"/>
  <c r="BM29" i="2"/>
  <c r="BL41" i="2"/>
  <c r="BL315" i="2" s="1"/>
  <c r="BK32" i="2"/>
  <c r="BK312" i="2" s="1"/>
  <c r="BL45" i="2"/>
  <c r="BL316" i="2" s="1"/>
  <c r="BL33" i="2"/>
  <c r="BL313" i="2" s="1"/>
  <c r="BL20" i="2"/>
  <c r="BL303" i="2" s="1"/>
  <c r="BL13" i="2"/>
  <c r="BL299" i="2" s="1"/>
  <c r="BM23" i="2"/>
  <c r="BM306" i="2" s="1"/>
  <c r="BM21" i="2"/>
  <c r="BM304" i="2" s="1"/>
  <c r="BM22" i="2"/>
  <c r="BM305" i="2" s="1"/>
  <c r="BN11" i="2"/>
  <c r="BM15" i="2"/>
  <c r="BM16" i="2"/>
  <c r="BM14" i="2"/>
  <c r="BM17" i="2"/>
  <c r="BM300" i="2" s="1"/>
  <c r="BM309" i="2" l="1"/>
  <c r="BG22" i="7"/>
  <c r="BM358" i="2"/>
  <c r="BM366" i="2" s="1"/>
  <c r="BM148" i="2" s="1"/>
  <c r="BM387" i="2"/>
  <c r="BN372" i="2"/>
  <c r="BN151" i="2"/>
  <c r="BN384" i="2"/>
  <c r="BN385" i="2" s="1"/>
  <c r="BO386" i="2" s="1"/>
  <c r="BN370" i="2"/>
  <c r="BN371" i="2" s="1"/>
  <c r="BN154" i="2"/>
  <c r="BN355" i="2"/>
  <c r="BN356" i="2" s="1"/>
  <c r="BO357" i="2" s="1"/>
  <c r="BL148" i="2"/>
  <c r="BN297" i="2"/>
  <c r="BN141" i="2"/>
  <c r="BN147" i="2"/>
  <c r="BN144" i="2"/>
  <c r="BN145" i="2"/>
  <c r="BL345" i="2"/>
  <c r="BL24" i="2"/>
  <c r="BL308" i="2"/>
  <c r="BM113" i="2"/>
  <c r="BN115" i="2"/>
  <c r="BN114" i="2"/>
  <c r="BM132" i="2"/>
  <c r="BM93" i="2"/>
  <c r="BN102" i="2"/>
  <c r="BN103" i="2" s="1"/>
  <c r="BN136" i="2"/>
  <c r="BN349" i="2" s="1"/>
  <c r="BN137" i="2"/>
  <c r="BN350" i="2" s="1"/>
  <c r="BN112" i="2"/>
  <c r="BN339" i="2" s="1"/>
  <c r="BN138" i="2"/>
  <c r="BN351" i="2" s="1"/>
  <c r="BN134" i="2"/>
  <c r="BN347" i="2" s="1"/>
  <c r="BN111" i="2"/>
  <c r="BN135" i="2"/>
  <c r="BN348" i="2" s="1"/>
  <c r="BN133" i="2"/>
  <c r="BN346" i="2" s="1"/>
  <c r="BN82" i="2"/>
  <c r="BN327" i="2" s="1"/>
  <c r="BN99" i="2"/>
  <c r="BN100" i="2" s="1"/>
  <c r="BN75" i="2"/>
  <c r="BN323" i="2" s="1"/>
  <c r="BN80" i="2"/>
  <c r="BN326" i="2" s="1"/>
  <c r="BN69" i="2"/>
  <c r="BN322" i="2" s="1"/>
  <c r="BM65" i="2"/>
  <c r="BM321" i="2" s="1"/>
  <c r="BL32" i="2"/>
  <c r="BL312" i="2" s="1"/>
  <c r="BN63" i="2"/>
  <c r="BN68" i="2"/>
  <c r="BN66" i="2"/>
  <c r="BN67" i="2"/>
  <c r="BN62" i="2"/>
  <c r="BN64" i="2"/>
  <c r="BM61" i="2"/>
  <c r="BM320" i="2" s="1"/>
  <c r="BM57" i="2"/>
  <c r="BM319" i="2" s="1"/>
  <c r="BM25" i="2"/>
  <c r="BG21" i="7" s="1"/>
  <c r="BN8" i="2"/>
  <c r="BN9" i="2" s="1"/>
  <c r="BN10" i="2" s="1"/>
  <c r="BN26" i="2" s="1"/>
  <c r="BN47" i="2"/>
  <c r="BN52" i="2"/>
  <c r="BN58" i="2"/>
  <c r="BN48" i="2"/>
  <c r="BN59" i="2"/>
  <c r="BN50" i="2"/>
  <c r="BN60" i="2"/>
  <c r="BN46" i="2"/>
  <c r="BN51" i="2"/>
  <c r="BN30" i="2"/>
  <c r="BN44" i="2"/>
  <c r="BN43" i="2"/>
  <c r="BN38" i="2"/>
  <c r="BN39" i="2"/>
  <c r="BN34" i="2"/>
  <c r="BN42" i="2"/>
  <c r="BN40" i="2"/>
  <c r="BN35" i="2"/>
  <c r="BN36" i="2"/>
  <c r="BN31" i="2"/>
  <c r="BN29" i="2"/>
  <c r="BM41" i="2"/>
  <c r="BM315" i="2" s="1"/>
  <c r="BM33" i="2"/>
  <c r="BM313" i="2" s="1"/>
  <c r="BM45" i="2"/>
  <c r="BM316" i="2" s="1"/>
  <c r="BM49" i="2"/>
  <c r="BM317" i="2" s="1"/>
  <c r="BM37" i="2"/>
  <c r="BM314" i="2" s="1"/>
  <c r="BM28" i="2"/>
  <c r="BM311" i="2" s="1"/>
  <c r="BN23" i="2"/>
  <c r="BN306" i="2" s="1"/>
  <c r="BN21" i="2"/>
  <c r="BN304" i="2" s="1"/>
  <c r="BN22" i="2"/>
  <c r="BN305" i="2" s="1"/>
  <c r="BM20" i="2"/>
  <c r="BM303" i="2" s="1"/>
  <c r="BM13" i="2"/>
  <c r="BM299" i="2" s="1"/>
  <c r="BO11" i="2"/>
  <c r="BN16" i="2"/>
  <c r="BN14" i="2"/>
  <c r="BN17" i="2"/>
  <c r="BN300" i="2" s="1"/>
  <c r="BN15" i="2"/>
  <c r="BN309" i="2" l="1"/>
  <c r="BH22" i="7"/>
  <c r="BN373" i="2"/>
  <c r="BN387" i="2"/>
  <c r="BO372" i="2"/>
  <c r="BO151" i="2"/>
  <c r="BO384" i="2"/>
  <c r="BO385" i="2" s="1"/>
  <c r="BP386" i="2" s="1"/>
  <c r="BO370" i="2"/>
  <c r="BO371" i="2" s="1"/>
  <c r="BP372" i="2" s="1"/>
  <c r="BO154" i="2"/>
  <c r="BO355" i="2"/>
  <c r="BO356" i="2" s="1"/>
  <c r="BP357" i="2" s="1"/>
  <c r="BN358" i="2"/>
  <c r="BN366" i="2" s="1"/>
  <c r="BO297" i="2"/>
  <c r="BO147" i="2"/>
  <c r="BO144" i="2"/>
  <c r="BO145" i="2"/>
  <c r="BO141" i="2"/>
  <c r="BM345" i="2"/>
  <c r="BM24" i="2"/>
  <c r="BM308" i="2"/>
  <c r="BN113" i="2"/>
  <c r="BO114" i="2"/>
  <c r="BO115" i="2"/>
  <c r="BN132" i="2"/>
  <c r="BO102" i="2"/>
  <c r="BO103" i="2" s="1"/>
  <c r="BO136" i="2"/>
  <c r="BO349" i="2" s="1"/>
  <c r="BO137" i="2"/>
  <c r="BO350" i="2" s="1"/>
  <c r="BO112" i="2"/>
  <c r="BO339" i="2" s="1"/>
  <c r="BO138" i="2"/>
  <c r="BO351" i="2" s="1"/>
  <c r="BO134" i="2"/>
  <c r="BO347" i="2" s="1"/>
  <c r="BO111" i="2"/>
  <c r="BO135" i="2"/>
  <c r="BO348" i="2" s="1"/>
  <c r="BO133" i="2"/>
  <c r="BO346" i="2" s="1"/>
  <c r="BN93" i="2"/>
  <c r="BN28" i="2"/>
  <c r="BN311" i="2" s="1"/>
  <c r="BN65" i="2"/>
  <c r="BN321" i="2" s="1"/>
  <c r="BO82" i="2"/>
  <c r="BO327" i="2" s="1"/>
  <c r="BO99" i="2"/>
  <c r="BO100" i="2" s="1"/>
  <c r="BN49" i="2"/>
  <c r="BN317" i="2" s="1"/>
  <c r="BO75" i="2"/>
  <c r="BO323" i="2" s="1"/>
  <c r="BO80" i="2"/>
  <c r="BO326" i="2" s="1"/>
  <c r="BO69" i="2"/>
  <c r="BO322" i="2" s="1"/>
  <c r="BO68" i="2"/>
  <c r="BO63" i="2"/>
  <c r="BO67" i="2"/>
  <c r="BO64" i="2"/>
  <c r="BO62" i="2"/>
  <c r="BO66" i="2"/>
  <c r="BN61" i="2"/>
  <c r="BN320" i="2" s="1"/>
  <c r="BN25" i="2"/>
  <c r="BH21" i="7" s="1"/>
  <c r="BO8" i="2"/>
  <c r="BO9" i="2" s="1"/>
  <c r="BO10" i="2" s="1"/>
  <c r="BO26" i="2" s="1"/>
  <c r="BO52" i="2"/>
  <c r="BO58" i="2"/>
  <c r="BO48" i="2"/>
  <c r="BO59" i="2"/>
  <c r="BO50" i="2"/>
  <c r="BO60" i="2"/>
  <c r="BO46" i="2"/>
  <c r="BO51" i="2"/>
  <c r="BO47" i="2"/>
  <c r="BO44" i="2"/>
  <c r="BO43" i="2"/>
  <c r="BO38" i="2"/>
  <c r="BO31" i="2"/>
  <c r="BO39" i="2"/>
  <c r="BO34" i="2"/>
  <c r="BO40" i="2"/>
  <c r="BO35" i="2"/>
  <c r="BO42" i="2"/>
  <c r="BO36" i="2"/>
  <c r="BO29" i="2"/>
  <c r="BO30" i="2"/>
  <c r="BN37" i="2"/>
  <c r="BN314" i="2" s="1"/>
  <c r="BN57" i="2"/>
  <c r="BN319" i="2" s="1"/>
  <c r="BN41" i="2"/>
  <c r="BN315" i="2" s="1"/>
  <c r="BN45" i="2"/>
  <c r="BN316" i="2" s="1"/>
  <c r="BM32" i="2"/>
  <c r="BM312" i="2" s="1"/>
  <c r="BN33" i="2"/>
  <c r="BN313" i="2" s="1"/>
  <c r="BN20" i="2"/>
  <c r="BN303" i="2" s="1"/>
  <c r="BO21" i="2"/>
  <c r="BO304" i="2" s="1"/>
  <c r="BO22" i="2"/>
  <c r="BO305" i="2" s="1"/>
  <c r="BO23" i="2"/>
  <c r="BO306" i="2" s="1"/>
  <c r="BN13" i="2"/>
  <c r="BN299" i="2" s="1"/>
  <c r="BP11" i="2"/>
  <c r="BO16" i="2"/>
  <c r="BO17" i="2"/>
  <c r="BO300" i="2" s="1"/>
  <c r="BO14" i="2"/>
  <c r="BO15" i="2"/>
  <c r="BO309" i="2" l="1"/>
  <c r="BI22" i="7"/>
  <c r="BO373" i="2"/>
  <c r="BO358" i="2"/>
  <c r="BO366" i="2" s="1"/>
  <c r="BO148" i="2" s="1"/>
  <c r="BO387" i="2"/>
  <c r="BP151" i="2"/>
  <c r="BP384" i="2"/>
  <c r="BP385" i="2" s="1"/>
  <c r="BQ386" i="2" s="1"/>
  <c r="BP370" i="2"/>
  <c r="BP371" i="2" s="1"/>
  <c r="BQ372" i="2" s="1"/>
  <c r="BP154" i="2"/>
  <c r="BP355" i="2"/>
  <c r="BP356" i="2" s="1"/>
  <c r="BQ357" i="2" s="1"/>
  <c r="BN148" i="2"/>
  <c r="BP297" i="2"/>
  <c r="BP147" i="2"/>
  <c r="BP144" i="2"/>
  <c r="BP141" i="2"/>
  <c r="BP145" i="2"/>
  <c r="BN345" i="2"/>
  <c r="BN24" i="2"/>
  <c r="BN308" i="2"/>
  <c r="BO113" i="2"/>
  <c r="BP114" i="2"/>
  <c r="BP115" i="2"/>
  <c r="BO132" i="2"/>
  <c r="BO93" i="2"/>
  <c r="BP102" i="2"/>
  <c r="BP103" i="2" s="1"/>
  <c r="BP137" i="2"/>
  <c r="BP350" i="2" s="1"/>
  <c r="BP112" i="2"/>
  <c r="BP339" i="2" s="1"/>
  <c r="BP138" i="2"/>
  <c r="BP351" i="2" s="1"/>
  <c r="BP134" i="2"/>
  <c r="BP347" i="2" s="1"/>
  <c r="BP111" i="2"/>
  <c r="BP135" i="2"/>
  <c r="BP348" i="2" s="1"/>
  <c r="BP136" i="2"/>
  <c r="BP349" i="2" s="1"/>
  <c r="BP133" i="2"/>
  <c r="BP346" i="2" s="1"/>
  <c r="BP82" i="2"/>
  <c r="BP327" i="2" s="1"/>
  <c r="BP99" i="2"/>
  <c r="BP100" i="2" s="1"/>
  <c r="BO61" i="2"/>
  <c r="BO320" i="2" s="1"/>
  <c r="BO65" i="2"/>
  <c r="BO321" i="2" s="1"/>
  <c r="BP75" i="2"/>
  <c r="BP323" i="2" s="1"/>
  <c r="BP80" i="2"/>
  <c r="BP326" i="2" s="1"/>
  <c r="BP69" i="2"/>
  <c r="BP322" i="2" s="1"/>
  <c r="BP67" i="2"/>
  <c r="BP63" i="2"/>
  <c r="BP68" i="2"/>
  <c r="BP62" i="2"/>
  <c r="BP64" i="2"/>
  <c r="BP66" i="2"/>
  <c r="BP8" i="2"/>
  <c r="BP9" i="2" s="1"/>
  <c r="BP10" i="2" s="1"/>
  <c r="BP25" i="2" s="1"/>
  <c r="BP58" i="2"/>
  <c r="BP48" i="2"/>
  <c r="BP44" i="2"/>
  <c r="BP59" i="2"/>
  <c r="BP50" i="2"/>
  <c r="BP60" i="2"/>
  <c r="BP46" i="2"/>
  <c r="BP51" i="2"/>
  <c r="BP47" i="2"/>
  <c r="BP52" i="2"/>
  <c r="BP31" i="2"/>
  <c r="BP39" i="2"/>
  <c r="BP34" i="2"/>
  <c r="BP40" i="2"/>
  <c r="BP35" i="2"/>
  <c r="BP42" i="2"/>
  <c r="BP43" i="2"/>
  <c r="BP29" i="2"/>
  <c r="BP38" i="2"/>
  <c r="BP36" i="2"/>
  <c r="BP30" i="2"/>
  <c r="BO25" i="2"/>
  <c r="BI21" i="7" s="1"/>
  <c r="BO28" i="2"/>
  <c r="BO311" i="2" s="1"/>
  <c r="BN32" i="2"/>
  <c r="BN312" i="2" s="1"/>
  <c r="BO41" i="2"/>
  <c r="BO315" i="2" s="1"/>
  <c r="BO37" i="2"/>
  <c r="BO314" i="2" s="1"/>
  <c r="BO49" i="2"/>
  <c r="BO317" i="2" s="1"/>
  <c r="BO57" i="2"/>
  <c r="BO319" i="2" s="1"/>
  <c r="BO33" i="2"/>
  <c r="BO313" i="2" s="1"/>
  <c r="BO45" i="2"/>
  <c r="BO316" i="2" s="1"/>
  <c r="BP21" i="2"/>
  <c r="BP304" i="2" s="1"/>
  <c r="BP22" i="2"/>
  <c r="BP305" i="2" s="1"/>
  <c r="BP23" i="2"/>
  <c r="BP306" i="2" s="1"/>
  <c r="BO20" i="2"/>
  <c r="BO303" i="2" s="1"/>
  <c r="BP15" i="2"/>
  <c r="BP17" i="2"/>
  <c r="BP300" i="2" s="1"/>
  <c r="BP14" i="2"/>
  <c r="BQ11" i="2"/>
  <c r="BP16" i="2"/>
  <c r="BO13" i="2"/>
  <c r="BO299" i="2" s="1"/>
  <c r="BP308" i="2" l="1"/>
  <c r="BJ21" i="7"/>
  <c r="BP373" i="2"/>
  <c r="BP387" i="2"/>
  <c r="BQ151" i="2"/>
  <c r="M151" i="2" s="1"/>
  <c r="BQ384" i="2"/>
  <c r="BQ370" i="2"/>
  <c r="BQ154" i="2"/>
  <c r="M154" i="2" s="1"/>
  <c r="BQ355" i="2"/>
  <c r="BP358" i="2"/>
  <c r="BP366" i="2" s="1"/>
  <c r="BP148" i="2" s="1"/>
  <c r="BQ297" i="2"/>
  <c r="BQ147" i="2"/>
  <c r="BQ144" i="2"/>
  <c r="M144" i="2" s="1"/>
  <c r="BQ145" i="2"/>
  <c r="M145" i="2" s="1"/>
  <c r="BQ141" i="2"/>
  <c r="M141" i="2" s="1"/>
  <c r="BO345" i="2"/>
  <c r="BO24" i="2"/>
  <c r="BO308" i="2"/>
  <c r="BP113" i="2"/>
  <c r="BQ115" i="2"/>
  <c r="M115" i="2" s="1"/>
  <c r="F115" i="2" s="1"/>
  <c r="BQ114" i="2"/>
  <c r="BP132" i="2"/>
  <c r="BQ102" i="2"/>
  <c r="M102" i="2" s="1"/>
  <c r="BQ137" i="2"/>
  <c r="BQ112" i="2"/>
  <c r="BQ138" i="2"/>
  <c r="BQ134" i="2"/>
  <c r="BQ111" i="2"/>
  <c r="M111" i="2" s="1"/>
  <c r="F111" i="2" s="1"/>
  <c r="BQ135" i="2"/>
  <c r="BQ136" i="2"/>
  <c r="BQ133" i="2"/>
  <c r="BQ346" i="2" s="1"/>
  <c r="M346" i="2" s="1"/>
  <c r="BP93" i="2"/>
  <c r="BQ82" i="2"/>
  <c r="BQ99" i="2"/>
  <c r="M99" i="2" s="1"/>
  <c r="BP65" i="2"/>
  <c r="BP321" i="2" s="1"/>
  <c r="BQ75" i="2"/>
  <c r="BQ80" i="2"/>
  <c r="BQ326" i="2" s="1"/>
  <c r="M326" i="2" s="1"/>
  <c r="BQ69" i="2"/>
  <c r="BQ68" i="2"/>
  <c r="M68" i="2" s="1"/>
  <c r="BQ66" i="2"/>
  <c r="BQ67" i="2"/>
  <c r="M67" i="2" s="1"/>
  <c r="BQ63" i="2"/>
  <c r="M63" i="2" s="1"/>
  <c r="BQ62" i="2"/>
  <c r="BQ64" i="2"/>
  <c r="M64" i="2" s="1"/>
  <c r="BP41" i="2"/>
  <c r="BP315" i="2" s="1"/>
  <c r="BP49" i="2"/>
  <c r="BP317" i="2" s="1"/>
  <c r="BP61" i="2"/>
  <c r="BP320" i="2" s="1"/>
  <c r="BO32" i="2"/>
  <c r="BO312" i="2" s="1"/>
  <c r="BP33" i="2"/>
  <c r="BP313" i="2" s="1"/>
  <c r="BP28" i="2"/>
  <c r="BP311" i="2" s="1"/>
  <c r="BP26" i="2"/>
  <c r="BJ22" i="7" s="1"/>
  <c r="BQ8" i="2"/>
  <c r="L8" i="2" s="1"/>
  <c r="BQ44" i="2"/>
  <c r="BQ59" i="2"/>
  <c r="M59" i="2" s="1"/>
  <c r="BQ50" i="2"/>
  <c r="BQ60" i="2"/>
  <c r="M60" i="2" s="1"/>
  <c r="BQ46" i="2"/>
  <c r="M46" i="2" s="1"/>
  <c r="BQ51" i="2"/>
  <c r="M51" i="2" s="1"/>
  <c r="BQ47" i="2"/>
  <c r="BQ52" i="2"/>
  <c r="M52" i="2" s="1"/>
  <c r="BQ58" i="2"/>
  <c r="BQ48" i="2"/>
  <c r="M48" i="2" s="1"/>
  <c r="BQ39" i="2"/>
  <c r="M39" i="2" s="1"/>
  <c r="BQ34" i="2"/>
  <c r="M34" i="2" s="1"/>
  <c r="BQ40" i="2"/>
  <c r="BQ35" i="2"/>
  <c r="M35" i="2" s="1"/>
  <c r="BQ42" i="2"/>
  <c r="M42" i="2" s="1"/>
  <c r="BQ36" i="2"/>
  <c r="BQ43" i="2"/>
  <c r="M43" i="2" s="1"/>
  <c r="BQ38" i="2"/>
  <c r="M38" i="2" s="1"/>
  <c r="BQ29" i="2"/>
  <c r="BQ31" i="2"/>
  <c r="M31" i="2" s="1"/>
  <c r="BQ30" i="2"/>
  <c r="M30" i="2" s="1"/>
  <c r="BP37" i="2"/>
  <c r="BP314" i="2" s="1"/>
  <c r="BP45" i="2"/>
  <c r="BP316" i="2" s="1"/>
  <c r="BP57" i="2"/>
  <c r="BP319" i="2" s="1"/>
  <c r="BQ21" i="2"/>
  <c r="BQ304" i="2" s="1"/>
  <c r="M304" i="2" s="1"/>
  <c r="BQ22" i="2"/>
  <c r="BQ23" i="2"/>
  <c r="BP20" i="2"/>
  <c r="BP303" i="2" s="1"/>
  <c r="BP13" i="2"/>
  <c r="BP299" i="2" s="1"/>
  <c r="BQ15" i="2"/>
  <c r="M15" i="2" s="1"/>
  <c r="BQ14" i="2"/>
  <c r="BQ17" i="2"/>
  <c r="BQ16" i="2"/>
  <c r="M16" i="2" s="1"/>
  <c r="G60" i="5" l="1"/>
  <c r="F338" i="2" s="1"/>
  <c r="BQ356" i="2"/>
  <c r="BQ358" i="2" s="1"/>
  <c r="BQ366" i="2" s="1"/>
  <c r="M355" i="2"/>
  <c r="BQ371" i="2"/>
  <c r="BQ373" i="2" s="1"/>
  <c r="M370" i="2"/>
  <c r="BQ385" i="2"/>
  <c r="BQ387" i="2" s="1"/>
  <c r="M384" i="2"/>
  <c r="M147" i="2"/>
  <c r="M23" i="2"/>
  <c r="BQ306" i="2"/>
  <c r="M306" i="2" s="1"/>
  <c r="M137" i="2"/>
  <c r="BQ350" i="2"/>
  <c r="M350" i="2" s="1"/>
  <c r="M69" i="2"/>
  <c r="BQ322" i="2"/>
  <c r="M322" i="2" s="1"/>
  <c r="M135" i="2"/>
  <c r="BQ348" i="2"/>
  <c r="M348" i="2" s="1"/>
  <c r="M136" i="2"/>
  <c r="BQ349" i="2"/>
  <c r="M349" i="2" s="1"/>
  <c r="BP345" i="2"/>
  <c r="M75" i="2"/>
  <c r="BQ323" i="2"/>
  <c r="M323" i="2" s="1"/>
  <c r="BP24" i="2"/>
  <c r="BP309" i="2"/>
  <c r="M134" i="2"/>
  <c r="BQ347" i="2"/>
  <c r="M347" i="2" s="1"/>
  <c r="M17" i="2"/>
  <c r="BQ300" i="2"/>
  <c r="M300" i="2" s="1"/>
  <c r="M22" i="2"/>
  <c r="BQ305" i="2"/>
  <c r="M305" i="2" s="1"/>
  <c r="M138" i="2"/>
  <c r="BQ351" i="2"/>
  <c r="M351" i="2" s="1"/>
  <c r="M82" i="2"/>
  <c r="BQ327" i="2"/>
  <c r="M327" i="2" s="1"/>
  <c r="M112" i="2"/>
  <c r="BQ339" i="2"/>
  <c r="M339" i="2" s="1"/>
  <c r="BQ103" i="2"/>
  <c r="M103" i="2" s="1"/>
  <c r="F103" i="2" s="1"/>
  <c r="BQ113" i="2"/>
  <c r="M113" i="2" s="1"/>
  <c r="M114" i="2"/>
  <c r="F114" i="2" s="1"/>
  <c r="BQ132" i="2"/>
  <c r="BQ345" i="2" s="1"/>
  <c r="M133" i="2"/>
  <c r="K60" i="5"/>
  <c r="L60" i="5"/>
  <c r="M80" i="2"/>
  <c r="BQ9" i="2"/>
  <c r="BQ10" i="2" s="1"/>
  <c r="L10" i="2" s="1"/>
  <c r="BQ100" i="2"/>
  <c r="M66" i="2"/>
  <c r="BQ65" i="2"/>
  <c r="BQ61" i="2"/>
  <c r="M62" i="2"/>
  <c r="BQ45" i="2"/>
  <c r="M47" i="2"/>
  <c r="BQ41" i="2"/>
  <c r="M44" i="2"/>
  <c r="BQ33" i="2"/>
  <c r="BQ313" i="2" s="1"/>
  <c r="M313" i="2" s="1"/>
  <c r="M36" i="2"/>
  <c r="BQ37" i="2"/>
  <c r="M40" i="2"/>
  <c r="BP32" i="2"/>
  <c r="BP312" i="2" s="1"/>
  <c r="BQ57" i="2"/>
  <c r="M58" i="2"/>
  <c r="BQ28" i="2"/>
  <c r="BQ311" i="2" s="1"/>
  <c r="M311" i="2" s="1"/>
  <c r="M29" i="2"/>
  <c r="BQ49" i="2"/>
  <c r="M50" i="2"/>
  <c r="BQ20" i="2"/>
  <c r="M21" i="2"/>
  <c r="BQ13" i="2"/>
  <c r="BQ299" i="2" s="1"/>
  <c r="M299" i="2" s="1"/>
  <c r="M14" i="2"/>
  <c r="M345" i="2" l="1"/>
  <c r="F113" i="2"/>
  <c r="BQ148" i="2"/>
  <c r="M148" i="2" s="1"/>
  <c r="F148" i="2" s="1"/>
  <c r="M366" i="2"/>
  <c r="L366" i="2" s="1"/>
  <c r="D400" i="2" s="1"/>
  <c r="N12" i="1" s="1"/>
  <c r="M57" i="2"/>
  <c r="BQ319" i="2"/>
  <c r="M319" i="2" s="1"/>
  <c r="M20" i="2"/>
  <c r="BQ303" i="2"/>
  <c r="M303" i="2" s="1"/>
  <c r="M45" i="2"/>
  <c r="BQ316" i="2"/>
  <c r="M316" i="2" s="1"/>
  <c r="M49" i="2"/>
  <c r="BQ317" i="2"/>
  <c r="M317" i="2" s="1"/>
  <c r="M65" i="2"/>
  <c r="BQ321" i="2"/>
  <c r="M321" i="2" s="1"/>
  <c r="M37" i="2"/>
  <c r="BQ314" i="2"/>
  <c r="M314" i="2" s="1"/>
  <c r="M61" i="2"/>
  <c r="BQ320" i="2"/>
  <c r="M320" i="2" s="1"/>
  <c r="M41" i="2"/>
  <c r="BQ315" i="2"/>
  <c r="M315" i="2" s="1"/>
  <c r="L103" i="2"/>
  <c r="I399" i="2" s="1"/>
  <c r="I12" i="1" s="1"/>
  <c r="M60" i="5"/>
  <c r="G338" i="2" s="1"/>
  <c r="M132" i="2"/>
  <c r="M100" i="2"/>
  <c r="BQ93" i="2"/>
  <c r="M93" i="2" s="1"/>
  <c r="BQ25" i="2"/>
  <c r="BQ26" i="2"/>
  <c r="BK22" i="7" s="1"/>
  <c r="G22" i="7" s="1"/>
  <c r="E22" i="7" s="1"/>
  <c r="F56" i="7" s="1"/>
  <c r="O13" i="1" s="1"/>
  <c r="M28" i="2"/>
  <c r="BQ32" i="2"/>
  <c r="M33" i="2"/>
  <c r="M13" i="2"/>
  <c r="BQ308" i="2" l="1"/>
  <c r="M308" i="2" s="1"/>
  <c r="BK21" i="7"/>
  <c r="G21" i="7" s="1"/>
  <c r="G83" i="5"/>
  <c r="F77" i="1"/>
  <c r="G62" i="5"/>
  <c r="BP338" i="2"/>
  <c r="BH338" i="2"/>
  <c r="AZ338" i="2"/>
  <c r="AR338" i="2"/>
  <c r="AJ338" i="2"/>
  <c r="AB338" i="2"/>
  <c r="T338" i="2"/>
  <c r="BN338" i="2"/>
  <c r="BF338" i="2"/>
  <c r="AX338" i="2"/>
  <c r="AP338" i="2"/>
  <c r="AH338" i="2"/>
  <c r="Z338" i="2"/>
  <c r="BM338" i="2"/>
  <c r="BE338" i="2"/>
  <c r="AW338" i="2"/>
  <c r="AO338" i="2"/>
  <c r="AG338" i="2"/>
  <c r="Y338" i="2"/>
  <c r="Q338" i="2"/>
  <c r="BG338" i="2"/>
  <c r="AT338" i="2"/>
  <c r="AF338" i="2"/>
  <c r="U338" i="2"/>
  <c r="BQ338" i="2"/>
  <c r="BC338" i="2"/>
  <c r="AQ338" i="2"/>
  <c r="AD338" i="2"/>
  <c r="R338" i="2"/>
  <c r="BO338" i="2"/>
  <c r="BB338" i="2"/>
  <c r="AN338" i="2"/>
  <c r="AC338" i="2"/>
  <c r="P338" i="2"/>
  <c r="BA338" i="2"/>
  <c r="AI338" i="2"/>
  <c r="AV338" i="2"/>
  <c r="AA338" i="2"/>
  <c r="BL338" i="2"/>
  <c r="AU338" i="2"/>
  <c r="X338" i="2"/>
  <c r="BJ338" i="2"/>
  <c r="AE338" i="2"/>
  <c r="AS338" i="2"/>
  <c r="O338" i="2"/>
  <c r="AY338" i="2"/>
  <c r="AL338" i="2"/>
  <c r="W338" i="2"/>
  <c r="BI338" i="2"/>
  <c r="S338" i="2"/>
  <c r="BK338" i="2"/>
  <c r="BD338" i="2"/>
  <c r="AM338" i="2"/>
  <c r="AK338" i="2"/>
  <c r="V338" i="2"/>
  <c r="M26" i="2"/>
  <c r="BQ309" i="2"/>
  <c r="M309" i="2" s="1"/>
  <c r="M32" i="2"/>
  <c r="BQ312" i="2"/>
  <c r="M312" i="2" s="1"/>
  <c r="BQ24" i="2"/>
  <c r="M24" i="2" s="1"/>
  <c r="L24" i="2" s="1"/>
  <c r="E399" i="2" s="1"/>
  <c r="M11" i="1" s="1"/>
  <c r="M25" i="2"/>
  <c r="L100" i="2"/>
  <c r="H399" i="2" s="1"/>
  <c r="H12" i="1" s="1"/>
  <c r="F100" i="2"/>
  <c r="E21" i="7" l="1"/>
  <c r="E56" i="7" s="1"/>
  <c r="N13" i="1" s="1"/>
  <c r="E12" i="7"/>
  <c r="F93" i="2"/>
  <c r="F340" i="2"/>
  <c r="K62" i="5"/>
  <c r="L62" i="5"/>
  <c r="M338" i="2"/>
  <c r="G52" i="5" l="1"/>
  <c r="F63" i="1"/>
  <c r="M62" i="5"/>
  <c r="G340" i="2" s="1"/>
  <c r="O290" i="2"/>
  <c r="P288" i="2" s="1"/>
  <c r="P290" i="2" s="1"/>
  <c r="O291" i="2" l="1"/>
  <c r="O292" i="2" s="1"/>
  <c r="BB340" i="2"/>
  <c r="AR340" i="2"/>
  <c r="AI340" i="2"/>
  <c r="AV340" i="2"/>
  <c r="AS340" i="2"/>
  <c r="BA340" i="2"/>
  <c r="AK340" i="2"/>
  <c r="AL340" i="2"/>
  <c r="AB340" i="2"/>
  <c r="S340" i="2"/>
  <c r="W340" i="2"/>
  <c r="BK340" i="2"/>
  <c r="BQ340" i="2"/>
  <c r="AP340" i="2"/>
  <c r="BJ340" i="2"/>
  <c r="AZ340" i="2"/>
  <c r="AQ340" i="2"/>
  <c r="BI340" i="2"/>
  <c r="BN340" i="2"/>
  <c r="Q340" i="2"/>
  <c r="AW340" i="2"/>
  <c r="AT340" i="2"/>
  <c r="AJ340" i="2"/>
  <c r="AA340" i="2"/>
  <c r="AH340" i="2"/>
  <c r="Z340" i="2"/>
  <c r="P340" i="2"/>
  <c r="BM340" i="2"/>
  <c r="AD340" i="2"/>
  <c r="T340" i="2"/>
  <c r="BL340" i="2"/>
  <c r="BF340" i="2"/>
  <c r="AO340" i="2"/>
  <c r="AF340" i="2"/>
  <c r="BC340" i="2"/>
  <c r="V340" i="2"/>
  <c r="BO340" i="2"/>
  <c r="AX340" i="2"/>
  <c r="AU340" i="2"/>
  <c r="R340" i="2"/>
  <c r="AC340" i="2"/>
  <c r="AE340" i="2"/>
  <c r="BP340" i="2"/>
  <c r="BG340" i="2"/>
  <c r="AM340" i="2"/>
  <c r="AG340" i="2"/>
  <c r="BE340" i="2"/>
  <c r="BD340" i="2"/>
  <c r="X340" i="2"/>
  <c r="BH340" i="2"/>
  <c r="AY340" i="2"/>
  <c r="Y340" i="2"/>
  <c r="U340" i="2"/>
  <c r="AN340" i="2"/>
  <c r="O340" i="2"/>
  <c r="F330" i="2"/>
  <c r="L52" i="5"/>
  <c r="K52" i="5"/>
  <c r="P291" i="2"/>
  <c r="P292" i="2" s="1"/>
  <c r="Q288" i="2"/>
  <c r="Q290" i="2" s="1"/>
  <c r="R288" i="2" s="1"/>
  <c r="M52" i="5" l="1"/>
  <c r="G330" i="2" s="1"/>
  <c r="BE330" i="2" s="1"/>
  <c r="M340" i="2"/>
  <c r="R290" i="2"/>
  <c r="S288" i="2" s="1"/>
  <c r="Q291" i="2"/>
  <c r="Q292" i="2" s="1"/>
  <c r="BN330" i="2" l="1"/>
  <c r="BQ330" i="2"/>
  <c r="Q330" i="2"/>
  <c r="BD330" i="2"/>
  <c r="BB330" i="2"/>
  <c r="AU330" i="2"/>
  <c r="AD330" i="2"/>
  <c r="AM330" i="2"/>
  <c r="AB330" i="2"/>
  <c r="AY330" i="2"/>
  <c r="AG330" i="2"/>
  <c r="W330" i="2"/>
  <c r="AL330" i="2"/>
  <c r="S330" i="2"/>
  <c r="Y330" i="2"/>
  <c r="X330" i="2"/>
  <c r="BK330" i="2"/>
  <c r="V330" i="2"/>
  <c r="R330" i="2"/>
  <c r="BP330" i="2"/>
  <c r="BH330" i="2"/>
  <c r="U330" i="2"/>
  <c r="BF330" i="2"/>
  <c r="AJ330" i="2"/>
  <c r="BM330" i="2"/>
  <c r="T330" i="2"/>
  <c r="BJ330" i="2"/>
  <c r="BC330" i="2"/>
  <c r="AT330" i="2"/>
  <c r="AS330" i="2"/>
  <c r="AI330" i="2"/>
  <c r="AQ330" i="2"/>
  <c r="AE330" i="2"/>
  <c r="AF330" i="2"/>
  <c r="AH330" i="2"/>
  <c r="P330" i="2"/>
  <c r="AW330" i="2"/>
  <c r="AC330" i="2"/>
  <c r="AN330" i="2"/>
  <c r="BI330" i="2"/>
  <c r="AX330" i="2"/>
  <c r="BL330" i="2"/>
  <c r="AO330" i="2"/>
  <c r="BO330" i="2"/>
  <c r="BG330" i="2"/>
  <c r="AK330" i="2"/>
  <c r="AA330" i="2"/>
  <c r="AV330" i="2"/>
  <c r="Z330" i="2"/>
  <c r="O330" i="2"/>
  <c r="AZ330" i="2"/>
  <c r="AP330" i="2"/>
  <c r="BA330" i="2"/>
  <c r="AR330" i="2"/>
  <c r="S290" i="2"/>
  <c r="T288" i="2" s="1"/>
  <c r="R291" i="2"/>
  <c r="R292" i="2" s="1"/>
  <c r="M330" i="2" l="1"/>
  <c r="S291" i="2"/>
  <c r="S292" i="2" s="1"/>
  <c r="T290" i="2"/>
  <c r="U288" i="2" s="1"/>
  <c r="T291" i="2" l="1"/>
  <c r="T292" i="2" s="1"/>
  <c r="U290" i="2"/>
  <c r="V288" i="2" s="1"/>
  <c r="U291" i="2" l="1"/>
  <c r="U292" i="2" s="1"/>
  <c r="V290" i="2"/>
  <c r="W288" i="2" s="1"/>
  <c r="W290" i="2" l="1"/>
  <c r="X288" i="2" s="1"/>
  <c r="V291" i="2"/>
  <c r="V292" i="2" s="1"/>
  <c r="X290" i="2" l="1"/>
  <c r="Y288" i="2" s="1"/>
  <c r="W291" i="2"/>
  <c r="W292" i="2" s="1"/>
  <c r="X291" i="2" l="1"/>
  <c r="X292" i="2" s="1"/>
  <c r="Y290" i="2"/>
  <c r="Z288" i="2" s="1"/>
  <c r="Z290" i="2" l="1"/>
  <c r="AA288" i="2" s="1"/>
  <c r="Y291" i="2"/>
  <c r="Y292" i="2" s="1"/>
  <c r="AA290" i="2" l="1"/>
  <c r="AB288" i="2" s="1"/>
  <c r="Z291" i="2"/>
  <c r="Z292" i="2" s="1"/>
  <c r="AB290" i="2" l="1"/>
  <c r="AC288" i="2" s="1"/>
  <c r="AA291" i="2"/>
  <c r="AA292" i="2" s="1"/>
  <c r="AB291" i="2" l="1"/>
  <c r="AB292" i="2" s="1"/>
  <c r="AC290" i="2"/>
  <c r="AD288" i="2" s="1"/>
  <c r="AC291" i="2" l="1"/>
  <c r="AC292" i="2" s="1"/>
  <c r="AD290" i="2"/>
  <c r="AE288" i="2" s="1"/>
  <c r="AE290" i="2" l="1"/>
  <c r="AF288" i="2" s="1"/>
  <c r="AD291" i="2"/>
  <c r="AD292" i="2" s="1"/>
  <c r="AF290" i="2" l="1"/>
  <c r="AG288" i="2" s="1"/>
  <c r="AE291" i="2"/>
  <c r="AE292" i="2" s="1"/>
  <c r="AG290" i="2" l="1"/>
  <c r="AH288" i="2" s="1"/>
  <c r="AF291" i="2"/>
  <c r="AF292" i="2" s="1"/>
  <c r="AH290" i="2" l="1"/>
  <c r="AI288" i="2" s="1"/>
  <c r="AG291" i="2"/>
  <c r="AG292" i="2" s="1"/>
  <c r="AI290" i="2" l="1"/>
  <c r="AJ288" i="2" s="1"/>
  <c r="AH291" i="2"/>
  <c r="AH292" i="2" s="1"/>
  <c r="AJ290" i="2" l="1"/>
  <c r="AK288" i="2" s="1"/>
  <c r="AI291" i="2"/>
  <c r="AI292" i="2" s="1"/>
  <c r="AJ291" i="2" l="1"/>
  <c r="AJ292" i="2" s="1"/>
  <c r="AK290" i="2"/>
  <c r="AL288" i="2" s="1"/>
  <c r="AK291" i="2" l="1"/>
  <c r="AK292" i="2" s="1"/>
  <c r="AL290" i="2"/>
  <c r="AM288" i="2" s="1"/>
  <c r="AM290" i="2" l="1"/>
  <c r="AN288" i="2" s="1"/>
  <c r="AL291" i="2"/>
  <c r="AL292" i="2" s="1"/>
  <c r="AN290" i="2" l="1"/>
  <c r="AO288" i="2" s="1"/>
  <c r="AM291" i="2"/>
  <c r="AM292" i="2" s="1"/>
  <c r="AO290" i="2" l="1"/>
  <c r="AP288" i="2" s="1"/>
  <c r="AN291" i="2"/>
  <c r="AN292" i="2" s="1"/>
  <c r="AP290" i="2" l="1"/>
  <c r="AQ288" i="2" s="1"/>
  <c r="AO291" i="2"/>
  <c r="AO292" i="2" s="1"/>
  <c r="AQ290" i="2" l="1"/>
  <c r="AR288" i="2" s="1"/>
  <c r="AP291" i="2"/>
  <c r="AP292" i="2" s="1"/>
  <c r="AR290" i="2" l="1"/>
  <c r="AS288" i="2" s="1"/>
  <c r="AQ291" i="2"/>
  <c r="AQ292" i="2" s="1"/>
  <c r="AR291" i="2" l="1"/>
  <c r="AR292" i="2" s="1"/>
  <c r="AS290" i="2"/>
  <c r="AT288" i="2" s="1"/>
  <c r="AS291" i="2" l="1"/>
  <c r="AS292" i="2" s="1"/>
  <c r="AT290" i="2"/>
  <c r="AU288" i="2" s="1"/>
  <c r="AU290" i="2" l="1"/>
  <c r="AV288" i="2" s="1"/>
  <c r="AT291" i="2"/>
  <c r="AT292" i="2" s="1"/>
  <c r="AV290" i="2" l="1"/>
  <c r="AW288" i="2" s="1"/>
  <c r="AU291" i="2"/>
  <c r="AU292" i="2" s="1"/>
  <c r="AV291" i="2" l="1"/>
  <c r="AV292" i="2" s="1"/>
  <c r="AW290" i="2"/>
  <c r="AX288" i="2" s="1"/>
  <c r="AX290" i="2" l="1"/>
  <c r="AY288" i="2" s="1"/>
  <c r="AW291" i="2"/>
  <c r="AW292" i="2" s="1"/>
  <c r="AY290" i="2" l="1"/>
  <c r="AZ288" i="2" s="1"/>
  <c r="AX291" i="2"/>
  <c r="AX292" i="2" s="1"/>
  <c r="AZ290" i="2" l="1"/>
  <c r="BA288" i="2" s="1"/>
  <c r="AY291" i="2"/>
  <c r="AY292" i="2" s="1"/>
  <c r="AZ291" i="2" l="1"/>
  <c r="AZ292" i="2" s="1"/>
  <c r="BA290" i="2"/>
  <c r="BB288" i="2" s="1"/>
  <c r="BA291" i="2" l="1"/>
  <c r="BA292" i="2" s="1"/>
  <c r="BB290" i="2"/>
  <c r="BC288" i="2" s="1"/>
  <c r="BC290" i="2" l="1"/>
  <c r="BD288" i="2" s="1"/>
  <c r="BB291" i="2"/>
  <c r="BB292" i="2" s="1"/>
  <c r="BD290" i="2" l="1"/>
  <c r="BE288" i="2" s="1"/>
  <c r="BC291" i="2"/>
  <c r="BC292" i="2" s="1"/>
  <c r="BD291" i="2" l="1"/>
  <c r="BD292" i="2" s="1"/>
  <c r="BE290" i="2"/>
  <c r="BF288" i="2" s="1"/>
  <c r="BF290" i="2" l="1"/>
  <c r="BG288" i="2" s="1"/>
  <c r="BE291" i="2"/>
  <c r="BE292" i="2" s="1"/>
  <c r="BG290" i="2" l="1"/>
  <c r="BH288" i="2" s="1"/>
  <c r="BF291" i="2"/>
  <c r="BF292" i="2" s="1"/>
  <c r="BH290" i="2" l="1"/>
  <c r="BI288" i="2" s="1"/>
  <c r="BG291" i="2"/>
  <c r="BG292" i="2" s="1"/>
  <c r="BH291" i="2" l="1"/>
  <c r="BH292" i="2" s="1"/>
  <c r="BI290" i="2"/>
  <c r="BJ288" i="2" s="1"/>
  <c r="BI291" i="2" l="1"/>
  <c r="BI292" i="2" s="1"/>
  <c r="BJ290" i="2"/>
  <c r="BK288" i="2" s="1"/>
  <c r="BK290" i="2" l="1"/>
  <c r="BL288" i="2" s="1"/>
  <c r="BJ291" i="2"/>
  <c r="BJ292" i="2" s="1"/>
  <c r="BL290" i="2" l="1"/>
  <c r="BM288" i="2" s="1"/>
  <c r="BK291" i="2"/>
  <c r="BK292" i="2" s="1"/>
  <c r="BM290" i="2" l="1"/>
  <c r="BN288" i="2" s="1"/>
  <c r="BL291" i="2"/>
  <c r="BL292" i="2" s="1"/>
  <c r="BN290" i="2" l="1"/>
  <c r="BO288" i="2" s="1"/>
  <c r="BM291" i="2"/>
  <c r="BM292" i="2" s="1"/>
  <c r="BN291" i="2" l="1"/>
  <c r="BN292" i="2" s="1"/>
  <c r="BO290" i="2"/>
  <c r="BP288" i="2" s="1"/>
  <c r="BP290" i="2" l="1"/>
  <c r="BQ288" i="2" s="1"/>
  <c r="BO291" i="2"/>
  <c r="BO292" i="2" s="1"/>
  <c r="BP291" i="2" l="1"/>
  <c r="BP292" i="2" s="1"/>
  <c r="BQ290" i="2"/>
  <c r="BQ291" i="2" s="1"/>
  <c r="BQ292" i="2" l="1"/>
  <c r="M292" i="2" l="1"/>
  <c r="O378" i="2"/>
  <c r="P375" i="2" l="1"/>
  <c r="O379" i="2"/>
  <c r="O380" i="2" s="1"/>
  <c r="O381" i="2" l="1"/>
  <c r="P378" i="2"/>
  <c r="P379" i="2" s="1"/>
  <c r="P380" i="2" s="1"/>
  <c r="Q375" i="2" l="1"/>
  <c r="Q378" i="2" s="1"/>
  <c r="R375" i="2" s="1"/>
  <c r="P381" i="2"/>
  <c r="P152" i="2" s="1"/>
  <c r="O152" i="2"/>
  <c r="Q379" i="2" l="1"/>
  <c r="Q380" i="2" s="1"/>
  <c r="Q381" i="2" s="1"/>
  <c r="Q152" i="2" s="1"/>
  <c r="R378" i="2"/>
  <c r="S375" i="2" s="1"/>
  <c r="R379" i="2" l="1"/>
  <c r="R380" i="2" s="1"/>
  <c r="R381" i="2" s="1"/>
  <c r="R152" i="2" s="1"/>
  <c r="S378" i="2"/>
  <c r="T375" i="2" s="1"/>
  <c r="T378" i="2" l="1"/>
  <c r="U375" i="2" s="1"/>
  <c r="S379" i="2"/>
  <c r="S380" i="2" s="1"/>
  <c r="T379" i="2" l="1"/>
  <c r="T380" i="2" s="1"/>
  <c r="S381" i="2"/>
  <c r="U378" i="2"/>
  <c r="V375" i="2" s="1"/>
  <c r="U379" i="2" l="1"/>
  <c r="U380" i="2" s="1"/>
  <c r="T381" i="2"/>
  <c r="T152" i="2" s="1"/>
  <c r="S152" i="2"/>
  <c r="V378" i="2"/>
  <c r="W375" i="2" s="1"/>
  <c r="V379" i="2" l="1"/>
  <c r="V380" i="2" s="1"/>
  <c r="U381" i="2"/>
  <c r="W378" i="2"/>
  <c r="X375" i="2" s="1"/>
  <c r="W379" i="2" l="1"/>
  <c r="W380" i="2" s="1"/>
  <c r="V381" i="2"/>
  <c r="V152" i="2" s="1"/>
  <c r="U152" i="2"/>
  <c r="X378" i="2"/>
  <c r="Y375" i="2" s="1"/>
  <c r="W381" i="2" l="1"/>
  <c r="W152" i="2" s="1"/>
  <c r="X379" i="2"/>
  <c r="X380" i="2" s="1"/>
  <c r="Y378" i="2"/>
  <c r="Z375" i="2" s="1"/>
  <c r="X381" i="2" l="1"/>
  <c r="X152" i="2" s="1"/>
  <c r="Z378" i="2"/>
  <c r="AA375" i="2" s="1"/>
  <c r="Y379" i="2"/>
  <c r="Y380" i="2" s="1"/>
  <c r="Y381" i="2" l="1"/>
  <c r="Y152" i="2" s="1"/>
  <c r="Z379" i="2"/>
  <c r="Z380" i="2" s="1"/>
  <c r="AA378" i="2"/>
  <c r="AB375" i="2" s="1"/>
  <c r="Z381" i="2" l="1"/>
  <c r="Z152" i="2" s="1"/>
  <c r="AB378" i="2"/>
  <c r="AC375" i="2" s="1"/>
  <c r="AA379" i="2"/>
  <c r="AA380" i="2" s="1"/>
  <c r="AA381" i="2" s="1"/>
  <c r="AA152" i="2" s="1"/>
  <c r="AB379" i="2" l="1"/>
  <c r="AB380" i="2" s="1"/>
  <c r="AB381" i="2" s="1"/>
  <c r="AB152" i="2" s="1"/>
  <c r="AC378" i="2"/>
  <c r="AD375" i="2" s="1"/>
  <c r="AD378" i="2" l="1"/>
  <c r="AE375" i="2" s="1"/>
  <c r="AC379" i="2"/>
  <c r="AC380" i="2" s="1"/>
  <c r="AC381" i="2" s="1"/>
  <c r="AC152" i="2" s="1"/>
  <c r="AE378" i="2" l="1"/>
  <c r="AF375" i="2" s="1"/>
  <c r="AD379" i="2"/>
  <c r="AD380" i="2" s="1"/>
  <c r="AD381" i="2" s="1"/>
  <c r="AD152" i="2" s="1"/>
  <c r="AE379" i="2" l="1"/>
  <c r="AE380" i="2" s="1"/>
  <c r="AE381" i="2" s="1"/>
  <c r="AE152" i="2" s="1"/>
  <c r="AF378" i="2"/>
  <c r="AG375" i="2" s="1"/>
  <c r="AF379" i="2" l="1"/>
  <c r="AF380" i="2" s="1"/>
  <c r="AF381" i="2" s="1"/>
  <c r="AF152" i="2" s="1"/>
  <c r="AG378" i="2"/>
  <c r="AH375" i="2" s="1"/>
  <c r="AH378" i="2" l="1"/>
  <c r="AI375" i="2" s="1"/>
  <c r="AG379" i="2"/>
  <c r="AG380" i="2" s="1"/>
  <c r="AG381" i="2" s="1"/>
  <c r="AG152" i="2" s="1"/>
  <c r="AH379" i="2" l="1"/>
  <c r="AH380" i="2" s="1"/>
  <c r="AH381" i="2" s="1"/>
  <c r="AH152" i="2" s="1"/>
  <c r="AI378" i="2"/>
  <c r="AJ375" i="2" s="1"/>
  <c r="AJ378" i="2" l="1"/>
  <c r="AK375" i="2" s="1"/>
  <c r="AI379" i="2"/>
  <c r="AI380" i="2" s="1"/>
  <c r="AI381" i="2" s="1"/>
  <c r="AI152" i="2" s="1"/>
  <c r="AJ379" i="2" l="1"/>
  <c r="AJ380" i="2" s="1"/>
  <c r="AJ381" i="2" s="1"/>
  <c r="AJ152" i="2" s="1"/>
  <c r="AK378" i="2"/>
  <c r="AL375" i="2" s="1"/>
  <c r="AK379" i="2" l="1"/>
  <c r="AK380" i="2" s="1"/>
  <c r="AK381" i="2" s="1"/>
  <c r="AK152" i="2" s="1"/>
  <c r="AL378" i="2"/>
  <c r="AM375" i="2" s="1"/>
  <c r="AL379" i="2" l="1"/>
  <c r="AL380" i="2" s="1"/>
  <c r="AL381" i="2" s="1"/>
  <c r="AL152" i="2" s="1"/>
  <c r="AM378" i="2"/>
  <c r="AN375" i="2" s="1"/>
  <c r="AM379" i="2" l="1"/>
  <c r="AM380" i="2" s="1"/>
  <c r="AM381" i="2" s="1"/>
  <c r="AM152" i="2" s="1"/>
  <c r="AN378" i="2"/>
  <c r="AO375" i="2" s="1"/>
  <c r="AN379" i="2" l="1"/>
  <c r="AN380" i="2" s="1"/>
  <c r="AN381" i="2" s="1"/>
  <c r="AN152" i="2" s="1"/>
  <c r="AO378" i="2"/>
  <c r="AP375" i="2" s="1"/>
  <c r="AP378" i="2" l="1"/>
  <c r="AQ375" i="2" s="1"/>
  <c r="AO379" i="2"/>
  <c r="AO380" i="2" s="1"/>
  <c r="AO381" i="2" s="1"/>
  <c r="AO152" i="2" s="1"/>
  <c r="AP379" i="2" l="1"/>
  <c r="AP380" i="2" s="1"/>
  <c r="AP381" i="2" s="1"/>
  <c r="AP152" i="2" s="1"/>
  <c r="AQ378" i="2"/>
  <c r="AR375" i="2" s="1"/>
  <c r="AR378" i="2" l="1"/>
  <c r="AS375" i="2" s="1"/>
  <c r="AQ379" i="2"/>
  <c r="AQ380" i="2" s="1"/>
  <c r="AQ381" i="2" s="1"/>
  <c r="AQ152" i="2" s="1"/>
  <c r="AR379" i="2" l="1"/>
  <c r="AR380" i="2" s="1"/>
  <c r="AR381" i="2" s="1"/>
  <c r="AR152" i="2" s="1"/>
  <c r="AS378" i="2"/>
  <c r="AT375" i="2" s="1"/>
  <c r="AS379" i="2" l="1"/>
  <c r="AS380" i="2" s="1"/>
  <c r="AS381" i="2" s="1"/>
  <c r="AS152" i="2" s="1"/>
  <c r="AT378" i="2"/>
  <c r="AU375" i="2" s="1"/>
  <c r="AU378" i="2" l="1"/>
  <c r="AV375" i="2" s="1"/>
  <c r="AT379" i="2"/>
  <c r="AT380" i="2" s="1"/>
  <c r="AT381" i="2" s="1"/>
  <c r="AT152" i="2" s="1"/>
  <c r="AU379" i="2" l="1"/>
  <c r="AU380" i="2" s="1"/>
  <c r="AU381" i="2" s="1"/>
  <c r="AU152" i="2" s="1"/>
  <c r="AV378" i="2"/>
  <c r="AW375" i="2" s="1"/>
  <c r="AW378" i="2" l="1"/>
  <c r="AX375" i="2" s="1"/>
  <c r="AV379" i="2"/>
  <c r="AV380" i="2" s="1"/>
  <c r="AV381" i="2" s="1"/>
  <c r="AV152" i="2" s="1"/>
  <c r="AX378" i="2" l="1"/>
  <c r="AY375" i="2" s="1"/>
  <c r="AW379" i="2"/>
  <c r="AW380" i="2" s="1"/>
  <c r="AW381" i="2" s="1"/>
  <c r="AW152" i="2" s="1"/>
  <c r="AY378" i="2" l="1"/>
  <c r="AZ375" i="2" s="1"/>
  <c r="AX379" i="2"/>
  <c r="AX380" i="2" s="1"/>
  <c r="AX381" i="2" s="1"/>
  <c r="AX152" i="2" s="1"/>
  <c r="AZ378" i="2" l="1"/>
  <c r="BA375" i="2" s="1"/>
  <c r="AY379" i="2"/>
  <c r="AY380" i="2" s="1"/>
  <c r="AY381" i="2" s="1"/>
  <c r="AY152" i="2" s="1"/>
  <c r="AZ379" i="2" l="1"/>
  <c r="AZ380" i="2" s="1"/>
  <c r="AZ381" i="2" s="1"/>
  <c r="AZ152" i="2" s="1"/>
  <c r="BA378" i="2"/>
  <c r="BB375" i="2" s="1"/>
  <c r="BA379" i="2" l="1"/>
  <c r="BA380" i="2" s="1"/>
  <c r="BA381" i="2" s="1"/>
  <c r="BA152" i="2" s="1"/>
  <c r="BB378" i="2"/>
  <c r="BC375" i="2" s="1"/>
  <c r="BB379" i="2" l="1"/>
  <c r="BB380" i="2" s="1"/>
  <c r="BB381" i="2" s="1"/>
  <c r="BB152" i="2" s="1"/>
  <c r="BC378" i="2"/>
  <c r="BD375" i="2" s="1"/>
  <c r="BC379" i="2" l="1"/>
  <c r="BC380" i="2" s="1"/>
  <c r="BC381" i="2" s="1"/>
  <c r="BC152" i="2" s="1"/>
  <c r="BD378" i="2"/>
  <c r="BE375" i="2" s="1"/>
  <c r="BD379" i="2" l="1"/>
  <c r="BD380" i="2" s="1"/>
  <c r="BD381" i="2" s="1"/>
  <c r="BD152" i="2" s="1"/>
  <c r="BE378" i="2"/>
  <c r="BF375" i="2" s="1"/>
  <c r="BF378" i="2" l="1"/>
  <c r="BG375" i="2" s="1"/>
  <c r="BE379" i="2"/>
  <c r="BE380" i="2" s="1"/>
  <c r="BE381" i="2" s="1"/>
  <c r="BE152" i="2" s="1"/>
  <c r="BF379" i="2" l="1"/>
  <c r="BF380" i="2" s="1"/>
  <c r="BF381" i="2" s="1"/>
  <c r="BF152" i="2" s="1"/>
  <c r="BG378" i="2"/>
  <c r="BH375" i="2" s="1"/>
  <c r="BH378" i="2" l="1"/>
  <c r="BI375" i="2" s="1"/>
  <c r="BG379" i="2"/>
  <c r="BG380" i="2" s="1"/>
  <c r="BG381" i="2" s="1"/>
  <c r="BG152" i="2" s="1"/>
  <c r="BH379" i="2" l="1"/>
  <c r="BH380" i="2" s="1"/>
  <c r="BH381" i="2" s="1"/>
  <c r="BH152" i="2" s="1"/>
  <c r="BI378" i="2"/>
  <c r="BJ375" i="2" s="1"/>
  <c r="BI379" i="2" l="1"/>
  <c r="BI380" i="2" s="1"/>
  <c r="BI381" i="2" s="1"/>
  <c r="BI152" i="2" s="1"/>
  <c r="BJ378" i="2"/>
  <c r="BK375" i="2" s="1"/>
  <c r="BJ379" i="2" l="1"/>
  <c r="BJ380" i="2" s="1"/>
  <c r="BJ381" i="2" s="1"/>
  <c r="BJ152" i="2" s="1"/>
  <c r="BK378" i="2"/>
  <c r="BL375" i="2" s="1"/>
  <c r="BK379" i="2" l="1"/>
  <c r="BK380" i="2" s="1"/>
  <c r="BK381" i="2" s="1"/>
  <c r="BK152" i="2" s="1"/>
  <c r="BL378" i="2"/>
  <c r="BM375" i="2" s="1"/>
  <c r="BL379" i="2" l="1"/>
  <c r="BL380" i="2" s="1"/>
  <c r="BL381" i="2" s="1"/>
  <c r="BL152" i="2" s="1"/>
  <c r="BM378" i="2"/>
  <c r="BN375" i="2" s="1"/>
  <c r="BN378" i="2" l="1"/>
  <c r="BO375" i="2" s="1"/>
  <c r="BM379" i="2"/>
  <c r="BM380" i="2" s="1"/>
  <c r="BM381" i="2" s="1"/>
  <c r="BM152" i="2" s="1"/>
  <c r="BN379" i="2" l="1"/>
  <c r="BN380" i="2" s="1"/>
  <c r="BN381" i="2" s="1"/>
  <c r="BN152" i="2" s="1"/>
  <c r="BO378" i="2"/>
  <c r="BP375" i="2" s="1"/>
  <c r="BP378" i="2" l="1"/>
  <c r="BQ375" i="2" s="1"/>
  <c r="BO379" i="2"/>
  <c r="BO380" i="2" s="1"/>
  <c r="BO381" i="2" s="1"/>
  <c r="BO152" i="2" s="1"/>
  <c r="BP379" i="2" l="1"/>
  <c r="BP380" i="2" s="1"/>
  <c r="BP381" i="2" s="1"/>
  <c r="BQ378" i="2"/>
  <c r="BQ379" i="2" s="1"/>
  <c r="BQ380" i="2" s="1"/>
  <c r="BP152" i="2" l="1"/>
  <c r="BQ381" i="2"/>
  <c r="M380" i="2"/>
  <c r="M381" i="2" l="1"/>
  <c r="L381" i="2" s="1"/>
  <c r="E400" i="2" s="1"/>
  <c r="O12" i="1" s="1"/>
  <c r="BQ152" i="2"/>
  <c r="M152" i="2" s="1"/>
  <c r="F152" i="2" s="1"/>
  <c r="G87" i="5" l="1"/>
  <c r="F81" i="1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I10" i="1"/>
  <c r="H11" i="1"/>
  <c r="K11" i="1"/>
  <c r="L11" i="1"/>
  <c r="N11" i="1"/>
  <c r="O11" i="1"/>
  <c r="J12" i="1"/>
  <c r="K12" i="1"/>
  <c r="L12" i="1"/>
  <c r="M12" i="1"/>
  <c r="H13" i="1"/>
  <c r="I13" i="1"/>
  <c r="J13" i="1"/>
  <c r="K13" i="1"/>
  <c r="M13" i="1"/>
  <c r="H14" i="1"/>
  <c r="U16" i="1"/>
  <c r="V16" i="1"/>
  <c r="W17" i="1"/>
  <c r="W24" i="1"/>
  <c r="U37" i="1"/>
  <c r="AE37" i="1"/>
  <c r="U38" i="1"/>
  <c r="AE38" i="1"/>
  <c r="AD39" i="1"/>
  <c r="T41" i="1"/>
  <c r="F43" i="1"/>
  <c r="O43" i="1"/>
  <c r="O44" i="1"/>
  <c r="T44" i="1"/>
  <c r="O45" i="1"/>
  <c r="T45" i="1"/>
  <c r="F46" i="1"/>
  <c r="K46" i="1"/>
  <c r="O46" i="1"/>
  <c r="F47" i="1"/>
  <c r="O47" i="1"/>
  <c r="O48" i="1"/>
  <c r="O49" i="1"/>
  <c r="T49" i="1"/>
  <c r="O50" i="1"/>
  <c r="T50" i="1"/>
  <c r="Z50" i="1"/>
  <c r="AA50" i="1"/>
  <c r="AB50" i="1"/>
  <c r="AC50" i="1"/>
  <c r="O51" i="1"/>
  <c r="T51" i="1"/>
  <c r="Z51" i="1"/>
  <c r="AA51" i="1"/>
  <c r="AB51" i="1"/>
  <c r="AC51" i="1"/>
  <c r="F52" i="1"/>
  <c r="O52" i="1"/>
  <c r="T52" i="1"/>
  <c r="Z52" i="1"/>
  <c r="AA52" i="1"/>
  <c r="AB52" i="1"/>
  <c r="AC52" i="1"/>
  <c r="O53" i="1"/>
  <c r="T53" i="1"/>
  <c r="Z53" i="1"/>
  <c r="O54" i="1"/>
  <c r="T54" i="1"/>
  <c r="F55" i="1"/>
  <c r="O55" i="1"/>
  <c r="O56" i="1"/>
  <c r="O57" i="1"/>
  <c r="O58" i="1"/>
  <c r="O59" i="1"/>
  <c r="O60" i="1"/>
  <c r="R60" i="1"/>
  <c r="Z60" i="1"/>
  <c r="F61" i="1"/>
  <c r="O61" i="1"/>
  <c r="F62" i="1"/>
  <c r="O62" i="1"/>
  <c r="O63" i="1"/>
  <c r="F64" i="1"/>
  <c r="O64" i="1"/>
  <c r="F65" i="1"/>
  <c r="O65" i="1"/>
  <c r="F66" i="1"/>
  <c r="O66" i="1"/>
  <c r="O67" i="1"/>
  <c r="F68" i="1"/>
  <c r="O68" i="1"/>
  <c r="F69" i="1"/>
  <c r="O69" i="1"/>
  <c r="O70" i="1"/>
  <c r="O71" i="1"/>
  <c r="R71" i="1"/>
  <c r="Z71" i="1"/>
  <c r="O72" i="1"/>
  <c r="O73" i="1"/>
  <c r="O74" i="1"/>
  <c r="O75" i="1"/>
  <c r="O76" i="1"/>
  <c r="O77" i="1"/>
  <c r="O78" i="1"/>
  <c r="O79" i="1"/>
  <c r="O80" i="1"/>
  <c r="O81" i="1"/>
  <c r="O82" i="1"/>
  <c r="O83" i="1"/>
  <c r="F84" i="1"/>
  <c r="O84" i="1"/>
  <c r="E85" i="1"/>
  <c r="F85" i="1"/>
  <c r="O85" i="1"/>
  <c r="E21" i="10"/>
  <c r="E22" i="10"/>
  <c r="E23" i="10"/>
  <c r="E24" i="10"/>
  <c r="G10" i="9"/>
  <c r="G11" i="9"/>
  <c r="G12" i="9"/>
  <c r="G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G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G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BC18" i="9"/>
  <c r="BD18" i="9"/>
  <c r="BE18" i="9"/>
  <c r="BF18" i="9"/>
  <c r="BG18" i="9"/>
  <c r="BH18" i="9"/>
  <c r="BI18" i="9"/>
  <c r="BJ18" i="9"/>
  <c r="BK18" i="9"/>
  <c r="G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V19" i="9"/>
  <c r="AW19" i="9"/>
  <c r="AX19" i="9"/>
  <c r="AY19" i="9"/>
  <c r="AZ19" i="9"/>
  <c r="BA19" i="9"/>
  <c r="BB19" i="9"/>
  <c r="BC19" i="9"/>
  <c r="BD19" i="9"/>
  <c r="BE19" i="9"/>
  <c r="BF19" i="9"/>
  <c r="BG19" i="9"/>
  <c r="BH19" i="9"/>
  <c r="BI19" i="9"/>
  <c r="BJ19" i="9"/>
  <c r="BK19" i="9"/>
  <c r="G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AU22" i="9"/>
  <c r="AV22" i="9"/>
  <c r="AW22" i="9"/>
  <c r="AX22" i="9"/>
  <c r="AY22" i="9"/>
  <c r="AZ22" i="9"/>
  <c r="BA22" i="9"/>
  <c r="BB22" i="9"/>
  <c r="BC22" i="9"/>
  <c r="BD22" i="9"/>
  <c r="BE22" i="9"/>
  <c r="BF22" i="9"/>
  <c r="BG22" i="9"/>
  <c r="BH22" i="9"/>
  <c r="BI22" i="9"/>
  <c r="BJ22" i="9"/>
  <c r="BK22" i="9"/>
  <c r="G24" i="9"/>
  <c r="G25" i="9"/>
  <c r="G26" i="9"/>
  <c r="G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AV27" i="9"/>
  <c r="AW27" i="9"/>
  <c r="AX27" i="9"/>
  <c r="AY27" i="9"/>
  <c r="AZ27" i="9"/>
  <c r="BA27" i="9"/>
  <c r="BB27" i="9"/>
  <c r="BC27" i="9"/>
  <c r="BD27" i="9"/>
  <c r="BE27" i="9"/>
  <c r="BF27" i="9"/>
  <c r="BG27" i="9"/>
  <c r="BH27" i="9"/>
  <c r="BI27" i="9"/>
  <c r="BJ27" i="9"/>
  <c r="BK27" i="9"/>
  <c r="G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V28" i="9"/>
  <c r="AW28" i="9"/>
  <c r="AX28" i="9"/>
  <c r="AY28" i="9"/>
  <c r="AZ28" i="9"/>
  <c r="BA28" i="9"/>
  <c r="BB28" i="9"/>
  <c r="BC28" i="9"/>
  <c r="BD28" i="9"/>
  <c r="BE28" i="9"/>
  <c r="BF28" i="9"/>
  <c r="BG28" i="9"/>
  <c r="BH28" i="9"/>
  <c r="BI28" i="9"/>
  <c r="BJ28" i="9"/>
  <c r="BK28" i="9"/>
  <c r="G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AT29" i="9"/>
  <c r="AU29" i="9"/>
  <c r="AV29" i="9"/>
  <c r="AW29" i="9"/>
  <c r="AX29" i="9"/>
  <c r="AY29" i="9"/>
  <c r="AZ29" i="9"/>
  <c r="BA29" i="9"/>
  <c r="BB29" i="9"/>
  <c r="BC29" i="9"/>
  <c r="BD29" i="9"/>
  <c r="BE29" i="9"/>
  <c r="BF29" i="9"/>
  <c r="BG29" i="9"/>
  <c r="BH29" i="9"/>
  <c r="BI29" i="9"/>
  <c r="BJ29" i="9"/>
  <c r="BK29" i="9"/>
  <c r="G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AT30" i="9"/>
  <c r="AU30" i="9"/>
  <c r="AV30" i="9"/>
  <c r="AW30" i="9"/>
  <c r="AX30" i="9"/>
  <c r="AY30" i="9"/>
  <c r="AZ30" i="9"/>
  <c r="BA30" i="9"/>
  <c r="BB30" i="9"/>
  <c r="BC30" i="9"/>
  <c r="BD30" i="9"/>
  <c r="BE30" i="9"/>
  <c r="BF30" i="9"/>
  <c r="BG30" i="9"/>
  <c r="BH30" i="9"/>
  <c r="BI30" i="9"/>
  <c r="BJ30" i="9"/>
  <c r="BK30" i="9"/>
  <c r="G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AT35" i="9"/>
  <c r="AU35" i="9"/>
  <c r="AV35" i="9"/>
  <c r="AW35" i="9"/>
  <c r="AX35" i="9"/>
  <c r="AY35" i="9"/>
  <c r="AZ35" i="9"/>
  <c r="BA35" i="9"/>
  <c r="BB35" i="9"/>
  <c r="BC35" i="9"/>
  <c r="BD35" i="9"/>
  <c r="BE35" i="9"/>
  <c r="BF35" i="9"/>
  <c r="BG35" i="9"/>
  <c r="BH35" i="9"/>
  <c r="BI35" i="9"/>
  <c r="BJ35" i="9"/>
  <c r="BK35" i="9"/>
  <c r="G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AT36" i="9"/>
  <c r="AU36" i="9"/>
  <c r="AV36" i="9"/>
  <c r="AW36" i="9"/>
  <c r="AX36" i="9"/>
  <c r="AY36" i="9"/>
  <c r="AZ36" i="9"/>
  <c r="BA36" i="9"/>
  <c r="BB36" i="9"/>
  <c r="BC36" i="9"/>
  <c r="BD36" i="9"/>
  <c r="BE36" i="9"/>
  <c r="BF36" i="9"/>
  <c r="BG36" i="9"/>
  <c r="BH36" i="9"/>
  <c r="BI36" i="9"/>
  <c r="BJ36" i="9"/>
  <c r="BK36" i="9"/>
  <c r="G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V37" i="9"/>
  <c r="AW37" i="9"/>
  <c r="AX37" i="9"/>
  <c r="AY37" i="9"/>
  <c r="AZ37" i="9"/>
  <c r="BA37" i="9"/>
  <c r="BB37" i="9"/>
  <c r="BC37" i="9"/>
  <c r="BD37" i="9"/>
  <c r="BE37" i="9"/>
  <c r="BF37" i="9"/>
  <c r="BG37" i="9"/>
  <c r="BH37" i="9"/>
  <c r="BI37" i="9"/>
  <c r="BJ37" i="9"/>
  <c r="BK37" i="9"/>
  <c r="F38" i="9"/>
  <c r="G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AT42" i="9"/>
  <c r="AU42" i="9"/>
  <c r="AV42" i="9"/>
  <c r="AW42" i="9"/>
  <c r="AX42" i="9"/>
  <c r="AY42" i="9"/>
  <c r="AZ42" i="9"/>
  <c r="BA42" i="9"/>
  <c r="BB42" i="9"/>
  <c r="BC42" i="9"/>
  <c r="BD42" i="9"/>
  <c r="BE42" i="9"/>
  <c r="BF42" i="9"/>
  <c r="BG42" i="9"/>
  <c r="BH42" i="9"/>
  <c r="BI42" i="9"/>
  <c r="BJ42" i="9"/>
  <c r="BK42" i="9"/>
  <c r="G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AT43" i="9"/>
  <c r="AU43" i="9"/>
  <c r="AV43" i="9"/>
  <c r="AW43" i="9"/>
  <c r="AX43" i="9"/>
  <c r="AY43" i="9"/>
  <c r="AZ43" i="9"/>
  <c r="BA43" i="9"/>
  <c r="BB43" i="9"/>
  <c r="BC43" i="9"/>
  <c r="BD43" i="9"/>
  <c r="BE43" i="9"/>
  <c r="BF43" i="9"/>
  <c r="BG43" i="9"/>
  <c r="BH43" i="9"/>
  <c r="BI43" i="9"/>
  <c r="BJ43" i="9"/>
  <c r="BK43" i="9"/>
  <c r="G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AT44" i="9"/>
  <c r="AU44" i="9"/>
  <c r="AV44" i="9"/>
  <c r="AW44" i="9"/>
  <c r="AX44" i="9"/>
  <c r="AY44" i="9"/>
  <c r="AZ44" i="9"/>
  <c r="BA44" i="9"/>
  <c r="BB44" i="9"/>
  <c r="BC44" i="9"/>
  <c r="BD44" i="9"/>
  <c r="BE44" i="9"/>
  <c r="BF44" i="9"/>
  <c r="BG44" i="9"/>
  <c r="BH44" i="9"/>
  <c r="BI44" i="9"/>
  <c r="BJ44" i="9"/>
  <c r="BK44" i="9"/>
  <c r="F45" i="9"/>
  <c r="G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AT49" i="9"/>
  <c r="AU49" i="9"/>
  <c r="AV49" i="9"/>
  <c r="AW49" i="9"/>
  <c r="AX49" i="9"/>
  <c r="AY49" i="9"/>
  <c r="AZ49" i="9"/>
  <c r="BA49" i="9"/>
  <c r="BB49" i="9"/>
  <c r="BC49" i="9"/>
  <c r="BD49" i="9"/>
  <c r="BE49" i="9"/>
  <c r="BF49" i="9"/>
  <c r="BG49" i="9"/>
  <c r="BH49" i="9"/>
  <c r="BI49" i="9"/>
  <c r="BJ49" i="9"/>
  <c r="BK49" i="9"/>
  <c r="G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AT50" i="9"/>
  <c r="AU50" i="9"/>
  <c r="AV50" i="9"/>
  <c r="AW50" i="9"/>
  <c r="AX50" i="9"/>
  <c r="AY50" i="9"/>
  <c r="AZ50" i="9"/>
  <c r="BA50" i="9"/>
  <c r="BB50" i="9"/>
  <c r="BC50" i="9"/>
  <c r="BD50" i="9"/>
  <c r="BE50" i="9"/>
  <c r="BF50" i="9"/>
  <c r="BG50" i="9"/>
  <c r="BH50" i="9"/>
  <c r="BI50" i="9"/>
  <c r="BJ50" i="9"/>
  <c r="BK50" i="9"/>
  <c r="G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AT51" i="9"/>
  <c r="AU51" i="9"/>
  <c r="AV51" i="9"/>
  <c r="AW51" i="9"/>
  <c r="AX51" i="9"/>
  <c r="AY51" i="9"/>
  <c r="AZ51" i="9"/>
  <c r="BA51" i="9"/>
  <c r="BB51" i="9"/>
  <c r="BC51" i="9"/>
  <c r="BD51" i="9"/>
  <c r="BE51" i="9"/>
  <c r="BF51" i="9"/>
  <c r="BG51" i="9"/>
  <c r="BH51" i="9"/>
  <c r="BI51" i="9"/>
  <c r="BJ51" i="9"/>
  <c r="BK51" i="9"/>
  <c r="F52" i="9"/>
  <c r="E67" i="9"/>
  <c r="G9" i="6"/>
  <c r="G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G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G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G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G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G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G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G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F20" i="6"/>
  <c r="G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G33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G34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G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G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F12" i="2"/>
  <c r="L12" i="2"/>
  <c r="M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F18" i="2"/>
  <c r="K18" i="2"/>
  <c r="M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F19" i="2"/>
  <c r="M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F27" i="2"/>
  <c r="L27" i="2"/>
  <c r="M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F53" i="2"/>
  <c r="M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F54" i="2"/>
  <c r="M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F55" i="2"/>
  <c r="M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F56" i="2"/>
  <c r="M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F78" i="2"/>
  <c r="L78" i="2"/>
  <c r="M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F79" i="2"/>
  <c r="M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F89" i="2"/>
  <c r="J89" i="2"/>
  <c r="M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F92" i="2"/>
  <c r="M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F104" i="2"/>
  <c r="M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I105" i="2"/>
  <c r="F106" i="2"/>
  <c r="I106" i="2"/>
  <c r="M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F107" i="2"/>
  <c r="I107" i="2"/>
  <c r="M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F108" i="2"/>
  <c r="M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F109" i="2"/>
  <c r="L109" i="2"/>
  <c r="M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F110" i="2"/>
  <c r="M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F116" i="2"/>
  <c r="I116" i="2"/>
  <c r="M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F117" i="2"/>
  <c r="M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F118" i="2"/>
  <c r="J118" i="2"/>
  <c r="M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F120" i="2"/>
  <c r="M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K121" i="2"/>
  <c r="F127" i="2"/>
  <c r="M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G128" i="2"/>
  <c r="F129" i="2"/>
  <c r="M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G130" i="2"/>
  <c r="F131" i="2"/>
  <c r="M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F139" i="2"/>
  <c r="M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F140" i="2"/>
  <c r="L140" i="2"/>
  <c r="M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F155" i="2"/>
  <c r="M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F156" i="2"/>
  <c r="M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M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M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F298" i="2"/>
  <c r="F301" i="2"/>
  <c r="G301" i="2"/>
  <c r="M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F302" i="2"/>
  <c r="G302" i="2"/>
  <c r="M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F310" i="2"/>
  <c r="G310" i="2"/>
  <c r="M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F318" i="2"/>
  <c r="G318" i="2"/>
  <c r="M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H318" i="2"/>
  <c r="AI318" i="2"/>
  <c r="AJ318" i="2"/>
  <c r="AK318" i="2"/>
  <c r="AL318" i="2"/>
  <c r="AM318" i="2"/>
  <c r="AN318" i="2"/>
  <c r="AO318" i="2"/>
  <c r="AP318" i="2"/>
  <c r="AQ318" i="2"/>
  <c r="AR318" i="2"/>
  <c r="AS318" i="2"/>
  <c r="AT318" i="2"/>
  <c r="AU318" i="2"/>
  <c r="AV318" i="2"/>
  <c r="AW318" i="2"/>
  <c r="AX318" i="2"/>
  <c r="AY318" i="2"/>
  <c r="AZ318" i="2"/>
  <c r="BA318" i="2"/>
  <c r="BB318" i="2"/>
  <c r="BC318" i="2"/>
  <c r="BD318" i="2"/>
  <c r="BE318" i="2"/>
  <c r="BF318" i="2"/>
  <c r="BG318" i="2"/>
  <c r="BH318" i="2"/>
  <c r="BI318" i="2"/>
  <c r="BJ318" i="2"/>
  <c r="BK318" i="2"/>
  <c r="BL318" i="2"/>
  <c r="BM318" i="2"/>
  <c r="BN318" i="2"/>
  <c r="BO318" i="2"/>
  <c r="BP318" i="2"/>
  <c r="BQ318" i="2"/>
  <c r="F324" i="2"/>
  <c r="G324" i="2"/>
  <c r="M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H324" i="2"/>
  <c r="AI324" i="2"/>
  <c r="AJ324" i="2"/>
  <c r="AK324" i="2"/>
  <c r="AL324" i="2"/>
  <c r="AM324" i="2"/>
  <c r="AN324" i="2"/>
  <c r="AO324" i="2"/>
  <c r="AP324" i="2"/>
  <c r="AQ324" i="2"/>
  <c r="AR324" i="2"/>
  <c r="AS324" i="2"/>
  <c r="AT324" i="2"/>
  <c r="AU324" i="2"/>
  <c r="AV324" i="2"/>
  <c r="AW324" i="2"/>
  <c r="AX324" i="2"/>
  <c r="AY324" i="2"/>
  <c r="AZ324" i="2"/>
  <c r="BA324" i="2"/>
  <c r="BB324" i="2"/>
  <c r="BC324" i="2"/>
  <c r="BD324" i="2"/>
  <c r="BE324" i="2"/>
  <c r="BF324" i="2"/>
  <c r="BG324" i="2"/>
  <c r="BH324" i="2"/>
  <c r="BI324" i="2"/>
  <c r="BJ324" i="2"/>
  <c r="BK324" i="2"/>
  <c r="BL324" i="2"/>
  <c r="BM324" i="2"/>
  <c r="BN324" i="2"/>
  <c r="BO324" i="2"/>
  <c r="BP324" i="2"/>
  <c r="BQ324" i="2"/>
  <c r="F325" i="2"/>
  <c r="G325" i="2"/>
  <c r="M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H325" i="2"/>
  <c r="AI325" i="2"/>
  <c r="AJ325" i="2"/>
  <c r="AK325" i="2"/>
  <c r="AL325" i="2"/>
  <c r="AM325" i="2"/>
  <c r="AN325" i="2"/>
  <c r="AO325" i="2"/>
  <c r="AP325" i="2"/>
  <c r="AQ325" i="2"/>
  <c r="AR325" i="2"/>
  <c r="AS325" i="2"/>
  <c r="AT325" i="2"/>
  <c r="AU325" i="2"/>
  <c r="AV325" i="2"/>
  <c r="AW325" i="2"/>
  <c r="AX325" i="2"/>
  <c r="AY325" i="2"/>
  <c r="AZ325" i="2"/>
  <c r="BA325" i="2"/>
  <c r="BB325" i="2"/>
  <c r="BC325" i="2"/>
  <c r="BD325" i="2"/>
  <c r="BE325" i="2"/>
  <c r="BF325" i="2"/>
  <c r="BG325" i="2"/>
  <c r="BH325" i="2"/>
  <c r="BI325" i="2"/>
  <c r="BJ325" i="2"/>
  <c r="BK325" i="2"/>
  <c r="BL325" i="2"/>
  <c r="BM325" i="2"/>
  <c r="BN325" i="2"/>
  <c r="BO325" i="2"/>
  <c r="BP325" i="2"/>
  <c r="BQ325" i="2"/>
  <c r="F328" i="2"/>
  <c r="G328" i="2"/>
  <c r="M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H328" i="2"/>
  <c r="AI328" i="2"/>
  <c r="AJ328" i="2"/>
  <c r="AK328" i="2"/>
  <c r="AL328" i="2"/>
  <c r="AM328" i="2"/>
  <c r="AN328" i="2"/>
  <c r="AO328" i="2"/>
  <c r="AP328" i="2"/>
  <c r="AQ328" i="2"/>
  <c r="AR328" i="2"/>
  <c r="AS328" i="2"/>
  <c r="AT328" i="2"/>
  <c r="AU328" i="2"/>
  <c r="AV328" i="2"/>
  <c r="AW328" i="2"/>
  <c r="AX328" i="2"/>
  <c r="AY328" i="2"/>
  <c r="AZ328" i="2"/>
  <c r="BA328" i="2"/>
  <c r="BB328" i="2"/>
  <c r="BC328" i="2"/>
  <c r="BD328" i="2"/>
  <c r="BE328" i="2"/>
  <c r="BF328" i="2"/>
  <c r="BG328" i="2"/>
  <c r="BH328" i="2"/>
  <c r="BI328" i="2"/>
  <c r="BJ328" i="2"/>
  <c r="BK328" i="2"/>
  <c r="BL328" i="2"/>
  <c r="BM328" i="2"/>
  <c r="BN328" i="2"/>
  <c r="BO328" i="2"/>
  <c r="BP328" i="2"/>
  <c r="BQ328" i="2"/>
  <c r="F329" i="2"/>
  <c r="G329" i="2"/>
  <c r="M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H329" i="2"/>
  <c r="AI329" i="2"/>
  <c r="AJ329" i="2"/>
  <c r="AK329" i="2"/>
  <c r="AL329" i="2"/>
  <c r="AM329" i="2"/>
  <c r="AN329" i="2"/>
  <c r="AO329" i="2"/>
  <c r="AP329" i="2"/>
  <c r="AQ329" i="2"/>
  <c r="AR329" i="2"/>
  <c r="AS329" i="2"/>
  <c r="AT329" i="2"/>
  <c r="AU329" i="2"/>
  <c r="AV329" i="2"/>
  <c r="AW329" i="2"/>
  <c r="AX329" i="2"/>
  <c r="AY329" i="2"/>
  <c r="AZ329" i="2"/>
  <c r="BA329" i="2"/>
  <c r="BB329" i="2"/>
  <c r="BC329" i="2"/>
  <c r="BD329" i="2"/>
  <c r="BE329" i="2"/>
  <c r="BF329" i="2"/>
  <c r="BG329" i="2"/>
  <c r="BH329" i="2"/>
  <c r="BI329" i="2"/>
  <c r="BJ329" i="2"/>
  <c r="BK329" i="2"/>
  <c r="BL329" i="2"/>
  <c r="BM329" i="2"/>
  <c r="BN329" i="2"/>
  <c r="BO329" i="2"/>
  <c r="BP329" i="2"/>
  <c r="BQ329" i="2"/>
  <c r="F333" i="2"/>
  <c r="G333" i="2"/>
  <c r="M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H333" i="2"/>
  <c r="AI333" i="2"/>
  <c r="AJ333" i="2"/>
  <c r="AK333" i="2"/>
  <c r="AL333" i="2"/>
  <c r="AM333" i="2"/>
  <c r="AN333" i="2"/>
  <c r="AO333" i="2"/>
  <c r="AP333" i="2"/>
  <c r="AQ333" i="2"/>
  <c r="AR333" i="2"/>
  <c r="AS333" i="2"/>
  <c r="AT333" i="2"/>
  <c r="AU333" i="2"/>
  <c r="AV333" i="2"/>
  <c r="AW333" i="2"/>
  <c r="AX333" i="2"/>
  <c r="AY333" i="2"/>
  <c r="AZ333" i="2"/>
  <c r="BA333" i="2"/>
  <c r="BB333" i="2"/>
  <c r="BC333" i="2"/>
  <c r="BD333" i="2"/>
  <c r="BE333" i="2"/>
  <c r="BF333" i="2"/>
  <c r="BG333" i="2"/>
  <c r="BH333" i="2"/>
  <c r="BI333" i="2"/>
  <c r="BJ333" i="2"/>
  <c r="BK333" i="2"/>
  <c r="BL333" i="2"/>
  <c r="BM333" i="2"/>
  <c r="BN333" i="2"/>
  <c r="BO333" i="2"/>
  <c r="BP333" i="2"/>
  <c r="BQ333" i="2"/>
  <c r="F335" i="2"/>
  <c r="G335" i="2"/>
  <c r="M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H335" i="2"/>
  <c r="AI335" i="2"/>
  <c r="AJ335" i="2"/>
  <c r="AK335" i="2"/>
  <c r="AL335" i="2"/>
  <c r="AM335" i="2"/>
  <c r="AN335" i="2"/>
  <c r="AO335" i="2"/>
  <c r="AP335" i="2"/>
  <c r="AQ335" i="2"/>
  <c r="AR335" i="2"/>
  <c r="AS335" i="2"/>
  <c r="AT335" i="2"/>
  <c r="AU335" i="2"/>
  <c r="AV335" i="2"/>
  <c r="AW335" i="2"/>
  <c r="AX335" i="2"/>
  <c r="AY335" i="2"/>
  <c r="AZ335" i="2"/>
  <c r="BA335" i="2"/>
  <c r="BB335" i="2"/>
  <c r="BC335" i="2"/>
  <c r="BD335" i="2"/>
  <c r="BE335" i="2"/>
  <c r="BF335" i="2"/>
  <c r="BG335" i="2"/>
  <c r="BH335" i="2"/>
  <c r="BI335" i="2"/>
  <c r="BJ335" i="2"/>
  <c r="BK335" i="2"/>
  <c r="BL335" i="2"/>
  <c r="BM335" i="2"/>
  <c r="BN335" i="2"/>
  <c r="BO335" i="2"/>
  <c r="BP335" i="2"/>
  <c r="BQ335" i="2"/>
  <c r="F336" i="2"/>
  <c r="G336" i="2"/>
  <c r="M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H336" i="2"/>
  <c r="AI336" i="2"/>
  <c r="AJ336" i="2"/>
  <c r="AK336" i="2"/>
  <c r="AL336" i="2"/>
  <c r="AM336" i="2"/>
  <c r="AN336" i="2"/>
  <c r="AO336" i="2"/>
  <c r="AP336" i="2"/>
  <c r="AQ336" i="2"/>
  <c r="AR336" i="2"/>
  <c r="AS336" i="2"/>
  <c r="AT336" i="2"/>
  <c r="AU336" i="2"/>
  <c r="AV336" i="2"/>
  <c r="AW336" i="2"/>
  <c r="AX336" i="2"/>
  <c r="AY336" i="2"/>
  <c r="AZ336" i="2"/>
  <c r="BA336" i="2"/>
  <c r="BB336" i="2"/>
  <c r="BC336" i="2"/>
  <c r="BD336" i="2"/>
  <c r="BE336" i="2"/>
  <c r="BF336" i="2"/>
  <c r="BG336" i="2"/>
  <c r="BH336" i="2"/>
  <c r="BI336" i="2"/>
  <c r="BJ336" i="2"/>
  <c r="BK336" i="2"/>
  <c r="BL336" i="2"/>
  <c r="BM336" i="2"/>
  <c r="BN336" i="2"/>
  <c r="BO336" i="2"/>
  <c r="BP336" i="2"/>
  <c r="BQ336" i="2"/>
  <c r="F337" i="2"/>
  <c r="G337" i="2"/>
  <c r="M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H337" i="2"/>
  <c r="AI337" i="2"/>
  <c r="AJ337" i="2"/>
  <c r="AK337" i="2"/>
  <c r="AL337" i="2"/>
  <c r="AM337" i="2"/>
  <c r="AN337" i="2"/>
  <c r="AO337" i="2"/>
  <c r="AP337" i="2"/>
  <c r="AQ337" i="2"/>
  <c r="AR337" i="2"/>
  <c r="AS337" i="2"/>
  <c r="AT337" i="2"/>
  <c r="AU337" i="2"/>
  <c r="AV337" i="2"/>
  <c r="AW337" i="2"/>
  <c r="AX337" i="2"/>
  <c r="AY337" i="2"/>
  <c r="AZ337" i="2"/>
  <c r="BA337" i="2"/>
  <c r="BB337" i="2"/>
  <c r="BC337" i="2"/>
  <c r="BD337" i="2"/>
  <c r="BE337" i="2"/>
  <c r="BF337" i="2"/>
  <c r="BG337" i="2"/>
  <c r="BH337" i="2"/>
  <c r="BI337" i="2"/>
  <c r="BJ337" i="2"/>
  <c r="BK337" i="2"/>
  <c r="BL337" i="2"/>
  <c r="BM337" i="2"/>
  <c r="BN337" i="2"/>
  <c r="BO337" i="2"/>
  <c r="BP337" i="2"/>
  <c r="BQ337" i="2"/>
  <c r="F341" i="2"/>
  <c r="G341" i="2"/>
  <c r="M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H341" i="2"/>
  <c r="AI341" i="2"/>
  <c r="AJ341" i="2"/>
  <c r="AK341" i="2"/>
  <c r="AL341" i="2"/>
  <c r="AM341" i="2"/>
  <c r="AN341" i="2"/>
  <c r="AO341" i="2"/>
  <c r="AP341" i="2"/>
  <c r="AQ341" i="2"/>
  <c r="AR341" i="2"/>
  <c r="AS341" i="2"/>
  <c r="AT341" i="2"/>
  <c r="AU341" i="2"/>
  <c r="AV341" i="2"/>
  <c r="AW341" i="2"/>
  <c r="AX341" i="2"/>
  <c r="AY341" i="2"/>
  <c r="AZ341" i="2"/>
  <c r="BA341" i="2"/>
  <c r="BB341" i="2"/>
  <c r="BC341" i="2"/>
  <c r="BD341" i="2"/>
  <c r="BE341" i="2"/>
  <c r="BF341" i="2"/>
  <c r="BG341" i="2"/>
  <c r="BH341" i="2"/>
  <c r="BI341" i="2"/>
  <c r="BJ341" i="2"/>
  <c r="BK341" i="2"/>
  <c r="BL341" i="2"/>
  <c r="BM341" i="2"/>
  <c r="BN341" i="2"/>
  <c r="BO341" i="2"/>
  <c r="BP341" i="2"/>
  <c r="BQ341" i="2"/>
  <c r="F342" i="2"/>
  <c r="G342" i="2"/>
  <c r="M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H342" i="2"/>
  <c r="AI342" i="2"/>
  <c r="AJ342" i="2"/>
  <c r="AK342" i="2"/>
  <c r="AL342" i="2"/>
  <c r="AM342" i="2"/>
  <c r="AN342" i="2"/>
  <c r="AO342" i="2"/>
  <c r="AP342" i="2"/>
  <c r="AQ342" i="2"/>
  <c r="AR342" i="2"/>
  <c r="AS342" i="2"/>
  <c r="AT342" i="2"/>
  <c r="AU342" i="2"/>
  <c r="AV342" i="2"/>
  <c r="AW342" i="2"/>
  <c r="AX342" i="2"/>
  <c r="AY342" i="2"/>
  <c r="AZ342" i="2"/>
  <c r="BA342" i="2"/>
  <c r="BB342" i="2"/>
  <c r="BC342" i="2"/>
  <c r="BD342" i="2"/>
  <c r="BE342" i="2"/>
  <c r="BF342" i="2"/>
  <c r="BG342" i="2"/>
  <c r="BH342" i="2"/>
  <c r="BI342" i="2"/>
  <c r="BJ342" i="2"/>
  <c r="BK342" i="2"/>
  <c r="BL342" i="2"/>
  <c r="BM342" i="2"/>
  <c r="BN342" i="2"/>
  <c r="BO342" i="2"/>
  <c r="BP342" i="2"/>
  <c r="BQ342" i="2"/>
  <c r="F343" i="2"/>
  <c r="G343" i="2"/>
  <c r="M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H343" i="2"/>
  <c r="AI343" i="2"/>
  <c r="AJ343" i="2"/>
  <c r="AK343" i="2"/>
  <c r="AL343" i="2"/>
  <c r="AM343" i="2"/>
  <c r="AN343" i="2"/>
  <c r="AO343" i="2"/>
  <c r="AP343" i="2"/>
  <c r="AQ343" i="2"/>
  <c r="AR343" i="2"/>
  <c r="AS343" i="2"/>
  <c r="AT343" i="2"/>
  <c r="AU343" i="2"/>
  <c r="AV343" i="2"/>
  <c r="AW343" i="2"/>
  <c r="AX343" i="2"/>
  <c r="AY343" i="2"/>
  <c r="AZ343" i="2"/>
  <c r="BA343" i="2"/>
  <c r="BB343" i="2"/>
  <c r="BC343" i="2"/>
  <c r="BD343" i="2"/>
  <c r="BE343" i="2"/>
  <c r="BF343" i="2"/>
  <c r="BG343" i="2"/>
  <c r="BH343" i="2"/>
  <c r="BI343" i="2"/>
  <c r="BJ343" i="2"/>
  <c r="BK343" i="2"/>
  <c r="BL343" i="2"/>
  <c r="BM343" i="2"/>
  <c r="BN343" i="2"/>
  <c r="BO343" i="2"/>
  <c r="BP343" i="2"/>
  <c r="BQ343" i="2"/>
  <c r="F344" i="2"/>
  <c r="G344" i="2"/>
  <c r="M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H344" i="2"/>
  <c r="AI344" i="2"/>
  <c r="AJ344" i="2"/>
  <c r="AK344" i="2"/>
  <c r="AL344" i="2"/>
  <c r="AM344" i="2"/>
  <c r="AN344" i="2"/>
  <c r="AO344" i="2"/>
  <c r="AP344" i="2"/>
  <c r="AQ344" i="2"/>
  <c r="AR344" i="2"/>
  <c r="AS344" i="2"/>
  <c r="AT344" i="2"/>
  <c r="AU344" i="2"/>
  <c r="AV344" i="2"/>
  <c r="AW344" i="2"/>
  <c r="AX344" i="2"/>
  <c r="AY344" i="2"/>
  <c r="AZ344" i="2"/>
  <c r="BA344" i="2"/>
  <c r="BB344" i="2"/>
  <c r="BC344" i="2"/>
  <c r="BD344" i="2"/>
  <c r="BE344" i="2"/>
  <c r="BF344" i="2"/>
  <c r="BG344" i="2"/>
  <c r="BH344" i="2"/>
  <c r="BI344" i="2"/>
  <c r="BJ344" i="2"/>
  <c r="BK344" i="2"/>
  <c r="BL344" i="2"/>
  <c r="BM344" i="2"/>
  <c r="BN344" i="2"/>
  <c r="BO344" i="2"/>
  <c r="BP344" i="2"/>
  <c r="BQ344" i="2"/>
  <c r="E352" i="2"/>
  <c r="F352" i="2"/>
  <c r="G352" i="2"/>
  <c r="L352" i="2"/>
  <c r="M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H352" i="2"/>
  <c r="AI352" i="2"/>
  <c r="AJ352" i="2"/>
  <c r="AK352" i="2"/>
  <c r="AL352" i="2"/>
  <c r="AM352" i="2"/>
  <c r="AN352" i="2"/>
  <c r="AO352" i="2"/>
  <c r="AP352" i="2"/>
  <c r="AQ352" i="2"/>
  <c r="AR352" i="2"/>
  <c r="AS352" i="2"/>
  <c r="AT352" i="2"/>
  <c r="AU352" i="2"/>
  <c r="AV352" i="2"/>
  <c r="AW352" i="2"/>
  <c r="AX352" i="2"/>
  <c r="AY352" i="2"/>
  <c r="AZ352" i="2"/>
  <c r="BA352" i="2"/>
  <c r="BB352" i="2"/>
  <c r="BC352" i="2"/>
  <c r="BD352" i="2"/>
  <c r="BE352" i="2"/>
  <c r="BF352" i="2"/>
  <c r="BG352" i="2"/>
  <c r="BH352" i="2"/>
  <c r="BI352" i="2"/>
  <c r="BJ352" i="2"/>
  <c r="BK352" i="2"/>
  <c r="BL352" i="2"/>
  <c r="BM352" i="2"/>
  <c r="BN352" i="2"/>
  <c r="BO352" i="2"/>
  <c r="BP352" i="2"/>
  <c r="BQ352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H389" i="2"/>
  <c r="AI389" i="2"/>
  <c r="AJ389" i="2"/>
  <c r="AK389" i="2"/>
  <c r="AL389" i="2"/>
  <c r="AM389" i="2"/>
  <c r="AN389" i="2"/>
  <c r="AO389" i="2"/>
  <c r="AP389" i="2"/>
  <c r="AQ389" i="2"/>
  <c r="AR389" i="2"/>
  <c r="AS389" i="2"/>
  <c r="AT389" i="2"/>
  <c r="AU389" i="2"/>
  <c r="AV389" i="2"/>
  <c r="AW389" i="2"/>
  <c r="AX389" i="2"/>
  <c r="AY389" i="2"/>
  <c r="AZ389" i="2"/>
  <c r="BA389" i="2"/>
  <c r="BB389" i="2"/>
  <c r="BC389" i="2"/>
  <c r="BD389" i="2"/>
  <c r="BE389" i="2"/>
  <c r="BF389" i="2"/>
  <c r="BG389" i="2"/>
  <c r="BH389" i="2"/>
  <c r="BI389" i="2"/>
  <c r="BJ389" i="2"/>
  <c r="BK389" i="2"/>
  <c r="BL389" i="2"/>
  <c r="BM389" i="2"/>
  <c r="BN389" i="2"/>
  <c r="BO389" i="2"/>
  <c r="BP389" i="2"/>
  <c r="BQ389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H390" i="2"/>
  <c r="AI390" i="2"/>
  <c r="AJ390" i="2"/>
  <c r="AK390" i="2"/>
  <c r="AL390" i="2"/>
  <c r="AM390" i="2"/>
  <c r="AN390" i="2"/>
  <c r="AO390" i="2"/>
  <c r="AP390" i="2"/>
  <c r="AQ390" i="2"/>
  <c r="AR390" i="2"/>
  <c r="AS390" i="2"/>
  <c r="AT390" i="2"/>
  <c r="AU390" i="2"/>
  <c r="AV390" i="2"/>
  <c r="AW390" i="2"/>
  <c r="AX390" i="2"/>
  <c r="AY390" i="2"/>
  <c r="AZ390" i="2"/>
  <c r="BA390" i="2"/>
  <c r="BB390" i="2"/>
  <c r="BC390" i="2"/>
  <c r="BD390" i="2"/>
  <c r="BE390" i="2"/>
  <c r="BF390" i="2"/>
  <c r="BG390" i="2"/>
  <c r="BH390" i="2"/>
  <c r="BI390" i="2"/>
  <c r="BJ390" i="2"/>
  <c r="BK390" i="2"/>
  <c r="BL390" i="2"/>
  <c r="BM390" i="2"/>
  <c r="BN390" i="2"/>
  <c r="BO390" i="2"/>
  <c r="BP390" i="2"/>
  <c r="BQ390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H391" i="2"/>
  <c r="AI391" i="2"/>
  <c r="AJ391" i="2"/>
  <c r="AK391" i="2"/>
  <c r="AL391" i="2"/>
  <c r="AM391" i="2"/>
  <c r="AN391" i="2"/>
  <c r="AO391" i="2"/>
  <c r="AP391" i="2"/>
  <c r="AQ391" i="2"/>
  <c r="AR391" i="2"/>
  <c r="AS391" i="2"/>
  <c r="AT391" i="2"/>
  <c r="AU391" i="2"/>
  <c r="AV391" i="2"/>
  <c r="AW391" i="2"/>
  <c r="AX391" i="2"/>
  <c r="AY391" i="2"/>
  <c r="AZ391" i="2"/>
  <c r="BA391" i="2"/>
  <c r="BB391" i="2"/>
  <c r="BC391" i="2"/>
  <c r="BD391" i="2"/>
  <c r="BE391" i="2"/>
  <c r="BF391" i="2"/>
  <c r="BG391" i="2"/>
  <c r="BH391" i="2"/>
  <c r="BI391" i="2"/>
  <c r="BJ391" i="2"/>
  <c r="BK391" i="2"/>
  <c r="BL391" i="2"/>
  <c r="BM391" i="2"/>
  <c r="BN391" i="2"/>
  <c r="BO391" i="2"/>
  <c r="BP391" i="2"/>
  <c r="BQ391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H392" i="2"/>
  <c r="AI392" i="2"/>
  <c r="AJ392" i="2"/>
  <c r="AK392" i="2"/>
  <c r="AL392" i="2"/>
  <c r="AM392" i="2"/>
  <c r="AN392" i="2"/>
  <c r="AO392" i="2"/>
  <c r="AP392" i="2"/>
  <c r="AQ392" i="2"/>
  <c r="AR392" i="2"/>
  <c r="AS392" i="2"/>
  <c r="AT392" i="2"/>
  <c r="AU392" i="2"/>
  <c r="AV392" i="2"/>
  <c r="AW392" i="2"/>
  <c r="AX392" i="2"/>
  <c r="AY392" i="2"/>
  <c r="AZ392" i="2"/>
  <c r="BA392" i="2"/>
  <c r="BB392" i="2"/>
  <c r="BC392" i="2"/>
  <c r="BD392" i="2"/>
  <c r="BE392" i="2"/>
  <c r="BF392" i="2"/>
  <c r="BG392" i="2"/>
  <c r="BH392" i="2"/>
  <c r="BI392" i="2"/>
  <c r="BJ392" i="2"/>
  <c r="BK392" i="2"/>
  <c r="BL392" i="2"/>
  <c r="BM392" i="2"/>
  <c r="BN392" i="2"/>
  <c r="BO392" i="2"/>
  <c r="BP392" i="2"/>
  <c r="BQ392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H393" i="2"/>
  <c r="AI393" i="2"/>
  <c r="AJ393" i="2"/>
  <c r="AK393" i="2"/>
  <c r="AL393" i="2"/>
  <c r="AM393" i="2"/>
  <c r="AN393" i="2"/>
  <c r="AO393" i="2"/>
  <c r="AP393" i="2"/>
  <c r="AQ393" i="2"/>
  <c r="AR393" i="2"/>
  <c r="AS393" i="2"/>
  <c r="AT393" i="2"/>
  <c r="AU393" i="2"/>
  <c r="AV393" i="2"/>
  <c r="AW393" i="2"/>
  <c r="AX393" i="2"/>
  <c r="AY393" i="2"/>
  <c r="AZ393" i="2"/>
  <c r="BA393" i="2"/>
  <c r="BB393" i="2"/>
  <c r="BC393" i="2"/>
  <c r="BD393" i="2"/>
  <c r="BE393" i="2"/>
  <c r="BF393" i="2"/>
  <c r="BG393" i="2"/>
  <c r="BH393" i="2"/>
  <c r="BI393" i="2"/>
  <c r="BJ393" i="2"/>
  <c r="BK393" i="2"/>
  <c r="BL393" i="2"/>
  <c r="BM393" i="2"/>
  <c r="BN393" i="2"/>
  <c r="BO393" i="2"/>
  <c r="BP393" i="2"/>
  <c r="BQ393" i="2"/>
  <c r="M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H394" i="2"/>
  <c r="AI394" i="2"/>
  <c r="AJ394" i="2"/>
  <c r="AK394" i="2"/>
  <c r="AL394" i="2"/>
  <c r="AM394" i="2"/>
  <c r="AN394" i="2"/>
  <c r="AO394" i="2"/>
  <c r="AP394" i="2"/>
  <c r="AQ394" i="2"/>
  <c r="AR394" i="2"/>
  <c r="AS394" i="2"/>
  <c r="AT394" i="2"/>
  <c r="AU394" i="2"/>
  <c r="AV394" i="2"/>
  <c r="AW394" i="2"/>
  <c r="AX394" i="2"/>
  <c r="AY394" i="2"/>
  <c r="AZ394" i="2"/>
  <c r="BA394" i="2"/>
  <c r="BB394" i="2"/>
  <c r="BC394" i="2"/>
  <c r="BD394" i="2"/>
  <c r="BE394" i="2"/>
  <c r="BF394" i="2"/>
  <c r="BG394" i="2"/>
  <c r="BH394" i="2"/>
  <c r="BI394" i="2"/>
  <c r="BJ394" i="2"/>
  <c r="BK394" i="2"/>
  <c r="BL394" i="2"/>
  <c r="BM394" i="2"/>
  <c r="BN394" i="2"/>
  <c r="BO394" i="2"/>
  <c r="BP394" i="2"/>
  <c r="BQ394" i="2"/>
  <c r="L395" i="2"/>
  <c r="M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H395" i="2"/>
  <c r="AI395" i="2"/>
  <c r="AJ395" i="2"/>
  <c r="AK395" i="2"/>
  <c r="AL395" i="2"/>
  <c r="AM395" i="2"/>
  <c r="AN395" i="2"/>
  <c r="AO395" i="2"/>
  <c r="AP395" i="2"/>
  <c r="AQ395" i="2"/>
  <c r="AR395" i="2"/>
  <c r="AS395" i="2"/>
  <c r="AT395" i="2"/>
  <c r="AU395" i="2"/>
  <c r="AV395" i="2"/>
  <c r="AW395" i="2"/>
  <c r="AX395" i="2"/>
  <c r="AY395" i="2"/>
  <c r="AZ395" i="2"/>
  <c r="BA395" i="2"/>
  <c r="BB395" i="2"/>
  <c r="BC395" i="2"/>
  <c r="BD395" i="2"/>
  <c r="BE395" i="2"/>
  <c r="BF395" i="2"/>
  <c r="BG395" i="2"/>
  <c r="BH395" i="2"/>
  <c r="BI395" i="2"/>
  <c r="BJ395" i="2"/>
  <c r="BK395" i="2"/>
  <c r="BL395" i="2"/>
  <c r="BM395" i="2"/>
  <c r="BN395" i="2"/>
  <c r="BO395" i="2"/>
  <c r="BP395" i="2"/>
  <c r="BQ395" i="2"/>
  <c r="D399" i="2"/>
  <c r="F399" i="2"/>
  <c r="G399" i="2"/>
  <c r="J399" i="2"/>
  <c r="K399" i="2"/>
  <c r="L399" i="2"/>
  <c r="M399" i="2"/>
  <c r="F400" i="2"/>
  <c r="G20" i="5"/>
  <c r="G23" i="5"/>
  <c r="K23" i="5"/>
  <c r="L23" i="5"/>
  <c r="M23" i="5"/>
  <c r="G24" i="5"/>
  <c r="K24" i="5"/>
  <c r="L24" i="5"/>
  <c r="M24" i="5"/>
  <c r="G32" i="5"/>
  <c r="K32" i="5"/>
  <c r="L32" i="5"/>
  <c r="M32" i="5"/>
  <c r="G40" i="5"/>
  <c r="K40" i="5"/>
  <c r="L40" i="5"/>
  <c r="M40" i="5"/>
  <c r="G46" i="5"/>
  <c r="K46" i="5"/>
  <c r="L46" i="5"/>
  <c r="M46" i="5"/>
  <c r="G47" i="5"/>
  <c r="K47" i="5"/>
  <c r="L47" i="5"/>
  <c r="M47" i="5"/>
  <c r="G50" i="5"/>
  <c r="K50" i="5"/>
  <c r="L50" i="5"/>
  <c r="M50" i="5"/>
  <c r="G51" i="5"/>
  <c r="K51" i="5"/>
  <c r="L51" i="5"/>
  <c r="M51" i="5"/>
  <c r="G55" i="5"/>
  <c r="K55" i="5"/>
  <c r="L55" i="5"/>
  <c r="M55" i="5"/>
  <c r="G57" i="5"/>
  <c r="K57" i="5"/>
  <c r="L57" i="5"/>
  <c r="M57" i="5"/>
  <c r="G58" i="5"/>
  <c r="K58" i="5"/>
  <c r="L58" i="5"/>
  <c r="M58" i="5"/>
  <c r="G59" i="5"/>
  <c r="K59" i="5"/>
  <c r="L59" i="5"/>
  <c r="M59" i="5"/>
  <c r="G63" i="5"/>
  <c r="K63" i="5"/>
  <c r="L63" i="5"/>
  <c r="M63" i="5"/>
  <c r="G64" i="5"/>
  <c r="K64" i="5"/>
  <c r="L64" i="5"/>
  <c r="M64" i="5"/>
  <c r="G65" i="5"/>
  <c r="K65" i="5"/>
  <c r="L65" i="5"/>
  <c r="M65" i="5"/>
  <c r="G66" i="5"/>
  <c r="K66" i="5"/>
  <c r="L66" i="5"/>
  <c r="M66" i="5"/>
  <c r="F74" i="5"/>
  <c r="G74" i="5"/>
  <c r="K74" i="5"/>
  <c r="L74" i="5"/>
  <c r="M74" i="5"/>
  <c r="G75" i="5"/>
  <c r="G90" i="5"/>
  <c r="F91" i="5"/>
  <c r="G91" i="5"/>
  <c r="N91" i="5"/>
  <c r="O91" i="5"/>
  <c r="G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F11" i="7"/>
  <c r="G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G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G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G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G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G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G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G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G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G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G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G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F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G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G53" i="7"/>
  <c r="D56" i="7"/>
  <c r="G56" i="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<sst xmlns="http://schemas.openxmlformats.org/spreadsheetml/2006/main" count="1003" uniqueCount="519">
  <si>
    <t>변수입력</t>
    <phoneticPr fontId="2" type="noConversion"/>
  </si>
  <si>
    <t>합계1</t>
    <phoneticPr fontId="2" type="noConversion"/>
  </si>
  <si>
    <t>제목</t>
    <phoneticPr fontId="2" type="noConversion"/>
  </si>
  <si>
    <t>적정성확인</t>
    <phoneticPr fontId="2" type="noConversion"/>
  </si>
  <si>
    <t>합계2</t>
    <phoneticPr fontId="2" type="noConversion"/>
  </si>
  <si>
    <t>표제목</t>
    <phoneticPr fontId="2" type="noConversion"/>
  </si>
  <si>
    <t>오류확인</t>
    <phoneticPr fontId="2" type="noConversion"/>
  </si>
  <si>
    <t>합계3</t>
    <phoneticPr fontId="2" type="noConversion"/>
  </si>
  <si>
    <t>작성자참고</t>
    <phoneticPr fontId="2" type="noConversion"/>
  </si>
  <si>
    <t>단위: 백만원</t>
    <phoneticPr fontId="2" type="noConversion"/>
  </si>
  <si>
    <t>Assumption &amp; Result</t>
    <phoneticPr fontId="2" type="noConversion"/>
  </si>
  <si>
    <t>00공동주택 개발사업</t>
    <phoneticPr fontId="2" type="noConversion"/>
  </si>
  <si>
    <t>총투자비</t>
    <phoneticPr fontId="2" type="noConversion"/>
  </si>
  <si>
    <t>표준공정률</t>
    <phoneticPr fontId="2" type="noConversion"/>
  </si>
  <si>
    <t>보유세</t>
    <phoneticPr fontId="2" type="noConversion"/>
  </si>
  <si>
    <t>취득원가 및 VAT</t>
    <phoneticPr fontId="2" type="noConversion"/>
  </si>
  <si>
    <t>분양매출</t>
    <phoneticPr fontId="2" type="noConversion"/>
  </si>
  <si>
    <t>현금흐름</t>
    <phoneticPr fontId="2" type="noConversion"/>
  </si>
  <si>
    <t>재원조달</t>
    <phoneticPr fontId="2" type="noConversion"/>
  </si>
  <si>
    <t>배당</t>
    <phoneticPr fontId="2" type="noConversion"/>
  </si>
  <si>
    <t>민감도분석</t>
    <phoneticPr fontId="2" type="noConversion"/>
  </si>
  <si>
    <t>기본 가정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</si>
  <si>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투자 Vehicle:</t>
    </r>
    <phoneticPr fontId="2" type="noConversion"/>
  </si>
  <si>
    <t>프로젝트금융투자회사(PFV)</t>
    <phoneticPr fontId="2" type="noConversion"/>
  </si>
  <si>
    <t>원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</si>
  <si>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1㎡ =</t>
    </r>
    <phoneticPr fontId="2" type="noConversion"/>
  </si>
  <si>
    <t>평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</si>
  <si>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날짜 입력:</t>
    </r>
    <phoneticPr fontId="2" type="noConversion"/>
  </si>
  <si>
    <t>월말 기준</t>
    <phoneticPr fontId="2" type="noConversion"/>
  </si>
  <si>
    <r>
      <rPr>
        <sz val="9"/>
        <color theme="1"/>
        <rFont val="Segoe UI Symbol"/>
        <family val="3"/>
      </rPr>
      <t xml:space="preserve">▍ </t>
    </r>
    <r>
      <rPr>
        <sz val="9"/>
        <color theme="1"/>
        <rFont val="맑은 고딕"/>
        <family val="3"/>
        <charset val="129"/>
      </rPr>
      <t>화폐단위:</t>
    </r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</si>
  <si>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PFV설립일:</t>
    </r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</si>
  <si>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토지취득일:</t>
    </r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</si>
  <si>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인허가 신청일:</t>
    </r>
    <phoneticPr fontId="2" type="noConversion"/>
  </si>
  <si>
    <r>
      <rPr>
        <sz val="9"/>
        <color theme="1"/>
        <rFont val="Segoe UI Symbol"/>
        <family val="3"/>
      </rPr>
      <t xml:space="preserve">▍ </t>
    </r>
    <r>
      <rPr>
        <sz val="9"/>
        <color theme="1"/>
        <rFont val="맑은 고딕"/>
        <family val="3"/>
        <charset val="129"/>
      </rPr>
      <t>인허가 완료일:</t>
    </r>
    <phoneticPr fontId="2" type="noConversion"/>
  </si>
  <si>
    <r>
      <rPr>
        <sz val="9"/>
        <color theme="1"/>
        <rFont val="Segoe UI Symbol"/>
        <family val="3"/>
      </rPr>
      <t xml:space="preserve">▍ </t>
    </r>
    <r>
      <rPr>
        <sz val="9"/>
        <color theme="1"/>
        <rFont val="맑은 고딕"/>
        <family val="3"/>
        <charset val="129"/>
      </rPr>
      <t>준공일:</t>
    </r>
    <phoneticPr fontId="2" type="noConversion"/>
  </si>
  <si>
    <r>
      <rPr>
        <sz val="9"/>
        <color theme="1"/>
        <rFont val="Segoe UI Symbol"/>
        <family val="3"/>
      </rPr>
      <t xml:space="preserve">▍ </t>
    </r>
    <r>
      <rPr>
        <sz val="9"/>
        <color theme="1"/>
        <rFont val="맑은 고딕"/>
        <family val="3"/>
        <charset val="129"/>
      </rPr>
      <t>착공일:</t>
    </r>
    <phoneticPr fontId="2" type="noConversion"/>
  </si>
  <si>
    <t>건설기간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</si>
  <si>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PFV청산일:</t>
    </r>
    <phoneticPr fontId="2" type="noConversion"/>
  </si>
  <si>
    <t>준공 후</t>
    <phoneticPr fontId="2" type="noConversion"/>
  </si>
  <si>
    <t>사업 개요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</si>
  <si>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사업명:</t>
    </r>
    <phoneticPr fontId="2" type="noConversion"/>
  </si>
  <si>
    <t>00지구 공동주택 개발사업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</si>
  <si>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위치:</t>
    </r>
    <phoneticPr fontId="2" type="noConversion"/>
  </si>
  <si>
    <t>경기도 00시 00동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</si>
  <si>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용도지역:</t>
    </r>
    <phoneticPr fontId="2" type="noConversion"/>
  </si>
  <si>
    <t>3종일반주거지역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</si>
  <si>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대지면적:</t>
    </r>
    <phoneticPr fontId="2" type="noConversion"/>
  </si>
  <si>
    <t>㎡</t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</si>
  <si>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공시지가:</t>
    </r>
    <phoneticPr fontId="2" type="noConversion"/>
  </si>
  <si>
    <r>
      <t>원/</t>
    </r>
    <r>
      <rPr>
        <sz val="9"/>
        <color theme="1"/>
        <rFont val="맑은 고딕"/>
        <family val="3"/>
        <charset val="129"/>
      </rPr>
      <t>㎡</t>
    </r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</si>
  <si>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용적률:</t>
    </r>
    <phoneticPr fontId="2" type="noConversion"/>
  </si>
  <si>
    <r>
      <rPr>
        <sz val="9"/>
        <color theme="1"/>
        <rFont val="SpoqaHanSans-Bold"/>
        <family val="3"/>
        <charset val="129"/>
      </rPr>
      <t>▍</t>
    </r>
    <r>
      <rPr>
        <sz val="9"/>
        <color theme="1"/>
        <rFont val="맑은 고딕"/>
        <family val="3"/>
        <charset val="129"/>
      </rPr>
      <t>연면적:</t>
    </r>
    <phoneticPr fontId="2" type="noConversion"/>
  </si>
  <si>
    <r>
      <rPr>
        <sz val="9"/>
        <color theme="1"/>
        <rFont val="Segoe UI Symbol"/>
        <family val="3"/>
      </rPr>
      <t xml:space="preserve">▍ </t>
    </r>
    <r>
      <rPr>
        <sz val="9"/>
        <color theme="1"/>
        <rFont val="맑은 고딕"/>
        <family val="3"/>
        <charset val="129"/>
      </rPr>
      <t>개발규모:</t>
    </r>
    <phoneticPr fontId="2" type="noConversion"/>
  </si>
  <si>
    <t>공동주택</t>
    <phoneticPr fontId="2" type="noConversion"/>
  </si>
  <si>
    <t>근린생활시설</t>
    <phoneticPr fontId="2" type="noConversion"/>
  </si>
  <si>
    <t>구분</t>
    <phoneticPr fontId="2" type="noConversion"/>
  </si>
  <si>
    <r>
      <t>85</t>
    </r>
    <r>
      <rPr>
        <sz val="9"/>
        <color theme="1"/>
        <rFont val="맑은 고딕"/>
        <family val="3"/>
        <charset val="129"/>
      </rPr>
      <t>㎡이하</t>
    </r>
    <phoneticPr fontId="2" type="noConversion"/>
  </si>
  <si>
    <r>
      <t>85</t>
    </r>
    <r>
      <rPr>
        <sz val="9"/>
        <color theme="1"/>
        <rFont val="맑은 고딕"/>
        <family val="3"/>
        <charset val="129"/>
      </rPr>
      <t>㎡초과</t>
    </r>
    <phoneticPr fontId="2" type="noConversion"/>
  </si>
  <si>
    <t>전용면적</t>
    <phoneticPr fontId="2" type="noConversion"/>
  </si>
  <si>
    <t>공급면적</t>
    <phoneticPr fontId="2" type="noConversion"/>
  </si>
  <si>
    <t>계약면적</t>
    <phoneticPr fontId="2" type="noConversion"/>
  </si>
  <si>
    <t>세대수</t>
    <phoneticPr fontId="2" type="noConversion"/>
  </si>
  <si>
    <t>합계</t>
    <phoneticPr fontId="2" type="noConversion"/>
  </si>
  <si>
    <t>지상1층</t>
    <phoneticPr fontId="2" type="noConversion"/>
  </si>
  <si>
    <t>토지비 등</t>
    <phoneticPr fontId="2" type="noConversion"/>
  </si>
  <si>
    <t>토지비</t>
    <phoneticPr fontId="2" type="noConversion"/>
  </si>
  <si>
    <t>계약금</t>
    <phoneticPr fontId="2" type="noConversion"/>
  </si>
  <si>
    <t>중도금</t>
    <phoneticPr fontId="2" type="noConversion"/>
  </si>
  <si>
    <t>잔금</t>
    <phoneticPr fontId="2" type="noConversion"/>
  </si>
  <si>
    <t>토지취득관련 부대비용</t>
    <phoneticPr fontId="2" type="noConversion"/>
  </si>
  <si>
    <t>금액</t>
    <phoneticPr fontId="2" type="noConversion"/>
  </si>
  <si>
    <t>산정기준</t>
    <phoneticPr fontId="2" type="noConversion"/>
  </si>
  <si>
    <t>각종 조사비, 측량비, 기타용역비 등</t>
    <phoneticPr fontId="2" type="noConversion"/>
  </si>
  <si>
    <t>부지면적 평당</t>
    <phoneticPr fontId="2" type="noConversion"/>
  </si>
  <si>
    <t>백만원/평</t>
    <phoneticPr fontId="2" type="noConversion"/>
  </si>
  <si>
    <t>취득세</t>
    <phoneticPr fontId="2" type="noConversion"/>
  </si>
  <si>
    <t>토지비+취득관련 부대비용의</t>
    <phoneticPr fontId="2" type="noConversion"/>
  </si>
  <si>
    <t>등기비용</t>
    <phoneticPr fontId="2" type="noConversion"/>
  </si>
  <si>
    <r>
      <t>등기비용 산정기준</t>
    </r>
    <r>
      <rPr>
        <vertAlign val="superscript"/>
        <sz val="9"/>
        <color theme="1"/>
        <rFont val="맑은 고딕"/>
        <family val="3"/>
        <charset val="129"/>
        <scheme val="minor"/>
      </rPr>
      <t>1)</t>
    </r>
    <phoneticPr fontId="2" type="noConversion"/>
  </si>
  <si>
    <t>1) 대한법무사협회 법무사보수표 (2021년 기준)</t>
    <phoneticPr fontId="2" type="noConversion"/>
  </si>
  <si>
    <t>*부동산등기 (단위: 백만원)</t>
    <phoneticPr fontId="2" type="noConversion"/>
  </si>
  <si>
    <t>과세표준액</t>
    <phoneticPr fontId="2" type="noConversion"/>
  </si>
  <si>
    <t>초과</t>
    <phoneticPr fontId="2" type="noConversion"/>
  </si>
  <si>
    <t>이하</t>
    <phoneticPr fontId="2" type="noConversion"/>
  </si>
  <si>
    <t>기본보수</t>
    <phoneticPr fontId="2" type="noConversion"/>
  </si>
  <si>
    <t>00백만원 초과액의</t>
    <phoneticPr fontId="2" type="noConversion"/>
  </si>
  <si>
    <t>+</t>
    <phoneticPr fontId="2" type="noConversion"/>
  </si>
  <si>
    <t>*법인설립등기 (단위: 백만원)</t>
    <phoneticPr fontId="2" type="noConversion"/>
  </si>
  <si>
    <r>
      <t>등기비용 산정기준</t>
    </r>
    <r>
      <rPr>
        <b/>
        <vertAlign val="superscript"/>
        <sz val="9"/>
        <color theme="1"/>
        <rFont val="맑은 고딕"/>
        <family val="3"/>
        <charset val="129"/>
        <scheme val="minor"/>
      </rPr>
      <t>1)</t>
    </r>
    <phoneticPr fontId="2" type="noConversion"/>
  </si>
  <si>
    <t>PFV설립관련</t>
    <phoneticPr fontId="2" type="noConversion"/>
  </si>
  <si>
    <t>등록면허세</t>
    <phoneticPr fontId="2" type="noConversion"/>
  </si>
  <si>
    <t>지방교육세</t>
    <phoneticPr fontId="2" type="noConversion"/>
  </si>
  <si>
    <t>법무사 비용</t>
    <phoneticPr fontId="2" type="noConversion"/>
  </si>
  <si>
    <t>자본금</t>
    <phoneticPr fontId="2" type="noConversion"/>
  </si>
  <si>
    <t>백만원의</t>
    <phoneticPr fontId="2" type="noConversion"/>
  </si>
  <si>
    <t>공사비</t>
    <phoneticPr fontId="2" type="noConversion"/>
  </si>
  <si>
    <t>연면적</t>
    <phoneticPr fontId="2" type="noConversion"/>
  </si>
  <si>
    <t>x</t>
    <phoneticPr fontId="2" type="noConversion"/>
  </si>
  <si>
    <t>개월수</t>
    <phoneticPr fontId="2" type="noConversion"/>
  </si>
  <si>
    <t>적용 공정률</t>
    <phoneticPr fontId="2" type="noConversion"/>
  </si>
  <si>
    <t>공사기간Index</t>
    <phoneticPr fontId="2" type="noConversion"/>
  </si>
  <si>
    <t>공사기간 누적Index</t>
    <phoneticPr fontId="2" type="noConversion"/>
  </si>
  <si>
    <t>공정률</t>
    <phoneticPr fontId="2" type="noConversion"/>
  </si>
  <si>
    <t>용역비 및 부대비용</t>
    <phoneticPr fontId="2" type="noConversion"/>
  </si>
  <si>
    <t>건축 설계비</t>
    <phoneticPr fontId="2" type="noConversion"/>
  </si>
  <si>
    <t>각종 인허가 관련비용</t>
    <phoneticPr fontId="2" type="noConversion"/>
  </si>
  <si>
    <t>환경영향평가</t>
    <phoneticPr fontId="2" type="noConversion"/>
  </si>
  <si>
    <t>교육환경영향평가</t>
    <phoneticPr fontId="2" type="noConversion"/>
  </si>
  <si>
    <r>
      <t>환경영향평가</t>
    </r>
    <r>
      <rPr>
        <vertAlign val="superscript"/>
        <sz val="9"/>
        <color theme="1"/>
        <rFont val="맑은 고딕"/>
        <family val="3"/>
        <charset val="129"/>
        <scheme val="minor"/>
      </rPr>
      <t>2)</t>
    </r>
    <phoneticPr fontId="2" type="noConversion"/>
  </si>
  <si>
    <t>2) 환경영향평가 (환경영향평가등의 대행비용 산정기준, 환경부고시 제2020-223호)</t>
    <phoneticPr fontId="2" type="noConversion"/>
  </si>
  <si>
    <t>1.1) 직접인건비</t>
    <phoneticPr fontId="2" type="noConversion"/>
  </si>
  <si>
    <t>1.1.1) 소요인력 산정,_면사업(단위:인)</t>
    <phoneticPr fontId="2" type="noConversion"/>
  </si>
  <si>
    <t>특급기술자</t>
    <phoneticPr fontId="2" type="noConversion"/>
  </si>
  <si>
    <t>고급기술자</t>
    <phoneticPr fontId="2" type="noConversion"/>
  </si>
  <si>
    <t>중급기술자</t>
    <phoneticPr fontId="2" type="noConversion"/>
  </si>
  <si>
    <t>초급기술자</t>
    <phoneticPr fontId="2" type="noConversion"/>
  </si>
  <si>
    <t>1.1.2) 환경부문 임금현황 (한국엔지니어링협회 2020년도 엔지니어링 임금실태조사 보고서)</t>
    <phoneticPr fontId="2" type="noConversion"/>
  </si>
  <si>
    <t>기술등급</t>
    <phoneticPr fontId="2" type="noConversion"/>
  </si>
  <si>
    <t>기술사</t>
    <phoneticPr fontId="2" type="noConversion"/>
  </si>
  <si>
    <t>고급숙련기술자</t>
    <phoneticPr fontId="2" type="noConversion"/>
  </si>
  <si>
    <t>중급숙련기술자</t>
    <phoneticPr fontId="2" type="noConversion"/>
  </si>
  <si>
    <t>초급숙련기술자</t>
    <phoneticPr fontId="2" type="noConversion"/>
  </si>
  <si>
    <t>임금(원/일, 2020년)</t>
    <phoneticPr fontId="2" type="noConversion"/>
  </si>
  <si>
    <t>적용인원(인)</t>
    <phoneticPr fontId="2" type="noConversion"/>
  </si>
  <si>
    <t>직접인건비(백만원)</t>
    <phoneticPr fontId="2" type="noConversion"/>
  </si>
  <si>
    <t>1.2) 직접경비</t>
    <phoneticPr fontId="2" type="noConversion"/>
  </si>
  <si>
    <t>1.3) 제경비 (직접인건비의 110%~120%)</t>
    <phoneticPr fontId="2" type="noConversion"/>
  </si>
  <si>
    <r>
      <t>교통영향평가</t>
    </r>
    <r>
      <rPr>
        <vertAlign val="superscript"/>
        <sz val="9"/>
        <color theme="1"/>
        <rFont val="맑은 고딕"/>
        <family val="3"/>
        <charset val="129"/>
        <scheme val="minor"/>
      </rPr>
      <t>3)</t>
    </r>
    <phoneticPr fontId="2" type="noConversion"/>
  </si>
  <si>
    <t>3) 교통영향평가 (교통영향평가 대행비용 산정기준, 국토부고시 제2021-186호)</t>
    <phoneticPr fontId="2" type="noConversion"/>
  </si>
  <si>
    <t>1.1.1) 소요인력 산정 (단위: 인원)</t>
    <phoneticPr fontId="2" type="noConversion"/>
  </si>
  <si>
    <t>1.1.2) 건설부문 임금현황 (한국엔지니어링협회 2020년도 엔지니어링 임금실태조사 보고서)</t>
    <phoneticPr fontId="2" type="noConversion"/>
  </si>
  <si>
    <t>1.4) 기술료 (직접인건비+제경비의) 20~40%</t>
    <phoneticPr fontId="2" type="noConversion"/>
  </si>
  <si>
    <r>
      <t>재해영향평가</t>
    </r>
    <r>
      <rPr>
        <vertAlign val="superscript"/>
        <sz val="9"/>
        <color theme="1"/>
        <rFont val="맑은 고딕"/>
        <family val="3"/>
        <charset val="129"/>
        <scheme val="minor"/>
      </rPr>
      <t>4)</t>
    </r>
    <phoneticPr fontId="2" type="noConversion"/>
  </si>
  <si>
    <t>4) 재해영향평가 (방재분야 표준품샘, 재해영향평가 등의 협의 실무지침, 행안부 고시)</t>
    <phoneticPr fontId="2" type="noConversion"/>
  </si>
  <si>
    <r>
      <t>1.1.1) 소요인력 산정 (단위: 인), "재해영향평가 대상인 개발사업", 50,000</t>
    </r>
    <r>
      <rPr>
        <sz val="9"/>
        <color theme="1"/>
        <rFont val="맑은 고딕"/>
        <family val="3"/>
        <charset val="129"/>
      </rPr>
      <t>㎡기준</t>
    </r>
    <phoneticPr fontId="2" type="noConversion"/>
  </si>
  <si>
    <t>1.1.2) 전체 엔지니어링 부문 임금현황</t>
    <phoneticPr fontId="2" type="noConversion"/>
  </si>
  <si>
    <t>1.3) 제경비 (직접인건비의 115%)</t>
    <phoneticPr fontId="2" type="noConversion"/>
  </si>
  <si>
    <t>1.4) 기술료 (직접인건비+제경비)의 30%</t>
    <phoneticPr fontId="2" type="noConversion"/>
  </si>
  <si>
    <t>도시교통정비촉진법</t>
    <phoneticPr fontId="2" type="noConversion"/>
  </si>
  <si>
    <t>자연재해대책법</t>
    <phoneticPr fontId="2" type="noConversion"/>
  </si>
  <si>
    <t>지하안전관리에 관한 특별법</t>
    <phoneticPr fontId="2" type="noConversion"/>
  </si>
  <si>
    <r>
      <t>지하안전영향평가</t>
    </r>
    <r>
      <rPr>
        <vertAlign val="superscript"/>
        <sz val="9"/>
        <color theme="1"/>
        <rFont val="맑은 고딕"/>
        <family val="3"/>
        <charset val="129"/>
        <scheme val="minor"/>
      </rPr>
      <t>5)</t>
    </r>
    <phoneticPr fontId="2" type="noConversion"/>
  </si>
  <si>
    <t>5) 지하안전영향평가 (지하안전관리 업무지침, 국토교통부고시 제2018-342호)</t>
    <phoneticPr fontId="2" type="noConversion"/>
  </si>
  <si>
    <t>1.1.1) 소요인력 산정 (단위: 인, 지하굴착공사 기준)</t>
    <phoneticPr fontId="2" type="noConversion"/>
  </si>
  <si>
    <t>교육환경 보호에 관한 법률</t>
    <phoneticPr fontId="2" type="noConversion"/>
  </si>
  <si>
    <t>AMC매입보수</t>
    <phoneticPr fontId="2" type="noConversion"/>
  </si>
  <si>
    <t>총사업비의</t>
    <phoneticPr fontId="2" type="noConversion"/>
  </si>
  <si>
    <t>사업타당성 용역비</t>
    <phoneticPr fontId="2" type="noConversion"/>
  </si>
  <si>
    <t>법률자문</t>
    <phoneticPr fontId="2" type="noConversion"/>
  </si>
  <si>
    <t>감정평가업자의 보수에 관한 기준</t>
    <phoneticPr fontId="2" type="noConversion"/>
  </si>
  <si>
    <t>6) 감정평가수수료 (감정평가업자의 보수에 관한 기준, 국토교통부공고 제2016-1220호)</t>
    <phoneticPr fontId="2" type="noConversion"/>
  </si>
  <si>
    <t>평가액</t>
    <phoneticPr fontId="2" type="noConversion"/>
  </si>
  <si>
    <t>미술장식품 설치비</t>
    <phoneticPr fontId="2" type="noConversion"/>
  </si>
  <si>
    <t>문화예술진흥법 시행령 제12조</t>
    <phoneticPr fontId="2" type="noConversion"/>
  </si>
  <si>
    <t>단위면적당 표준건축비x주차장 등 제외한 면적 x 시도조례에서 정하는 요율</t>
    <phoneticPr fontId="2" type="noConversion"/>
  </si>
  <si>
    <t xml:space="preserve">  - 단위면적당 표준건축비</t>
    <phoneticPr fontId="2" type="noConversion"/>
  </si>
  <si>
    <r>
      <t>백만원/</t>
    </r>
    <r>
      <rPr>
        <sz val="9"/>
        <color theme="1"/>
        <rFont val="맑은 고딕"/>
        <family val="3"/>
        <charset val="129"/>
      </rPr>
      <t>㎡</t>
    </r>
    <phoneticPr fontId="2" type="noConversion"/>
  </si>
  <si>
    <t xml:space="preserve">  - 주차장 등 제외면적</t>
    <phoneticPr fontId="2" type="noConversion"/>
  </si>
  <si>
    <t xml:space="preserve">  - 시도조례에서 정하는 요율</t>
    <phoneticPr fontId="2" type="noConversion"/>
  </si>
  <si>
    <t xml:space="preserve">  - 발생시점</t>
    <phoneticPr fontId="2" type="noConversion"/>
  </si>
  <si>
    <t>준공</t>
    <phoneticPr fontId="2" type="noConversion"/>
  </si>
  <si>
    <t>용역 예비비</t>
    <phoneticPr fontId="2" type="noConversion"/>
  </si>
  <si>
    <t>인허가기간 균등하게 발생함을 가정</t>
    <phoneticPr fontId="2" type="noConversion"/>
  </si>
  <si>
    <t xml:space="preserve">  - 인허가 신청</t>
    <phoneticPr fontId="2" type="noConversion"/>
  </si>
  <si>
    <t xml:space="preserve">  - 인허가 완료</t>
    <phoneticPr fontId="2" type="noConversion"/>
  </si>
  <si>
    <r>
      <t>감정평가</t>
    </r>
    <r>
      <rPr>
        <b/>
        <vertAlign val="superscript"/>
        <sz val="9"/>
        <color theme="1"/>
        <rFont val="맑은 고딕"/>
        <family val="3"/>
        <charset val="129"/>
        <scheme val="minor"/>
      </rPr>
      <t>6)</t>
    </r>
    <phoneticPr fontId="2" type="noConversion"/>
  </si>
  <si>
    <t>제세공과금</t>
    <phoneticPr fontId="2" type="noConversion"/>
  </si>
  <si>
    <t>각종 부담금</t>
    <phoneticPr fontId="2" type="noConversion"/>
  </si>
  <si>
    <t>인입공사분담금</t>
    <phoneticPr fontId="2" type="noConversion"/>
  </si>
  <si>
    <t>광역교통시설부담금</t>
    <phoneticPr fontId="2" type="noConversion"/>
  </si>
  <si>
    <t>학교용지부담금</t>
    <phoneticPr fontId="2" type="noConversion"/>
  </si>
  <si>
    <t>토지보유세</t>
    <phoneticPr fontId="2" type="noConversion"/>
  </si>
  <si>
    <t>재산세</t>
    <phoneticPr fontId="2" type="noConversion"/>
  </si>
  <si>
    <t>종합부동산세</t>
    <phoneticPr fontId="2" type="noConversion"/>
  </si>
  <si>
    <t xml:space="preserve"> - 발생시점</t>
    <phoneticPr fontId="2" type="noConversion"/>
  </si>
  <si>
    <t>대도시권 광역교통관리에 관한 특별법</t>
    <phoneticPr fontId="2" type="noConversion"/>
  </si>
  <si>
    <t>(단위면적당 표준건축비x주택공급면적x부과율)-공제액</t>
    <phoneticPr fontId="2" type="noConversion"/>
  </si>
  <si>
    <t xml:space="preserve">  - 주택공급면적</t>
    <phoneticPr fontId="2" type="noConversion"/>
  </si>
  <si>
    <t xml:space="preserve">  - 부과율</t>
    <phoneticPr fontId="2" type="noConversion"/>
  </si>
  <si>
    <t xml:space="preserve">  - 공제액</t>
    <phoneticPr fontId="2" type="noConversion"/>
  </si>
  <si>
    <t xml:space="preserve">  - 부과세점 (착공시)</t>
    <phoneticPr fontId="2" type="noConversion"/>
  </si>
  <si>
    <t>학교용지특례법</t>
    <phoneticPr fontId="2" type="noConversion"/>
  </si>
  <si>
    <t xml:space="preserve">  - 공동주택 분양가격의 8/1000</t>
    <phoneticPr fontId="2" type="noConversion"/>
  </si>
  <si>
    <t xml:space="preserve">  - 부과시점 (공동주택 계약시점)</t>
    <phoneticPr fontId="2" type="noConversion"/>
  </si>
  <si>
    <t>1. 재산세 등</t>
    <phoneticPr fontId="2" type="noConversion"/>
  </si>
  <si>
    <t>1) 토지분</t>
    <phoneticPr fontId="2" type="noConversion"/>
  </si>
  <si>
    <t>과세 기준월</t>
    <phoneticPr fontId="2" type="noConversion"/>
  </si>
  <si>
    <t>월</t>
    <phoneticPr fontId="2" type="noConversion"/>
  </si>
  <si>
    <t>납부월</t>
    <phoneticPr fontId="2" type="noConversion"/>
  </si>
  <si>
    <t>대지면적</t>
    <phoneticPr fontId="2" type="noConversion"/>
  </si>
  <si>
    <t>m2</t>
    <phoneticPr fontId="2" type="noConversion"/>
  </si>
  <si>
    <t>공시지가(원/m2)</t>
    <phoneticPr fontId="2" type="noConversion"/>
  </si>
  <si>
    <t>원/m2 (2021.01 기준)</t>
    <phoneticPr fontId="2" type="noConversion"/>
  </si>
  <si>
    <t>공시지가 상승률</t>
    <phoneticPr fontId="2" type="noConversion"/>
  </si>
  <si>
    <t>추정 공시지가(백만원) [A]</t>
    <phoneticPr fontId="2" type="noConversion"/>
  </si>
  <si>
    <t>가) 토지분 재산세</t>
    <phoneticPr fontId="2" type="noConversion"/>
  </si>
  <si>
    <t>공정시장 가액비율 [B]</t>
    <phoneticPr fontId="2" type="noConversion"/>
  </si>
  <si>
    <t>과세표준 [C=A*B]</t>
    <phoneticPr fontId="2" type="noConversion"/>
  </si>
  <si>
    <t>적용세율 [D]</t>
    <phoneticPr fontId="2" type="noConversion"/>
  </si>
  <si>
    <t>산출세액 [E=C*D]</t>
    <phoneticPr fontId="2" type="noConversion"/>
  </si>
  <si>
    <t>부담상한액 [F]</t>
    <phoneticPr fontId="2" type="noConversion"/>
  </si>
  <si>
    <t>토지분 재산세 적용세액 [G=Min(E,F)]</t>
    <phoneticPr fontId="2" type="noConversion"/>
  </si>
  <si>
    <t>나) 토지분 재산세 도시지역분</t>
    <phoneticPr fontId="2" type="noConversion"/>
  </si>
  <si>
    <t>적용세율 [H]</t>
    <phoneticPr fontId="2" type="noConversion"/>
  </si>
  <si>
    <t>산출세액 [I=C*H]</t>
    <phoneticPr fontId="2" type="noConversion"/>
  </si>
  <si>
    <t>부담상한액 [J]</t>
    <phoneticPr fontId="2" type="noConversion"/>
  </si>
  <si>
    <t>토지분 재산세 도시지역분 적용세액 [K=Min(I,J)]</t>
    <phoneticPr fontId="2" type="noConversion"/>
  </si>
  <si>
    <t>다) 토지분 재산세 지방교육세</t>
    <phoneticPr fontId="2" type="noConversion"/>
  </si>
  <si>
    <t>적용세율 [L]</t>
    <phoneticPr fontId="2" type="noConversion"/>
  </si>
  <si>
    <t>토지분 재산세 지방교육세 적용세액 [M=G*L]</t>
    <phoneticPr fontId="2" type="noConversion"/>
  </si>
  <si>
    <t>분리과세 기준 토지분 재산세 등 합계</t>
    <phoneticPr fontId="2" type="noConversion"/>
  </si>
  <si>
    <t>Case2. 별도합산과세 기준</t>
    <phoneticPr fontId="2" type="noConversion"/>
  </si>
  <si>
    <t>(+)합산 [D]</t>
    <phoneticPr fontId="2" type="noConversion"/>
  </si>
  <si>
    <t>(-)과표공제 [E]</t>
    <phoneticPr fontId="2" type="noConversion"/>
  </si>
  <si>
    <t>(x)적용세율 [F]</t>
    <phoneticPr fontId="2" type="noConversion"/>
  </si>
  <si>
    <r>
      <rPr>
        <sz val="9"/>
        <color theme="1"/>
        <rFont val="Spoqa Han Sans Neo"/>
        <family val="3"/>
        <charset val="129"/>
      </rPr>
      <t>▪</t>
    </r>
    <r>
      <rPr>
        <sz val="9"/>
        <color theme="1"/>
        <rFont val="맑은 고딕"/>
        <family val="3"/>
        <charset val="129"/>
      </rPr>
      <t>별도합산과세 재산세 세율 (백만원)</t>
    </r>
    <phoneticPr fontId="2" type="noConversion"/>
  </si>
  <si>
    <t>과세표준</t>
    <phoneticPr fontId="2" type="noConversion"/>
  </si>
  <si>
    <t>세율</t>
    <phoneticPr fontId="2" type="noConversion"/>
  </si>
  <si>
    <t>합산</t>
    <phoneticPr fontId="2" type="noConversion"/>
  </si>
  <si>
    <t>과표공제</t>
    <phoneticPr fontId="2" type="noConversion"/>
  </si>
  <si>
    <t>적용세율</t>
    <phoneticPr fontId="2" type="noConversion"/>
  </si>
  <si>
    <t>산출세액 [G=D+(C-E)*F]</t>
    <phoneticPr fontId="2" type="noConversion"/>
  </si>
  <si>
    <t>부담상한액 [H]</t>
    <phoneticPr fontId="2" type="noConversion"/>
  </si>
  <si>
    <t>토지분 재산세 적용세액 [I=Min(G,H)]</t>
    <phoneticPr fontId="2" type="noConversion"/>
  </si>
  <si>
    <t>적용세율 [J]</t>
    <phoneticPr fontId="2" type="noConversion"/>
  </si>
  <si>
    <t>산출세액 [K=C*J]</t>
    <phoneticPr fontId="2" type="noConversion"/>
  </si>
  <si>
    <t>부담상한액 [L]</t>
    <phoneticPr fontId="2" type="noConversion"/>
  </si>
  <si>
    <t>토지분 재산세 적용세액 [M=Min(K,L)]</t>
    <phoneticPr fontId="2" type="noConversion"/>
  </si>
  <si>
    <t>적용세율 [N]</t>
    <phoneticPr fontId="2" type="noConversion"/>
  </si>
  <si>
    <t>별도합산 기준 토지분 재산세 등 합계</t>
    <phoneticPr fontId="2" type="noConversion"/>
  </si>
  <si>
    <t>발생월</t>
    <phoneticPr fontId="2" type="noConversion"/>
  </si>
  <si>
    <t>적용 토지분 재산세</t>
    <phoneticPr fontId="2" type="noConversion"/>
  </si>
  <si>
    <t>2. 종합부동산세 등</t>
    <phoneticPr fontId="2" type="noConversion"/>
  </si>
  <si>
    <t>1) 종합부동산세 (별도합산 기준)</t>
    <phoneticPr fontId="2" type="noConversion"/>
  </si>
  <si>
    <t>공시지가 [A]</t>
    <phoneticPr fontId="2" type="noConversion"/>
  </si>
  <si>
    <t>(-)공제금액 [B]</t>
    <phoneticPr fontId="2" type="noConversion"/>
  </si>
  <si>
    <t>(x)공정시장 가액비율 [C]</t>
    <phoneticPr fontId="2" type="noConversion"/>
  </si>
  <si>
    <t>과세표준 [D=(A-B)*C]</t>
    <phoneticPr fontId="2" type="noConversion"/>
  </si>
  <si>
    <t>(+)합산 [E]</t>
    <phoneticPr fontId="2" type="noConversion"/>
  </si>
  <si>
    <t>(-)과표공제 [F]</t>
    <phoneticPr fontId="2" type="noConversion"/>
  </si>
  <si>
    <t>(x)적용세율 [G]</t>
    <phoneticPr fontId="2" type="noConversion"/>
  </si>
  <si>
    <t>산출세액 [H=E+(D-F)*G]</t>
    <phoneticPr fontId="2" type="noConversion"/>
  </si>
  <si>
    <r>
      <rPr>
        <sz val="9"/>
        <color theme="1"/>
        <rFont val="Segoe UI Symbol"/>
        <family val="3"/>
      </rPr>
      <t>▪</t>
    </r>
    <r>
      <rPr>
        <sz val="9"/>
        <color theme="1"/>
        <rFont val="맑은 고딕"/>
        <family val="3"/>
        <charset val="129"/>
      </rPr>
      <t>종합부동산세 세율 (백만원)</t>
    </r>
    <phoneticPr fontId="2" type="noConversion"/>
  </si>
  <si>
    <t>(-)종부세 재산세분 공제 [I]</t>
    <phoneticPr fontId="2" type="noConversion"/>
  </si>
  <si>
    <t>재산세 과세표준</t>
    <phoneticPr fontId="2" type="noConversion"/>
  </si>
  <si>
    <t>재산세액 공제후 산출세액 [J=H-I]</t>
    <phoneticPr fontId="2" type="noConversion"/>
  </si>
  <si>
    <t>부담 상한액 [K]</t>
    <phoneticPr fontId="2" type="noConversion"/>
  </si>
  <si>
    <t>종합부동산세 적용세액 [L=Min(J,K)]</t>
    <phoneticPr fontId="2" type="noConversion"/>
  </si>
  <si>
    <t>2) 농어촌특별세</t>
    <phoneticPr fontId="2" type="noConversion"/>
  </si>
  <si>
    <t>적용세율 [M]</t>
    <phoneticPr fontId="2" type="noConversion"/>
  </si>
  <si>
    <t>산출세액 [N=L*M]</t>
    <phoneticPr fontId="2" type="noConversion"/>
  </si>
  <si>
    <t>종합부동산세 합계</t>
    <phoneticPr fontId="2" type="noConversion"/>
  </si>
  <si>
    <t>재산세 도시지역분 적용지역</t>
    <phoneticPr fontId="2" type="noConversion"/>
  </si>
  <si>
    <t>재산세 도시지역분 미적용지역</t>
    <phoneticPr fontId="2" type="noConversion"/>
  </si>
  <si>
    <t>인허가 전</t>
    <phoneticPr fontId="2" type="noConversion"/>
  </si>
  <si>
    <t>인허가 후</t>
    <phoneticPr fontId="2" type="noConversion"/>
  </si>
  <si>
    <t>Case1. 분리과세 기준</t>
    <phoneticPr fontId="2" type="noConversion"/>
  </si>
  <si>
    <t>인허가승인</t>
    <phoneticPr fontId="2" type="noConversion"/>
  </si>
  <si>
    <t>적용 종합부동산세</t>
    <phoneticPr fontId="2" type="noConversion"/>
  </si>
  <si>
    <t>발생</t>
    <phoneticPr fontId="2" type="noConversion"/>
  </si>
  <si>
    <t>납부</t>
    <phoneticPr fontId="2" type="noConversion"/>
  </si>
  <si>
    <t>소유권 보전등기 관련</t>
    <phoneticPr fontId="2" type="noConversion"/>
  </si>
  <si>
    <t>건물 취득세</t>
    <phoneticPr fontId="2" type="noConversion"/>
  </si>
  <si>
    <t>법무사 수수료</t>
    <phoneticPr fontId="2" type="noConversion"/>
  </si>
  <si>
    <t>판매 및 관리비</t>
    <phoneticPr fontId="2" type="noConversion"/>
  </si>
  <si>
    <t>판매비</t>
    <phoneticPr fontId="2" type="noConversion"/>
  </si>
  <si>
    <t>M/H부지 임차료</t>
    <phoneticPr fontId="2" type="noConversion"/>
  </si>
  <si>
    <t>M/H건설비</t>
    <phoneticPr fontId="2" type="noConversion"/>
  </si>
  <si>
    <t>M/H운영비</t>
    <phoneticPr fontId="2" type="noConversion"/>
  </si>
  <si>
    <t>광고선전비</t>
    <phoneticPr fontId="2" type="noConversion"/>
  </si>
  <si>
    <t>분양대행 수수료</t>
    <phoneticPr fontId="2" type="noConversion"/>
  </si>
  <si>
    <t>분양보증 수수료</t>
    <phoneticPr fontId="2" type="noConversion"/>
  </si>
  <si>
    <t>관리운영비</t>
    <phoneticPr fontId="2" type="noConversion"/>
  </si>
  <si>
    <t>PMC운영비</t>
    <phoneticPr fontId="2" type="noConversion"/>
  </si>
  <si>
    <t>AMC수수료</t>
    <phoneticPr fontId="2" type="noConversion"/>
  </si>
  <si>
    <t>자금관리사무수탁</t>
    <phoneticPr fontId="2" type="noConversion"/>
  </si>
  <si>
    <t>회계감사</t>
    <phoneticPr fontId="2" type="noConversion"/>
  </si>
  <si>
    <t>세무용역</t>
    <phoneticPr fontId="2" type="noConversion"/>
  </si>
  <si>
    <t>관리/운영예비비</t>
    <phoneticPr fontId="2" type="noConversion"/>
  </si>
  <si>
    <t>발생기간</t>
    <phoneticPr fontId="2" type="noConversion"/>
  </si>
  <si>
    <t>백만원/월</t>
  </si>
  <si>
    <t>백만원/월</t>
    <phoneticPr fontId="2" type="noConversion"/>
  </si>
  <si>
    <t>총 사업비</t>
    <phoneticPr fontId="2" type="noConversion"/>
  </si>
  <si>
    <t>1. 건물 기준시가 및 건물/면세비율</t>
    <phoneticPr fontId="2" type="noConversion"/>
  </si>
  <si>
    <r>
      <t>연면적(</t>
    </r>
    <r>
      <rPr>
        <sz val="9"/>
        <color theme="1"/>
        <rFont val="맑은 고딕"/>
        <family val="3"/>
        <charset val="129"/>
      </rPr>
      <t>㎡)</t>
    </r>
    <phoneticPr fontId="2" type="noConversion"/>
  </si>
  <si>
    <t>비율(%)</t>
    <phoneticPr fontId="2" type="noConversion"/>
  </si>
  <si>
    <r>
      <t>대지면적(</t>
    </r>
    <r>
      <rPr>
        <sz val="9"/>
        <color theme="1"/>
        <rFont val="맑은 고딕"/>
        <family val="3"/>
        <charset val="129"/>
      </rPr>
      <t>㎡)</t>
    </r>
    <phoneticPr fontId="2" type="noConversion"/>
  </si>
  <si>
    <t>공시지가</t>
    <phoneticPr fontId="2" type="noConversion"/>
  </si>
  <si>
    <r>
      <t>(원/</t>
    </r>
    <r>
      <rPr>
        <sz val="9"/>
        <color theme="1"/>
        <rFont val="맑은 고딕"/>
        <family val="3"/>
        <charset val="129"/>
      </rPr>
      <t>㎡)</t>
    </r>
    <phoneticPr fontId="2" type="noConversion"/>
  </si>
  <si>
    <t>건물 신축가격</t>
    <phoneticPr fontId="2" type="noConversion"/>
  </si>
  <si>
    <t>구조지수</t>
    <phoneticPr fontId="2" type="noConversion"/>
  </si>
  <si>
    <t>용도지수</t>
    <phoneticPr fontId="2" type="noConversion"/>
  </si>
  <si>
    <t>위치지수</t>
    <phoneticPr fontId="2" type="noConversion"/>
  </si>
  <si>
    <t>건물기준시가</t>
    <phoneticPr fontId="2" type="noConversion"/>
  </si>
  <si>
    <t>건물비율</t>
    <phoneticPr fontId="2" type="noConversion"/>
  </si>
  <si>
    <t>면세여부</t>
    <phoneticPr fontId="2" type="noConversion"/>
  </si>
  <si>
    <t>면세면적</t>
    <phoneticPr fontId="2" type="noConversion"/>
  </si>
  <si>
    <t>면세비율(%)</t>
    <phoneticPr fontId="2" type="noConversion"/>
  </si>
  <si>
    <t>2. 매입세엑불공제 산정</t>
    <phoneticPr fontId="2" type="noConversion"/>
  </si>
  <si>
    <t>VAT과세여부</t>
    <phoneticPr fontId="2" type="noConversion"/>
  </si>
  <si>
    <t>매입세액불공제여부</t>
    <phoneticPr fontId="2" type="noConversion"/>
  </si>
  <si>
    <t>면세사업</t>
    <phoneticPr fontId="2" type="noConversion"/>
  </si>
  <si>
    <t>토지분</t>
    <phoneticPr fontId="2" type="noConversion"/>
  </si>
  <si>
    <t>매입세액불공제액</t>
    <phoneticPr fontId="2" type="noConversion"/>
  </si>
  <si>
    <t>분양수입 가정</t>
    <phoneticPr fontId="2" type="noConversion"/>
  </si>
  <si>
    <t>공급평당분양</t>
    <phoneticPr fontId="2" type="noConversion"/>
  </si>
  <si>
    <t>(VAT포함)</t>
    <phoneticPr fontId="2" type="noConversion"/>
  </si>
  <si>
    <t>세대당분양가</t>
    <phoneticPr fontId="2" type="noConversion"/>
  </si>
  <si>
    <t>VAT포함</t>
    <phoneticPr fontId="2" type="noConversion"/>
  </si>
  <si>
    <t>VAT제외</t>
    <phoneticPr fontId="2" type="noConversion"/>
  </si>
  <si>
    <t>세대당VAT</t>
    <phoneticPr fontId="2" type="noConversion"/>
  </si>
  <si>
    <t>공동주택 분양매출</t>
    <phoneticPr fontId="2" type="noConversion"/>
  </si>
  <si>
    <t>분양률</t>
    <phoneticPr fontId="2" type="noConversion"/>
  </si>
  <si>
    <t>전용면적평당 분양가</t>
    <phoneticPr fontId="2" type="noConversion"/>
  </si>
  <si>
    <t>VAT</t>
    <phoneticPr fontId="2" type="noConversion"/>
  </si>
  <si>
    <t>계약면적평당 분양가</t>
    <phoneticPr fontId="2" type="noConversion"/>
  </si>
  <si>
    <t>근린생활시설 분양매출</t>
    <phoneticPr fontId="2" type="noConversion"/>
  </si>
  <si>
    <t>분양수입 합계</t>
    <phoneticPr fontId="2" type="noConversion"/>
  </si>
  <si>
    <t>분양일정 가정</t>
    <phoneticPr fontId="2" type="noConversion"/>
  </si>
  <si>
    <t>분양시작일</t>
    <phoneticPr fontId="2" type="noConversion"/>
  </si>
  <si>
    <t>분양기간</t>
    <phoneticPr fontId="2" type="noConversion"/>
  </si>
  <si>
    <t>분양종료일</t>
    <phoneticPr fontId="2" type="noConversion"/>
  </si>
  <si>
    <t>중도금1차</t>
    <phoneticPr fontId="2" type="noConversion"/>
  </si>
  <si>
    <t>중도금2차</t>
  </si>
  <si>
    <t>중도금3차</t>
  </si>
  <si>
    <t>중도금4차</t>
  </si>
  <si>
    <t>중도금5차</t>
  </si>
  <si>
    <t>중도금6차</t>
  </si>
  <si>
    <t>비율</t>
    <phoneticPr fontId="2" type="noConversion"/>
  </si>
  <si>
    <t>시기</t>
    <phoneticPr fontId="2" type="noConversion"/>
  </si>
  <si>
    <t>기준일</t>
    <phoneticPr fontId="2" type="noConversion"/>
  </si>
  <si>
    <t>누적분양률</t>
    <phoneticPr fontId="2" type="noConversion"/>
  </si>
  <si>
    <t>M/H연면적</t>
    <phoneticPr fontId="2" type="noConversion"/>
  </si>
  <si>
    <t>평 x</t>
    <phoneticPr fontId="2" type="noConversion"/>
  </si>
  <si>
    <t>분양수입의</t>
    <phoneticPr fontId="2" type="noConversion"/>
  </si>
  <si>
    <t>전체분양률</t>
    <phoneticPr fontId="2" type="noConversion"/>
  </si>
  <si>
    <t>공동주택 분양수입의</t>
    <phoneticPr fontId="2" type="noConversion"/>
  </si>
  <si>
    <t>근생시설 분양수입의</t>
    <phoneticPr fontId="2" type="noConversion"/>
  </si>
  <si>
    <t>분양률에 연동</t>
    <phoneticPr fontId="2" type="noConversion"/>
  </si>
  <si>
    <t>대지비 보증</t>
    <phoneticPr fontId="2" type="noConversion"/>
  </si>
  <si>
    <t>건축비 보증</t>
    <phoneticPr fontId="2" type="noConversion"/>
  </si>
  <si>
    <t>대지비 보증액 x 대지비 보증료율 x (보증서발급일부터 입주예정월 다음달 말일)/365일</t>
    <phoneticPr fontId="2" type="noConversion"/>
  </si>
  <si>
    <t>건축비 보증액 x 건축비 보증료율 x (보증서발급일부터 입주예정월 다음달 말일)/365일</t>
    <phoneticPr fontId="2" type="noConversion"/>
  </si>
  <si>
    <t>전체 보증금액: 공동주택 계약금 및 중도금</t>
    <phoneticPr fontId="2" type="noConversion"/>
  </si>
  <si>
    <t>보증서발급일</t>
    <phoneticPr fontId="2" type="noConversion"/>
  </si>
  <si>
    <t>입주예정월+1개월</t>
    <phoneticPr fontId="2" type="noConversion"/>
  </si>
  <si>
    <t>보증기간(일)</t>
    <phoneticPr fontId="2" type="noConversion"/>
  </si>
  <si>
    <t>대지비율</t>
    <phoneticPr fontId="2" type="noConversion"/>
  </si>
  <si>
    <r>
      <t>중도금 이자비용</t>
    </r>
    <r>
      <rPr>
        <vertAlign val="superscript"/>
        <sz val="9"/>
        <color theme="1"/>
        <rFont val="맑은 고딕"/>
        <family val="3"/>
        <charset val="129"/>
        <scheme val="minor"/>
      </rPr>
      <t>7)</t>
    </r>
    <phoneticPr fontId="2" type="noConversion"/>
  </si>
  <si>
    <t>7) 중도금 이자비용</t>
    <phoneticPr fontId="2" type="noConversion"/>
  </si>
  <si>
    <t>기초</t>
    <phoneticPr fontId="2" type="noConversion"/>
  </si>
  <si>
    <t>유입</t>
    <phoneticPr fontId="2" type="noConversion"/>
  </si>
  <si>
    <t>기말</t>
    <phoneticPr fontId="2" type="noConversion"/>
  </si>
  <si>
    <t>평균잔고</t>
    <phoneticPr fontId="2" type="noConversion"/>
  </si>
  <si>
    <t>이자비용</t>
    <phoneticPr fontId="2" type="noConversion"/>
  </si>
  <si>
    <t>중도금의</t>
    <phoneticPr fontId="2" type="noConversion"/>
  </si>
  <si>
    <t>중도금 이자비용 합계</t>
    <phoneticPr fontId="2" type="noConversion"/>
  </si>
  <si>
    <r>
      <t>매입VAT불공제분</t>
    </r>
    <r>
      <rPr>
        <vertAlign val="superscript"/>
        <sz val="9"/>
        <color theme="1"/>
        <rFont val="맑은 고딕"/>
        <family val="3"/>
        <charset val="129"/>
        <scheme val="minor"/>
      </rPr>
      <t>8)</t>
    </r>
    <phoneticPr fontId="2" type="noConversion"/>
  </si>
  <si>
    <t>8) 매입세액불공제액</t>
    <phoneticPr fontId="2" type="noConversion"/>
  </si>
  <si>
    <t>자기자본</t>
    <phoneticPr fontId="2" type="noConversion"/>
  </si>
  <si>
    <t>시행사</t>
    <phoneticPr fontId="2" type="noConversion"/>
  </si>
  <si>
    <t>금융사</t>
    <phoneticPr fontId="2" type="noConversion"/>
  </si>
  <si>
    <t>출자액</t>
    <phoneticPr fontId="2" type="noConversion"/>
  </si>
  <si>
    <t>출자비율</t>
    <phoneticPr fontId="2" type="noConversion"/>
  </si>
  <si>
    <t>출자시기</t>
    <phoneticPr fontId="2" type="noConversion"/>
  </si>
  <si>
    <t>시행이익배분</t>
    <phoneticPr fontId="2" type="noConversion"/>
  </si>
  <si>
    <t>타인자본</t>
    <phoneticPr fontId="2" type="noConversion"/>
  </si>
  <si>
    <t>Phase1</t>
    <phoneticPr fontId="2" type="noConversion"/>
  </si>
  <si>
    <t>[브릿지론]</t>
    <phoneticPr fontId="2" type="noConversion"/>
  </si>
  <si>
    <t>Phase2</t>
    <phoneticPr fontId="2" type="noConversion"/>
  </si>
  <si>
    <t>[본 PF]</t>
    <phoneticPr fontId="2" type="noConversion"/>
  </si>
  <si>
    <t>선순위</t>
    <phoneticPr fontId="2" type="noConversion"/>
  </si>
  <si>
    <t>후순위</t>
    <phoneticPr fontId="2" type="noConversion"/>
  </si>
  <si>
    <t>차입액</t>
    <phoneticPr fontId="2" type="noConversion"/>
  </si>
  <si>
    <t>LTV</t>
    <phoneticPr fontId="2" type="noConversion"/>
  </si>
  <si>
    <t>매출액대비</t>
    <phoneticPr fontId="2" type="noConversion"/>
  </si>
  <si>
    <t>인출일</t>
    <phoneticPr fontId="2" type="noConversion"/>
  </si>
  <si>
    <t>상환일</t>
    <phoneticPr fontId="2" type="noConversion"/>
  </si>
  <si>
    <t>담보신탁수수료</t>
    <phoneticPr fontId="2" type="noConversion"/>
  </si>
  <si>
    <t>자문수수료</t>
    <phoneticPr fontId="2" type="noConversion"/>
  </si>
  <si>
    <t>All-in이자율</t>
    <phoneticPr fontId="2" type="noConversion"/>
  </si>
  <si>
    <t>이자지급방식</t>
    <phoneticPr fontId="2" type="noConversion"/>
  </si>
  <si>
    <t>인출방식</t>
    <phoneticPr fontId="2" type="noConversion"/>
  </si>
  <si>
    <t>상환방식</t>
    <phoneticPr fontId="2" type="noConversion"/>
  </si>
  <si>
    <t>비고</t>
    <phoneticPr fontId="2" type="noConversion"/>
  </si>
  <si>
    <t>Tranche B</t>
    <phoneticPr fontId="2" type="noConversion"/>
  </si>
  <si>
    <t>Tranche A</t>
    <phoneticPr fontId="2" type="noConversion"/>
  </si>
  <si>
    <t>토지감정가</t>
    <phoneticPr fontId="2" type="noConversion"/>
  </si>
  <si>
    <t>인출시 선취</t>
    <phoneticPr fontId="2" type="noConversion"/>
  </si>
  <si>
    <t>일시인출</t>
    <phoneticPr fontId="2" type="noConversion"/>
  </si>
  <si>
    <t>만기일시</t>
    <phoneticPr fontId="2" type="noConversion"/>
  </si>
  <si>
    <t>분양매출액</t>
    <phoneticPr fontId="2" type="noConversion"/>
  </si>
  <si>
    <t>Capital-call</t>
    <phoneticPr fontId="2" type="noConversion"/>
  </si>
  <si>
    <t>영업현금흐름</t>
    <phoneticPr fontId="2" type="noConversion"/>
  </si>
  <si>
    <t>분양수입</t>
    <phoneticPr fontId="2" type="noConversion"/>
  </si>
  <si>
    <t>영업현금흐름 합계</t>
    <phoneticPr fontId="2" type="noConversion"/>
  </si>
  <si>
    <t>투자현금흐름</t>
    <phoneticPr fontId="2" type="noConversion"/>
  </si>
  <si>
    <t>총사업비</t>
    <phoneticPr fontId="2" type="noConversion"/>
  </si>
  <si>
    <t>금융비용</t>
    <phoneticPr fontId="2" type="noConversion"/>
  </si>
  <si>
    <t>투자현금흐름 합계</t>
    <phoneticPr fontId="2" type="noConversion"/>
  </si>
  <si>
    <t>재무현금흐름</t>
    <phoneticPr fontId="2" type="noConversion"/>
  </si>
  <si>
    <t>자기자본 증자</t>
    <phoneticPr fontId="2" type="noConversion"/>
  </si>
  <si>
    <t>자기자본 감자</t>
    <phoneticPr fontId="2" type="noConversion"/>
  </si>
  <si>
    <t>브릿지론 인출</t>
    <phoneticPr fontId="2" type="noConversion"/>
  </si>
  <si>
    <t>브릿지론 상환</t>
    <phoneticPr fontId="2" type="noConversion"/>
  </si>
  <si>
    <t>본PF 인출</t>
    <phoneticPr fontId="2" type="noConversion"/>
  </si>
  <si>
    <t>본PF 상환</t>
    <phoneticPr fontId="2" type="noConversion"/>
  </si>
  <si>
    <t>배당금 지급</t>
    <phoneticPr fontId="2" type="noConversion"/>
  </si>
  <si>
    <t>재무현금흐름 합계</t>
    <phoneticPr fontId="2" type="noConversion"/>
  </si>
  <si>
    <t>순 현금흐름</t>
    <phoneticPr fontId="2" type="noConversion"/>
  </si>
  <si>
    <t>담보신탁</t>
    <phoneticPr fontId="2" type="noConversion"/>
  </si>
  <si>
    <t>브릿지론</t>
    <phoneticPr fontId="2" type="noConversion"/>
  </si>
  <si>
    <t>본 PF</t>
    <phoneticPr fontId="2" type="noConversion"/>
  </si>
  <si>
    <t>총 투자비</t>
    <phoneticPr fontId="2" type="noConversion"/>
  </si>
  <si>
    <t>백만원 x</t>
    <phoneticPr fontId="2" type="noConversion"/>
  </si>
  <si>
    <t>(인출시 선취)</t>
    <phoneticPr fontId="2" type="noConversion"/>
  </si>
  <si>
    <r>
      <t>이자비용</t>
    </r>
    <r>
      <rPr>
        <vertAlign val="superscript"/>
        <sz val="9"/>
        <color theme="1"/>
        <rFont val="맑은 고딕"/>
        <family val="3"/>
        <charset val="129"/>
        <scheme val="minor"/>
      </rPr>
      <t>9)</t>
    </r>
    <phoneticPr fontId="2" type="noConversion"/>
  </si>
  <si>
    <t>9) 브릿지론 후순위 이자비용</t>
    <phoneticPr fontId="2" type="noConversion"/>
  </si>
  <si>
    <t>차입</t>
    <phoneticPr fontId="2" type="noConversion"/>
  </si>
  <si>
    <t>상환</t>
    <phoneticPr fontId="2" type="noConversion"/>
  </si>
  <si>
    <t>발생이자</t>
    <phoneticPr fontId="2" type="noConversion"/>
  </si>
  <si>
    <t>이자지급</t>
    <phoneticPr fontId="2" type="noConversion"/>
  </si>
  <si>
    <t>차입기간Index</t>
    <phoneticPr fontId="2" type="noConversion"/>
  </si>
  <si>
    <t>누적차입기간Index</t>
    <phoneticPr fontId="2" type="noConversion"/>
  </si>
  <si>
    <t>Mod합수</t>
    <phoneticPr fontId="2" type="noConversion"/>
  </si>
  <si>
    <t>이자지급Index</t>
    <phoneticPr fontId="2" type="noConversion"/>
  </si>
  <si>
    <t>본 PF 필요재원</t>
    <phoneticPr fontId="2" type="noConversion"/>
  </si>
  <si>
    <t>브릿지론 선순위 차입/(상환)</t>
    <phoneticPr fontId="2" type="noConversion"/>
  </si>
  <si>
    <t>브릿지론 후순위 차입/(상환)</t>
    <phoneticPr fontId="2" type="noConversion"/>
  </si>
  <si>
    <t>본PF Tranche A 차입/(상환)</t>
    <phoneticPr fontId="2" type="noConversion"/>
  </si>
  <si>
    <t>CF for Tranche B</t>
    <phoneticPr fontId="2" type="noConversion"/>
  </si>
  <si>
    <t>기초현금 잔액</t>
    <phoneticPr fontId="2" type="noConversion"/>
  </si>
  <si>
    <t>Tranche B Cash Balance</t>
    <phoneticPr fontId="2" type="noConversion"/>
  </si>
  <si>
    <t>조달필요액</t>
    <phoneticPr fontId="2" type="noConversion"/>
  </si>
  <si>
    <r>
      <t>이자비용</t>
    </r>
    <r>
      <rPr>
        <vertAlign val="superscript"/>
        <sz val="9"/>
        <color theme="1"/>
        <rFont val="맑은 고딕"/>
        <family val="3"/>
        <charset val="129"/>
        <scheme val="minor"/>
      </rPr>
      <t>10)</t>
    </r>
    <phoneticPr fontId="2" type="noConversion"/>
  </si>
  <si>
    <t>10) 본PF 이자비용</t>
    <phoneticPr fontId="2" type="noConversion"/>
  </si>
  <si>
    <t>건물
취득가격 포함</t>
    <phoneticPr fontId="2" type="noConversion"/>
  </si>
  <si>
    <t>토지 
취득가격 포함</t>
    <phoneticPr fontId="2" type="noConversion"/>
  </si>
  <si>
    <t>건물취득가액</t>
    <phoneticPr fontId="2" type="noConversion"/>
  </si>
  <si>
    <t xml:space="preserve">  - 주택부분</t>
    <phoneticPr fontId="2" type="noConversion"/>
  </si>
  <si>
    <t xml:space="preserve">  - 비주택부분</t>
    <phoneticPr fontId="2" type="noConversion"/>
  </si>
  <si>
    <r>
      <rPr>
        <sz val="9"/>
        <color theme="1"/>
        <rFont val="Segoe UI Symbol"/>
        <family val="3"/>
      </rPr>
      <t xml:space="preserve">▍ </t>
    </r>
    <r>
      <rPr>
        <sz val="9"/>
        <color theme="1"/>
        <rFont val="Calibri"/>
        <family val="3"/>
      </rPr>
      <t>Circulation Switch</t>
    </r>
    <phoneticPr fontId="2" type="noConversion"/>
  </si>
  <si>
    <t>배당순서: 자기자본 원금 --&gt; 시행이익 배분</t>
    <phoneticPr fontId="2" type="noConversion"/>
  </si>
  <si>
    <t>청산 전 누적현금흐름</t>
    <phoneticPr fontId="2" type="noConversion"/>
  </si>
  <si>
    <t>청산 전 배당가능현금</t>
    <phoneticPr fontId="2" type="noConversion"/>
  </si>
  <si>
    <t>(-)법인세 미공제분</t>
    <phoneticPr fontId="2" type="noConversion"/>
  </si>
  <si>
    <r>
      <t>(-)법인세 미공제분</t>
    </r>
    <r>
      <rPr>
        <vertAlign val="superscript"/>
        <sz val="9"/>
        <color theme="1"/>
        <rFont val="맑은 고딕"/>
        <family val="3"/>
        <charset val="129"/>
        <scheme val="minor"/>
      </rPr>
      <t>1)</t>
    </r>
    <phoneticPr fontId="2" type="noConversion"/>
  </si>
  <si>
    <t>1) 법인세 미공제분</t>
    <phoneticPr fontId="2" type="noConversion"/>
  </si>
  <si>
    <t>법인세 과세표준</t>
    <phoneticPr fontId="2" type="noConversion"/>
  </si>
  <si>
    <t>법인세</t>
    <phoneticPr fontId="2" type="noConversion"/>
  </si>
  <si>
    <t>지방소득세</t>
    <phoneticPr fontId="2" type="noConversion"/>
  </si>
  <si>
    <t>법인세액의</t>
    <phoneticPr fontId="2" type="noConversion"/>
  </si>
  <si>
    <t>*법인세율</t>
    <phoneticPr fontId="2" type="noConversion"/>
  </si>
  <si>
    <t>기본세액</t>
    <phoneticPr fontId="2" type="noConversion"/>
  </si>
  <si>
    <t>법인세 합계</t>
    <phoneticPr fontId="2" type="noConversion"/>
  </si>
  <si>
    <t>배당 가능 현금</t>
    <phoneticPr fontId="2" type="noConversion"/>
  </si>
  <si>
    <t>자가자본 원금</t>
    <phoneticPr fontId="2" type="noConversion"/>
  </si>
  <si>
    <t>상환 가능액</t>
    <phoneticPr fontId="2" type="noConversion"/>
  </si>
  <si>
    <t>상환해야할 원금</t>
    <phoneticPr fontId="2" type="noConversion"/>
  </si>
  <si>
    <t>실제 원금 상환액</t>
    <phoneticPr fontId="2" type="noConversion"/>
  </si>
  <si>
    <t>시행이익 배분</t>
    <phoneticPr fontId="2" type="noConversion"/>
  </si>
  <si>
    <t>배분 가능액</t>
    <phoneticPr fontId="2" type="noConversion"/>
  </si>
  <si>
    <t>배분해야할 시행이익</t>
    <phoneticPr fontId="2" type="noConversion"/>
  </si>
  <si>
    <t>(-)총투자비</t>
    <phoneticPr fontId="2" type="noConversion"/>
  </si>
  <si>
    <t>실제 시행이익 배분액</t>
    <phoneticPr fontId="2" type="noConversion"/>
  </si>
  <si>
    <t>총투자비 상세</t>
    <phoneticPr fontId="2" type="noConversion"/>
  </si>
  <si>
    <t>환경영향평가, 교통영향평가, 재해영향평가, 지하안전영향평가, 교육환경영향평가</t>
    <phoneticPr fontId="2" type="noConversion"/>
  </si>
  <si>
    <t>인입공사분담금, 광역교통시설부담금, 학교용지 부담금</t>
    <phoneticPr fontId="2" type="noConversion"/>
  </si>
  <si>
    <t>분양 가정</t>
    <phoneticPr fontId="2" type="noConversion"/>
  </si>
  <si>
    <t>재원조달 가정</t>
    <phoneticPr fontId="2" type="noConversion"/>
  </si>
  <si>
    <t>수익지표 분석</t>
    <phoneticPr fontId="2" type="noConversion"/>
  </si>
  <si>
    <t>사업 시행이익</t>
    <phoneticPr fontId="2" type="noConversion"/>
  </si>
  <si>
    <t>총 매출액</t>
    <phoneticPr fontId="2" type="noConversion"/>
  </si>
  <si>
    <t>백만원</t>
    <phoneticPr fontId="2" type="noConversion"/>
  </si>
  <si>
    <t>시행이익</t>
    <phoneticPr fontId="2" type="noConversion"/>
  </si>
  <si>
    <t>매출액 대비 시행이익률</t>
    <phoneticPr fontId="2" type="noConversion"/>
  </si>
  <si>
    <t>투자비 대비 시행이익률</t>
    <phoneticPr fontId="2" type="noConversion"/>
  </si>
  <si>
    <t>주주별 이익</t>
    <phoneticPr fontId="2" type="noConversion"/>
  </si>
  <si>
    <t>원본상환액</t>
    <phoneticPr fontId="2" type="noConversion"/>
  </si>
  <si>
    <t>E. Multiple</t>
    <phoneticPr fontId="2" type="noConversion"/>
  </si>
  <si>
    <t>E. IRR</t>
    <phoneticPr fontId="2" type="noConversion"/>
  </si>
  <si>
    <t>분양수입 충당액</t>
    <phoneticPr fontId="2" type="noConversion"/>
  </si>
  <si>
    <t>총 조달필요액</t>
    <phoneticPr fontId="2" type="noConversion"/>
  </si>
  <si>
    <t>(-)자기자본</t>
    <phoneticPr fontId="2" type="noConversion"/>
  </si>
  <si>
    <t>(-)본PF 조달액</t>
    <phoneticPr fontId="2" type="noConversion"/>
  </si>
  <si>
    <t>전체 분양수입 중</t>
    <phoneticPr fontId="2" type="noConversion"/>
  </si>
  <si>
    <t>※ 사업현금흐름 (FCFF)</t>
    <phoneticPr fontId="2" type="noConversion"/>
  </si>
  <si>
    <t>Project IRR</t>
    <phoneticPr fontId="2" type="noConversion"/>
  </si>
  <si>
    <r>
      <t>※</t>
    </r>
    <r>
      <rPr>
        <sz val="7.65"/>
        <color rgb="FF0070C0"/>
        <rFont val="맑은 고딕"/>
        <family val="3"/>
        <charset val="129"/>
      </rPr>
      <t xml:space="preserve"> Project IRR</t>
    </r>
    <phoneticPr fontId="2" type="noConversion"/>
  </si>
  <si>
    <t>Equity IRR</t>
    <phoneticPr fontId="2" type="noConversion"/>
  </si>
  <si>
    <t>자본금 납입</t>
    <phoneticPr fontId="2" type="noConversion"/>
  </si>
  <si>
    <t>원본 회수</t>
    <phoneticPr fontId="2" type="noConversion"/>
  </si>
  <si>
    <t>FCFE</t>
    <phoneticPr fontId="2" type="noConversion"/>
  </si>
  <si>
    <t>전체 주주</t>
    <phoneticPr fontId="2" type="noConversion"/>
  </si>
  <si>
    <t>시공사 분양불공사</t>
    <phoneticPr fontId="2" type="noConversion"/>
  </si>
  <si>
    <t>분양불(%)</t>
    <phoneticPr fontId="2" type="noConversion"/>
  </si>
  <si>
    <t>분양불 공사금액</t>
    <phoneticPr fontId="2" type="noConversion"/>
  </si>
  <si>
    <t>시공사 공사비 충당</t>
    <phoneticPr fontId="2" type="noConversion"/>
  </si>
  <si>
    <r>
      <rPr>
        <sz val="9"/>
        <color theme="1"/>
        <rFont val="Segoe UI Symbol"/>
        <family val="3"/>
      </rPr>
      <t>▍</t>
    </r>
    <r>
      <rPr>
        <sz val="9"/>
        <color theme="1"/>
        <rFont val="맑은 고딕"/>
        <family val="3"/>
        <charset val="129"/>
      </rPr>
      <t xml:space="preserve"> </t>
    </r>
    <r>
      <rPr>
        <sz val="9"/>
        <color theme="1"/>
        <rFont val="Calibri"/>
        <family val="3"/>
      </rPr>
      <t>Model Check</t>
    </r>
    <phoneticPr fontId="2" type="noConversion"/>
  </si>
  <si>
    <t>민감도 분석</t>
    <phoneticPr fontId="2" type="noConversion"/>
  </si>
  <si>
    <t>시행이익 민감도</t>
    <phoneticPr fontId="2" type="noConversion"/>
  </si>
  <si>
    <t>매출액 대비 시행이익률 민감도</t>
    <phoneticPr fontId="2" type="noConversion"/>
  </si>
  <si>
    <t>Equity Multiple</t>
    <phoneticPr fontId="2" type="noConversion"/>
  </si>
  <si>
    <t>공동주택 분양가(백만원/평)</t>
    <phoneticPr fontId="2" type="noConversion"/>
  </si>
  <si>
    <t>공동주택 분양률</t>
    <phoneticPr fontId="2" type="noConversion"/>
  </si>
  <si>
    <t>공동주택 
분양률</t>
    <phoneticPr fontId="2" type="noConversion"/>
  </si>
  <si>
    <t>Input</t>
    <phoneticPr fontId="2" type="noConversion"/>
  </si>
  <si>
    <t>변수</t>
    <phoneticPr fontId="2" type="noConversion"/>
  </si>
  <si>
    <t>공동주택 분양가</t>
    <phoneticPr fontId="2" type="noConversion"/>
  </si>
  <si>
    <t>기본시나리오</t>
    <phoneticPr fontId="2" type="noConversion"/>
  </si>
  <si>
    <t>적용 값</t>
    <phoneticPr fontId="2" type="noConversion"/>
  </si>
  <si>
    <t>Output</t>
    <phoneticPr fontId="2" type="noConversion"/>
  </si>
  <si>
    <t>결과</t>
    <phoneticPr fontId="2" type="noConversion"/>
  </si>
  <si>
    <t>결과 값</t>
    <phoneticPr fontId="2" type="noConversion"/>
  </si>
  <si>
    <t>시나리오 시작</t>
    <phoneticPr fontId="2" type="noConversion"/>
  </si>
  <si>
    <t>시나리오 종료</t>
    <phoneticPr fontId="2" type="noConversion"/>
  </si>
  <si>
    <t>기본시나리오 Index</t>
    <phoneticPr fontId="2" type="noConversion"/>
  </si>
  <si>
    <t>공동주택 분양가&amp;공동주택 분양률</t>
    <phoneticPr fontId="2" type="noConversion"/>
  </si>
  <si>
    <t>이자계산 잔고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</si>
</sst>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7">
    <numFmt numFmtId="176" formatCode="#,##0_);[Red]\(#,##0\);\-_)"/>
    <numFmt numFmtId="177" formatCode="#,##0.0000_);[Red]\(#,##0\);\-_)"/>
    <numFmt numFmtId="178" formatCode="yyyy\/mm"/>
    <numFmt numFmtId="179" formatCode="#,##0&quot;개&quot;&quot;월&quot;_);[Red]\(#,##0\);\-_)"/>
    <numFmt numFmtId="180" formatCode="#,##0&quot;㎡&quot;_);[Red]\(#,##0\);\-_)"/>
    <numFmt numFmtId="181" formatCode="\(#,##0&quot;평&quot;\)_);[Red]\(#,##0\);\-_)"/>
    <numFmt numFmtId="182" formatCode="#,##0&quot;평&quot;_);[Red]\(#,##0\);\-_)"/>
    <numFmt numFmtId="183" formatCode="#,##0.00_);[Red]\(#,##0\);\-_)"/>
    <numFmt numFmtId="184" formatCode="\“#,##0_);[Red]\(#,##0\);\-_)"/>
    <numFmt numFmtId="185" formatCode="&quot;M+&quot;General"/>
    <numFmt numFmtId="186" formatCode="0.0%"/>
    <numFmt numFmtId="187" formatCode="#,##0.0_);[Red]\(#,##0\);\-_)"/>
    <numFmt numFmtId="188" formatCode="#,##0.000_);[Red]\(#,##0\);\-_)"/>
    <numFmt numFmtId="189" formatCode="#,##0&quot;개&quot;&quot;월&quot;\ &quot;전&quot;_);[Red]\(#,##0\);\-_)"/>
    <numFmt numFmtId="190" formatCode="General&quot;년&quot;"/>
    <numFmt numFmtId="191" formatCode="#,##0&quot;월&quot;_);[Red]\(#,##0\);\-_)"/>
    <numFmt numFmtId="192" formatCode="#,##0.0&quot;백&quot;&quot;만&quot;&quot;/&quot;&quot;평&quot;_);[Red]\(#,##0\);\-_)"/>
    <numFmt numFmtId="193" formatCode="#,##0&quot;백&quot;&quot;만&quot;&quot;원&quot;&quot;/&quot;&quot;평&quot;_);[Red]\(#,##0\);\-_)"/>
    <numFmt numFmtId="194" formatCode="\+#,##0&quot;개&quot;&quot;월&quot;_);[Red]\(#,##0\);\-_)"/>
    <numFmt numFmtId="195" formatCode="#,##0&quot;일&quot;_);[Red]\(#,##0\);\-_)"/>
    <numFmt numFmtId="196" formatCode="0.000%"/>
    <numFmt numFmtId="197" formatCode="&quot;연&quot;\ 0.00%"/>
    <numFmt numFmtId="198" formatCode="&quot;담&quot;&quot;보&quot;&quot;가&quot;&quot;액&quot;&quot;의&quot;\ 0.0%"/>
    <numFmt numFmtId="199" formatCode="#,##0&quot;개&quot;&quot;월&quot;\ &quot;후&quot;&quot;취&quot;_);[Red]\(#,##0\);\-_)"/>
    <numFmt numFmtId="200" formatCode="&quot;연&quot;\ 0%"/>
    <numFmt numFmtId="201" formatCode="&quot;ON&quot;;;&quot;OFF&quot;"/>
    <numFmt numFmtId="202" formatCode="#,##0.0\x_);[Red]\(#,##0\);\-_)"/>
  </numFmts>
  <fonts count="32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4"/>
      <name val="맑은 고딕"/>
      <family val="2"/>
      <charset val="129"/>
      <scheme val="minor"/>
    </font>
    <font>
      <sz val="9"/>
      <color rgb="FF00B050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SpoqaHanSans-Bold"/>
      <family val="3"/>
      <charset val="129"/>
    </font>
    <font>
      <sz val="9"/>
      <color theme="1"/>
      <name val="맑은 고딕"/>
      <family val="3"/>
      <charset val="129"/>
    </font>
    <font>
      <sz val="9"/>
      <color theme="1"/>
      <name val="Segoe UI Symbol"/>
      <family val="3"/>
    </font>
    <font>
      <b/>
      <sz val="9"/>
      <color rgb="FFFF0000"/>
      <name val="맑은 고딕"/>
      <family val="3"/>
      <charset val="129"/>
      <scheme val="minor"/>
    </font>
    <font>
      <b/>
      <sz val="9"/>
      <color rgb="FF00B050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vertAlign val="superscript"/>
      <sz val="9"/>
      <color theme="1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sz val="9"/>
      <color theme="1"/>
      <name val="Spoqa Han Sans Neo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theme="1"/>
      <name val="Calibri"/>
      <family val="3"/>
    </font>
    <font>
      <u/>
      <sz val="11"/>
      <color theme="10"/>
      <name val="맑은 고딕"/>
      <family val="2"/>
      <charset val="129"/>
      <scheme val="minor"/>
    </font>
    <font>
      <b/>
      <u/>
      <sz val="9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sz val="9"/>
      <color rgb="FF0070C0"/>
      <name val="맑은 고딕"/>
      <family val="2"/>
      <charset val="129"/>
      <scheme val="minor"/>
    </font>
    <font>
      <sz val="9"/>
      <color rgb="FF0070C0"/>
      <name val="맑은 고딕"/>
      <family val="3"/>
      <charset val="129"/>
    </font>
    <font>
      <sz val="7.65"/>
      <color rgb="FF0070C0"/>
      <name val="맑은 고딕"/>
      <family val="3"/>
      <charset val="129"/>
    </font>
    <font>
      <sz val="9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rgb="FFC0000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415">
    <xf numFmtId="0" fontId="0" fillId="0" borderId="0" xfId="0">
      <alignment vertical="center"/>
    </xf>
    <xf numFmtId="176" fontId="1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6" fontId="4" fillId="2" borderId="0" xfId="0" applyNumberFormat="1" applyFont="1" applyFill="1">
      <alignment vertical="center"/>
    </xf>
    <xf numFmtId="176" fontId="1" fillId="3" borderId="0" xfId="0" applyNumberFormat="1" applyFont="1" applyFill="1">
      <alignment vertical="center"/>
    </xf>
    <xf numFmtId="176" fontId="5" fillId="4" borderId="0" xfId="0" applyNumberFormat="1" applyFont="1" applyFill="1">
      <alignment vertical="center"/>
    </xf>
    <xf numFmtId="176" fontId="6" fillId="0" borderId="0" xfId="0" applyNumberFormat="1" applyFont="1">
      <alignment vertical="center"/>
    </xf>
    <xf numFmtId="176" fontId="1" fillId="5" borderId="0" xfId="0" applyNumberFormat="1" applyFont="1" applyFill="1">
      <alignment vertical="center"/>
    </xf>
    <xf numFmtId="176" fontId="1" fillId="6" borderId="0" xfId="0" applyNumberFormat="1" applyFont="1" applyFill="1">
      <alignment vertical="center"/>
    </xf>
    <xf numFmtId="176" fontId="1" fillId="7" borderId="0" xfId="0" applyNumberFormat="1" applyFont="1" applyFill="1">
      <alignment vertical="center"/>
    </xf>
    <xf numFmtId="176" fontId="5" fillId="8" borderId="0" xfId="0" applyNumberFormat="1" applyFont="1" applyFill="1">
      <alignment vertical="center"/>
    </xf>
    <xf numFmtId="176" fontId="7" fillId="0" borderId="0" xfId="0" applyNumberFormat="1" applyFont="1">
      <alignment vertical="center"/>
    </xf>
    <xf numFmtId="176" fontId="1" fillId="0" borderId="1" xfId="0" applyNumberFormat="1" applyFont="1" applyBorder="1">
      <alignment vertical="center"/>
    </xf>
    <xf numFmtId="14" fontId="1" fillId="0" borderId="0" xfId="0" applyNumberFormat="1" applyFont="1">
      <alignment vertical="center"/>
    </xf>
    <xf numFmtId="176" fontId="8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178" fontId="1" fillId="0" borderId="0" xfId="0" applyNumberFormat="1" applyFont="1">
      <alignment vertical="center"/>
    </xf>
    <xf numFmtId="178" fontId="4" fillId="2" borderId="0" xfId="0" applyNumberFormat="1" applyFont="1" applyFill="1">
      <alignment vertical="center"/>
    </xf>
    <xf numFmtId="179" fontId="4" fillId="2" borderId="0" xfId="0" applyNumberFormat="1" applyFont="1" applyFill="1">
      <alignment vertical="center"/>
    </xf>
    <xf numFmtId="9" fontId="1" fillId="0" borderId="0" xfId="0" applyNumberFormat="1" applyFont="1">
      <alignment vertical="center"/>
    </xf>
    <xf numFmtId="176" fontId="1" fillId="6" borderId="2" xfId="0" applyNumberFormat="1" applyFont="1" applyFill="1" applyBorder="1">
      <alignment vertical="center"/>
    </xf>
    <xf numFmtId="176" fontId="1" fillId="0" borderId="3" xfId="0" applyNumberFormat="1" applyFont="1" applyBorder="1">
      <alignment vertical="center"/>
    </xf>
    <xf numFmtId="180" fontId="1" fillId="0" borderId="3" xfId="0" applyNumberFormat="1" applyFont="1" applyBorder="1">
      <alignment vertical="center"/>
    </xf>
    <xf numFmtId="176" fontId="1" fillId="0" borderId="4" xfId="0" applyNumberFormat="1" applyFont="1" applyBorder="1">
      <alignment vertical="center"/>
    </xf>
    <xf numFmtId="181" fontId="1" fillId="0" borderId="4" xfId="0" applyNumberFormat="1" applyFont="1" applyBorder="1">
      <alignment vertical="center"/>
    </xf>
    <xf numFmtId="176" fontId="1" fillId="3" borderId="3" xfId="0" applyNumberFormat="1" applyFont="1" applyFill="1" applyBorder="1">
      <alignment vertical="center"/>
    </xf>
    <xf numFmtId="180" fontId="1" fillId="3" borderId="3" xfId="0" applyNumberFormat="1" applyFont="1" applyFill="1" applyBorder="1">
      <alignment vertical="center"/>
    </xf>
    <xf numFmtId="176" fontId="1" fillId="3" borderId="4" xfId="0" applyNumberFormat="1" applyFont="1" applyFill="1" applyBorder="1">
      <alignment vertical="center"/>
    </xf>
    <xf numFmtId="181" fontId="1" fillId="3" borderId="4" xfId="0" applyNumberFormat="1" applyFont="1" applyFill="1" applyBorder="1">
      <alignment vertical="center"/>
    </xf>
    <xf numFmtId="176" fontId="1" fillId="0" borderId="6" xfId="0" applyNumberFormat="1" applyFont="1" applyBorder="1">
      <alignment vertical="center"/>
    </xf>
    <xf numFmtId="176" fontId="1" fillId="0" borderId="7" xfId="0" applyNumberFormat="1" applyFont="1" applyBorder="1">
      <alignment vertical="center"/>
    </xf>
    <xf numFmtId="176" fontId="1" fillId="0" borderId="0" xfId="0" applyNumberFormat="1" applyFont="1" applyBorder="1">
      <alignment vertical="center"/>
    </xf>
    <xf numFmtId="176" fontId="1" fillId="0" borderId="8" xfId="0" applyNumberFormat="1" applyFont="1" applyBorder="1">
      <alignment vertical="center"/>
    </xf>
    <xf numFmtId="176" fontId="1" fillId="0" borderId="9" xfId="0" applyNumberFormat="1" applyFont="1" applyBorder="1">
      <alignment vertical="center"/>
    </xf>
    <xf numFmtId="176" fontId="4" fillId="2" borderId="3" xfId="0" applyNumberFormat="1" applyFont="1" applyFill="1" applyBorder="1">
      <alignment vertical="center"/>
    </xf>
    <xf numFmtId="9" fontId="4" fillId="2" borderId="3" xfId="0" applyNumberFormat="1" applyFont="1" applyFill="1" applyBorder="1">
      <alignment vertical="center"/>
    </xf>
    <xf numFmtId="9" fontId="4" fillId="2" borderId="0" xfId="0" applyNumberFormat="1" applyFont="1" applyFill="1" applyBorder="1">
      <alignment vertical="center"/>
    </xf>
    <xf numFmtId="9" fontId="4" fillId="2" borderId="4" xfId="0" applyNumberFormat="1" applyFont="1" applyFill="1" applyBorder="1">
      <alignment vertical="center"/>
    </xf>
    <xf numFmtId="178" fontId="4" fillId="2" borderId="3" xfId="0" applyNumberFormat="1" applyFont="1" applyFill="1" applyBorder="1">
      <alignment vertical="center"/>
    </xf>
    <xf numFmtId="178" fontId="4" fillId="2" borderId="0" xfId="0" applyNumberFormat="1" applyFont="1" applyFill="1" applyBorder="1">
      <alignment vertical="center"/>
    </xf>
    <xf numFmtId="178" fontId="4" fillId="2" borderId="4" xfId="0" applyNumberFormat="1" applyFont="1" applyFill="1" applyBorder="1">
      <alignment vertical="center"/>
    </xf>
    <xf numFmtId="176" fontId="1" fillId="0" borderId="10" xfId="0" applyNumberFormat="1" applyFont="1" applyBorder="1">
      <alignment vertical="center"/>
    </xf>
    <xf numFmtId="176" fontId="1" fillId="0" borderId="11" xfId="0" applyNumberFormat="1" applyFont="1" applyBorder="1">
      <alignment vertical="center"/>
    </xf>
    <xf numFmtId="176" fontId="1" fillId="0" borderId="12" xfId="0" applyNumberFormat="1" applyFont="1" applyBorder="1">
      <alignment vertical="center"/>
    </xf>
    <xf numFmtId="176" fontId="1" fillId="6" borderId="13" xfId="0" applyNumberFormat="1" applyFont="1" applyFill="1" applyBorder="1">
      <alignment vertical="center"/>
    </xf>
    <xf numFmtId="176" fontId="1" fillId="6" borderId="14" xfId="0" applyNumberFormat="1" applyFont="1" applyFill="1" applyBorder="1">
      <alignment vertical="center"/>
    </xf>
    <xf numFmtId="178" fontId="1" fillId="6" borderId="13" xfId="0" applyNumberFormat="1" applyFont="1" applyFill="1" applyBorder="1">
      <alignment vertical="center"/>
    </xf>
    <xf numFmtId="176" fontId="8" fillId="0" borderId="10" xfId="0" applyNumberFormat="1" applyFont="1" applyBorder="1">
      <alignment vertical="center"/>
    </xf>
    <xf numFmtId="176" fontId="8" fillId="0" borderId="2" xfId="0" applyNumberFormat="1" applyFont="1" applyBorder="1">
      <alignment vertical="center"/>
    </xf>
    <xf numFmtId="176" fontId="13" fillId="0" borderId="2" xfId="0" applyNumberFormat="1" applyFont="1" applyBorder="1">
      <alignment vertical="center"/>
    </xf>
    <xf numFmtId="176" fontId="8" fillId="0" borderId="15" xfId="0" applyNumberFormat="1" applyFont="1" applyBorder="1">
      <alignment vertical="center"/>
    </xf>
    <xf numFmtId="183" fontId="1" fillId="0" borderId="0" xfId="0" applyNumberFormat="1" applyFont="1">
      <alignment vertical="center"/>
    </xf>
    <xf numFmtId="10" fontId="1" fillId="0" borderId="0" xfId="0" applyNumberFormat="1" applyFont="1">
      <alignment vertical="center"/>
    </xf>
    <xf numFmtId="176" fontId="1" fillId="0" borderId="16" xfId="0" applyNumberFormat="1" applyFont="1" applyBorder="1">
      <alignment vertical="center"/>
    </xf>
    <xf numFmtId="176" fontId="1" fillId="6" borderId="5" xfId="0" applyNumberFormat="1" applyFont="1" applyFill="1" applyBorder="1">
      <alignment vertical="center"/>
    </xf>
    <xf numFmtId="176" fontId="1" fillId="6" borderId="17" xfId="0" applyNumberFormat="1" applyFont="1" applyFill="1" applyBorder="1">
      <alignment vertical="center"/>
    </xf>
    <xf numFmtId="183" fontId="1" fillId="0" borderId="6" xfId="0" applyNumberFormat="1" applyFont="1" applyBorder="1">
      <alignment vertical="center"/>
    </xf>
    <xf numFmtId="176" fontId="1" fillId="0" borderId="18" xfId="0" applyNumberFormat="1" applyFont="1" applyBorder="1">
      <alignment vertical="center"/>
    </xf>
    <xf numFmtId="183" fontId="1" fillId="0" borderId="7" xfId="0" applyNumberFormat="1" applyFont="1" applyBorder="1">
      <alignment vertical="center"/>
    </xf>
    <xf numFmtId="10" fontId="1" fillId="0" borderId="19" xfId="0" applyNumberFormat="1" applyFont="1" applyBorder="1">
      <alignment vertical="center"/>
    </xf>
    <xf numFmtId="183" fontId="1" fillId="0" borderId="8" xfId="0" applyNumberFormat="1" applyFont="1" applyBorder="1">
      <alignment vertical="center"/>
    </xf>
    <xf numFmtId="10" fontId="1" fillId="0" borderId="9" xfId="0" applyNumberFormat="1" applyFont="1" applyBorder="1">
      <alignment vertical="center"/>
    </xf>
    <xf numFmtId="176" fontId="1" fillId="0" borderId="19" xfId="0" applyNumberFormat="1" applyFont="1" applyBorder="1">
      <alignment vertical="center"/>
    </xf>
    <xf numFmtId="176" fontId="1" fillId="6" borderId="6" xfId="0" applyNumberFormat="1" applyFont="1" applyFill="1" applyBorder="1">
      <alignment vertical="center"/>
    </xf>
    <xf numFmtId="176" fontId="1" fillId="6" borderId="3" xfId="0" applyNumberFormat="1" applyFont="1" applyFill="1" applyBorder="1">
      <alignment vertical="center"/>
    </xf>
    <xf numFmtId="176" fontId="1" fillId="6" borderId="18" xfId="0" applyNumberFormat="1" applyFont="1" applyFill="1" applyBorder="1">
      <alignment vertical="center"/>
    </xf>
    <xf numFmtId="176" fontId="1" fillId="6" borderId="8" xfId="0" applyNumberFormat="1" applyFont="1" applyFill="1" applyBorder="1">
      <alignment vertical="center"/>
    </xf>
    <xf numFmtId="176" fontId="1" fillId="6" borderId="4" xfId="0" applyNumberFormat="1" applyFont="1" applyFill="1" applyBorder="1">
      <alignment vertical="center"/>
    </xf>
    <xf numFmtId="176" fontId="1" fillId="6" borderId="9" xfId="0" applyNumberFormat="1" applyFont="1" applyFill="1" applyBorder="1">
      <alignment vertical="center"/>
    </xf>
    <xf numFmtId="10" fontId="4" fillId="2" borderId="3" xfId="0" applyNumberFormat="1" applyFont="1" applyFill="1" applyBorder="1">
      <alignment vertical="center"/>
    </xf>
    <xf numFmtId="176" fontId="8" fillId="0" borderId="6" xfId="0" applyNumberFormat="1" applyFont="1" applyBorder="1">
      <alignment vertical="center"/>
    </xf>
    <xf numFmtId="176" fontId="8" fillId="0" borderId="3" xfId="0" applyNumberFormat="1" applyFont="1" applyBorder="1">
      <alignment vertical="center"/>
    </xf>
    <xf numFmtId="176" fontId="12" fillId="2" borderId="3" xfId="0" applyNumberFormat="1" applyFont="1" applyFill="1" applyBorder="1">
      <alignment vertical="center"/>
    </xf>
    <xf numFmtId="182" fontId="13" fillId="0" borderId="3" xfId="0" applyNumberFormat="1" applyFont="1" applyBorder="1">
      <alignment vertical="center"/>
    </xf>
    <xf numFmtId="176" fontId="8" fillId="0" borderId="11" xfId="0" applyNumberFormat="1" applyFont="1" applyBorder="1">
      <alignment vertical="center"/>
    </xf>
    <xf numFmtId="176" fontId="8" fillId="0" borderId="7" xfId="0" applyNumberFormat="1" applyFont="1" applyBorder="1">
      <alignment vertical="center"/>
    </xf>
    <xf numFmtId="176" fontId="8" fillId="0" borderId="0" xfId="0" applyNumberFormat="1" applyFont="1" applyBorder="1">
      <alignment vertical="center"/>
    </xf>
    <xf numFmtId="178" fontId="12" fillId="2" borderId="0" xfId="0" applyNumberFormat="1" applyFont="1" applyFill="1" applyBorder="1">
      <alignment vertical="center"/>
    </xf>
    <xf numFmtId="176" fontId="8" fillId="0" borderId="5" xfId="0" applyNumberFormat="1" applyFont="1" applyBorder="1">
      <alignment vertical="center"/>
    </xf>
    <xf numFmtId="176" fontId="8" fillId="3" borderId="0" xfId="0" applyNumberFormat="1" applyFont="1" applyFill="1">
      <alignment vertical="center"/>
    </xf>
    <xf numFmtId="176" fontId="8" fillId="7" borderId="10" xfId="0" applyNumberFormat="1" applyFont="1" applyFill="1" applyBorder="1">
      <alignment vertical="center"/>
    </xf>
    <xf numFmtId="184" fontId="1" fillId="0" borderId="0" xfId="0" applyNumberFormat="1" applyFont="1">
      <alignment vertical="center"/>
    </xf>
    <xf numFmtId="185" fontId="1" fillId="6" borderId="4" xfId="0" applyNumberFormat="1" applyFont="1" applyFill="1" applyBorder="1">
      <alignment vertical="center"/>
    </xf>
    <xf numFmtId="179" fontId="1" fillId="6" borderId="19" xfId="0" applyNumberFormat="1" applyFont="1" applyFill="1" applyBorder="1">
      <alignment vertical="center"/>
    </xf>
    <xf numFmtId="10" fontId="1" fillId="6" borderId="0" xfId="0" applyNumberFormat="1" applyFont="1" applyFill="1">
      <alignment vertical="center"/>
    </xf>
    <xf numFmtId="179" fontId="1" fillId="6" borderId="20" xfId="0" applyNumberFormat="1" applyFont="1" applyFill="1" applyBorder="1">
      <alignment vertical="center"/>
    </xf>
    <xf numFmtId="10" fontId="1" fillId="6" borderId="13" xfId="0" applyNumberFormat="1" applyFont="1" applyFill="1" applyBorder="1">
      <alignment vertical="center"/>
    </xf>
    <xf numFmtId="10" fontId="1" fillId="0" borderId="13" xfId="0" applyNumberFormat="1" applyFont="1" applyBorder="1">
      <alignment vertical="center"/>
    </xf>
    <xf numFmtId="184" fontId="8" fillId="0" borderId="0" xfId="0" applyNumberFormat="1" applyFont="1">
      <alignment vertical="center"/>
    </xf>
    <xf numFmtId="179" fontId="8" fillId="6" borderId="19" xfId="0" applyNumberFormat="1" applyFont="1" applyFill="1" applyBorder="1">
      <alignment vertical="center"/>
    </xf>
    <xf numFmtId="10" fontId="8" fillId="6" borderId="0" xfId="0" applyNumberFormat="1" applyFont="1" applyFill="1">
      <alignment vertical="center"/>
    </xf>
    <xf numFmtId="10" fontId="8" fillId="0" borderId="0" xfId="0" applyNumberFormat="1" applyFont="1">
      <alignment vertical="center"/>
    </xf>
    <xf numFmtId="179" fontId="1" fillId="0" borderId="22" xfId="0" applyNumberFormat="1" applyFont="1" applyBorder="1">
      <alignment vertical="center"/>
    </xf>
    <xf numFmtId="10" fontId="1" fillId="0" borderId="23" xfId="0" applyNumberFormat="1" applyFont="1" applyBorder="1">
      <alignment vertical="center"/>
    </xf>
    <xf numFmtId="10" fontId="1" fillId="0" borderId="24" xfId="0" applyNumberFormat="1" applyFont="1" applyBorder="1">
      <alignment vertical="center"/>
    </xf>
    <xf numFmtId="10" fontId="1" fillId="0" borderId="21" xfId="0" applyNumberFormat="1" applyFont="1" applyBorder="1">
      <alignment vertical="center"/>
    </xf>
    <xf numFmtId="176" fontId="13" fillId="0" borderId="0" xfId="0" applyNumberFormat="1" applyFont="1">
      <alignment vertical="center"/>
    </xf>
    <xf numFmtId="176" fontId="16" fillId="0" borderId="0" xfId="0" applyNumberFormat="1" applyFont="1">
      <alignment vertical="center"/>
    </xf>
    <xf numFmtId="9" fontId="16" fillId="0" borderId="0" xfId="0" applyNumberFormat="1" applyFont="1">
      <alignment vertical="center"/>
    </xf>
    <xf numFmtId="10" fontId="16" fillId="0" borderId="0" xfId="0" applyNumberFormat="1" applyFont="1">
      <alignment vertical="center"/>
    </xf>
    <xf numFmtId="176" fontId="1" fillId="0" borderId="5" xfId="0" applyNumberFormat="1" applyFont="1" applyBorder="1">
      <alignment vertical="center"/>
    </xf>
    <xf numFmtId="176" fontId="1" fillId="0" borderId="2" xfId="0" applyNumberFormat="1" applyFont="1" applyBorder="1">
      <alignment vertical="center"/>
    </xf>
    <xf numFmtId="176" fontId="1" fillId="0" borderId="15" xfId="0" applyNumberFormat="1" applyFont="1" applyBorder="1">
      <alignment vertical="center"/>
    </xf>
    <xf numFmtId="176" fontId="4" fillId="2" borderId="0" xfId="0" applyNumberFormat="1" applyFont="1" applyFill="1" applyBorder="1">
      <alignment vertical="center"/>
    </xf>
    <xf numFmtId="186" fontId="4" fillId="2" borderId="3" xfId="0" applyNumberFormat="1" applyFont="1" applyFill="1" applyBorder="1">
      <alignment vertical="center"/>
    </xf>
    <xf numFmtId="186" fontId="4" fillId="2" borderId="0" xfId="0" applyNumberFormat="1" applyFont="1" applyFill="1" applyBorder="1">
      <alignment vertical="center"/>
    </xf>
    <xf numFmtId="186" fontId="4" fillId="2" borderId="4" xfId="0" applyNumberFormat="1" applyFont="1" applyFill="1" applyBorder="1">
      <alignment vertical="center"/>
    </xf>
    <xf numFmtId="182" fontId="8" fillId="0" borderId="3" xfId="0" applyNumberFormat="1" applyFont="1" applyBorder="1">
      <alignment vertical="center"/>
    </xf>
    <xf numFmtId="176" fontId="8" fillId="0" borderId="9" xfId="0" applyNumberFormat="1" applyFont="1" applyBorder="1">
      <alignment vertical="center"/>
    </xf>
    <xf numFmtId="176" fontId="8" fillId="0" borderId="8" xfId="0" applyNumberFormat="1" applyFont="1" applyBorder="1">
      <alignment vertical="center"/>
    </xf>
    <xf numFmtId="176" fontId="8" fillId="0" borderId="4" xfId="0" applyNumberFormat="1" applyFont="1" applyBorder="1">
      <alignment vertical="center"/>
    </xf>
    <xf numFmtId="182" fontId="8" fillId="0" borderId="4" xfId="0" applyNumberFormat="1" applyFont="1" applyBorder="1">
      <alignment vertical="center"/>
    </xf>
    <xf numFmtId="176" fontId="8" fillId="0" borderId="12" xfId="0" applyNumberFormat="1" applyFont="1" applyBorder="1">
      <alignment vertical="center"/>
    </xf>
    <xf numFmtId="187" fontId="1" fillId="0" borderId="25" xfId="0" applyNumberFormat="1" applyFont="1" applyBorder="1">
      <alignment vertical="center"/>
    </xf>
    <xf numFmtId="176" fontId="1" fillId="6" borderId="25" xfId="0" applyNumberFormat="1" applyFont="1" applyFill="1" applyBorder="1">
      <alignment vertical="center"/>
    </xf>
    <xf numFmtId="176" fontId="1" fillId="0" borderId="26" xfId="0" applyNumberFormat="1" applyFont="1" applyBorder="1">
      <alignment vertical="center"/>
    </xf>
    <xf numFmtId="176" fontId="1" fillId="0" borderId="27" xfId="0" applyNumberFormat="1" applyFont="1" applyBorder="1">
      <alignment vertical="center"/>
    </xf>
    <xf numFmtId="176" fontId="8" fillId="0" borderId="17" xfId="0" applyNumberFormat="1" applyFont="1" applyBorder="1">
      <alignment vertical="center"/>
    </xf>
    <xf numFmtId="176" fontId="8" fillId="0" borderId="25" xfId="0" applyNumberFormat="1" applyFont="1" applyBorder="1">
      <alignment vertical="center"/>
    </xf>
    <xf numFmtId="176" fontId="1" fillId="0" borderId="13" xfId="0" applyNumberFormat="1" applyFont="1" applyBorder="1">
      <alignment vertical="center"/>
    </xf>
    <xf numFmtId="176" fontId="8" fillId="0" borderId="13" xfId="0" applyNumberFormat="1" applyFont="1" applyBorder="1">
      <alignment vertical="center"/>
    </xf>
    <xf numFmtId="188" fontId="1" fillId="0" borderId="6" xfId="0" applyNumberFormat="1" applyFont="1" applyBorder="1">
      <alignment vertical="center"/>
    </xf>
    <xf numFmtId="188" fontId="1" fillId="0" borderId="7" xfId="0" applyNumberFormat="1" applyFont="1" applyBorder="1">
      <alignment vertical="center"/>
    </xf>
    <xf numFmtId="188" fontId="1" fillId="0" borderId="8" xfId="0" applyNumberFormat="1" applyFont="1" applyBorder="1">
      <alignment vertical="center"/>
    </xf>
    <xf numFmtId="188" fontId="4" fillId="2" borderId="0" xfId="0" applyNumberFormat="1" applyFont="1" applyFill="1" applyBorder="1">
      <alignment vertical="center"/>
    </xf>
    <xf numFmtId="176" fontId="10" fillId="0" borderId="0" xfId="0" applyNumberFormat="1" applyFont="1" applyBorder="1">
      <alignment vertical="center"/>
    </xf>
    <xf numFmtId="10" fontId="4" fillId="2" borderId="0" xfId="0" applyNumberFormat="1" applyFont="1" applyFill="1" applyBorder="1">
      <alignment vertical="center"/>
    </xf>
    <xf numFmtId="189" fontId="4" fillId="2" borderId="4" xfId="0" applyNumberFormat="1" applyFont="1" applyFill="1" applyBorder="1">
      <alignment vertical="center"/>
    </xf>
    <xf numFmtId="178" fontId="7" fillId="0" borderId="4" xfId="0" applyNumberFormat="1" applyFont="1" applyBorder="1">
      <alignment vertical="center"/>
    </xf>
    <xf numFmtId="178" fontId="1" fillId="0" borderId="0" xfId="0" applyNumberFormat="1" applyFont="1" applyBorder="1">
      <alignment vertical="center"/>
    </xf>
    <xf numFmtId="179" fontId="7" fillId="0" borderId="0" xfId="0" applyNumberFormat="1" applyFont="1" applyBorder="1">
      <alignment vertical="center"/>
    </xf>
    <xf numFmtId="178" fontId="1" fillId="0" borderId="4" xfId="0" applyNumberFormat="1" applyFont="1" applyBorder="1">
      <alignment vertical="center"/>
    </xf>
    <xf numFmtId="176" fontId="12" fillId="2" borderId="0" xfId="0" applyNumberFormat="1" applyFont="1" applyFill="1">
      <alignment vertical="center"/>
    </xf>
    <xf numFmtId="182" fontId="1" fillId="0" borderId="3" xfId="0" applyNumberFormat="1" applyFont="1" applyBorder="1">
      <alignment vertical="center"/>
    </xf>
    <xf numFmtId="183" fontId="4" fillId="2" borderId="3" xfId="0" applyNumberFormat="1" applyFont="1" applyFill="1" applyBorder="1">
      <alignment vertical="center"/>
    </xf>
    <xf numFmtId="190" fontId="1" fillId="6" borderId="13" xfId="0" applyNumberFormat="1" applyFont="1" applyFill="1" applyBorder="1">
      <alignment vertical="center"/>
    </xf>
    <xf numFmtId="10" fontId="4" fillId="2" borderId="4" xfId="0" applyNumberFormat="1" applyFont="1" applyFill="1" applyBorder="1">
      <alignment vertical="center"/>
    </xf>
    <xf numFmtId="9" fontId="4" fillId="2" borderId="0" xfId="0" applyNumberFormat="1" applyFont="1" applyFill="1">
      <alignment vertical="center"/>
    </xf>
    <xf numFmtId="176" fontId="8" fillId="0" borderId="28" xfId="0" applyNumberFormat="1" applyFont="1" applyBorder="1">
      <alignment vertical="center"/>
    </xf>
    <xf numFmtId="10" fontId="1" fillId="0" borderId="4" xfId="0" applyNumberFormat="1" applyFont="1" applyBorder="1">
      <alignment vertical="center"/>
    </xf>
    <xf numFmtId="176" fontId="1" fillId="3" borderId="13" xfId="0" applyNumberFormat="1" applyFont="1" applyFill="1" applyBorder="1">
      <alignment vertical="center"/>
    </xf>
    <xf numFmtId="10" fontId="1" fillId="0" borderId="6" xfId="0" applyNumberFormat="1" applyFont="1" applyBorder="1">
      <alignment vertical="center"/>
    </xf>
    <xf numFmtId="183" fontId="1" fillId="0" borderId="27" xfId="0" applyNumberFormat="1" applyFont="1" applyBorder="1">
      <alignment vertical="center"/>
    </xf>
    <xf numFmtId="10" fontId="1" fillId="0" borderId="7" xfId="0" applyNumberFormat="1" applyFont="1" applyBorder="1">
      <alignment vertical="center"/>
    </xf>
    <xf numFmtId="183" fontId="1" fillId="0" borderId="16" xfId="0" applyNumberFormat="1" applyFont="1" applyBorder="1">
      <alignment vertical="center"/>
    </xf>
    <xf numFmtId="10" fontId="1" fillId="0" borderId="8" xfId="0" applyNumberFormat="1" applyFont="1" applyBorder="1">
      <alignment vertical="center"/>
    </xf>
    <xf numFmtId="178" fontId="1" fillId="6" borderId="0" xfId="0" applyNumberFormat="1" applyFont="1" applyFill="1">
      <alignment vertical="center"/>
    </xf>
    <xf numFmtId="176" fontId="7" fillId="5" borderId="0" xfId="0" applyNumberFormat="1" applyFont="1" applyFill="1">
      <alignment vertical="center"/>
    </xf>
    <xf numFmtId="183" fontId="16" fillId="0" borderId="0" xfId="0" applyNumberFormat="1" applyFont="1">
      <alignment vertical="center"/>
    </xf>
    <xf numFmtId="176" fontId="7" fillId="0" borderId="4" xfId="0" applyNumberFormat="1" applyFont="1" applyBorder="1">
      <alignment vertical="center"/>
    </xf>
    <xf numFmtId="10" fontId="16" fillId="0" borderId="4" xfId="0" applyNumberFormat="1" applyFont="1" applyBorder="1">
      <alignment vertical="center"/>
    </xf>
    <xf numFmtId="183" fontId="1" fillId="0" borderId="4" xfId="0" applyNumberFormat="1" applyFont="1" applyBorder="1">
      <alignment vertical="center"/>
    </xf>
    <xf numFmtId="183" fontId="8" fillId="0" borderId="28" xfId="0" applyNumberFormat="1" applyFont="1" applyBorder="1">
      <alignment vertical="center"/>
    </xf>
    <xf numFmtId="183" fontId="1" fillId="3" borderId="13" xfId="0" applyNumberFormat="1" applyFont="1" applyFill="1" applyBorder="1">
      <alignment vertical="center"/>
    </xf>
    <xf numFmtId="176" fontId="7" fillId="6" borderId="0" xfId="0" applyNumberFormat="1" applyFont="1" applyFill="1">
      <alignment vertical="center"/>
    </xf>
    <xf numFmtId="178" fontId="16" fillId="6" borderId="0" xfId="0" applyNumberFormat="1" applyFont="1" applyFill="1">
      <alignment vertical="center"/>
    </xf>
    <xf numFmtId="176" fontId="7" fillId="0" borderId="6" xfId="0" applyNumberFormat="1" applyFont="1" applyBorder="1">
      <alignment vertical="center"/>
    </xf>
    <xf numFmtId="176" fontId="7" fillId="0" borderId="3" xfId="0" applyNumberFormat="1" applyFont="1" applyBorder="1">
      <alignment vertical="center"/>
    </xf>
    <xf numFmtId="176" fontId="16" fillId="0" borderId="11" xfId="0" applyNumberFormat="1" applyFont="1" applyBorder="1">
      <alignment vertical="center"/>
    </xf>
    <xf numFmtId="176" fontId="16" fillId="9" borderId="3" xfId="0" applyNumberFormat="1" applyFont="1" applyFill="1" applyBorder="1">
      <alignment vertical="center"/>
    </xf>
    <xf numFmtId="191" fontId="7" fillId="0" borderId="4" xfId="0" applyNumberFormat="1" applyFont="1" applyBorder="1">
      <alignment vertical="center"/>
    </xf>
    <xf numFmtId="176" fontId="1" fillId="7" borderId="12" xfId="0" applyNumberFormat="1" applyFont="1" applyFill="1" applyBorder="1">
      <alignment vertical="center"/>
    </xf>
    <xf numFmtId="176" fontId="7" fillId="0" borderId="0" xfId="0" applyNumberFormat="1" applyFont="1" applyBorder="1">
      <alignment vertical="center"/>
    </xf>
    <xf numFmtId="176" fontId="7" fillId="0" borderId="7" xfId="0" applyNumberFormat="1" applyFont="1" applyBorder="1">
      <alignment vertical="center"/>
    </xf>
    <xf numFmtId="176" fontId="4" fillId="2" borderId="4" xfId="0" applyNumberFormat="1" applyFont="1" applyFill="1" applyBorder="1">
      <alignment vertical="center"/>
    </xf>
    <xf numFmtId="179" fontId="8" fillId="0" borderId="0" xfId="0" applyNumberFormat="1" applyFont="1" applyBorder="1">
      <alignment vertical="center"/>
    </xf>
    <xf numFmtId="176" fontId="1" fillId="5" borderId="28" xfId="0" applyNumberFormat="1" applyFont="1" applyFill="1" applyBorder="1">
      <alignment vertical="center"/>
    </xf>
    <xf numFmtId="176" fontId="1" fillId="5" borderId="29" xfId="0" applyNumberFormat="1" applyFont="1" applyFill="1" applyBorder="1">
      <alignment vertical="center"/>
    </xf>
    <xf numFmtId="176" fontId="1" fillId="0" borderId="17" xfId="0" applyNumberFormat="1" applyFont="1" applyBorder="1">
      <alignment vertical="center"/>
    </xf>
    <xf numFmtId="176" fontId="1" fillId="0" borderId="25" xfId="0" applyNumberFormat="1" applyFont="1" applyBorder="1">
      <alignment vertical="center"/>
    </xf>
    <xf numFmtId="186" fontId="1" fillId="0" borderId="25" xfId="0" applyNumberFormat="1" applyFont="1" applyBorder="1">
      <alignment vertical="center"/>
    </xf>
    <xf numFmtId="186" fontId="1" fillId="0" borderId="26" xfId="0" applyNumberFormat="1" applyFont="1" applyBorder="1">
      <alignment vertical="center"/>
    </xf>
    <xf numFmtId="186" fontId="1" fillId="0" borderId="16" xfId="0" applyNumberFormat="1" applyFont="1" applyBorder="1">
      <alignment vertical="center"/>
    </xf>
    <xf numFmtId="176" fontId="1" fillId="6" borderId="26" xfId="0" applyNumberFormat="1" applyFont="1" applyFill="1" applyBorder="1">
      <alignment vertical="center"/>
    </xf>
    <xf numFmtId="176" fontId="1" fillId="6" borderId="16" xfId="0" applyNumberFormat="1" applyFont="1" applyFill="1" applyBorder="1">
      <alignment vertical="center"/>
    </xf>
    <xf numFmtId="9" fontId="4" fillId="2" borderId="5" xfId="0" applyNumberFormat="1" applyFont="1" applyFill="1" applyBorder="1">
      <alignment vertical="center"/>
    </xf>
    <xf numFmtId="9" fontId="4" fillId="2" borderId="2" xfId="0" applyNumberFormat="1" applyFont="1" applyFill="1" applyBorder="1">
      <alignment vertical="center"/>
    </xf>
    <xf numFmtId="9" fontId="4" fillId="2" borderId="17" xfId="0" applyNumberFormat="1" applyFont="1" applyFill="1" applyBorder="1">
      <alignment vertical="center"/>
    </xf>
    <xf numFmtId="9" fontId="4" fillId="2" borderId="6" xfId="0" applyNumberFormat="1" applyFont="1" applyFill="1" applyBorder="1">
      <alignment vertical="center"/>
    </xf>
    <xf numFmtId="9" fontId="4" fillId="2" borderId="18" xfId="0" applyNumberFormat="1" applyFont="1" applyFill="1" applyBorder="1">
      <alignment vertical="center"/>
    </xf>
    <xf numFmtId="9" fontId="4" fillId="2" borderId="8" xfId="0" applyNumberFormat="1" applyFont="1" applyFill="1" applyBorder="1">
      <alignment vertical="center"/>
    </xf>
    <xf numFmtId="9" fontId="4" fillId="2" borderId="9" xfId="0" applyNumberFormat="1" applyFont="1" applyFill="1" applyBorder="1">
      <alignment vertical="center"/>
    </xf>
    <xf numFmtId="186" fontId="1" fillId="0" borderId="5" xfId="0" applyNumberFormat="1" applyFont="1" applyBorder="1">
      <alignment vertical="center"/>
    </xf>
    <xf numFmtId="176" fontId="4" fillId="2" borderId="26" xfId="0" applyNumberFormat="1" applyFont="1" applyFill="1" applyBorder="1">
      <alignment vertical="center"/>
    </xf>
    <xf numFmtId="176" fontId="4" fillId="2" borderId="16" xfId="0" applyNumberFormat="1" applyFont="1" applyFill="1" applyBorder="1">
      <alignment vertical="center"/>
    </xf>
    <xf numFmtId="186" fontId="8" fillId="3" borderId="5" xfId="0" applyNumberFormat="1" applyFont="1" applyFill="1" applyBorder="1">
      <alignment vertical="center"/>
    </xf>
    <xf numFmtId="186" fontId="1" fillId="0" borderId="6" xfId="0" applyNumberFormat="1" applyFont="1" applyBorder="1">
      <alignment vertical="center"/>
    </xf>
    <xf numFmtId="186" fontId="1" fillId="0" borderId="8" xfId="0" applyNumberFormat="1" applyFont="1" applyBorder="1">
      <alignment vertical="center"/>
    </xf>
    <xf numFmtId="176" fontId="4" fillId="2" borderId="2" xfId="0" applyNumberFormat="1" applyFont="1" applyFill="1" applyBorder="1">
      <alignment vertical="center"/>
    </xf>
    <xf numFmtId="186" fontId="8" fillId="3" borderId="2" xfId="0" applyNumberFormat="1" applyFont="1" applyFill="1" applyBorder="1">
      <alignment vertical="center"/>
    </xf>
    <xf numFmtId="176" fontId="8" fillId="0" borderId="3" xfId="0" applyNumberFormat="1" applyFont="1" applyFill="1" applyBorder="1">
      <alignment vertical="center"/>
    </xf>
    <xf numFmtId="176" fontId="8" fillId="0" borderId="2" xfId="0" applyNumberFormat="1" applyFont="1" applyFill="1" applyBorder="1">
      <alignment vertical="center"/>
    </xf>
    <xf numFmtId="176" fontId="8" fillId="0" borderId="0" xfId="0" applyNumberFormat="1" applyFont="1" applyFill="1" applyBorder="1">
      <alignment vertical="center"/>
    </xf>
    <xf numFmtId="176" fontId="18" fillId="0" borderId="3" xfId="0" applyNumberFormat="1" applyFont="1" applyFill="1" applyBorder="1">
      <alignment vertical="center"/>
    </xf>
    <xf numFmtId="176" fontId="18" fillId="0" borderId="0" xfId="0" applyNumberFormat="1" applyFont="1" applyFill="1" applyBorder="1">
      <alignment vertical="center"/>
    </xf>
    <xf numFmtId="176" fontId="18" fillId="0" borderId="4" xfId="0" applyNumberFormat="1" applyFont="1" applyFill="1" applyBorder="1">
      <alignment vertical="center"/>
    </xf>
    <xf numFmtId="176" fontId="1" fillId="7" borderId="28" xfId="0" applyNumberFormat="1" applyFont="1" applyFill="1" applyBorder="1">
      <alignment vertical="center"/>
    </xf>
    <xf numFmtId="176" fontId="12" fillId="2" borderId="2" xfId="0" applyNumberFormat="1" applyFont="1" applyFill="1" applyBorder="1">
      <alignment vertical="center"/>
    </xf>
    <xf numFmtId="176" fontId="19" fillId="2" borderId="3" xfId="0" applyNumberFormat="1" applyFont="1" applyFill="1" applyBorder="1">
      <alignment vertical="center"/>
    </xf>
    <xf numFmtId="176" fontId="19" fillId="2" borderId="0" xfId="0" applyNumberFormat="1" applyFont="1" applyFill="1" applyBorder="1">
      <alignment vertical="center"/>
    </xf>
    <xf numFmtId="176" fontId="19" fillId="2" borderId="4" xfId="0" applyNumberFormat="1" applyFont="1" applyFill="1" applyBorder="1">
      <alignment vertical="center"/>
    </xf>
    <xf numFmtId="176" fontId="1" fillId="6" borderId="27" xfId="0" applyNumberFormat="1" applyFont="1" applyFill="1" applyBorder="1">
      <alignment vertical="center"/>
    </xf>
    <xf numFmtId="176" fontId="8" fillId="3" borderId="27" xfId="0" applyNumberFormat="1" applyFont="1" applyFill="1" applyBorder="1">
      <alignment vertical="center"/>
    </xf>
    <xf numFmtId="176" fontId="12" fillId="2" borderId="25" xfId="0" applyNumberFormat="1" applyFont="1" applyFill="1" applyBorder="1">
      <alignment vertical="center"/>
    </xf>
    <xf numFmtId="176" fontId="8" fillId="0" borderId="27" xfId="0" applyNumberFormat="1" applyFont="1" applyFill="1" applyBorder="1">
      <alignment vertical="center"/>
    </xf>
    <xf numFmtId="176" fontId="19" fillId="2" borderId="26" xfId="0" applyNumberFormat="1" applyFont="1" applyFill="1" applyBorder="1">
      <alignment vertical="center"/>
    </xf>
    <xf numFmtId="176" fontId="19" fillId="2" borderId="27" xfId="0" applyNumberFormat="1" applyFont="1" applyFill="1" applyBorder="1">
      <alignment vertical="center"/>
    </xf>
    <xf numFmtId="176" fontId="19" fillId="2" borderId="16" xfId="0" applyNumberFormat="1" applyFont="1" applyFill="1" applyBorder="1">
      <alignment vertical="center"/>
    </xf>
    <xf numFmtId="176" fontId="8" fillId="0" borderId="26" xfId="0" applyNumberFormat="1" applyFont="1" applyBorder="1">
      <alignment vertical="center"/>
    </xf>
    <xf numFmtId="176" fontId="12" fillId="2" borderId="26" xfId="0" applyNumberFormat="1" applyFont="1" applyFill="1" applyBorder="1">
      <alignment vertical="center"/>
    </xf>
    <xf numFmtId="176" fontId="4" fillId="2" borderId="27" xfId="0" applyNumberFormat="1" applyFont="1" applyFill="1" applyBorder="1">
      <alignment vertical="center"/>
    </xf>
    <xf numFmtId="176" fontId="8" fillId="0" borderId="27" xfId="0" applyNumberFormat="1" applyFont="1" applyBorder="1">
      <alignment vertical="center"/>
    </xf>
    <xf numFmtId="176" fontId="1" fillId="5" borderId="30" xfId="0" applyNumberFormat="1" applyFont="1" applyFill="1" applyBorder="1">
      <alignment vertical="center"/>
    </xf>
    <xf numFmtId="176" fontId="8" fillId="3" borderId="7" xfId="0" applyNumberFormat="1" applyFont="1" applyFill="1" applyBorder="1">
      <alignment vertical="center"/>
    </xf>
    <xf numFmtId="176" fontId="8" fillId="3" borderId="0" xfId="0" applyNumberFormat="1" applyFont="1" applyFill="1" applyBorder="1">
      <alignment vertical="center"/>
    </xf>
    <xf numFmtId="176" fontId="8" fillId="0" borderId="5" xfId="0" applyNumberFormat="1" applyFont="1" applyFill="1" applyBorder="1">
      <alignment vertical="center"/>
    </xf>
    <xf numFmtId="176" fontId="8" fillId="0" borderId="7" xfId="0" applyNumberFormat="1" applyFont="1" applyFill="1" applyBorder="1">
      <alignment vertical="center"/>
    </xf>
    <xf numFmtId="176" fontId="18" fillId="0" borderId="6" xfId="0" applyNumberFormat="1" applyFont="1" applyFill="1" applyBorder="1">
      <alignment vertical="center"/>
    </xf>
    <xf numFmtId="176" fontId="18" fillId="0" borderId="7" xfId="0" applyNumberFormat="1" applyFont="1" applyFill="1" applyBorder="1">
      <alignment vertical="center"/>
    </xf>
    <xf numFmtId="176" fontId="18" fillId="0" borderId="8" xfId="0" applyNumberFormat="1" applyFont="1" applyFill="1" applyBorder="1">
      <alignment vertical="center"/>
    </xf>
    <xf numFmtId="176" fontId="8" fillId="0" borderId="6" xfId="0" applyNumberFormat="1" applyFont="1" applyFill="1" applyBorder="1">
      <alignment vertical="center"/>
    </xf>
    <xf numFmtId="176" fontId="1" fillId="5" borderId="31" xfId="0" applyNumberFormat="1" applyFont="1" applyFill="1" applyBorder="1">
      <alignment vertical="center"/>
    </xf>
    <xf numFmtId="181" fontId="1" fillId="0" borderId="0" xfId="0" applyNumberFormat="1" applyFont="1" applyBorder="1">
      <alignment vertical="center"/>
    </xf>
    <xf numFmtId="9" fontId="4" fillId="2" borderId="28" xfId="0" applyNumberFormat="1" applyFont="1" applyFill="1" applyBorder="1">
      <alignment vertical="center"/>
    </xf>
    <xf numFmtId="176" fontId="1" fillId="6" borderId="19" xfId="0" applyNumberFormat="1" applyFont="1" applyFill="1" applyBorder="1">
      <alignment vertical="center"/>
    </xf>
    <xf numFmtId="176" fontId="1" fillId="6" borderId="7" xfId="0" applyNumberFormat="1" applyFont="1" applyFill="1" applyBorder="1">
      <alignment vertical="center"/>
    </xf>
    <xf numFmtId="180" fontId="1" fillId="0" borderId="18" xfId="0" applyNumberFormat="1" applyFont="1" applyBorder="1">
      <alignment vertical="center"/>
    </xf>
    <xf numFmtId="181" fontId="1" fillId="0" borderId="19" xfId="0" applyNumberFormat="1" applyFont="1" applyBorder="1">
      <alignment vertical="center"/>
    </xf>
    <xf numFmtId="181" fontId="1" fillId="0" borderId="9" xfId="0" applyNumberFormat="1" applyFont="1" applyBorder="1">
      <alignment vertical="center"/>
    </xf>
    <xf numFmtId="176" fontId="1" fillId="3" borderId="28" xfId="0" applyNumberFormat="1" applyFont="1" applyFill="1" applyBorder="1">
      <alignment vertical="center"/>
    </xf>
    <xf numFmtId="180" fontId="1" fillId="0" borderId="26" xfId="0" applyNumberFormat="1" applyFont="1" applyBorder="1">
      <alignment vertical="center"/>
    </xf>
    <xf numFmtId="181" fontId="1" fillId="0" borderId="16" xfId="0" applyNumberFormat="1" applyFont="1" applyBorder="1">
      <alignment vertical="center"/>
    </xf>
    <xf numFmtId="192" fontId="4" fillId="2" borderId="8" xfId="0" applyNumberFormat="1" applyFont="1" applyFill="1" applyBorder="1">
      <alignment vertical="center"/>
    </xf>
    <xf numFmtId="193" fontId="1" fillId="0" borderId="9" xfId="0" applyNumberFormat="1" applyFont="1" applyBorder="1">
      <alignment vertical="center"/>
    </xf>
    <xf numFmtId="192" fontId="1" fillId="0" borderId="8" xfId="0" applyNumberFormat="1" applyFont="1" applyFill="1" applyBorder="1">
      <alignment vertical="center"/>
    </xf>
    <xf numFmtId="193" fontId="1" fillId="0" borderId="4" xfId="0" applyNumberFormat="1" applyFont="1" applyBorder="1">
      <alignment vertical="center"/>
    </xf>
    <xf numFmtId="176" fontId="1" fillId="5" borderId="23" xfId="0" applyNumberFormat="1" applyFont="1" applyFill="1" applyBorder="1">
      <alignment vertical="center"/>
    </xf>
    <xf numFmtId="178" fontId="4" fillId="2" borderId="18" xfId="0" applyNumberFormat="1" applyFont="1" applyFill="1" applyBorder="1">
      <alignment vertical="center"/>
    </xf>
    <xf numFmtId="179" fontId="4" fillId="2" borderId="19" xfId="0" applyNumberFormat="1" applyFont="1" applyFill="1" applyBorder="1">
      <alignment vertical="center"/>
    </xf>
    <xf numFmtId="179" fontId="4" fillId="2" borderId="0" xfId="0" applyNumberFormat="1" applyFont="1" applyFill="1" applyBorder="1">
      <alignment vertical="center"/>
    </xf>
    <xf numFmtId="178" fontId="1" fillId="0" borderId="9" xfId="0" applyNumberFormat="1" applyFont="1" applyBorder="1">
      <alignment vertical="center"/>
    </xf>
    <xf numFmtId="9" fontId="1" fillId="0" borderId="6" xfId="0" applyNumberFormat="1" applyFont="1" applyBorder="1">
      <alignment vertical="center"/>
    </xf>
    <xf numFmtId="178" fontId="1" fillId="0" borderId="18" xfId="0" applyNumberFormat="1" applyFont="1" applyBorder="1">
      <alignment vertical="center"/>
    </xf>
    <xf numFmtId="9" fontId="4" fillId="2" borderId="7" xfId="0" applyNumberFormat="1" applyFont="1" applyFill="1" applyBorder="1">
      <alignment vertical="center"/>
    </xf>
    <xf numFmtId="194" fontId="4" fillId="2" borderId="0" xfId="0" applyNumberFormat="1" applyFont="1" applyFill="1" applyBorder="1">
      <alignment vertical="center"/>
    </xf>
    <xf numFmtId="178" fontId="1" fillId="0" borderId="19" xfId="0" applyNumberFormat="1" applyFont="1" applyBorder="1">
      <alignment vertical="center"/>
    </xf>
    <xf numFmtId="9" fontId="1" fillId="0" borderId="8" xfId="0" applyNumberFormat="1" applyFont="1" applyBorder="1">
      <alignment vertical="center"/>
    </xf>
    <xf numFmtId="9" fontId="1" fillId="0" borderId="5" xfId="0" applyNumberFormat="1" applyFont="1" applyBorder="1">
      <alignment vertical="center"/>
    </xf>
    <xf numFmtId="178" fontId="1" fillId="0" borderId="3" xfId="0" applyNumberFormat="1" applyFont="1" applyBorder="1">
      <alignment vertical="center"/>
    </xf>
    <xf numFmtId="176" fontId="1" fillId="7" borderId="17" xfId="0" applyNumberFormat="1" applyFont="1" applyFill="1" applyBorder="1">
      <alignment vertical="center"/>
    </xf>
    <xf numFmtId="176" fontId="1" fillId="7" borderId="2" xfId="0" applyNumberFormat="1" applyFont="1" applyFill="1" applyBorder="1">
      <alignment vertical="center"/>
    </xf>
    <xf numFmtId="9" fontId="7" fillId="0" borderId="4" xfId="0" applyNumberFormat="1" applyFont="1" applyBorder="1">
      <alignment vertical="center"/>
    </xf>
    <xf numFmtId="176" fontId="1" fillId="5" borderId="13" xfId="0" applyNumberFormat="1" applyFont="1" applyFill="1" applyBorder="1">
      <alignment vertical="center"/>
    </xf>
    <xf numFmtId="10" fontId="1" fillId="0" borderId="3" xfId="0" applyNumberFormat="1" applyFont="1" applyBorder="1">
      <alignment vertical="center"/>
    </xf>
    <xf numFmtId="9" fontId="7" fillId="0" borderId="0" xfId="0" applyNumberFormat="1" applyFont="1" applyBorder="1">
      <alignment vertical="center"/>
    </xf>
    <xf numFmtId="178" fontId="7" fillId="0" borderId="0" xfId="0" applyNumberFormat="1" applyFont="1" applyBorder="1">
      <alignment vertical="center"/>
    </xf>
    <xf numFmtId="176" fontId="1" fillId="3" borderId="31" xfId="0" applyNumberFormat="1" applyFont="1" applyFill="1" applyBorder="1">
      <alignment vertical="center"/>
    </xf>
    <xf numFmtId="176" fontId="1" fillId="0" borderId="20" xfId="0" applyNumberFormat="1" applyFont="1" applyBorder="1">
      <alignment vertical="center"/>
    </xf>
    <xf numFmtId="178" fontId="7" fillId="0" borderId="3" xfId="0" applyNumberFormat="1" applyFont="1" applyBorder="1">
      <alignment vertical="center"/>
    </xf>
    <xf numFmtId="178" fontId="7" fillId="0" borderId="2" xfId="0" applyNumberFormat="1" applyFont="1" applyBorder="1">
      <alignment vertical="center"/>
    </xf>
    <xf numFmtId="183" fontId="4" fillId="2" borderId="2" xfId="0" applyNumberFormat="1" applyFont="1" applyFill="1" applyBorder="1">
      <alignment vertical="center"/>
    </xf>
    <xf numFmtId="178" fontId="7" fillId="0" borderId="15" xfId="0" applyNumberFormat="1" applyFont="1" applyBorder="1">
      <alignment vertical="center"/>
    </xf>
    <xf numFmtId="186" fontId="4" fillId="2" borderId="2" xfId="0" applyNumberFormat="1" applyFont="1" applyFill="1" applyBorder="1">
      <alignment vertical="center"/>
    </xf>
    <xf numFmtId="176" fontId="7" fillId="0" borderId="2" xfId="0" applyNumberFormat="1" applyFont="1" applyBorder="1">
      <alignment vertical="center"/>
    </xf>
    <xf numFmtId="176" fontId="16" fillId="0" borderId="10" xfId="0" applyNumberFormat="1" applyFont="1" applyBorder="1">
      <alignment vertical="center"/>
    </xf>
    <xf numFmtId="178" fontId="16" fillId="0" borderId="0" xfId="0" applyNumberFormat="1" applyFont="1" applyBorder="1">
      <alignment vertical="center"/>
    </xf>
    <xf numFmtId="195" fontId="16" fillId="0" borderId="0" xfId="0" applyNumberFormat="1" applyFont="1" applyBorder="1">
      <alignment vertical="center"/>
    </xf>
    <xf numFmtId="186" fontId="16" fillId="0" borderId="0" xfId="0" applyNumberFormat="1" applyFont="1" applyBorder="1">
      <alignment vertical="center"/>
    </xf>
    <xf numFmtId="196" fontId="4" fillId="2" borderId="4" xfId="0" applyNumberFormat="1" applyFont="1" applyFill="1" applyBorder="1">
      <alignment vertical="center"/>
    </xf>
    <xf numFmtId="197" fontId="4" fillId="2" borderId="4" xfId="0" applyNumberFormat="1" applyFont="1" applyFill="1" applyBorder="1">
      <alignment vertical="center"/>
    </xf>
    <xf numFmtId="197" fontId="7" fillId="0" borderId="0" xfId="0" applyNumberFormat="1" applyFont="1">
      <alignment vertical="center"/>
    </xf>
    <xf numFmtId="176" fontId="1" fillId="0" borderId="28" xfId="0" applyNumberFormat="1" applyFont="1" applyBorder="1">
      <alignment vertical="center"/>
    </xf>
    <xf numFmtId="178" fontId="7" fillId="0" borderId="28" xfId="0" applyNumberFormat="1" applyFont="1" applyBorder="1">
      <alignment vertical="center"/>
    </xf>
    <xf numFmtId="178" fontId="1" fillId="6" borderId="4" xfId="0" applyNumberFormat="1" applyFont="1" applyFill="1" applyBorder="1">
      <alignment vertical="center"/>
    </xf>
    <xf numFmtId="178" fontId="1" fillId="0" borderId="25" xfId="0" applyNumberFormat="1" applyFont="1" applyBorder="1">
      <alignment vertical="center"/>
    </xf>
    <xf numFmtId="178" fontId="1" fillId="0" borderId="26" xfId="0" applyNumberFormat="1" applyFont="1" applyBorder="1">
      <alignment vertical="center"/>
    </xf>
    <xf numFmtId="186" fontId="4" fillId="2" borderId="6" xfId="0" applyNumberFormat="1" applyFont="1" applyFill="1" applyBorder="1">
      <alignment vertical="center"/>
    </xf>
    <xf numFmtId="178" fontId="1" fillId="0" borderId="16" xfId="0" applyNumberFormat="1" applyFont="1" applyBorder="1">
      <alignment vertical="center"/>
    </xf>
    <xf numFmtId="186" fontId="4" fillId="2" borderId="8" xfId="0" applyNumberFormat="1" applyFont="1" applyFill="1" applyBorder="1">
      <alignment vertical="center"/>
    </xf>
    <xf numFmtId="9" fontId="4" fillId="2" borderId="26" xfId="0" applyNumberFormat="1" applyFont="1" applyFill="1" applyBorder="1">
      <alignment vertical="center"/>
    </xf>
    <xf numFmtId="10" fontId="4" fillId="2" borderId="26" xfId="0" applyNumberFormat="1" applyFont="1" applyFill="1" applyBorder="1">
      <alignment vertical="center"/>
    </xf>
    <xf numFmtId="10" fontId="4" fillId="2" borderId="16" xfId="0" applyNumberFormat="1" applyFont="1" applyFill="1" applyBorder="1">
      <alignment vertical="center"/>
    </xf>
    <xf numFmtId="197" fontId="4" fillId="2" borderId="26" xfId="0" applyNumberFormat="1" applyFont="1" applyFill="1" applyBorder="1">
      <alignment vertical="center"/>
    </xf>
    <xf numFmtId="197" fontId="4" fillId="2" borderId="16" xfId="0" applyNumberFormat="1" applyFont="1" applyFill="1" applyBorder="1">
      <alignment vertical="center"/>
    </xf>
    <xf numFmtId="199" fontId="4" fillId="2" borderId="16" xfId="0" applyNumberFormat="1" applyFont="1" applyFill="1" applyBorder="1">
      <alignment vertical="center"/>
    </xf>
    <xf numFmtId="9" fontId="1" fillId="0" borderId="26" xfId="0" applyNumberFormat="1" applyFont="1" applyBorder="1">
      <alignment vertical="center"/>
    </xf>
    <xf numFmtId="9" fontId="1" fillId="0" borderId="16" xfId="0" applyNumberFormat="1" applyFont="1" applyBorder="1">
      <alignment vertical="center"/>
    </xf>
    <xf numFmtId="199" fontId="4" fillId="2" borderId="26" xfId="0" applyNumberFormat="1" applyFont="1" applyFill="1" applyBorder="1">
      <alignment vertical="center"/>
    </xf>
    <xf numFmtId="176" fontId="20" fillId="8" borderId="28" xfId="0" applyNumberFormat="1" applyFont="1" applyFill="1" applyBorder="1">
      <alignment vertical="center"/>
    </xf>
    <xf numFmtId="176" fontId="20" fillId="8" borderId="29" xfId="0" applyNumberFormat="1" applyFont="1" applyFill="1" applyBorder="1">
      <alignment vertical="center"/>
    </xf>
    <xf numFmtId="197" fontId="1" fillId="0" borderId="4" xfId="0" applyNumberFormat="1" applyFont="1" applyBorder="1">
      <alignment vertical="center"/>
    </xf>
    <xf numFmtId="178" fontId="7" fillId="0" borderId="12" xfId="0" applyNumberFormat="1" applyFont="1" applyBorder="1">
      <alignment vertical="center"/>
    </xf>
    <xf numFmtId="179" fontId="1" fillId="0" borderId="4" xfId="0" applyNumberFormat="1" applyFont="1" applyBorder="1">
      <alignment vertical="center"/>
    </xf>
    <xf numFmtId="200" fontId="7" fillId="0" borderId="2" xfId="0" applyNumberFormat="1" applyFont="1" applyBorder="1">
      <alignment vertical="center"/>
    </xf>
    <xf numFmtId="178" fontId="16" fillId="0" borderId="0" xfId="0" applyNumberFormat="1" applyFont="1">
      <alignment vertical="center"/>
    </xf>
    <xf numFmtId="199" fontId="13" fillId="0" borderId="28" xfId="0" applyNumberFormat="1" applyFont="1" applyBorder="1">
      <alignment vertical="center"/>
    </xf>
    <xf numFmtId="176" fontId="8" fillId="7" borderId="28" xfId="0" applyNumberFormat="1" applyFont="1" applyFill="1" applyBorder="1">
      <alignment vertical="center"/>
    </xf>
    <xf numFmtId="176" fontId="12" fillId="2" borderId="5" xfId="0" applyNumberFormat="1" applyFont="1" applyFill="1" applyBorder="1">
      <alignment vertical="center"/>
    </xf>
    <xf numFmtId="176" fontId="19" fillId="2" borderId="6" xfId="0" applyNumberFormat="1" applyFont="1" applyFill="1" applyBorder="1">
      <alignment vertical="center"/>
    </xf>
    <xf numFmtId="176" fontId="19" fillId="2" borderId="7" xfId="0" applyNumberFormat="1" applyFont="1" applyFill="1" applyBorder="1">
      <alignment vertical="center"/>
    </xf>
    <xf numFmtId="176" fontId="19" fillId="2" borderId="8" xfId="0" applyNumberFormat="1" applyFont="1" applyFill="1" applyBorder="1">
      <alignment vertical="center"/>
    </xf>
    <xf numFmtId="176" fontId="12" fillId="2" borderId="6" xfId="0" applyNumberFormat="1" applyFont="1" applyFill="1" applyBorder="1">
      <alignment vertical="center"/>
    </xf>
    <xf numFmtId="176" fontId="4" fillId="2" borderId="6" xfId="0" applyNumberFormat="1" applyFont="1" applyFill="1" applyBorder="1">
      <alignment vertical="center"/>
    </xf>
    <xf numFmtId="176" fontId="4" fillId="2" borderId="7" xfId="0" applyNumberFormat="1" applyFont="1" applyFill="1" applyBorder="1">
      <alignment vertical="center"/>
    </xf>
    <xf numFmtId="176" fontId="4" fillId="2" borderId="8" xfId="0" applyNumberFormat="1" applyFont="1" applyFill="1" applyBorder="1">
      <alignment vertical="center"/>
    </xf>
    <xf numFmtId="176" fontId="20" fillId="8" borderId="30" xfId="0" applyNumberFormat="1" applyFont="1" applyFill="1" applyBorder="1">
      <alignment vertical="center"/>
    </xf>
    <xf numFmtId="176" fontId="20" fillId="8" borderId="31" xfId="0" applyNumberFormat="1" applyFont="1" applyFill="1" applyBorder="1">
      <alignment vertical="center"/>
    </xf>
    <xf numFmtId="186" fontId="7" fillId="0" borderId="0" xfId="0" applyNumberFormat="1" applyFont="1" applyBorder="1">
      <alignment vertical="center"/>
    </xf>
    <xf numFmtId="176" fontId="21" fillId="7" borderId="28" xfId="0" applyNumberFormat="1" applyFont="1" applyFill="1" applyBorder="1">
      <alignment vertical="center"/>
    </xf>
    <xf numFmtId="201" fontId="4" fillId="2" borderId="0" xfId="0" applyNumberFormat="1" applyFont="1" applyFill="1">
      <alignment vertical="center"/>
    </xf>
    <xf numFmtId="186" fontId="1" fillId="0" borderId="18" xfId="0" applyNumberFormat="1" applyFont="1" applyBorder="1">
      <alignment vertical="center"/>
    </xf>
    <xf numFmtId="186" fontId="1" fillId="0" borderId="19" xfId="0" applyNumberFormat="1" applyFont="1" applyBorder="1">
      <alignment vertical="center"/>
    </xf>
    <xf numFmtId="186" fontId="1" fillId="0" borderId="9" xfId="0" applyNumberFormat="1" applyFont="1" applyBorder="1">
      <alignment vertical="center"/>
    </xf>
    <xf numFmtId="176" fontId="4" fillId="2" borderId="25" xfId="0" applyNumberFormat="1" applyFont="1" applyFill="1" applyBorder="1">
      <alignment vertical="center"/>
    </xf>
    <xf numFmtId="176" fontId="1" fillId="3" borderId="25" xfId="0" applyNumberFormat="1" applyFont="1" applyFill="1" applyBorder="1">
      <alignment vertical="center"/>
    </xf>
    <xf numFmtId="176" fontId="1" fillId="3" borderId="6" xfId="0" applyNumberFormat="1" applyFont="1" applyFill="1" applyBorder="1">
      <alignment vertical="center"/>
    </xf>
    <xf numFmtId="9" fontId="7" fillId="3" borderId="3" xfId="0" applyNumberFormat="1" applyFont="1" applyFill="1" applyBorder="1">
      <alignment vertical="center"/>
    </xf>
    <xf numFmtId="176" fontId="1" fillId="3" borderId="9" xfId="0" applyNumberFormat="1" applyFont="1" applyFill="1" applyBorder="1">
      <alignment vertical="center"/>
    </xf>
    <xf numFmtId="176" fontId="1" fillId="3" borderId="8" xfId="0" applyNumberFormat="1" applyFont="1" applyFill="1" applyBorder="1">
      <alignment vertical="center"/>
    </xf>
    <xf numFmtId="9" fontId="7" fillId="3" borderId="4" xfId="0" applyNumberFormat="1" applyFont="1" applyFill="1" applyBorder="1">
      <alignment vertical="center"/>
    </xf>
    <xf numFmtId="176" fontId="21" fillId="0" borderId="0" xfId="0" applyNumberFormat="1" applyFont="1" applyFill="1" applyBorder="1">
      <alignment vertical="center"/>
    </xf>
    <xf numFmtId="176" fontId="21" fillId="0" borderId="3" xfId="0" applyNumberFormat="1" applyFont="1" applyFill="1" applyBorder="1">
      <alignment vertical="center"/>
    </xf>
    <xf numFmtId="10" fontId="21" fillId="0" borderId="2" xfId="0" applyNumberFormat="1" applyFont="1" applyFill="1" applyBorder="1">
      <alignment vertical="center"/>
    </xf>
    <xf numFmtId="183" fontId="21" fillId="0" borderId="3" xfId="0" applyNumberFormat="1" applyFont="1" applyFill="1" applyBorder="1">
      <alignment vertical="center"/>
    </xf>
    <xf numFmtId="183" fontId="21" fillId="0" borderId="4" xfId="0" applyNumberFormat="1" applyFont="1" applyFill="1" applyBorder="1">
      <alignment vertical="center"/>
    </xf>
    <xf numFmtId="10" fontId="21" fillId="0" borderId="0" xfId="0" applyNumberFormat="1" applyFont="1" applyFill="1">
      <alignment vertical="center"/>
    </xf>
    <xf numFmtId="176" fontId="24" fillId="4" borderId="0" xfId="1" applyNumberFormat="1" applyFont="1" applyFill="1" applyAlignment="1">
      <alignment horizontal="right" vertical="center"/>
    </xf>
    <xf numFmtId="186" fontId="20" fillId="8" borderId="28" xfId="0" applyNumberFormat="1" applyFont="1" applyFill="1" applyBorder="1">
      <alignment vertical="center"/>
    </xf>
    <xf numFmtId="186" fontId="26" fillId="3" borderId="0" xfId="0" applyNumberFormat="1" applyFont="1" applyFill="1">
      <alignment vertical="center"/>
    </xf>
    <xf numFmtId="186" fontId="27" fillId="0" borderId="3" xfId="0" applyNumberFormat="1" applyFont="1" applyBorder="1">
      <alignment vertical="center"/>
    </xf>
    <xf numFmtId="186" fontId="27" fillId="0" borderId="0" xfId="0" applyNumberFormat="1" applyFont="1" applyBorder="1">
      <alignment vertical="center"/>
    </xf>
    <xf numFmtId="186" fontId="27" fillId="0" borderId="4" xfId="0" applyNumberFormat="1" applyFont="1" applyBorder="1">
      <alignment vertical="center"/>
    </xf>
    <xf numFmtId="176" fontId="18" fillId="0" borderId="0" xfId="0" applyNumberFormat="1" applyFont="1">
      <alignment vertical="center"/>
    </xf>
    <xf numFmtId="176" fontId="18" fillId="0" borderId="5" xfId="0" applyNumberFormat="1" applyFont="1" applyBorder="1">
      <alignment vertical="center"/>
    </xf>
    <xf numFmtId="176" fontId="18" fillId="0" borderId="2" xfId="0" applyNumberFormat="1" applyFont="1" applyBorder="1">
      <alignment vertical="center"/>
    </xf>
    <xf numFmtId="176" fontId="19" fillId="2" borderId="2" xfId="0" applyNumberFormat="1" applyFont="1" applyFill="1" applyBorder="1">
      <alignment vertical="center"/>
    </xf>
    <xf numFmtId="182" fontId="16" fillId="0" borderId="2" xfId="0" applyNumberFormat="1" applyFont="1" applyBorder="1">
      <alignment vertical="center"/>
    </xf>
    <xf numFmtId="186" fontId="27" fillId="0" borderId="2" xfId="0" applyNumberFormat="1" applyFont="1" applyBorder="1">
      <alignment vertical="center"/>
    </xf>
    <xf numFmtId="178" fontId="25" fillId="0" borderId="2" xfId="0" applyNumberFormat="1" applyFont="1" applyFill="1" applyBorder="1">
      <alignment vertical="center"/>
    </xf>
    <xf numFmtId="10" fontId="19" fillId="2" borderId="2" xfId="0" applyNumberFormat="1" applyFont="1" applyFill="1" applyBorder="1">
      <alignment vertical="center"/>
    </xf>
    <xf numFmtId="176" fontId="16" fillId="0" borderId="2" xfId="0" applyNumberFormat="1" applyFont="1" applyBorder="1">
      <alignment vertical="center"/>
    </xf>
    <xf numFmtId="176" fontId="18" fillId="0" borderId="6" xfId="0" applyNumberFormat="1" applyFont="1" applyBorder="1">
      <alignment vertical="center"/>
    </xf>
    <xf numFmtId="176" fontId="18" fillId="0" borderId="3" xfId="0" applyNumberFormat="1" applyFont="1" applyBorder="1">
      <alignment vertical="center"/>
    </xf>
    <xf numFmtId="182" fontId="18" fillId="0" borderId="2" xfId="0" applyNumberFormat="1" applyFont="1" applyBorder="1">
      <alignment vertical="center"/>
    </xf>
    <xf numFmtId="183" fontId="19" fillId="2" borderId="2" xfId="0" applyNumberFormat="1" applyFont="1" applyFill="1" applyBorder="1">
      <alignment vertical="center"/>
    </xf>
    <xf numFmtId="176" fontId="18" fillId="0" borderId="9" xfId="0" applyNumberFormat="1" applyFont="1" applyBorder="1">
      <alignment vertical="center"/>
    </xf>
    <xf numFmtId="176" fontId="25" fillId="0" borderId="2" xfId="0" applyNumberFormat="1" applyFont="1" applyFill="1" applyBorder="1">
      <alignment vertical="center"/>
    </xf>
    <xf numFmtId="179" fontId="18" fillId="0" borderId="2" xfId="0" applyNumberFormat="1" applyFont="1" applyBorder="1">
      <alignment vertical="center"/>
    </xf>
    <xf numFmtId="176" fontId="8" fillId="5" borderId="28" xfId="0" applyNumberFormat="1" applyFont="1" applyFill="1" applyBorder="1">
      <alignment vertical="center"/>
    </xf>
    <xf numFmtId="186" fontId="26" fillId="5" borderId="28" xfId="0" applyNumberFormat="1" applyFont="1" applyFill="1" applyBorder="1">
      <alignment vertical="center"/>
    </xf>
    <xf numFmtId="176" fontId="1" fillId="0" borderId="32" xfId="0" applyNumberFormat="1" applyFont="1" applyBorder="1">
      <alignment vertical="center"/>
    </xf>
    <xf numFmtId="176" fontId="1" fillId="0" borderId="33" xfId="0" applyNumberFormat="1" applyFont="1" applyBorder="1">
      <alignment vertical="center"/>
    </xf>
    <xf numFmtId="186" fontId="1" fillId="0" borderId="33" xfId="0" applyNumberFormat="1" applyFont="1" applyBorder="1">
      <alignment vertical="center"/>
    </xf>
    <xf numFmtId="176" fontId="1" fillId="0" borderId="34" xfId="0" applyNumberFormat="1" applyFont="1" applyBorder="1">
      <alignment vertical="center"/>
    </xf>
    <xf numFmtId="176" fontId="1" fillId="0" borderId="35" xfId="0" applyNumberFormat="1" applyFont="1" applyBorder="1">
      <alignment vertical="center"/>
    </xf>
    <xf numFmtId="186" fontId="1" fillId="0" borderId="13" xfId="0" applyNumberFormat="1" applyFont="1" applyBorder="1">
      <alignment vertical="center"/>
    </xf>
    <xf numFmtId="176" fontId="1" fillId="0" borderId="14" xfId="0" applyNumberFormat="1" applyFont="1" applyBorder="1">
      <alignment vertical="center"/>
    </xf>
    <xf numFmtId="202" fontId="1" fillId="0" borderId="26" xfId="0" applyNumberFormat="1" applyFont="1" applyBorder="1">
      <alignment vertical="center"/>
    </xf>
    <xf numFmtId="202" fontId="1" fillId="0" borderId="16" xfId="0" applyNumberFormat="1" applyFont="1" applyBorder="1">
      <alignment vertical="center"/>
    </xf>
    <xf numFmtId="202" fontId="1" fillId="0" borderId="25" xfId="0" applyNumberFormat="1" applyFont="1" applyBorder="1">
      <alignment vertical="center"/>
    </xf>
    <xf numFmtId="176" fontId="28" fillId="0" borderId="0" xfId="0" applyNumberFormat="1" applyFont="1">
      <alignment vertical="center"/>
    </xf>
    <xf numFmtId="176" fontId="27" fillId="0" borderId="0" xfId="0" applyNumberFormat="1" applyFont="1">
      <alignment vertical="center"/>
    </xf>
    <xf numFmtId="186" fontId="27" fillId="0" borderId="0" xfId="0" applyNumberFormat="1" applyFont="1">
      <alignment vertical="center"/>
    </xf>
    <xf numFmtId="176" fontId="10" fillId="0" borderId="32" xfId="0" applyNumberFormat="1" applyFont="1" applyBorder="1">
      <alignment vertical="center"/>
    </xf>
    <xf numFmtId="176" fontId="29" fillId="0" borderId="0" xfId="0" applyNumberFormat="1" applyFont="1">
      <alignment vertical="center"/>
    </xf>
    <xf numFmtId="10" fontId="27" fillId="0" borderId="0" xfId="0" applyNumberFormat="1" applyFont="1">
      <alignment vertical="center"/>
    </xf>
    <xf numFmtId="176" fontId="1" fillId="0" borderId="22" xfId="0" applyNumberFormat="1" applyFont="1" applyBorder="1">
      <alignment vertical="center"/>
    </xf>
    <xf numFmtId="176" fontId="1" fillId="0" borderId="23" xfId="0" applyNumberFormat="1" applyFont="1" applyBorder="1">
      <alignment vertical="center"/>
    </xf>
    <xf numFmtId="10" fontId="1" fillId="0" borderId="5" xfId="0" applyNumberFormat="1" applyFont="1" applyBorder="1">
      <alignment vertical="center"/>
    </xf>
    <xf numFmtId="9" fontId="7" fillId="0" borderId="0" xfId="0" applyNumberFormat="1" applyFont="1">
      <alignment vertical="center"/>
    </xf>
    <xf numFmtId="176" fontId="1" fillId="7" borderId="5" xfId="0" applyNumberFormat="1" applyFont="1" applyFill="1" applyBorder="1">
      <alignment vertical="center"/>
    </xf>
    <xf numFmtId="176" fontId="1" fillId="7" borderId="13" xfId="0" applyNumberFormat="1" applyFont="1" applyFill="1" applyBorder="1">
      <alignment vertical="center"/>
    </xf>
    <xf numFmtId="183" fontId="1" fillId="7" borderId="0" xfId="0" applyNumberFormat="1" applyFont="1" applyFill="1">
      <alignment vertical="center"/>
    </xf>
    <xf numFmtId="187" fontId="1" fillId="0" borderId="13" xfId="0" applyNumberFormat="1" applyFont="1" applyBorder="1">
      <alignment vertical="center"/>
    </xf>
    <xf numFmtId="9" fontId="1" fillId="0" borderId="10" xfId="0" applyNumberFormat="1" applyFont="1" applyBorder="1">
      <alignment vertical="center"/>
    </xf>
    <xf numFmtId="9" fontId="1" fillId="0" borderId="14" xfId="0" applyNumberFormat="1" applyFont="1" applyBorder="1">
      <alignment vertical="center"/>
    </xf>
    <xf numFmtId="186" fontId="1" fillId="0" borderId="14" xfId="0" applyNumberFormat="1" applyFont="1" applyBorder="1">
      <alignment vertical="center"/>
    </xf>
    <xf numFmtId="186" fontId="1" fillId="0" borderId="0" xfId="0" applyNumberFormat="1" applyFont="1">
      <alignment vertical="center"/>
    </xf>
    <xf numFmtId="202" fontId="1" fillId="0" borderId="14" xfId="0" applyNumberFormat="1" applyFont="1" applyBorder="1">
      <alignment vertical="center"/>
    </xf>
    <xf numFmtId="202" fontId="1" fillId="0" borderId="0" xfId="0" applyNumberFormat="1" applyFont="1">
      <alignment vertical="center"/>
    </xf>
    <xf numFmtId="202" fontId="1" fillId="0" borderId="13" xfId="0" applyNumberFormat="1" applyFont="1" applyBorder="1">
      <alignment vertical="center"/>
    </xf>
    <xf numFmtId="9" fontId="4" fillId="2" borderId="25" xfId="0" applyNumberFormat="1" applyFont="1" applyFill="1" applyBorder="1">
      <alignment vertical="center"/>
    </xf>
    <xf numFmtId="187" fontId="4" fillId="2" borderId="25" xfId="0" applyNumberFormat="1" applyFont="1" applyFill="1" applyBorder="1">
      <alignment vertical="center"/>
    </xf>
    <xf numFmtId="186" fontId="1" fillId="0" borderId="2" xfId="0" applyNumberFormat="1" applyFont="1" applyBorder="1">
      <alignment vertical="center"/>
    </xf>
    <xf numFmtId="186" fontId="1" fillId="0" borderId="17" xfId="0" applyNumberFormat="1" applyFont="1" applyBorder="1">
      <alignment vertical="center"/>
    </xf>
    <xf numFmtId="202" fontId="1" fillId="0" borderId="5" xfId="0" applyNumberFormat="1" applyFont="1" applyBorder="1">
      <alignment vertical="center"/>
    </xf>
    <xf numFmtId="202" fontId="1" fillId="0" borderId="2" xfId="0" applyNumberFormat="1" applyFont="1" applyBorder="1">
      <alignment vertical="center"/>
    </xf>
    <xf numFmtId="202" fontId="1" fillId="0" borderId="17" xfId="0" applyNumberFormat="1" applyFont="1" applyBorder="1">
      <alignment vertical="center"/>
    </xf>
    <xf numFmtId="176" fontId="4" fillId="2" borderId="34" xfId="0" applyNumberFormat="1" applyFont="1" applyFill="1" applyBorder="1">
      <alignment vertical="center"/>
    </xf>
    <xf numFmtId="176" fontId="4" fillId="2" borderId="14" xfId="0" applyNumberFormat="1" applyFont="1" applyFill="1" applyBorder="1">
      <alignment vertical="center"/>
    </xf>
    <xf numFmtId="9" fontId="1" fillId="0" borderId="17" xfId="0" applyNumberFormat="1" applyFont="1" applyBorder="1">
      <alignment vertical="center"/>
    </xf>
    <xf numFmtId="187" fontId="1" fillId="0" borderId="17" xfId="0" applyNumberFormat="1" applyFont="1" applyBorder="1">
      <alignment vertical="center"/>
    </xf>
    <xf numFmtId="176" fontId="1" fillId="0" borderId="24" xfId="0" applyNumberFormat="1" applyFont="1" applyBorder="1">
      <alignment vertical="center"/>
    </xf>
    <xf numFmtId="192" fontId="31" fillId="0" borderId="27" xfId="0" applyNumberFormat="1" applyFont="1" applyFill="1" applyBorder="1">
      <alignment vertical="center"/>
    </xf>
    <xf numFmtId="192" fontId="31" fillId="0" borderId="16" xfId="0" applyNumberFormat="1" applyFont="1" applyFill="1" applyBorder="1">
      <alignment vertical="center"/>
    </xf>
    <xf numFmtId="9" fontId="31" fillId="3" borderId="28" xfId="0" applyNumberFormat="1" applyFont="1" applyFill="1" applyBorder="1">
      <alignment vertical="center"/>
    </xf>
    <xf numFmtId="176" fontId="7" fillId="0" borderId="13" xfId="0" applyNumberFormat="1" applyFont="1" applyBorder="1">
      <alignment vertical="center"/>
    </xf>
    <xf numFmtId="176" fontId="1" fillId="6" borderId="7" xfId="0" applyNumberFormat="1" applyFont="1" applyFill="1" applyBorder="1" applyAlignment="1">
      <alignment horizontal="center" vertical="center"/>
    </xf>
    <xf numFmtId="176" fontId="1" fillId="6" borderId="0" xfId="0" applyNumberFormat="1" applyFont="1" applyFill="1" applyBorder="1" applyAlignment="1">
      <alignment horizontal="center" vertical="center"/>
    </xf>
    <xf numFmtId="176" fontId="1" fillId="6" borderId="19" xfId="0" applyNumberFormat="1" applyFont="1" applyFill="1" applyBorder="1" applyAlignment="1">
      <alignment horizontal="center" vertical="center"/>
    </xf>
    <xf numFmtId="198" fontId="4" fillId="2" borderId="26" xfId="0" applyNumberFormat="1" applyFont="1" applyFill="1" applyBorder="1" applyAlignment="1">
      <alignment horizontal="center" vertical="center" shrinkToFit="1"/>
    </xf>
    <xf numFmtId="198" fontId="4" fillId="2" borderId="27" xfId="0" applyNumberFormat="1" applyFont="1" applyFill="1" applyBorder="1" applyAlignment="1">
      <alignment horizontal="center" vertical="center" shrinkToFit="1"/>
    </xf>
    <xf numFmtId="198" fontId="4" fillId="2" borderId="16" xfId="0" applyNumberFormat="1" applyFont="1" applyFill="1" applyBorder="1" applyAlignment="1">
      <alignment horizontal="center" vertical="center" shrinkToFit="1"/>
    </xf>
    <xf numFmtId="176" fontId="1" fillId="0" borderId="0" xfId="0" applyNumberFormat="1" applyFont="1" applyAlignment="1">
      <alignment horizontal="center" vertical="center" wrapText="1"/>
    </xf>
    <xf numFmtId="176" fontId="1" fillId="0" borderId="0" xfId="0" applyNumberFormat="1" applyFont="1" applyAlignment="1">
      <alignment horizontal="center" vertical="center"/>
    </xf>
    <xf numFmtId="176" fontId="1" fillId="6" borderId="2" xfId="0" applyNumberFormat="1" applyFont="1" applyFill="1" applyBorder="1" applyAlignment="1">
      <alignment horizontal="center" vertical="center"/>
    </xf>
    <xf numFmtId="176" fontId="1" fillId="6" borderId="17" xfId="0" applyNumberFormat="1" applyFont="1" applyFill="1" applyBorder="1" applyAlignment="1">
      <alignment horizontal="center" vertical="center"/>
    </xf>
    <xf numFmtId="176" fontId="1" fillId="6" borderId="5" xfId="0" applyNumberFormat="1" applyFont="1" applyFill="1" applyBorder="1" applyAlignment="1">
      <alignment horizontal="center" vertical="center"/>
    </xf>
    <xf numFmtId="176" fontId="1" fillId="6" borderId="8" xfId="0" applyNumberFormat="1" applyFont="1" applyFill="1" applyBorder="1" applyAlignment="1">
      <alignment horizontal="center" vertical="center"/>
    </xf>
    <xf numFmtId="176" fontId="1" fillId="6" borderId="4" xfId="0" applyNumberFormat="1" applyFont="1" applyFill="1" applyBorder="1" applyAlignment="1">
      <alignment horizontal="center" vertical="center"/>
    </xf>
    <xf numFmtId="176" fontId="1" fillId="6" borderId="27" xfId="0" applyNumberFormat="1" applyFont="1" applyFill="1" applyBorder="1" applyAlignment="1">
      <alignment horizontal="center" vertical="center" wrapText="1"/>
    </xf>
    <xf numFmtId="176" fontId="1" fillId="6" borderId="16" xfId="0" applyNumberFormat="1" applyFont="1" applyFill="1" applyBorder="1" applyAlignment="1">
      <alignment horizontal="center" vertical="center"/>
    </xf>
    <xf numFmtId="176" fontId="1" fillId="6" borderId="7" xfId="0" applyNumberFormat="1" applyFont="1" applyFill="1" applyBorder="1" applyAlignment="1">
      <alignment horizontal="center" vertical="center" wrapText="1"/>
    </xf>
    <xf numFmtId="176" fontId="1" fillId="9" borderId="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2"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Style="combo" dx="22" fmlaLink="$I$94" fmlaRange="$XES$95:$XES$96" noThreeD="1" sel="2" val="0"/>
</file>

<file path=xl/ctrlProps/ctrlProp2.xml><?xml version="1.0" encoding="utf-8"?>
<formControlPr xmlns="http://schemas.microsoft.com/office/spreadsheetml/2009/9/main" objectType="Drop" dropStyle="combo" dx="22" fmlaLink="$L$94" fmlaRange="$XES$95:$XES$96" noThreeD="1" sel="1" val="0"/>
</file>

<file path=xl/ctrlProps/ctrlProp3.xml><?xml version="1.0" encoding="utf-8"?>
<formControlPr xmlns="http://schemas.microsoft.com/office/spreadsheetml/2009/9/main" objectType="Drop" dropStyle="combo" dx="22" fmlaLink="$F$27" fmlaRange="$K$3:$K$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94</xdr:row>
          <xdr:rowOff>83820</xdr:rowOff>
        </xdr:from>
        <xdr:to>
          <xdr:col>8</xdr:col>
          <xdr:colOff>464820</xdr:colOff>
          <xdr:row>95</xdr:row>
          <xdr:rowOff>114300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</xdr:colOff>
          <xdr:row>94</xdr:row>
          <xdr:rowOff>76200</xdr:rowOff>
        </xdr:from>
        <xdr:to>
          <xdr:col>11</xdr:col>
          <xdr:colOff>419100</xdr:colOff>
          <xdr:row>95</xdr:row>
          <xdr:rowOff>106680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198120</xdr:colOff>
          <xdr:row>25</xdr:row>
          <xdr:rowOff>144780</xdr:rowOff>
        </xdr:from>
        <xdr:to>
          <xdr:col>8</xdr:col>
          <xdr:colOff>22860</xdr:colOff>
          <xdr:row>27</xdr:row>
          <xdr:rowOff>7620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4</xdr:col>
      <xdr:colOff>438150</xdr:colOff>
      <xdr:row>7</xdr:row>
      <xdr:rowOff>85725</xdr:rowOff>
    </xdr:to>
    <xdr:sp macro="[0]!민감도분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628775" y="971550"/>
          <a:ext cx="1123950" cy="24765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민감도 분석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85"/>
  <sheetViews>
    <sheetView showGridLines="0" topLeftCell="F1" zoomScale="85" zoomScaleNormal="85" workbookViewId="0">
      <selection activeCell="S39" sqref="S39"/>
    </sheetView>
  </sheetViews>
  <sheetFormatPr defaultColWidth="9" defaultRowHeight="13.5" customHeight="1"/>
  <cols>
    <col min="1" max="1" width="3.3984375" style="1" customWidth="1"/>
    <col min="2" max="15" width="9" style="1"/>
    <col min="16" max="16" width="3" style="1" customWidth="1"/>
    <col min="17" max="18" width="9" style="1"/>
    <col min="19" max="19" width="10.09765625" style="1" customWidth="1"/>
    <col min="20" max="20" width="9" style="1"/>
    <col min="21" max="21" width="9.69921875" style="1" customWidth="1"/>
    <col min="22" max="26" width="9" style="1"/>
    <col min="27" max="27" width="9.59765625" style="1" customWidth="1"/>
    <col min="28" max="16384" width="9" style="1"/>
  </cols>
  <sheetData>
    <row r="1" spans="1:31" ht="12.9" customHeight="1"/>
    <row r="2" spans="1:31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31" ht="12.9" customHeight="1">
      <c r="I3" s="15" t="s">
        <v>47</v>
      </c>
      <c r="AB3" s="6" t="s">
        <v>3</v>
      </c>
      <c r="AC3" s="7" t="s">
        <v>4</v>
      </c>
      <c r="AD3" s="8" t="s">
        <v>5</v>
      </c>
    </row>
    <row r="4" spans="1:31" ht="12.9" customHeight="1">
      <c r="AB4" s="9" t="s">
        <v>6</v>
      </c>
      <c r="AC4" s="10" t="s">
        <v>7</v>
      </c>
      <c r="AD4" s="11" t="s">
        <v>8</v>
      </c>
    </row>
    <row r="5" spans="1:31" s="12" customFormat="1" ht="12.9" customHeight="1" thickBot="1"/>
    <row r="6" spans="1:31" ht="12.9" customHeight="1" thickTop="1">
      <c r="A6" s="1" t="s">
        <v>9</v>
      </c>
      <c r="AD6" s="13">
        <v>44381</v>
      </c>
    </row>
    <row r="7" spans="1:31" ht="12.9" customHeight="1">
      <c r="A7" s="14" t="s">
        <v>10</v>
      </c>
    </row>
    <row r="8" spans="1:31" ht="13.5" customHeight="1">
      <c r="B8" s="5" t="s">
        <v>21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 t="s">
        <v>468</v>
      </c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</row>
    <row r="9" spans="1:31" ht="13.5" customHeight="1">
      <c r="B9" s="15" t="s">
        <v>22</v>
      </c>
      <c r="D9" s="1" t="s">
        <v>23</v>
      </c>
      <c r="G9" s="15" t="s">
        <v>441</v>
      </c>
      <c r="I9" s="310">
        <v>1</v>
      </c>
      <c r="Q9" s="1" t="s">
        <v>304</v>
      </c>
      <c r="X9" s="1" t="s">
        <v>318</v>
      </c>
    </row>
    <row r="10" spans="1:31" ht="13.5" customHeight="1">
      <c r="B10" s="15" t="s">
        <v>29</v>
      </c>
      <c r="D10" s="1">
        <v>1000000</v>
      </c>
      <c r="E10" s="1" t="s">
        <v>24</v>
      </c>
      <c r="G10" s="15" t="s">
        <v>498</v>
      </c>
      <c r="I10" s="373">
        <f ca="1">COUNTA(H11:O14)/COUNTIF(H11:O14,"True")</f>
        <v>1</v>
      </c>
      <c r="Q10" s="1" t="s">
        <v>53</v>
      </c>
    </row>
    <row r="11" spans="1:31" ht="13.5" customHeight="1">
      <c r="B11" s="15" t="s">
        <v>25</v>
      </c>
      <c r="D11" s="16">
        <v>0.30249999999999999</v>
      </c>
      <c r="E11" s="1" t="s">
        <v>26</v>
      </c>
      <c r="H11" s="1" t="b">
        <f ca="1">E85</f>
        <v>1</v>
      </c>
      <c r="I11" s="1" t="b">
        <f>AA24</f>
        <v>1</v>
      </c>
      <c r="J11" s="1" t="b">
        <f>AD24</f>
        <v>1</v>
      </c>
      <c r="K11" s="1" t="b">
        <f ca="1">AD39</f>
        <v>1</v>
      </c>
      <c r="L11" s="1" t="b">
        <f ca="1">총투자비!D399</f>
        <v>1</v>
      </c>
      <c r="M11" s="1" t="b">
        <f>총투자비!E399</f>
        <v>1</v>
      </c>
      <c r="N11" s="1" t="b">
        <f ca="1">총투자비!F399</f>
        <v>1</v>
      </c>
      <c r="O11" s="1" t="b">
        <f ca="1">총투자비!G399</f>
        <v>1</v>
      </c>
      <c r="Q11" s="8" t="s">
        <v>58</v>
      </c>
      <c r="R11" s="225" t="s">
        <v>59</v>
      </c>
      <c r="S11" s="202" t="s">
        <v>305</v>
      </c>
      <c r="T11" s="398" t="s">
        <v>307</v>
      </c>
      <c r="U11" s="399"/>
      <c r="V11" s="400"/>
      <c r="W11" s="226"/>
      <c r="X11" s="115" t="s">
        <v>55</v>
      </c>
      <c r="Y11" s="55" t="s">
        <v>53</v>
      </c>
      <c r="Z11" s="21"/>
      <c r="AA11" s="56"/>
      <c r="AB11" s="55" t="s">
        <v>54</v>
      </c>
      <c r="AC11" s="21"/>
      <c r="AD11" s="21"/>
    </row>
    <row r="12" spans="1:31" ht="13.5" customHeight="1">
      <c r="B12" s="15" t="s">
        <v>27</v>
      </c>
      <c r="D12" s="1" t="s">
        <v>28</v>
      </c>
      <c r="H12" s="1" t="b">
        <f>총투자비!H399</f>
        <v>1</v>
      </c>
      <c r="I12" s="1" t="b">
        <f>총투자비!I399</f>
        <v>1</v>
      </c>
      <c r="J12" s="1" t="b">
        <f ca="1">총투자비!J399</f>
        <v>1</v>
      </c>
      <c r="K12" s="1" t="b">
        <f ca="1">총투자비!K399</f>
        <v>1</v>
      </c>
      <c r="L12" s="1" t="b">
        <f ca="1">총투자비!L399</f>
        <v>1</v>
      </c>
      <c r="M12" s="1" t="b">
        <f ca="1">총투자비!M399</f>
        <v>1</v>
      </c>
      <c r="N12" s="1" t="b">
        <f>총투자비!D400</f>
        <v>1</v>
      </c>
      <c r="O12" s="1" t="b">
        <f>총투자비!E400</f>
        <v>1</v>
      </c>
      <c r="Q12" s="68"/>
      <c r="R12" s="69"/>
      <c r="S12" s="175" t="s">
        <v>306</v>
      </c>
      <c r="T12" s="115" t="s">
        <v>308</v>
      </c>
      <c r="U12" s="55" t="s">
        <v>309</v>
      </c>
      <c r="V12" s="56" t="s">
        <v>310</v>
      </c>
      <c r="W12" s="67" t="s">
        <v>61</v>
      </c>
      <c r="X12" s="116" t="s">
        <v>319</v>
      </c>
      <c r="Y12" s="30"/>
      <c r="Z12" s="22"/>
      <c r="AA12" s="238">
        <f>EOMONTH(착공일,1)</f>
        <v>44865</v>
      </c>
      <c r="AB12" s="30"/>
      <c r="AC12" s="22"/>
      <c r="AD12" s="39">
        <v>45777</v>
      </c>
    </row>
    <row r="13" spans="1:31" ht="13.5" customHeight="1">
      <c r="B13" s="15" t="s">
        <v>30</v>
      </c>
      <c r="D13" s="18">
        <v>44377</v>
      </c>
      <c r="H13" s="1" t="b">
        <f ca="1">총투자비!F400</f>
        <v>1</v>
      </c>
      <c r="I13" s="1" t="b">
        <f ca="1">'취득원가 및 VAT'!F74</f>
        <v>1</v>
      </c>
      <c r="J13" s="1" t="b">
        <f ca="1">'취득원가 및 VAT'!F91</f>
        <v>1</v>
      </c>
      <c r="K13" s="1" t="b">
        <f ca="1">분양매출!F20</f>
        <v>1</v>
      </c>
      <c r="L13" s="1" t="b">
        <f>분양매출!F32</f>
        <v>1</v>
      </c>
      <c r="M13" s="1" t="b">
        <f ca="1">현금흐름!D56</f>
        <v>1</v>
      </c>
      <c r="N13" s="1" t="b">
        <f>현금흐름!E56</f>
        <v>1</v>
      </c>
      <c r="O13" s="1" t="b">
        <f>현금흐름!F56</f>
        <v>1</v>
      </c>
      <c r="Q13" s="23">
        <f>'A&amp;R'!D34</f>
        <v>85</v>
      </c>
      <c r="R13" s="227">
        <f>'A&amp;R'!E34</f>
        <v>128</v>
      </c>
      <c r="S13" s="117"/>
      <c r="T13" s="117"/>
      <c r="U13" s="31"/>
      <c r="V13" s="63"/>
      <c r="W13" s="31"/>
      <c r="X13" s="117" t="s">
        <v>320</v>
      </c>
      <c r="Y13" s="31"/>
      <c r="Z13" s="32"/>
      <c r="AA13" s="239">
        <v>12</v>
      </c>
      <c r="AB13" s="31"/>
      <c r="AC13" s="32"/>
      <c r="AD13" s="240">
        <v>3</v>
      </c>
    </row>
    <row r="14" spans="1:31" ht="13.5" customHeight="1">
      <c r="B14" s="15" t="s">
        <v>31</v>
      </c>
      <c r="D14" s="18">
        <v>44377</v>
      </c>
      <c r="H14" s="1" t="b">
        <f ca="1">현금흐름!G56</f>
        <v>1</v>
      </c>
      <c r="Q14" s="223">
        <f>'A&amp;R'!D35</f>
        <v>25.712499999999999</v>
      </c>
      <c r="R14" s="228">
        <f>'A&amp;R'!E35</f>
        <v>38.72</v>
      </c>
      <c r="S14" s="394">
        <f ca="1">민감도분석!E12</f>
        <v>16</v>
      </c>
      <c r="T14" s="117">
        <f ca="1">R14*S14</f>
        <v>619.52</v>
      </c>
      <c r="U14" s="31">
        <f ca="1">T14-V14</f>
        <v>619.52</v>
      </c>
      <c r="V14" s="63">
        <v>0</v>
      </c>
      <c r="W14" s="31">
        <f>'A&amp;R'!G34</f>
        <v>940</v>
      </c>
      <c r="X14" s="54" t="s">
        <v>321</v>
      </c>
      <c r="Y14" s="33"/>
      <c r="Z14" s="24"/>
      <c r="AA14" s="241">
        <f>EOMONTH(AA12,AA13-1)</f>
        <v>45199</v>
      </c>
      <c r="AB14" s="33"/>
      <c r="AC14" s="24"/>
      <c r="AD14" s="132">
        <f>EOMONTH(AD12,AD13-1)</f>
        <v>45838</v>
      </c>
    </row>
    <row r="15" spans="1:31" ht="13.5" customHeight="1">
      <c r="B15" s="15" t="s">
        <v>32</v>
      </c>
      <c r="D15" s="18">
        <v>44469</v>
      </c>
      <c r="Q15" s="23">
        <f>'A&amp;R'!D36</f>
        <v>102</v>
      </c>
      <c r="R15" s="227">
        <f>'A&amp;R'!E36</f>
        <v>150</v>
      </c>
      <c r="S15" s="116"/>
      <c r="T15" s="116"/>
      <c r="U15" s="30"/>
      <c r="V15" s="58"/>
      <c r="W15" s="30"/>
      <c r="X15" s="115" t="s">
        <v>55</v>
      </c>
      <c r="Y15" s="55" t="s">
        <v>328</v>
      </c>
      <c r="Z15" s="21" t="s">
        <v>329</v>
      </c>
      <c r="AA15" s="56" t="s">
        <v>330</v>
      </c>
      <c r="AB15" s="55" t="s">
        <v>328</v>
      </c>
      <c r="AC15" s="21" t="s">
        <v>329</v>
      </c>
      <c r="AD15" s="21" t="s">
        <v>330</v>
      </c>
    </row>
    <row r="16" spans="1:31" ht="13.5" customHeight="1">
      <c r="B16" s="15" t="s">
        <v>33</v>
      </c>
      <c r="D16" s="18">
        <v>44804</v>
      </c>
      <c r="Q16" s="25">
        <f>'A&amp;R'!D37</f>
        <v>30.855</v>
      </c>
      <c r="R16" s="229">
        <f>'A&amp;R'!E37</f>
        <v>45.375</v>
      </c>
      <c r="S16" s="395">
        <f ca="1">S14</f>
        <v>16</v>
      </c>
      <c r="T16" s="54">
        <f ca="1">R16*S16</f>
        <v>726</v>
      </c>
      <c r="U16" s="33">
        <f ca="1">T16-V16</f>
        <v>682.77725247205092</v>
      </c>
      <c r="V16" s="34">
        <f ca="1">U16*10%*'취득원가 및 VAT'!O13</f>
        <v>43.222747527949139</v>
      </c>
      <c r="W16" s="33">
        <f>'A&amp;R'!G36</f>
        <v>175</v>
      </c>
      <c r="X16" s="116" t="s">
        <v>66</v>
      </c>
      <c r="Y16" s="242">
        <v>0.1</v>
      </c>
      <c r="Z16" s="22"/>
      <c r="AA16" s="243">
        <f>AA12</f>
        <v>44865</v>
      </c>
      <c r="AB16" s="242">
        <v>0.1</v>
      </c>
      <c r="AC16" s="22"/>
      <c r="AD16" s="249">
        <f>AD12</f>
        <v>45777</v>
      </c>
    </row>
    <row r="17" spans="2:31" ht="13.5" customHeight="1">
      <c r="B17" s="15" t="s">
        <v>35</v>
      </c>
      <c r="D17" s="18">
        <v>44834</v>
      </c>
      <c r="Q17" s="230" t="s">
        <v>311</v>
      </c>
      <c r="R17" s="230"/>
      <c r="S17" s="230"/>
      <c r="T17" s="230"/>
      <c r="U17" s="230" t="s">
        <v>312</v>
      </c>
      <c r="V17" s="396">
        <f ca="1">민감도분석!E13</f>
        <v>1</v>
      </c>
      <c r="W17" s="230">
        <f ca="1">SUMPRODUCT(U14:U16,W14:W16)*V17</f>
        <v>701834.81918260886</v>
      </c>
      <c r="X17" s="117" t="s">
        <v>322</v>
      </c>
      <c r="Y17" s="244">
        <v>0.1</v>
      </c>
      <c r="Z17" s="245">
        <v>3</v>
      </c>
      <c r="AA17" s="246">
        <f t="shared" ref="AA17:AA22" si="0">EOMONTH(AA16,Z17)</f>
        <v>44957</v>
      </c>
      <c r="AB17" s="244">
        <v>0.1</v>
      </c>
      <c r="AC17" s="245">
        <v>1</v>
      </c>
      <c r="AD17" s="130">
        <f t="shared" ref="AD17:AD22" si="1">EOMONTH(AD16,AC17)</f>
        <v>45808</v>
      </c>
    </row>
    <row r="18" spans="2:31" ht="13.5" customHeight="1">
      <c r="B18" s="15" t="s">
        <v>34</v>
      </c>
      <c r="D18" s="17">
        <f>EOMONTH(D17,D19-1)</f>
        <v>45900</v>
      </c>
      <c r="Q18" s="1" t="s">
        <v>54</v>
      </c>
      <c r="X18" s="117" t="s">
        <v>323</v>
      </c>
      <c r="Y18" s="244">
        <v>0.1</v>
      </c>
      <c r="Z18" s="245">
        <v>3</v>
      </c>
      <c r="AA18" s="246">
        <f t="shared" si="0"/>
        <v>45046</v>
      </c>
      <c r="AB18" s="244">
        <v>0.1</v>
      </c>
      <c r="AC18" s="245">
        <v>1</v>
      </c>
      <c r="AD18" s="130">
        <f t="shared" si="1"/>
        <v>45838</v>
      </c>
    </row>
    <row r="19" spans="2:31" ht="13.5" customHeight="1">
      <c r="C19" s="1" t="s">
        <v>36</v>
      </c>
      <c r="D19" s="19">
        <v>36</v>
      </c>
      <c r="Q19" s="66" t="s">
        <v>58</v>
      </c>
      <c r="R19" s="174" t="s">
        <v>60</v>
      </c>
      <c r="S19" s="64" t="s">
        <v>313</v>
      </c>
      <c r="T19" s="66"/>
      <c r="U19" s="64" t="s">
        <v>315</v>
      </c>
      <c r="V19" s="65"/>
      <c r="W19" s="65"/>
      <c r="X19" s="117" t="s">
        <v>324</v>
      </c>
      <c r="Y19" s="244">
        <v>0.1</v>
      </c>
      <c r="Z19" s="245">
        <v>3</v>
      </c>
      <c r="AA19" s="246">
        <f t="shared" si="0"/>
        <v>45138</v>
      </c>
      <c r="AB19" s="244">
        <v>0.1</v>
      </c>
      <c r="AC19" s="245">
        <v>1</v>
      </c>
      <c r="AD19" s="130">
        <f t="shared" si="1"/>
        <v>45869</v>
      </c>
    </row>
    <row r="20" spans="2:31" ht="13.5" customHeight="1">
      <c r="B20" s="15" t="s">
        <v>37</v>
      </c>
      <c r="D20" s="17">
        <f>EOMONTH(D18,D21)</f>
        <v>45991</v>
      </c>
      <c r="Q20" s="69"/>
      <c r="R20" s="175"/>
      <c r="S20" s="67" t="s">
        <v>309</v>
      </c>
      <c r="T20" s="69" t="s">
        <v>314</v>
      </c>
      <c r="U20" s="67" t="s">
        <v>309</v>
      </c>
      <c r="V20" s="68" t="s">
        <v>314</v>
      </c>
      <c r="W20" s="68"/>
      <c r="X20" s="117" t="s">
        <v>325</v>
      </c>
      <c r="Y20" s="244">
        <v>0.1</v>
      </c>
      <c r="Z20" s="245">
        <v>3</v>
      </c>
      <c r="AA20" s="246">
        <f t="shared" si="0"/>
        <v>45230</v>
      </c>
      <c r="AB20" s="244"/>
      <c r="AC20" s="245"/>
      <c r="AD20" s="130">
        <f t="shared" si="1"/>
        <v>45869</v>
      </c>
    </row>
    <row r="21" spans="2:31" ht="13.5" customHeight="1">
      <c r="C21" s="1" t="s">
        <v>38</v>
      </c>
      <c r="D21" s="19">
        <v>3</v>
      </c>
      <c r="Q21" s="227">
        <f>'A&amp;R'!J34</f>
        <v>1986</v>
      </c>
      <c r="R21" s="231">
        <f>'A&amp;R'!L34</f>
        <v>1986</v>
      </c>
      <c r="S21" s="30"/>
      <c r="T21" s="58"/>
      <c r="U21" s="30"/>
      <c r="V21" s="22"/>
      <c r="W21" s="22"/>
      <c r="X21" s="117" t="s">
        <v>326</v>
      </c>
      <c r="Y21" s="244">
        <v>0.1</v>
      </c>
      <c r="Z21" s="245">
        <v>3</v>
      </c>
      <c r="AA21" s="246">
        <f t="shared" si="0"/>
        <v>45322</v>
      </c>
      <c r="AB21" s="244"/>
      <c r="AC21" s="245"/>
      <c r="AD21" s="130">
        <f t="shared" si="1"/>
        <v>45869</v>
      </c>
    </row>
    <row r="22" spans="2:31" ht="13.5" customHeight="1">
      <c r="Q22" s="229">
        <f>'A&amp;R'!J35</f>
        <v>600.76499999999999</v>
      </c>
      <c r="R22" s="232">
        <f>'A&amp;R'!L35</f>
        <v>600.76499999999999</v>
      </c>
      <c r="S22" s="233">
        <v>55</v>
      </c>
      <c r="T22" s="234">
        <f>S22*10%*'취득원가 및 VAT'!O14</f>
        <v>3.3584951527210043</v>
      </c>
      <c r="U22" s="235">
        <f>S22</f>
        <v>55</v>
      </c>
      <c r="V22" s="236">
        <f>T22</f>
        <v>3.3584951527210043</v>
      </c>
      <c r="W22" s="24"/>
      <c r="X22" s="117" t="s">
        <v>327</v>
      </c>
      <c r="Y22" s="244">
        <v>0.1</v>
      </c>
      <c r="Z22" s="245">
        <v>3</v>
      </c>
      <c r="AA22" s="246">
        <f t="shared" si="0"/>
        <v>45412</v>
      </c>
      <c r="AB22" s="244"/>
      <c r="AC22" s="245"/>
      <c r="AD22" s="130">
        <f t="shared" si="1"/>
        <v>45869</v>
      </c>
    </row>
    <row r="23" spans="2:31" ht="13.5" customHeight="1">
      <c r="B23" s="5" t="s">
        <v>39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Q23" s="230" t="s">
        <v>316</v>
      </c>
      <c r="R23" s="230"/>
      <c r="S23" s="230"/>
      <c r="T23" s="230"/>
      <c r="U23" s="230" t="s">
        <v>312</v>
      </c>
      <c r="V23" s="224">
        <v>1</v>
      </c>
      <c r="W23" s="230">
        <f>Q22*S22*V23</f>
        <v>33042.074999999997</v>
      </c>
      <c r="X23" s="54" t="s">
        <v>68</v>
      </c>
      <c r="Y23" s="247">
        <f>1-SUM(Y16:Y22)</f>
        <v>0.30000000000000004</v>
      </c>
      <c r="Z23" s="24"/>
      <c r="AA23" s="241">
        <f>준공일</f>
        <v>45900</v>
      </c>
      <c r="AB23" s="247">
        <f>1-SUM(AB16:AB22)</f>
        <v>0.6</v>
      </c>
      <c r="AC23" s="24"/>
      <c r="AD23" s="132">
        <f>준공일</f>
        <v>45900</v>
      </c>
    </row>
    <row r="24" spans="2:31" ht="13.5" customHeight="1">
      <c r="B24" s="15" t="s">
        <v>40</v>
      </c>
      <c r="D24" s="1" t="s">
        <v>41</v>
      </c>
      <c r="Q24" s="237" t="s">
        <v>317</v>
      </c>
      <c r="R24" s="237"/>
      <c r="S24" s="237"/>
      <c r="T24" s="237"/>
      <c r="U24" s="237"/>
      <c r="V24" s="237"/>
      <c r="W24" s="237">
        <f ca="1">W17+W23</f>
        <v>734876.89418260881</v>
      </c>
      <c r="X24" s="170" t="s">
        <v>62</v>
      </c>
      <c r="Y24" s="248">
        <f>SUM(Y16:Y23)</f>
        <v>1</v>
      </c>
      <c r="Z24" s="102"/>
      <c r="AA24" s="250" t="b">
        <f>AA22&lt;AA23</f>
        <v>1</v>
      </c>
      <c r="AB24" s="248">
        <f>SUM(AB16:AB23)</f>
        <v>1</v>
      </c>
      <c r="AC24" s="102"/>
      <c r="AD24" s="251" t="b">
        <f>AD22&lt;AD23</f>
        <v>1</v>
      </c>
    </row>
    <row r="25" spans="2:31" ht="13.5" customHeight="1">
      <c r="B25" s="15" t="s">
        <v>42</v>
      </c>
      <c r="D25" s="1" t="s">
        <v>43</v>
      </c>
    </row>
    <row r="26" spans="2:31" ht="13.5" customHeight="1">
      <c r="B26" s="15" t="s">
        <v>44</v>
      </c>
      <c r="D26" s="1" t="s">
        <v>45</v>
      </c>
      <c r="Q26" s="5" t="s">
        <v>469</v>
      </c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2:31" ht="13.5" customHeight="1">
      <c r="B27" s="15" t="s">
        <v>46</v>
      </c>
      <c r="D27" s="1">
        <v>49875</v>
      </c>
      <c r="E27" s="15" t="s">
        <v>47</v>
      </c>
      <c r="F27" s="1">
        <f>D27*py</f>
        <v>15087.1875</v>
      </c>
      <c r="G27" s="1" t="s">
        <v>26</v>
      </c>
      <c r="Q27" s="14" t="s">
        <v>359</v>
      </c>
    </row>
    <row r="28" spans="2:31" ht="13.5" customHeight="1">
      <c r="B28" s="15" t="s">
        <v>48</v>
      </c>
      <c r="D28" s="1">
        <v>1982000</v>
      </c>
      <c r="E28" s="1" t="s">
        <v>49</v>
      </c>
      <c r="Q28" s="56" t="s">
        <v>55</v>
      </c>
      <c r="R28" s="115" t="s">
        <v>362</v>
      </c>
      <c r="S28" s="115" t="s">
        <v>363</v>
      </c>
      <c r="T28" s="115" t="s">
        <v>364</v>
      </c>
      <c r="U28" s="55" t="s">
        <v>365</v>
      </c>
    </row>
    <row r="29" spans="2:31" ht="13.5" customHeight="1">
      <c r="B29" s="15" t="s">
        <v>50</v>
      </c>
      <c r="D29" s="20">
        <v>3</v>
      </c>
      <c r="Q29" s="58" t="s">
        <v>360</v>
      </c>
      <c r="R29" s="184">
        <v>9000</v>
      </c>
      <c r="S29" s="172">
        <f>R29/$R$31</f>
        <v>0.9</v>
      </c>
      <c r="T29" s="276">
        <f>Est</f>
        <v>44377</v>
      </c>
      <c r="U29" s="277">
        <v>0.9</v>
      </c>
    </row>
    <row r="30" spans="2:31" ht="13.5" customHeight="1">
      <c r="B30" s="15" t="s">
        <v>51</v>
      </c>
      <c r="D30" s="1">
        <v>190453</v>
      </c>
      <c r="E30" s="15" t="s">
        <v>47</v>
      </c>
      <c r="F30" s="1">
        <f>D30*py</f>
        <v>57612.032500000001</v>
      </c>
      <c r="G30" s="1" t="s">
        <v>26</v>
      </c>
      <c r="Q30" s="34" t="s">
        <v>361</v>
      </c>
      <c r="R30" s="185">
        <v>1000</v>
      </c>
      <c r="S30" s="173">
        <f>R30/$R$31</f>
        <v>0.1</v>
      </c>
      <c r="T30" s="278">
        <f>Est</f>
        <v>44377</v>
      </c>
      <c r="U30" s="279">
        <v>0.1</v>
      </c>
    </row>
    <row r="31" spans="2:31" ht="13.5" customHeight="1">
      <c r="B31" s="15" t="s">
        <v>52</v>
      </c>
      <c r="Q31" s="169" t="s">
        <v>62</v>
      </c>
      <c r="R31" s="170">
        <f>SUM(R29:R30)</f>
        <v>10000</v>
      </c>
      <c r="S31" s="171">
        <f>R31/$R$31</f>
        <v>1</v>
      </c>
      <c r="T31" s="170"/>
      <c r="U31" s="183">
        <f>SUM(U29:U30)</f>
        <v>1</v>
      </c>
    </row>
    <row r="32" spans="2:31" ht="13.5" customHeight="1">
      <c r="C32" s="1" t="s">
        <v>53</v>
      </c>
      <c r="I32" s="1" t="s">
        <v>54</v>
      </c>
      <c r="Q32" s="14" t="s">
        <v>366</v>
      </c>
    </row>
    <row r="33" spans="2:31" ht="13.5" customHeight="1">
      <c r="C33" s="21" t="s">
        <v>55</v>
      </c>
      <c r="D33" s="21" t="s">
        <v>58</v>
      </c>
      <c r="E33" s="21" t="s">
        <v>59</v>
      </c>
      <c r="F33" s="21" t="s">
        <v>60</v>
      </c>
      <c r="G33" s="21" t="s">
        <v>61</v>
      </c>
      <c r="I33" s="21" t="s">
        <v>55</v>
      </c>
      <c r="J33" s="21" t="s">
        <v>58</v>
      </c>
      <c r="K33" s="21"/>
      <c r="L33" s="21" t="s">
        <v>60</v>
      </c>
      <c r="M33" s="21"/>
      <c r="Q33" s="56" t="s">
        <v>55</v>
      </c>
      <c r="R33" s="115"/>
      <c r="S33" s="115" t="s">
        <v>373</v>
      </c>
      <c r="T33" s="115" t="s">
        <v>374</v>
      </c>
      <c r="U33" s="115" t="s">
        <v>375</v>
      </c>
      <c r="V33" s="115" t="s">
        <v>376</v>
      </c>
      <c r="W33" s="115" t="s">
        <v>377</v>
      </c>
      <c r="X33" s="115" t="s">
        <v>378</v>
      </c>
      <c r="Y33" s="115" t="s">
        <v>379</v>
      </c>
      <c r="Z33" s="115" t="s">
        <v>380</v>
      </c>
      <c r="AA33" s="115" t="s">
        <v>381</v>
      </c>
      <c r="AB33" s="115" t="s">
        <v>382</v>
      </c>
      <c r="AC33" s="115" t="s">
        <v>383</v>
      </c>
      <c r="AD33" s="55" t="s">
        <v>384</v>
      </c>
      <c r="AE33" s="21"/>
    </row>
    <row r="34" spans="2:31" ht="13.5" customHeight="1">
      <c r="C34" s="22" t="s">
        <v>56</v>
      </c>
      <c r="D34" s="23">
        <v>85</v>
      </c>
      <c r="E34" s="23">
        <v>128</v>
      </c>
      <c r="F34" s="23">
        <v>164</v>
      </c>
      <c r="G34" s="22">
        <v>940</v>
      </c>
      <c r="H34" s="11">
        <f>F34*G34</f>
        <v>154160</v>
      </c>
      <c r="I34" s="22" t="s">
        <v>63</v>
      </c>
      <c r="J34" s="23">
        <v>1986</v>
      </c>
      <c r="K34" s="22"/>
      <c r="L34" s="23">
        <f>J34</f>
        <v>1986</v>
      </c>
      <c r="M34" s="22"/>
      <c r="Q34" s="58" t="s">
        <v>367</v>
      </c>
      <c r="R34" s="116" t="s">
        <v>371</v>
      </c>
      <c r="S34" s="116">
        <f>AE34*T34</f>
        <v>105610.3125</v>
      </c>
      <c r="T34" s="280">
        <v>0.7</v>
      </c>
      <c r="U34" s="116"/>
      <c r="V34" s="276">
        <f>'A&amp;R'!D14</f>
        <v>44377</v>
      </c>
      <c r="W34" s="276">
        <f>착공일</f>
        <v>44834</v>
      </c>
      <c r="X34" s="401">
        <v>1E-3</v>
      </c>
      <c r="Y34" s="281">
        <v>0.02</v>
      </c>
      <c r="Z34" s="283">
        <v>0.04</v>
      </c>
      <c r="AA34" s="116" t="s">
        <v>388</v>
      </c>
      <c r="AB34" s="116" t="s">
        <v>389</v>
      </c>
      <c r="AC34" s="116" t="s">
        <v>390</v>
      </c>
      <c r="AD34" s="30" t="s">
        <v>387</v>
      </c>
      <c r="AE34" s="22">
        <f>총투자비!K65</f>
        <v>150871.875</v>
      </c>
    </row>
    <row r="35" spans="2:31" ht="13.5" customHeight="1">
      <c r="C35" s="24"/>
      <c r="D35" s="25">
        <f>D34*py</f>
        <v>25.712499999999999</v>
      </c>
      <c r="E35" s="25">
        <f>E34*py</f>
        <v>38.72</v>
      </c>
      <c r="F35" s="25">
        <f>F34*py</f>
        <v>49.61</v>
      </c>
      <c r="G35" s="24"/>
      <c r="H35" s="11"/>
      <c r="I35" s="24"/>
      <c r="J35" s="25">
        <f>J34*py</f>
        <v>600.76499999999999</v>
      </c>
      <c r="K35" s="24"/>
      <c r="L35" s="25">
        <f>L34*py</f>
        <v>600.76499999999999</v>
      </c>
      <c r="M35" s="24"/>
      <c r="Q35" s="63" t="s">
        <v>368</v>
      </c>
      <c r="R35" s="54" t="s">
        <v>372</v>
      </c>
      <c r="S35" s="185">
        <v>77500</v>
      </c>
      <c r="T35" s="54"/>
      <c r="U35" s="54"/>
      <c r="V35" s="278">
        <f>V34</f>
        <v>44377</v>
      </c>
      <c r="W35" s="278">
        <f>W34</f>
        <v>44834</v>
      </c>
      <c r="X35" s="402"/>
      <c r="Y35" s="282">
        <v>0.02</v>
      </c>
      <c r="Z35" s="284">
        <v>0.1</v>
      </c>
      <c r="AA35" s="285">
        <v>3</v>
      </c>
      <c r="AB35" s="54" t="s">
        <v>389</v>
      </c>
      <c r="AC35" s="54" t="s">
        <v>390</v>
      </c>
      <c r="AD35" s="33"/>
      <c r="AE35" s="24"/>
    </row>
    <row r="36" spans="2:31" ht="13.5" customHeight="1">
      <c r="C36" s="22" t="s">
        <v>57</v>
      </c>
      <c r="D36" s="23">
        <v>102</v>
      </c>
      <c r="E36" s="23">
        <v>150</v>
      </c>
      <c r="F36" s="23">
        <v>194</v>
      </c>
      <c r="G36" s="22">
        <v>175</v>
      </c>
      <c r="H36" s="11">
        <f>F36*G36</f>
        <v>33950</v>
      </c>
      <c r="I36" s="22"/>
      <c r="J36" s="22"/>
      <c r="K36" s="22"/>
      <c r="L36" s="22"/>
      <c r="M36" s="22"/>
      <c r="Q36" s="34"/>
      <c r="R36" s="170" t="s">
        <v>62</v>
      </c>
      <c r="S36" s="170">
        <f>SUM(S34:S35)</f>
        <v>183110.3125</v>
      </c>
      <c r="T36" s="170"/>
      <c r="U36" s="170"/>
      <c r="V36" s="275"/>
      <c r="W36" s="275"/>
      <c r="X36" s="402"/>
      <c r="Y36" s="170"/>
      <c r="Z36" s="170"/>
      <c r="AA36" s="170"/>
      <c r="AB36" s="170"/>
      <c r="AC36" s="170"/>
      <c r="AD36" s="101"/>
      <c r="AE36" s="102"/>
    </row>
    <row r="37" spans="2:31" ht="13.5" customHeight="1">
      <c r="C37" s="24"/>
      <c r="D37" s="25">
        <f>D36*py</f>
        <v>30.855</v>
      </c>
      <c r="E37" s="25">
        <f>E36*py</f>
        <v>45.375</v>
      </c>
      <c r="F37" s="25">
        <f>F36*py</f>
        <v>58.684999999999995</v>
      </c>
      <c r="G37" s="24"/>
      <c r="H37" s="11"/>
      <c r="I37" s="24"/>
      <c r="J37" s="24"/>
      <c r="K37" s="24"/>
      <c r="L37" s="24"/>
      <c r="M37" s="24"/>
      <c r="Q37" s="58" t="s">
        <v>369</v>
      </c>
      <c r="R37" s="116" t="s">
        <v>386</v>
      </c>
      <c r="S37" s="116">
        <f>S36</f>
        <v>183110.3125</v>
      </c>
      <c r="T37" s="286">
        <f>S37/AE34</f>
        <v>1.2136808964560162</v>
      </c>
      <c r="U37" s="286">
        <f ca="1">S37/AE37</f>
        <v>0.24917141081659741</v>
      </c>
      <c r="V37" s="276">
        <f>착공일</f>
        <v>44834</v>
      </c>
      <c r="W37" s="276">
        <f>Exit</f>
        <v>45991</v>
      </c>
      <c r="X37" s="402"/>
      <c r="Y37" s="281">
        <v>0.01</v>
      </c>
      <c r="Z37" s="283">
        <v>0.04</v>
      </c>
      <c r="AA37" s="288">
        <v>3</v>
      </c>
      <c r="AB37" s="116" t="s">
        <v>389</v>
      </c>
      <c r="AC37" s="116" t="s">
        <v>390</v>
      </c>
      <c r="AD37" s="30" t="s">
        <v>391</v>
      </c>
      <c r="AE37" s="22">
        <f ca="1">'A&amp;R'!W24</f>
        <v>734876.89418260881</v>
      </c>
    </row>
    <row r="38" spans="2:31" ht="13.5" customHeight="1">
      <c r="C38" s="26" t="s">
        <v>62</v>
      </c>
      <c r="D38" s="26"/>
      <c r="E38" s="26"/>
      <c r="F38" s="27">
        <v>188467</v>
      </c>
      <c r="G38" s="26">
        <f>SUM(G34:G37)</f>
        <v>1115</v>
      </c>
      <c r="H38" s="11">
        <f>SUM(H34:H37)</f>
        <v>188110</v>
      </c>
      <c r="I38" s="26" t="s">
        <v>62</v>
      </c>
      <c r="J38" s="26"/>
      <c r="K38" s="26"/>
      <c r="L38" s="27">
        <f>L34</f>
        <v>1986</v>
      </c>
      <c r="M38" s="26"/>
      <c r="Q38" s="63" t="s">
        <v>370</v>
      </c>
      <c r="R38" s="54" t="s">
        <v>385</v>
      </c>
      <c r="S38" s="185">
        <v>16063.447174955028</v>
      </c>
      <c r="T38" s="287">
        <f>SUM(S37:S38)/AE34</f>
        <v>1.3201516828431743</v>
      </c>
      <c r="U38" s="287">
        <f ca="1">SUM(S37:S38)/AE37</f>
        <v>0.27103010211865847</v>
      </c>
      <c r="V38" s="278">
        <f>V37</f>
        <v>44834</v>
      </c>
      <c r="W38" s="278">
        <f>W37</f>
        <v>45991</v>
      </c>
      <c r="X38" s="402"/>
      <c r="Y38" s="282">
        <v>0.01</v>
      </c>
      <c r="Z38" s="284">
        <v>0.05</v>
      </c>
      <c r="AA38" s="285">
        <v>3</v>
      </c>
      <c r="AB38" s="54" t="s">
        <v>392</v>
      </c>
      <c r="AC38" s="54" t="s">
        <v>390</v>
      </c>
      <c r="AD38" s="33" t="s">
        <v>433</v>
      </c>
      <c r="AE38" s="24">
        <f ca="1">재원조달!G21</f>
        <v>12683.082670227104</v>
      </c>
    </row>
    <row r="39" spans="2:31" ht="13.5" customHeight="1">
      <c r="C39" s="28"/>
      <c r="D39" s="28"/>
      <c r="E39" s="28"/>
      <c r="F39" s="29">
        <f>F38*py</f>
        <v>57011.267500000002</v>
      </c>
      <c r="G39" s="28"/>
      <c r="I39" s="28"/>
      <c r="J39" s="28"/>
      <c r="K39" s="28"/>
      <c r="L39" s="29">
        <f>L38*py</f>
        <v>600.76499999999999</v>
      </c>
      <c r="M39" s="28"/>
      <c r="Q39" s="34"/>
      <c r="R39" s="170" t="s">
        <v>62</v>
      </c>
      <c r="S39" s="170">
        <f>SUM(S37:S38)</f>
        <v>199173.75967495504</v>
      </c>
      <c r="T39" s="170"/>
      <c r="U39" s="170"/>
      <c r="V39" s="275"/>
      <c r="W39" s="275"/>
      <c r="X39" s="403"/>
      <c r="Y39" s="170"/>
      <c r="Z39" s="170"/>
      <c r="AA39" s="170"/>
      <c r="AB39" s="170"/>
      <c r="AC39" s="170"/>
      <c r="AD39" s="371" t="b">
        <f ca="1">S38&gt;=AE38</f>
        <v>1</v>
      </c>
      <c r="AE39" s="102"/>
    </row>
    <row r="40" spans="2:31" ht="13.5" customHeight="1">
      <c r="Q40" s="14" t="s">
        <v>481</v>
      </c>
      <c r="W40" s="14" t="s">
        <v>494</v>
      </c>
    </row>
    <row r="41" spans="2:31" ht="13.5" customHeight="1">
      <c r="B41" s="5" t="s">
        <v>413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327" t="s">
        <v>465</v>
      </c>
      <c r="R41" s="1" t="s">
        <v>482</v>
      </c>
      <c r="T41" s="1">
        <f ca="1">F85</f>
        <v>584065.95105768449</v>
      </c>
      <c r="U41" s="1" t="s">
        <v>473</v>
      </c>
      <c r="X41" s="21" t="s">
        <v>55</v>
      </c>
      <c r="Y41" s="21"/>
      <c r="Z41" s="21" t="s">
        <v>95</v>
      </c>
      <c r="AA41" s="21" t="s">
        <v>495</v>
      </c>
      <c r="AB41" s="21" t="s">
        <v>496</v>
      </c>
      <c r="AC41" s="21"/>
    </row>
    <row r="42" spans="2:31" ht="13.5" customHeight="1">
      <c r="B42" s="45" t="str">
        <f>총투자비!B11</f>
        <v>구분</v>
      </c>
      <c r="C42" s="45"/>
      <c r="D42" s="45"/>
      <c r="E42" s="45"/>
      <c r="F42" s="45" t="str">
        <f>총투자비!F11</f>
        <v>금액</v>
      </c>
      <c r="G42" s="45" t="str">
        <f>총투자비!G11</f>
        <v>산정기준</v>
      </c>
      <c r="H42" s="45"/>
      <c r="I42" s="45"/>
      <c r="J42" s="45"/>
      <c r="K42" s="45"/>
      <c r="L42" s="45"/>
      <c r="M42" s="45"/>
      <c r="N42" s="45"/>
      <c r="O42" s="45" t="s">
        <v>328</v>
      </c>
      <c r="R42" s="1" t="s">
        <v>483</v>
      </c>
      <c r="T42" s="1">
        <f>R31</f>
        <v>10000</v>
      </c>
      <c r="U42" s="1" t="s">
        <v>473</v>
      </c>
      <c r="X42" s="22" t="str">
        <f>C50</f>
        <v>공동주택</v>
      </c>
      <c r="Y42" s="22"/>
      <c r="Z42" s="22">
        <f>F50</f>
        <v>273654.08399999997</v>
      </c>
      <c r="AA42" s="36">
        <v>0</v>
      </c>
      <c r="AB42" s="22">
        <f>Z42*AA42</f>
        <v>0</v>
      </c>
      <c r="AC42" s="22"/>
    </row>
    <row r="43" spans="2:31" ht="13.5" customHeight="1">
      <c r="B43" s="80" t="str">
        <f>총투자비!B12</f>
        <v>토지비 등</v>
      </c>
      <c r="C43" s="80"/>
      <c r="D43" s="80"/>
      <c r="E43" s="80"/>
      <c r="F43" s="80">
        <f ca="1">SUM(F44:F48)</f>
        <v>158300.60757219471</v>
      </c>
      <c r="G43" s="80"/>
      <c r="H43" s="80"/>
      <c r="I43" s="80"/>
      <c r="J43" s="80"/>
      <c r="K43" s="80"/>
      <c r="L43" s="80"/>
      <c r="M43" s="80"/>
      <c r="N43" s="80"/>
      <c r="O43" s="329">
        <f ca="1">F43/$F$85</f>
        <v>0.27103207657547623</v>
      </c>
      <c r="R43" s="24" t="s">
        <v>484</v>
      </c>
      <c r="S43" s="24"/>
      <c r="T43" s="24">
        <f>S39</f>
        <v>199173.75967495504</v>
      </c>
      <c r="U43" s="24" t="s">
        <v>473</v>
      </c>
      <c r="X43" s="24" t="str">
        <f t="shared" ref="X43" si="2">C51</f>
        <v>근린생활시설</v>
      </c>
      <c r="Y43" s="24"/>
      <c r="Z43" s="24">
        <f t="shared" ref="Z43" si="3">F51</f>
        <v>2883.672</v>
      </c>
      <c r="AA43" s="38">
        <v>0</v>
      </c>
      <c r="AB43" s="24">
        <f t="shared" ref="AB43" si="4">Z43*AA43</f>
        <v>0</v>
      </c>
      <c r="AC43" s="24"/>
    </row>
    <row r="44" spans="2:31" ht="13.5" customHeight="1">
      <c r="B44" s="333"/>
      <c r="C44" s="334" t="str">
        <f>총투자비!C13</f>
        <v>토지비</v>
      </c>
      <c r="D44" s="335"/>
      <c r="E44" s="335"/>
      <c r="F44" s="335">
        <f>총투자비!F13</f>
        <v>150871.875</v>
      </c>
      <c r="G44" s="335" t="str">
        <f>총투자비!G13</f>
        <v>부지면적 평당</v>
      </c>
      <c r="H44" s="335"/>
      <c r="I44" s="336">
        <v>10</v>
      </c>
      <c r="J44" s="335" t="str">
        <f>총투자비!J13</f>
        <v>백만원/평</v>
      </c>
      <c r="K44" s="337">
        <f>총투자비!K13</f>
        <v>15087.1875</v>
      </c>
      <c r="L44" s="337"/>
      <c r="M44" s="337"/>
      <c r="N44" s="337"/>
      <c r="O44" s="338">
        <f t="shared" ref="O44:O85" ca="1" si="5">F44/$F$85</f>
        <v>0.25831308044371748</v>
      </c>
      <c r="R44" s="1" t="s">
        <v>481</v>
      </c>
      <c r="T44" s="1">
        <f ca="1">T41-T42-T43</f>
        <v>374892.19138272945</v>
      </c>
      <c r="U44" s="1" t="s">
        <v>473</v>
      </c>
      <c r="X44" s="102" t="s">
        <v>62</v>
      </c>
      <c r="Y44" s="102"/>
      <c r="Z44" s="102">
        <f>SUM(Z42:Z43)</f>
        <v>276537.75599999999</v>
      </c>
      <c r="AA44" s="102"/>
      <c r="AB44" s="102">
        <f>SUM(AB42:AB43)</f>
        <v>0</v>
      </c>
      <c r="AC44" s="102"/>
    </row>
    <row r="45" spans="2:31" ht="13.5" customHeight="1">
      <c r="B45" s="333"/>
      <c r="C45" s="334" t="str">
        <f>총투자비!C17</f>
        <v>토지취득관련 부대비용</v>
      </c>
      <c r="D45" s="335"/>
      <c r="E45" s="335"/>
      <c r="F45" s="336">
        <v>0</v>
      </c>
      <c r="G45" s="335" t="str">
        <f>총투자비!G17</f>
        <v>각종 조사비, 측량비, 기타용역비 등</v>
      </c>
      <c r="H45" s="335"/>
      <c r="I45" s="335"/>
      <c r="J45" s="339">
        <f>총투자비!J17</f>
        <v>44377</v>
      </c>
      <c r="K45" s="335"/>
      <c r="L45" s="335"/>
      <c r="M45" s="335"/>
      <c r="N45" s="335"/>
      <c r="O45" s="338">
        <f t="shared" ca="1" si="5"/>
        <v>0</v>
      </c>
      <c r="R45" s="361" t="s">
        <v>485</v>
      </c>
      <c r="S45" s="362"/>
      <c r="T45" s="363">
        <f ca="1">T44/W24</f>
        <v>0.51014284753055916</v>
      </c>
      <c r="U45" s="362"/>
    </row>
    <row r="46" spans="2:31" ht="13.5" customHeight="1">
      <c r="B46" s="333"/>
      <c r="C46" s="334" t="str">
        <f>총투자비!C18</f>
        <v>취득세</v>
      </c>
      <c r="D46" s="335"/>
      <c r="E46" s="335"/>
      <c r="F46" s="335">
        <f ca="1">총투자비!F18</f>
        <v>7379.196839933993</v>
      </c>
      <c r="G46" s="335" t="str">
        <f>총투자비!G18</f>
        <v>토지비+취득관련 부대비용의</v>
      </c>
      <c r="H46" s="335"/>
      <c r="I46" s="335"/>
      <c r="J46" s="340">
        <v>4.5999999999999999E-2</v>
      </c>
      <c r="K46" s="341">
        <f ca="1">총투자비!K18</f>
        <v>160417.32260726072</v>
      </c>
      <c r="L46" s="341"/>
      <c r="M46" s="341"/>
      <c r="N46" s="341"/>
      <c r="O46" s="338">
        <f t="shared" ca="1" si="5"/>
        <v>1.2634184250204985E-2</v>
      </c>
    </row>
    <row r="47" spans="2:31" ht="13.5" customHeight="1">
      <c r="B47" s="333"/>
      <c r="C47" s="334" t="str">
        <f>총투자비!C19</f>
        <v>등기비용</v>
      </c>
      <c r="D47" s="335"/>
      <c r="E47" s="335"/>
      <c r="F47" s="335">
        <f ca="1">총투자비!F19</f>
        <v>22.625732260726075</v>
      </c>
      <c r="G47" s="335" t="str">
        <f>총투자비!G19</f>
        <v>등기비용 산정기준1)</v>
      </c>
      <c r="H47" s="335"/>
      <c r="I47" s="335"/>
      <c r="J47" s="335"/>
      <c r="K47" s="335"/>
      <c r="L47" s="335"/>
      <c r="M47" s="335"/>
      <c r="N47" s="335"/>
      <c r="O47" s="338">
        <f t="shared" ca="1" si="5"/>
        <v>3.8738317513207466E-5</v>
      </c>
      <c r="Q47" s="5" t="s">
        <v>470</v>
      </c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2:31" ht="13.5" customHeight="1">
      <c r="B48" s="333"/>
      <c r="C48" s="342" t="str">
        <f>총투자비!C20</f>
        <v>PFV설립관련</v>
      </c>
      <c r="D48" s="343"/>
      <c r="E48" s="343"/>
      <c r="F48" s="343">
        <f>총투자비!F20</f>
        <v>26.91</v>
      </c>
      <c r="G48" s="343"/>
      <c r="H48" s="343"/>
      <c r="I48" s="343"/>
      <c r="J48" s="343"/>
      <c r="K48" s="343"/>
      <c r="L48" s="343"/>
      <c r="M48" s="343"/>
      <c r="N48" s="343"/>
      <c r="O48" s="330">
        <f t="shared" ca="1" si="5"/>
        <v>4.6073564040616829E-5</v>
      </c>
      <c r="Q48" s="14" t="s">
        <v>471</v>
      </c>
      <c r="W48" s="1" t="s">
        <v>477</v>
      </c>
    </row>
    <row r="49" spans="2:31" ht="13.5" customHeight="1">
      <c r="B49" s="80" t="str">
        <f>총투자비!B24</f>
        <v>공사비</v>
      </c>
      <c r="C49" s="80"/>
      <c r="D49" s="80"/>
      <c r="E49" s="80"/>
      <c r="F49" s="80">
        <f>SUM(F50:F51)</f>
        <v>276537.75599999999</v>
      </c>
      <c r="G49" s="80"/>
      <c r="H49" s="80"/>
      <c r="I49" s="80"/>
      <c r="J49" s="80"/>
      <c r="K49" s="80"/>
      <c r="L49" s="80"/>
      <c r="M49" s="80"/>
      <c r="N49" s="80"/>
      <c r="O49" s="329">
        <f t="shared" ca="1" si="5"/>
        <v>0.47347008586824491</v>
      </c>
      <c r="R49" s="1" t="s">
        <v>472</v>
      </c>
      <c r="T49" s="1">
        <f ca="1">W24</f>
        <v>734876.89418260881</v>
      </c>
      <c r="U49" s="1" t="s">
        <v>473</v>
      </c>
      <c r="X49" s="56" t="s">
        <v>55</v>
      </c>
      <c r="Y49" s="115" t="s">
        <v>362</v>
      </c>
      <c r="Z49" s="115" t="s">
        <v>474</v>
      </c>
      <c r="AA49" s="115" t="s">
        <v>478</v>
      </c>
      <c r="AB49" s="115" t="s">
        <v>479</v>
      </c>
      <c r="AC49" s="55" t="s">
        <v>480</v>
      </c>
    </row>
    <row r="50" spans="2:31" ht="13.5" customHeight="1">
      <c r="B50" s="333"/>
      <c r="C50" s="334" t="str">
        <f>총투자비!C25</f>
        <v>공동주택</v>
      </c>
      <c r="D50" s="335"/>
      <c r="E50" s="335"/>
      <c r="F50" s="335">
        <f>총투자비!F25</f>
        <v>273654.08399999997</v>
      </c>
      <c r="G50" s="335" t="str">
        <f>총투자비!G25</f>
        <v>연면적</v>
      </c>
      <c r="H50" s="344">
        <f>총투자비!H25</f>
        <v>57011.267500000002</v>
      </c>
      <c r="I50" s="335" t="str">
        <f>총투자비!I25</f>
        <v>x</v>
      </c>
      <c r="J50" s="345">
        <v>4.8</v>
      </c>
      <c r="K50" s="335" t="str">
        <f>총투자비!K25</f>
        <v>백만원/평</v>
      </c>
      <c r="L50" s="335"/>
      <c r="M50" s="335"/>
      <c r="N50" s="335"/>
      <c r="O50" s="338">
        <f t="shared" ca="1" si="5"/>
        <v>0.46853284890933983</v>
      </c>
      <c r="R50" s="1" t="s">
        <v>463</v>
      </c>
      <c r="T50" s="1">
        <f ca="1">F85</f>
        <v>584065.95105768449</v>
      </c>
      <c r="U50" s="1" t="s">
        <v>473</v>
      </c>
      <c r="X50" s="58" t="str">
        <f>Q29</f>
        <v>시행사</v>
      </c>
      <c r="Y50" s="116">
        <f>R29</f>
        <v>9000</v>
      </c>
      <c r="Z50" s="116">
        <f ca="1">배당!G29</f>
        <v>134759.63596898052</v>
      </c>
      <c r="AA50" s="116">
        <f ca="1">배당!G18</f>
        <v>9000</v>
      </c>
      <c r="AB50" s="358">
        <f ca="1">SUM(Z50:AA50)/Y50</f>
        <v>15.97329288544228</v>
      </c>
      <c r="AC50" s="142">
        <f ca="1">배당!F38</f>
        <v>0.87129866600036632</v>
      </c>
    </row>
    <row r="51" spans="2:31" ht="13.5" customHeight="1">
      <c r="B51" s="346"/>
      <c r="C51" s="334" t="str">
        <f>총투자비!C26</f>
        <v>근린생활시설</v>
      </c>
      <c r="D51" s="335"/>
      <c r="E51" s="335"/>
      <c r="F51" s="335">
        <f>총투자비!F26</f>
        <v>2883.672</v>
      </c>
      <c r="G51" s="335" t="str">
        <f>총투자비!G26</f>
        <v>연면적</v>
      </c>
      <c r="H51" s="344">
        <f>총투자비!H26</f>
        <v>600.76499999999999</v>
      </c>
      <c r="I51" s="335" t="str">
        <f>총투자비!I26</f>
        <v>x</v>
      </c>
      <c r="J51" s="345">
        <v>4.8</v>
      </c>
      <c r="K51" s="335" t="str">
        <f>총투자비!K26</f>
        <v>백만원/평</v>
      </c>
      <c r="L51" s="335"/>
      <c r="M51" s="335"/>
      <c r="N51" s="335"/>
      <c r="O51" s="338">
        <f t="shared" ca="1" si="5"/>
        <v>4.9372369589050025E-3</v>
      </c>
      <c r="R51" s="1" t="s">
        <v>445</v>
      </c>
      <c r="T51" s="1">
        <f ca="1">배당!E67</f>
        <v>1078</v>
      </c>
      <c r="U51" s="1" t="s">
        <v>473</v>
      </c>
      <c r="X51" s="34" t="str">
        <f>Q30</f>
        <v>금융사</v>
      </c>
      <c r="Y51" s="54">
        <f>R30</f>
        <v>1000</v>
      </c>
      <c r="Z51" s="54">
        <f ca="1">배당!G30</f>
        <v>14973.292885442279</v>
      </c>
      <c r="AA51" s="54">
        <f ca="1">배당!G19</f>
        <v>1000</v>
      </c>
      <c r="AB51" s="359">
        <f t="shared" ref="AB51:AB52" ca="1" si="6">SUM(Z51:AA51)/Y51</f>
        <v>15.973292885442278</v>
      </c>
      <c r="AC51" s="146">
        <f ca="1">배당!F45</f>
        <v>0.87129866600036632</v>
      </c>
    </row>
    <row r="52" spans="2:31" ht="13.5" customHeight="1">
      <c r="B52" s="80" t="str">
        <f>총투자비!B27</f>
        <v>용역비 및 부대비용</v>
      </c>
      <c r="C52" s="80"/>
      <c r="D52" s="80"/>
      <c r="E52" s="80"/>
      <c r="F52" s="80">
        <f ca="1">SUM(F53:F60)</f>
        <v>15629.695268894691</v>
      </c>
      <c r="G52" s="80"/>
      <c r="H52" s="80"/>
      <c r="I52" s="80"/>
      <c r="J52" s="80"/>
      <c r="K52" s="80"/>
      <c r="L52" s="80"/>
      <c r="M52" s="80"/>
      <c r="N52" s="80"/>
      <c r="O52" s="329">
        <f t="shared" ca="1" si="5"/>
        <v>2.6760154808871995E-2</v>
      </c>
      <c r="R52" s="22" t="s">
        <v>474</v>
      </c>
      <c r="S52" s="22"/>
      <c r="T52" s="22">
        <f ca="1">T49-T50-T51</f>
        <v>149732.94312492432</v>
      </c>
      <c r="U52" s="22" t="s">
        <v>473</v>
      </c>
      <c r="X52" s="169" t="s">
        <v>62</v>
      </c>
      <c r="Y52" s="170">
        <f>SUM(Y50:Y51)</f>
        <v>10000</v>
      </c>
      <c r="Z52" s="170">
        <f ca="1">SUM(Z50:Z51)</f>
        <v>149732.92885442282</v>
      </c>
      <c r="AA52" s="170">
        <f ca="1">SUM(AA50:AA51)</f>
        <v>10000</v>
      </c>
      <c r="AB52" s="360">
        <f t="shared" ca="1" si="6"/>
        <v>15.973292885442282</v>
      </c>
      <c r="AC52" s="369">
        <f ca="1">배당!F52</f>
        <v>0.87129866600036632</v>
      </c>
    </row>
    <row r="53" spans="2:31" ht="13.5" customHeight="1">
      <c r="B53" s="333"/>
      <c r="C53" s="334" t="str">
        <f>총투자비!C28</f>
        <v>건축 설계비</v>
      </c>
      <c r="D53" s="335"/>
      <c r="E53" s="335"/>
      <c r="F53" s="335">
        <f>총투자비!F28</f>
        <v>8641.8048749999998</v>
      </c>
      <c r="G53" s="335" t="str">
        <f>총투자비!G28</f>
        <v>연면적</v>
      </c>
      <c r="H53" s="344">
        <f>총투자비!H28</f>
        <v>57612.032500000001</v>
      </c>
      <c r="I53" s="335" t="str">
        <f>총투자비!I28</f>
        <v>x</v>
      </c>
      <c r="J53" s="345">
        <v>0.15</v>
      </c>
      <c r="K53" s="335" t="str">
        <f>총투자비!K28</f>
        <v>백만원/평</v>
      </c>
      <c r="L53" s="335"/>
      <c r="M53" s="335"/>
      <c r="N53" s="335"/>
      <c r="O53" s="338">
        <f t="shared" ca="1" si="5"/>
        <v>1.4795940183382653E-2</v>
      </c>
      <c r="R53" s="351" t="s">
        <v>475</v>
      </c>
      <c r="S53" s="352"/>
      <c r="T53" s="353">
        <f ca="1">T52/T49</f>
        <v>0.2037524166431573</v>
      </c>
      <c r="U53" s="354"/>
      <c r="X53" s="365" t="s">
        <v>488</v>
      </c>
      <c r="Y53" s="362"/>
      <c r="Z53" s="366">
        <f ca="1">현금흐름!G53</f>
        <v>0.32694131374359126</v>
      </c>
      <c r="AA53" s="362"/>
      <c r="AB53" s="362"/>
      <c r="AC53" s="362"/>
    </row>
    <row r="54" spans="2:31" ht="13.5" customHeight="1">
      <c r="B54" s="333"/>
      <c r="C54" s="334" t="str">
        <f>총투자비!C32</f>
        <v>각종 인허가 관련비용</v>
      </c>
      <c r="D54" s="335"/>
      <c r="E54" s="335"/>
      <c r="F54" s="335">
        <f>총투자비!F32</f>
        <v>1056.6475756735001</v>
      </c>
      <c r="G54" s="335" t="s">
        <v>466</v>
      </c>
      <c r="H54" s="335"/>
      <c r="I54" s="335"/>
      <c r="J54" s="335"/>
      <c r="K54" s="335"/>
      <c r="L54" s="335"/>
      <c r="M54" s="335"/>
      <c r="N54" s="335"/>
      <c r="O54" s="338">
        <f t="shared" ca="1" si="5"/>
        <v>1.8091237363863071E-3</v>
      </c>
      <c r="R54" s="355" t="s">
        <v>476</v>
      </c>
      <c r="S54" s="120"/>
      <c r="T54" s="356">
        <f ca="1">T52/T50</f>
        <v>0.25636307484415599</v>
      </c>
      <c r="U54" s="357"/>
    </row>
    <row r="55" spans="2:31" ht="13.5" customHeight="1">
      <c r="B55" s="333"/>
      <c r="C55" s="334" t="str">
        <f>총투자비!C53</f>
        <v>AMC매입보수</v>
      </c>
      <c r="D55" s="335"/>
      <c r="E55" s="335"/>
      <c r="F55" s="335">
        <f ca="1">총투자비!F53</f>
        <v>3222.5587386163011</v>
      </c>
      <c r="G55" s="335" t="str">
        <f>총투자비!G53</f>
        <v>총사업비의</v>
      </c>
      <c r="H55" s="340">
        <v>6.0000000000000001E-3</v>
      </c>
      <c r="I55" s="335"/>
      <c r="J55" s="335"/>
      <c r="K55" s="335"/>
      <c r="L55" s="335"/>
      <c r="M55" s="335"/>
      <c r="N55" s="335"/>
      <c r="O55" s="338">
        <f t="shared" ca="1" si="5"/>
        <v>5.517456946053048E-3</v>
      </c>
    </row>
    <row r="56" spans="2:31" ht="13.5" customHeight="1">
      <c r="B56" s="333"/>
      <c r="C56" s="334" t="str">
        <f>총투자비!C57</f>
        <v>사업타당성 용역비</v>
      </c>
      <c r="D56" s="335"/>
      <c r="E56" s="335"/>
      <c r="F56" s="347">
        <f>총투자비!F57</f>
        <v>70</v>
      </c>
      <c r="G56" s="335"/>
      <c r="H56" s="335"/>
      <c r="I56" s="335"/>
      <c r="J56" s="335"/>
      <c r="K56" s="335"/>
      <c r="L56" s="335"/>
      <c r="M56" s="335"/>
      <c r="N56" s="335"/>
      <c r="O56" s="338">
        <f t="shared" ca="1" si="5"/>
        <v>1.1984947910974278E-4</v>
      </c>
    </row>
    <row r="57" spans="2:31" ht="13.5" customHeight="1">
      <c r="B57" s="333"/>
      <c r="C57" s="334" t="str">
        <f>총투자비!C61</f>
        <v>법률자문</v>
      </c>
      <c r="D57" s="335"/>
      <c r="E57" s="335"/>
      <c r="F57" s="347">
        <f>총투자비!F61</f>
        <v>100</v>
      </c>
      <c r="G57" s="335"/>
      <c r="H57" s="335"/>
      <c r="I57" s="335"/>
      <c r="J57" s="335"/>
      <c r="K57" s="335"/>
      <c r="L57" s="335"/>
      <c r="M57" s="335"/>
      <c r="N57" s="335"/>
      <c r="O57" s="338">
        <f t="shared" ca="1" si="5"/>
        <v>1.712135415853468E-4</v>
      </c>
      <c r="Q57" s="5" t="s">
        <v>499</v>
      </c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2:31" ht="13.5" customHeight="1">
      <c r="B58" s="333"/>
      <c r="C58" s="334" t="str">
        <f>총투자비!C65</f>
        <v>감정평가6)</v>
      </c>
      <c r="D58" s="335"/>
      <c r="E58" s="335"/>
      <c r="F58" s="335">
        <f>총투자비!F65</f>
        <v>77.193749999999994</v>
      </c>
      <c r="G58" s="335"/>
      <c r="H58" s="335"/>
      <c r="I58" s="335"/>
      <c r="J58" s="341"/>
      <c r="K58" s="341"/>
      <c r="L58" s="341"/>
      <c r="M58" s="341"/>
      <c r="N58" s="341"/>
      <c r="O58" s="338">
        <f t="shared" ca="1" si="5"/>
        <v>1.3216615325753865E-4</v>
      </c>
      <c r="Q58" s="14" t="s">
        <v>500</v>
      </c>
      <c r="Y58" s="14" t="s">
        <v>501</v>
      </c>
    </row>
    <row r="59" spans="2:31" ht="13.5" customHeight="1">
      <c r="B59" s="333"/>
      <c r="C59" s="334" t="str">
        <f>총투자비!C69</f>
        <v>미술장식품 설치비</v>
      </c>
      <c r="D59" s="335"/>
      <c r="E59" s="335"/>
      <c r="F59" s="335">
        <f>총투자비!F69</f>
        <v>2161.4903296000002</v>
      </c>
      <c r="G59" s="335"/>
      <c r="H59" s="335"/>
      <c r="I59" s="335"/>
      <c r="J59" s="335"/>
      <c r="K59" s="335"/>
      <c r="L59" s="335"/>
      <c r="M59" s="335"/>
      <c r="N59" s="335"/>
      <c r="O59" s="338">
        <f t="shared" ca="1" si="5"/>
        <v>3.7007641443329463E-3</v>
      </c>
      <c r="S59" s="1" t="s">
        <v>503</v>
      </c>
      <c r="AA59" s="1" t="s">
        <v>503</v>
      </c>
    </row>
    <row r="60" spans="2:31" ht="13.5" customHeight="1">
      <c r="B60" s="333"/>
      <c r="C60" s="342" t="str">
        <f>총투자비!C75</f>
        <v>용역 예비비</v>
      </c>
      <c r="D60" s="343"/>
      <c r="E60" s="343"/>
      <c r="F60" s="199">
        <v>300</v>
      </c>
      <c r="G60" s="343"/>
      <c r="H60" s="343"/>
      <c r="I60" s="343"/>
      <c r="J60" s="343"/>
      <c r="K60" s="343"/>
      <c r="L60" s="343"/>
      <c r="M60" s="343"/>
      <c r="N60" s="343"/>
      <c r="O60" s="330">
        <f t="shared" ca="1" si="5"/>
        <v>5.1364062475604041E-4</v>
      </c>
      <c r="R60" s="357">
        <f ca="1">T52</f>
        <v>149732.94312492432</v>
      </c>
      <c r="S60" s="374">
        <f t="shared" ref="S60" si="7">T60-0.5</f>
        <v>15</v>
      </c>
      <c r="T60" s="374">
        <f>U60-0.5</f>
        <v>15.5</v>
      </c>
      <c r="U60" s="374">
        <v>16</v>
      </c>
      <c r="V60" s="374">
        <f>U60+0.5</f>
        <v>16.5</v>
      </c>
      <c r="W60" s="374">
        <f t="shared" ref="W60" si="8">V60+0.5</f>
        <v>17</v>
      </c>
      <c r="Z60" s="377">
        <f ca="1">T53</f>
        <v>0.2037524166431573</v>
      </c>
      <c r="AA60" s="374">
        <f t="shared" ref="AA60" si="9">AB60-0.5</f>
        <v>15</v>
      </c>
      <c r="AB60" s="374">
        <f>AC60-0.5</f>
        <v>15.5</v>
      </c>
      <c r="AC60" s="374">
        <v>16</v>
      </c>
      <c r="AD60" s="374">
        <f>AC60+0.5</f>
        <v>16.5</v>
      </c>
      <c r="AE60" s="374">
        <f t="shared" ref="AE60" si="10">AD60+0.5</f>
        <v>17</v>
      </c>
    </row>
    <row r="61" spans="2:31" ht="13.5" customHeight="1">
      <c r="B61" s="80" t="str">
        <f>총투자비!B78</f>
        <v>제세공과금</v>
      </c>
      <c r="C61" s="80"/>
      <c r="D61" s="80"/>
      <c r="E61" s="80"/>
      <c r="F61" s="80">
        <f ca="1">SUM(F62:F64)</f>
        <v>30553.282675976196</v>
      </c>
      <c r="G61" s="80"/>
      <c r="H61" s="80"/>
      <c r="I61" s="80"/>
      <c r="J61" s="80"/>
      <c r="K61" s="80"/>
      <c r="L61" s="80"/>
      <c r="M61" s="80"/>
      <c r="N61" s="80"/>
      <c r="O61" s="329">
        <f t="shared" ca="1" si="5"/>
        <v>5.2311357340121066E-2</v>
      </c>
      <c r="Q61" s="404" t="s">
        <v>505</v>
      </c>
      <c r="R61" s="375">
        <v>1</v>
      </c>
      <c r="S61" s="1">
        <f>SUMIF(민감도분석!$17:$17,'A&amp;R'!S$60&amp;'A&amp;R'!$R61,민감도분석!$21:$21)</f>
        <v>109903.91437388374</v>
      </c>
      <c r="T61" s="1">
        <f>SUMIF(민감도분석!$17:$17,'A&amp;R'!T$60&amp;'A&amp;R'!$R61,민감도분석!$21:$21)</f>
        <v>130239.70798266691</v>
      </c>
      <c r="U61" s="1">
        <f>SUMIF(민감도분석!$17:$17,'A&amp;R'!U$60&amp;'A&amp;R'!$R61,민감도분석!$21:$21)</f>
        <v>150534.56293710344</v>
      </c>
      <c r="V61" s="1">
        <f>SUMIF(민감도분석!$17:$17,'A&amp;R'!V$60&amp;'A&amp;R'!$R61,민감도분석!$21:$21)</f>
        <v>170815.98438613326</v>
      </c>
      <c r="W61" s="1">
        <f>SUMIF(민감도분석!$17:$17,'A&amp;R'!W$60&amp;'A&amp;R'!$R61,민감도분석!$21:$21)</f>
        <v>191097.40582628013</v>
      </c>
      <c r="Y61" s="404" t="s">
        <v>505</v>
      </c>
      <c r="Z61" s="375">
        <v>1</v>
      </c>
      <c r="AA61" s="378">
        <f>SUMIF(민감도분석!$17:$17,'A&amp;R'!AA$60&amp;'A&amp;R'!$Z61,민감도분석!$22:$22)</f>
        <v>0.15904771509622842</v>
      </c>
      <c r="AB61" s="378">
        <f>SUMIF(민감도분석!$17:$17,'A&amp;R'!AB$60&amp;'A&amp;R'!$Z61,민감도분석!$22:$22)</f>
        <v>0.18267859242546311</v>
      </c>
      <c r="AC61" s="378">
        <f>SUMIF(민감도분석!$17:$17,'A&amp;R'!AC$60&amp;'A&amp;R'!$Z61,민감도분석!$22:$22)</f>
        <v>0.204843238546152</v>
      </c>
      <c r="AD61" s="378">
        <f>SUMIF(민감도분석!$17:$17,'A&amp;R'!AD$60&amp;'A&amp;R'!$Z61,민감도분석!$22:$22)</f>
        <v>0.22570547120713449</v>
      </c>
      <c r="AE61" s="378">
        <f>SUMIF(민감도분석!$17:$17,'A&amp;R'!AE$60&amp;'A&amp;R'!$Z61,민감도분석!$22:$22)</f>
        <v>0.24539258348909956</v>
      </c>
    </row>
    <row r="62" spans="2:31" ht="13.5" customHeight="1">
      <c r="B62" s="333"/>
      <c r="C62" s="334" t="str">
        <f>총투자비!C79</f>
        <v>각종 부담금</v>
      </c>
      <c r="D62" s="335"/>
      <c r="E62" s="335"/>
      <c r="F62" s="335">
        <f ca="1">총투자비!F79</f>
        <v>17931.61090381239</v>
      </c>
      <c r="G62" s="335" t="s">
        <v>467</v>
      </c>
      <c r="H62" s="335"/>
      <c r="I62" s="335"/>
      <c r="J62" s="335"/>
      <c r="K62" s="335"/>
      <c r="L62" s="335"/>
      <c r="M62" s="335"/>
      <c r="N62" s="335"/>
      <c r="O62" s="338">
        <f t="shared" ca="1" si="5"/>
        <v>3.0701346091721409E-2</v>
      </c>
      <c r="Q62" s="405"/>
      <c r="R62" s="375">
        <f>R61-5%</f>
        <v>0.95</v>
      </c>
      <c r="S62" s="1">
        <f>SUMIF(민감도분석!$17:$17,'A&amp;R'!S$60&amp;'A&amp;R'!$R62,민감도분석!$21:$21)</f>
        <v>79400.224022131064</v>
      </c>
      <c r="T62" s="1">
        <f>SUMIF(민감도분석!$17:$17,'A&amp;R'!T$60&amp;'A&amp;R'!$R62,민감도분석!$21:$21)</f>
        <v>98719.227985322708</v>
      </c>
      <c r="U62" s="1">
        <f>SUMIF(민감도분석!$17:$17,'A&amp;R'!U$60&amp;'A&amp;R'!$R62,민감도분석!$21:$21)</f>
        <v>118038.23185686162</v>
      </c>
      <c r="V62" s="1">
        <f>SUMIF(민감도분석!$17:$17,'A&amp;R'!V$60&amp;'A&amp;R'!$R62,민감도분석!$21:$21)</f>
        <v>137351.63896771101</v>
      </c>
      <c r="W62" s="1">
        <f>SUMIF(민감도분석!$17:$17,'A&amp;R'!W$60&amp;'A&amp;R'!$R62,민감도분석!$21:$21)</f>
        <v>156618.98936915922</v>
      </c>
      <c r="Y62" s="405"/>
      <c r="Z62" s="375">
        <f>Z61-5%</f>
        <v>0.95</v>
      </c>
      <c r="AA62" s="378">
        <f>SUMIF(민감도분석!$17:$17,'A&amp;R'!AA$60&amp;'A&amp;R'!$Z62,민감도분석!$22:$22)</f>
        <v>0.12064818391558631</v>
      </c>
      <c r="AB62" s="378">
        <f>SUMIF(민감도분석!$17:$17,'A&amp;R'!AB$60&amp;'A&amp;R'!$Z62,민감도분석!$22:$22)</f>
        <v>0.14539997137976379</v>
      </c>
      <c r="AC62" s="378">
        <f>SUMIF(민감도분석!$17:$17,'A&amp;R'!AC$60&amp;'A&amp;R'!$Z62,민감도분석!$22:$22)</f>
        <v>0.16867781677438043</v>
      </c>
      <c r="AD62" s="378">
        <f>SUMIF(민감도분석!$17:$17,'A&amp;R'!AD$60&amp;'A&amp;R'!$Z62,민감도분석!$22:$22)</f>
        <v>0.19060180442128949</v>
      </c>
      <c r="AE62" s="378">
        <f>SUMIF(민감도분석!$17:$17,'A&amp;R'!AE$60&amp;'A&amp;R'!$Z62,민감도분석!$22:$22)</f>
        <v>0.21123150066497332</v>
      </c>
    </row>
    <row r="63" spans="2:31" ht="13.5" customHeight="1">
      <c r="B63" s="333"/>
      <c r="C63" s="334" t="str">
        <f>총투자비!C93</f>
        <v>토지보유세</v>
      </c>
      <c r="D63" s="335"/>
      <c r="E63" s="335"/>
      <c r="F63" s="335">
        <f>총투자비!F93</f>
        <v>1704.970002795033</v>
      </c>
      <c r="G63" s="335"/>
      <c r="H63" s="335"/>
      <c r="I63" s="335"/>
      <c r="J63" s="335"/>
      <c r="K63" s="335"/>
      <c r="L63" s="335"/>
      <c r="M63" s="335"/>
      <c r="N63" s="335"/>
      <c r="O63" s="338">
        <f t="shared" ca="1" si="5"/>
        <v>2.9191395247531626E-3</v>
      </c>
      <c r="Q63" s="405"/>
      <c r="R63" s="375">
        <f t="shared" ref="R63:R67" si="11">R62-5%</f>
        <v>0.89999999999999991</v>
      </c>
      <c r="S63" s="1">
        <f>SUMIF(민감도분석!$17:$17,'A&amp;R'!S$60&amp;'A&amp;R'!$R63,민감도분석!$21:$21)</f>
        <v>48896.533726777066</v>
      </c>
      <c r="T63" s="1">
        <f>SUMIF(민감도분석!$17:$17,'A&amp;R'!T$60&amp;'A&amp;R'!$R63,민감도분석!$21:$21)</f>
        <v>67198.747981010354</v>
      </c>
      <c r="U63" s="1">
        <f>SUMIF(민감도분석!$17:$17,'A&amp;R'!U$60&amp;'A&amp;R'!$R63,민감도분석!$21:$21)</f>
        <v>85500.962175099645</v>
      </c>
      <c r="V63" s="1">
        <f>SUMIF(민감도분석!$17:$17,'A&amp;R'!V$60&amp;'A&amp;R'!$R63,민감도분석!$21:$21)</f>
        <v>103803.17636918928</v>
      </c>
      <c r="W63" s="1">
        <f>SUMIF(민감도분석!$17:$17,'A&amp;R'!W$60&amp;'A&amp;R'!$R63,민감도분석!$21:$21)</f>
        <v>122105.39056327892</v>
      </c>
      <c r="Y63" s="405"/>
      <c r="Z63" s="375">
        <f t="shared" ref="Z63:Z67" si="12">Z62-5%</f>
        <v>0.89999999999999991</v>
      </c>
      <c r="AA63" s="378">
        <f>SUMIF(민감도분석!$17:$17,'A&amp;R'!AA$60&amp;'A&amp;R'!$Z63,민감도분석!$22:$22)</f>
        <v>7.8207525086653074E-2</v>
      </c>
      <c r="AB63" s="378">
        <f>SUMIF(민감도분석!$17:$17,'A&amp;R'!AB$60&amp;'A&amp;R'!$Z63,민감도분석!$22:$22)</f>
        <v>0.10419148635818107</v>
      </c>
      <c r="AC63" s="378">
        <f>SUMIF(민감도분석!$17:$17,'A&amp;R'!AC$60&amp;'A&amp;R'!$Z63,민감도분석!$22:$22)</f>
        <v>0.12863217928372667</v>
      </c>
      <c r="AD63" s="378">
        <f>SUMIF(민감도분석!$17:$17,'A&amp;R'!AD$60&amp;'A&amp;R'!$Z63,민감도분석!$22:$22)</f>
        <v>0.15166312800543411</v>
      </c>
      <c r="AE63" s="378">
        <f>SUMIF(민감도분석!$17:$17,'A&amp;R'!AE$60&amp;'A&amp;R'!$Z63,민감도분석!$22:$22)</f>
        <v>0.17340288496295289</v>
      </c>
    </row>
    <row r="64" spans="2:31" ht="13.5" customHeight="1">
      <c r="B64" s="333"/>
      <c r="C64" s="342" t="str">
        <f>총투자비!C104</f>
        <v>소유권 보전등기 관련</v>
      </c>
      <c r="D64" s="343"/>
      <c r="E64" s="343"/>
      <c r="F64" s="343">
        <f ca="1">총투자비!F104</f>
        <v>10916.701768196453</v>
      </c>
      <c r="G64" s="343"/>
      <c r="H64" s="343"/>
      <c r="I64" s="343"/>
      <c r="J64" s="343"/>
      <c r="K64" s="343"/>
      <c r="L64" s="343"/>
      <c r="M64" s="343"/>
      <c r="N64" s="343"/>
      <c r="O64" s="330">
        <f t="shared" ca="1" si="5"/>
        <v>1.8690871721639326E-2</v>
      </c>
      <c r="Q64" s="405"/>
      <c r="R64" s="375">
        <f t="shared" si="11"/>
        <v>0.84999999999999987</v>
      </c>
      <c r="S64" s="1">
        <f>SUMIF(민감도분석!$17:$17,'A&amp;R'!S$60&amp;'A&amp;R'!$R64,민감도분석!$21:$21)</f>
        <v>18392.843420447432</v>
      </c>
      <c r="T64" s="1">
        <f>SUMIF(민감도분석!$17:$17,'A&amp;R'!T$60&amp;'A&amp;R'!$R64,민감도분석!$21:$21)</f>
        <v>35678.267976697651</v>
      </c>
      <c r="U64" s="1">
        <f>SUMIF(민감도분석!$17:$17,'A&amp;R'!U$60&amp;'A&amp;R'!$R64,민감도분석!$21:$21)</f>
        <v>52963.692493337789</v>
      </c>
      <c r="V64" s="1">
        <f>SUMIF(민감도분석!$17:$17,'A&amp;R'!V$60&amp;'A&amp;R'!$R64,민감도분석!$21:$21)</f>
        <v>70249.11700997781</v>
      </c>
      <c r="W64" s="1">
        <f>SUMIF(민감도분석!$17:$17,'A&amp;R'!W$60&amp;'A&amp;R'!$R64,민감도분석!$21:$21)</f>
        <v>87534.541526618064</v>
      </c>
      <c r="Y64" s="405"/>
      <c r="Z64" s="375">
        <f t="shared" si="12"/>
        <v>0.84999999999999987</v>
      </c>
      <c r="AA64" s="378">
        <f>SUMIF(민감도분석!$17:$17,'A&amp;R'!AA$60&amp;'A&amp;R'!$Z64,민감도분석!$22:$22)</f>
        <v>3.105238047147495E-2</v>
      </c>
      <c r="AB64" s="378">
        <f>SUMIF(민감도분석!$17:$17,'A&amp;R'!AB$60&amp;'A&amp;R'!$Z64,민감도분석!$22:$22)</f>
        <v>5.8397138328850698E-2</v>
      </c>
      <c r="AC64" s="378">
        <f>SUMIF(민감도분석!$17:$17,'A&amp;R'!AC$60&amp;'A&amp;R'!$Z64,민감도분석!$22:$22)</f>
        <v>8.4122541135476306E-2</v>
      </c>
      <c r="AD64" s="378">
        <f>SUMIF(민감도분석!$17:$17,'A&amp;R'!AD$60&amp;'A&amp;R'!$Z64,민감도분석!$22:$22)</f>
        <v>0.10836829930248315</v>
      </c>
      <c r="AE64" s="378">
        <f>SUMIF(민감도분석!$17:$17,'A&amp;R'!AE$60&amp;'A&amp;R'!$Z64,민감도분석!$22:$22)</f>
        <v>0.13125850103897027</v>
      </c>
    </row>
    <row r="65" spans="2:31" ht="13.5" customHeight="1">
      <c r="B65" s="80" t="str">
        <f>총투자비!B109</f>
        <v>판매 및 관리비</v>
      </c>
      <c r="C65" s="80"/>
      <c r="D65" s="80"/>
      <c r="E65" s="80"/>
      <c r="F65" s="80">
        <f ca="1">SUM(F66:F67)</f>
        <v>56071.781584520504</v>
      </c>
      <c r="G65" s="80"/>
      <c r="H65" s="80"/>
      <c r="I65" s="80"/>
      <c r="J65" s="80"/>
      <c r="K65" s="80"/>
      <c r="L65" s="80"/>
      <c r="M65" s="80"/>
      <c r="N65" s="80"/>
      <c r="O65" s="329">
        <f t="shared" ca="1" si="5"/>
        <v>9.6002483080857848E-2</v>
      </c>
      <c r="Q65" s="405"/>
      <c r="R65" s="375">
        <f t="shared" si="11"/>
        <v>0.79999999999999982</v>
      </c>
      <c r="S65" s="1">
        <f>SUMIF(민감도분석!$17:$17,'A&amp;R'!S$60&amp;'A&amp;R'!$R65,민감도분석!$21:$21)</f>
        <v>-10987.427450188436</v>
      </c>
      <c r="T65" s="1">
        <f>SUMIF(민감도분석!$17:$17,'A&amp;R'!T$60&amp;'A&amp;R'!$R65,민감도분석!$21:$21)</f>
        <v>4205.3308016080409</v>
      </c>
      <c r="U65" s="1">
        <f>SUMIF(민감도분석!$17:$17,'A&amp;R'!U$60&amp;'A&amp;R'!$R65,민감도분석!$21:$21)</f>
        <v>20473.965640799608</v>
      </c>
      <c r="V65" s="1">
        <f>SUMIF(민감도분석!$17:$17,'A&amp;R'!V$60&amp;'A&amp;R'!$R65,민감도분석!$21:$21)</f>
        <v>36742.600479990244</v>
      </c>
      <c r="W65" s="1">
        <f>SUMIF(민감도분석!$17:$17,'A&amp;R'!W$60&amp;'A&amp;R'!$R65,민감도분석!$21:$21)</f>
        <v>53011.235319180996</v>
      </c>
      <c r="Y65" s="405"/>
      <c r="Z65" s="375">
        <f t="shared" si="12"/>
        <v>0.79999999999999982</v>
      </c>
      <c r="AA65" s="378">
        <f>SUMIF(민감도분석!$17:$17,'A&amp;R'!AA$60&amp;'A&amp;R'!$Z65,민감도분석!$22:$22)</f>
        <v>-1.9640811933965011E-2</v>
      </c>
      <c r="AB65" s="378">
        <f>SUMIF(민감도분석!$17:$17,'A&amp;R'!AB$60&amp;'A&amp;R'!$Z65,민감도분석!$22:$22)</f>
        <v>7.2887222864123045E-3</v>
      </c>
      <c r="AC65" s="378">
        <f>SUMIF(민감도분석!$17:$17,'A&amp;R'!AC$60&amp;'A&amp;R'!$Z65,민감도분석!$22:$22)</f>
        <v>3.4438391346770146E-2</v>
      </c>
      <c r="AD65" s="378">
        <f>SUMIF(민감도분석!$17:$17,'A&amp;R'!AD$60&amp;'A&amp;R'!$Z65,민감도분석!$22:$22)</f>
        <v>6.0031455351660969E-2</v>
      </c>
      <c r="AE65" s="378">
        <f>SUMIF(민감도분석!$17:$17,'A&amp;R'!AE$60&amp;'A&amp;R'!$Z65,민감도분석!$22:$22)</f>
        <v>8.4198053682551732E-2</v>
      </c>
    </row>
    <row r="66" spans="2:31" ht="13.5" customHeight="1">
      <c r="B66" s="333"/>
      <c r="C66" s="334" t="str">
        <f>총투자비!C110</f>
        <v>판매비</v>
      </c>
      <c r="D66" s="335"/>
      <c r="E66" s="335"/>
      <c r="F66" s="335">
        <f ca="1">총투자비!F110</f>
        <v>50023.781584520504</v>
      </c>
      <c r="G66" s="335"/>
      <c r="H66" s="335"/>
      <c r="I66" s="335"/>
      <c r="J66" s="335"/>
      <c r="K66" s="335"/>
      <c r="L66" s="335"/>
      <c r="M66" s="335"/>
      <c r="N66" s="335"/>
      <c r="O66" s="338">
        <f t="shared" ca="1" si="5"/>
        <v>8.5647488085776075E-2</v>
      </c>
      <c r="Q66" s="405"/>
      <c r="R66" s="375">
        <f t="shared" si="11"/>
        <v>0.74999999999999978</v>
      </c>
      <c r="S66" s="1">
        <f>SUMIF(민감도분석!$17:$17,'A&amp;R'!S$60&amp;'A&amp;R'!$R66,민감도분석!$21:$21)</f>
        <v>-41562.680355574354</v>
      </c>
      <c r="T66" s="1">
        <f>SUMIF(민감도분석!$17:$17,'A&amp;R'!T$60&amp;'A&amp;R'!$R66,민감도분석!$21:$21)</f>
        <v>-26274.871263830457</v>
      </c>
      <c r="U66" s="1">
        <f>SUMIF(민감도분석!$17:$17,'A&amp;R'!U$60&amp;'A&amp;R'!$R66,민감도분석!$21:$21)</f>
        <v>-10986.97158274916</v>
      </c>
      <c r="V66" s="1">
        <f>SUMIF(민감도분석!$17:$17,'A&amp;R'!V$60&amp;'A&amp;R'!$R66,민감도분석!$21:$21)</f>
        <v>3188.995953302714</v>
      </c>
      <c r="W66" s="1">
        <f>SUMIF(민감도분석!$17:$17,'A&amp;R'!W$60&amp;'A&amp;R'!$R66,민감도분석!$21:$21)</f>
        <v>18440.841115044896</v>
      </c>
      <c r="Y66" s="405"/>
      <c r="Z66" s="375">
        <f t="shared" si="12"/>
        <v>0.74999999999999978</v>
      </c>
      <c r="AA66" s="378">
        <f>SUMIF(민감도분석!$17:$17,'A&amp;R'!AA$60&amp;'A&amp;R'!$Z66,민감도분석!$22:$22)</f>
        <v>-7.8938512191848137E-2</v>
      </c>
      <c r="AB66" s="378">
        <f>SUMIF(민감도분석!$17:$17,'A&amp;R'!AB$60&amp;'A&amp;R'!$Z66,민감도분석!$22:$22)</f>
        <v>-4.8391113249451827E-2</v>
      </c>
      <c r="AC66" s="378">
        <f>SUMIF(민감도분석!$17:$17,'A&amp;R'!AC$60&amp;'A&amp;R'!$Z66,민감도분석!$22:$22)</f>
        <v>-1.9639997038332503E-2</v>
      </c>
      <c r="AD66" s="378">
        <f>SUMIF(민감도분석!$17:$17,'A&amp;R'!AD$60&amp;'A&amp;R'!$Z66,민감도분석!$22:$22)</f>
        <v>5.5377257253899758E-3</v>
      </c>
      <c r="AE66" s="378">
        <f>SUMIF(민감도분석!$17:$17,'A&amp;R'!AE$60&amp;'A&amp;R'!$Z66,민감도분석!$22:$22)</f>
        <v>3.1133414308403998E-2</v>
      </c>
    </row>
    <row r="67" spans="2:31" ht="13.5" customHeight="1">
      <c r="B67" s="333"/>
      <c r="C67" s="334" t="str">
        <f>총투자비!C132</f>
        <v>관리운영비</v>
      </c>
      <c r="D67" s="335"/>
      <c r="E67" s="335"/>
      <c r="F67" s="335">
        <f>총투자비!F132</f>
        <v>6048</v>
      </c>
      <c r="G67" s="335"/>
      <c r="H67" s="348"/>
      <c r="I67" s="335"/>
      <c r="J67" s="335"/>
      <c r="K67" s="335"/>
      <c r="L67" s="335"/>
      <c r="M67" s="335"/>
      <c r="N67" s="335"/>
      <c r="O67" s="338">
        <f t="shared" ca="1" si="5"/>
        <v>1.0354994995081775E-2</v>
      </c>
      <c r="Q67" s="405"/>
      <c r="R67" s="376">
        <f t="shared" si="11"/>
        <v>0.69999999999999973</v>
      </c>
      <c r="S67" s="120">
        <f>SUMIF(민감도분석!$17:$17,'A&amp;R'!S$60&amp;'A&amp;R'!$R67,민감도분석!$21:$21)</f>
        <v>-72194.218563987582</v>
      </c>
      <c r="T67" s="120">
        <f>SUMIF(민감도분석!$17:$17,'A&amp;R'!T$60&amp;'A&amp;R'!$R67,민감도분석!$21:$21)</f>
        <v>-57870.095232197724</v>
      </c>
      <c r="U67" s="120">
        <f>SUMIF(민감도분석!$17:$17,'A&amp;R'!U$60&amp;'A&amp;R'!$R67,민감도분석!$21:$21)</f>
        <v>-43601.15972091048</v>
      </c>
      <c r="V67" s="120">
        <f>SUMIF(민감도분석!$17:$17,'A&amp;R'!V$60&amp;'A&amp;R'!$R67,민감도분석!$21:$21)</f>
        <v>-29332.450168362237</v>
      </c>
      <c r="W67" s="120">
        <f>SUMIF(민감도분석!$17:$17,'A&amp;R'!W$60&amp;'A&amp;R'!$R67,민감도분석!$21:$21)</f>
        <v>-15063.742909001769</v>
      </c>
      <c r="Y67" s="405"/>
      <c r="Z67" s="376">
        <f t="shared" si="12"/>
        <v>0.69999999999999973</v>
      </c>
      <c r="AA67" s="356">
        <f>SUMIF(민감도분석!$17:$17,'A&amp;R'!AA$60&amp;'A&amp;R'!$Z67,민감도분석!$22:$22)</f>
        <v>-0.1462542982501335</v>
      </c>
      <c r="AB67" s="356">
        <f>SUMIF(민감도분석!$17:$17,'A&amp;R'!AB$60&amp;'A&amp;R'!$Z67,민감도분석!$22:$22)</f>
        <v>-0.11369955368094561</v>
      </c>
      <c r="AC67" s="356">
        <f>SUMIF(민감도분석!$17:$17,'A&amp;R'!AC$60&amp;'A&amp;R'!$Z67,민감도분석!$22:$22)</f>
        <v>-8.3156514136654702E-2</v>
      </c>
      <c r="AD67" s="356">
        <f>SUMIF(민감도분석!$17:$17,'A&amp;R'!AD$60&amp;'A&amp;R'!$Z67,민감도분석!$22:$22)</f>
        <v>-5.4351652636429111E-2</v>
      </c>
      <c r="AE67" s="356">
        <f>SUMIF(민감도분석!$17:$17,'A&amp;R'!AE$60&amp;'A&amp;R'!$Z67,민감도분석!$22:$22)</f>
        <v>-2.7140327873590785E-2</v>
      </c>
    </row>
    <row r="68" spans="2:31" ht="13.5" customHeight="1">
      <c r="B68" s="349" t="str">
        <f>총투자비!B139</f>
        <v>총 사업비</v>
      </c>
      <c r="C68" s="349"/>
      <c r="D68" s="349"/>
      <c r="E68" s="349"/>
      <c r="F68" s="349">
        <f ca="1">F65+F61+F52+F49+F43</f>
        <v>537093.12310158601</v>
      </c>
      <c r="G68" s="349"/>
      <c r="H68" s="349"/>
      <c r="I68" s="349"/>
      <c r="J68" s="349"/>
      <c r="K68" s="349"/>
      <c r="L68" s="349"/>
      <c r="M68" s="349"/>
      <c r="N68" s="349"/>
      <c r="O68" s="350">
        <f t="shared" ca="1" si="5"/>
        <v>0.91957615767357193</v>
      </c>
    </row>
    <row r="69" spans="2:31" ht="13.5" customHeight="1">
      <c r="B69" s="80" t="str">
        <f>총투자비!B140</f>
        <v>금융비용</v>
      </c>
      <c r="C69" s="80"/>
      <c r="D69" s="80"/>
      <c r="E69" s="80"/>
      <c r="F69" s="80">
        <f ca="1">SUM(F70:F84)</f>
        <v>46972.827913928792</v>
      </c>
      <c r="G69" s="80"/>
      <c r="H69" s="80"/>
      <c r="I69" s="80"/>
      <c r="J69" s="80"/>
      <c r="K69" s="80"/>
      <c r="L69" s="80"/>
      <c r="M69" s="80"/>
      <c r="N69" s="80"/>
      <c r="O69" s="329">
        <f t="shared" ca="1" si="5"/>
        <v>8.042384225422787E-2</v>
      </c>
      <c r="Q69" s="14" t="s">
        <v>489</v>
      </c>
      <c r="Y69" s="14" t="s">
        <v>502</v>
      </c>
    </row>
    <row r="70" spans="2:31" ht="13.5" customHeight="1">
      <c r="C70" s="30" t="str">
        <f>총투자비!C141</f>
        <v>담보신탁</v>
      </c>
      <c r="D70" s="22"/>
      <c r="E70" s="22"/>
      <c r="F70" s="22">
        <f>총투자비!F141</f>
        <v>150.87187500000002</v>
      </c>
      <c r="G70" s="22">
        <f>총투자비!G141</f>
        <v>150871.875</v>
      </c>
      <c r="H70" s="22" t="str">
        <f>총투자비!H141</f>
        <v>백만원 x</v>
      </c>
      <c r="I70" s="254">
        <f>총투자비!I141</f>
        <v>1E-3</v>
      </c>
      <c r="J70" s="22"/>
      <c r="K70" s="259">
        <f>총투자비!K141</f>
        <v>44377</v>
      </c>
      <c r="L70" s="259"/>
      <c r="M70" s="259"/>
      <c r="N70" s="259"/>
      <c r="O70" s="330">
        <f t="shared" ca="1" si="5"/>
        <v>2.5831308044371747E-4</v>
      </c>
      <c r="S70" s="1" t="s">
        <v>503</v>
      </c>
      <c r="AA70" s="1" t="s">
        <v>503</v>
      </c>
    </row>
    <row r="71" spans="2:31" ht="13.5" customHeight="1">
      <c r="C71" s="30" t="str">
        <f>총투자비!C142</f>
        <v>브릿지론</v>
      </c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330">
        <f t="shared" ca="1" si="5"/>
        <v>0</v>
      </c>
      <c r="R71" s="377">
        <f ca="1">AC52</f>
        <v>0.87129866600036632</v>
      </c>
      <c r="S71" s="374">
        <f t="shared" ref="S71" si="13">T71-0.5</f>
        <v>15</v>
      </c>
      <c r="T71" s="374">
        <f>U71-0.5</f>
        <v>15.5</v>
      </c>
      <c r="U71" s="374">
        <v>16</v>
      </c>
      <c r="V71" s="374">
        <f>U71+0.5</f>
        <v>16.5</v>
      </c>
      <c r="W71" s="374">
        <f t="shared" ref="W71" si="14">V71+0.5</f>
        <v>17</v>
      </c>
      <c r="Z71" s="379">
        <f ca="1">AB52</f>
        <v>15.973292885442282</v>
      </c>
      <c r="AA71" s="374">
        <f t="shared" ref="AA71" si="15">AB71-0.5</f>
        <v>15</v>
      </c>
      <c r="AB71" s="374">
        <f>AC71-0.5</f>
        <v>15.5</v>
      </c>
      <c r="AC71" s="374">
        <v>16</v>
      </c>
      <c r="AD71" s="374">
        <f>AC71+0.5</f>
        <v>16.5</v>
      </c>
      <c r="AE71" s="374">
        <f t="shared" ref="AE71" si="16">AD71+0.5</f>
        <v>17</v>
      </c>
    </row>
    <row r="72" spans="2:31" ht="13.5" customHeight="1">
      <c r="C72" s="31"/>
      <c r="D72" s="32" t="str">
        <f>총투자비!D143</f>
        <v>선순위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31">
        <f t="shared" ca="1" si="5"/>
        <v>0</v>
      </c>
      <c r="Q72" s="404" t="s">
        <v>505</v>
      </c>
      <c r="R72" s="375">
        <v>1</v>
      </c>
      <c r="S72" s="378">
        <f>SUMIF(민감도분석!$17:$17,'A&amp;R'!S$71&amp;'A&amp;R'!$R72,민감도분석!$23:$23)</f>
        <v>0.75377585411071757</v>
      </c>
      <c r="T72" s="378">
        <f>SUMIF(민감도분석!$17:$17,'A&amp;R'!T$71&amp;'A&amp;R'!$R72,민감도분석!$23:$23)</f>
        <v>0.81702349662780782</v>
      </c>
      <c r="U72" s="378">
        <f>SUMIF(민감도분석!$17:$17,'A&amp;R'!U$71&amp;'A&amp;R'!$R72,민감도분석!$23:$23)</f>
        <v>0.87341835975646975</v>
      </c>
      <c r="V72" s="378">
        <f>SUMIF(민감도분석!$17:$17,'A&amp;R'!V$71&amp;'A&amp;R'!$R72,민감도분석!$23:$23)</f>
        <v>0.92450638771057103</v>
      </c>
      <c r="W72" s="378">
        <f>SUMIF(민감도분석!$17:$17,'A&amp;R'!W$71&amp;'A&amp;R'!$R72,민감도분석!$23:$23)</f>
        <v>0.97133505821228017</v>
      </c>
      <c r="Y72" s="404" t="s">
        <v>505</v>
      </c>
      <c r="Z72" s="375">
        <v>1</v>
      </c>
      <c r="AA72" s="380">
        <f>SUMIF(민감도분석!$17:$17,'A&amp;R'!AA$71&amp;'A&amp;R'!$R72,민감도분석!$24:$24)</f>
        <v>11.990391434085581</v>
      </c>
      <c r="AB72" s="380">
        <f>SUMIF(민감도분석!$17:$17,'A&amp;R'!AB$71&amp;'A&amp;R'!$R72,민감도분석!$24:$24)</f>
        <v>14.023970811096934</v>
      </c>
      <c r="AC72" s="380">
        <f>SUMIF(민감도분석!$17:$17,'A&amp;R'!AC$71&amp;'A&amp;R'!$R72,민감도분석!$24:$24)</f>
        <v>16.053456308933033</v>
      </c>
      <c r="AD72" s="380">
        <f>SUMIF(민감도분석!$17:$17,'A&amp;R'!AD$71&amp;'A&amp;R'!$R72,민감도분석!$24:$24)</f>
        <v>18.081598454031152</v>
      </c>
      <c r="AE72" s="380">
        <f>SUMIF(민감도분석!$17:$17,'A&amp;R'!AE$71&amp;'A&amp;R'!$R72,민감도분석!$24:$24)</f>
        <v>20.109740598045825</v>
      </c>
    </row>
    <row r="73" spans="2:31" ht="13.5" customHeight="1">
      <c r="C73" s="31"/>
      <c r="D73" s="30" t="str">
        <f>총투자비!D144</f>
        <v>자문수수료</v>
      </c>
      <c r="E73" s="22"/>
      <c r="F73" s="22">
        <f>총투자비!F144</f>
        <v>2112.2062500000002</v>
      </c>
      <c r="G73" s="22">
        <f>총투자비!G144</f>
        <v>105610.3125</v>
      </c>
      <c r="H73" s="22" t="str">
        <f>총투자비!H144</f>
        <v>백만원 x</v>
      </c>
      <c r="I73" s="254">
        <f>총투자비!I144</f>
        <v>0.02</v>
      </c>
      <c r="J73" s="22"/>
      <c r="K73" s="259">
        <f>총투자비!K144</f>
        <v>44377</v>
      </c>
      <c r="L73" s="259"/>
      <c r="M73" s="259"/>
      <c r="N73" s="259"/>
      <c r="O73" s="330">
        <f t="shared" ca="1" si="5"/>
        <v>3.6163831262120446E-3</v>
      </c>
      <c r="Q73" s="405"/>
      <c r="R73" s="375">
        <f>R72-5%</f>
        <v>0.95</v>
      </c>
      <c r="S73" s="378">
        <f>SUMIF(민감도분석!$17:$17,'A&amp;R'!S$71&amp;'A&amp;R'!$R73,민감도분석!$23:$23)</f>
        <v>0.64112486839294447</v>
      </c>
      <c r="T73" s="378">
        <f>SUMIF(민감도분석!$17:$17,'A&amp;R'!T$71&amp;'A&amp;R'!$R73,민감도분석!$23:$23)</f>
        <v>0.71536587715148925</v>
      </c>
      <c r="U73" s="378">
        <f>SUMIF(민감도분석!$17:$17,'A&amp;R'!U$71&amp;'A&amp;R'!$R73,민감도분석!$23:$23)</f>
        <v>0.78000277519226091</v>
      </c>
      <c r="V73" s="378">
        <f>SUMIF(민감도분석!$17:$17,'A&amp;R'!V$71&amp;'A&amp;R'!$R73,민감도분석!$23:$23)</f>
        <v>0.83746493339538586</v>
      </c>
      <c r="W73" s="378">
        <f>SUMIF(민감도분석!$17:$17,'A&amp;R'!W$71&amp;'A&amp;R'!$R73,민감도분석!$23:$23)</f>
        <v>0.8892454242706298</v>
      </c>
      <c r="Y73" s="405"/>
      <c r="Z73" s="375">
        <f>Z72-5%</f>
        <v>0.95</v>
      </c>
      <c r="AA73" s="380">
        <f>SUMIF(민감도분석!$17:$17,'A&amp;R'!AA$71&amp;'A&amp;R'!$R73,민감도분석!$24:$24)</f>
        <v>8.9400223364674662</v>
      </c>
      <c r="AB73" s="380">
        <f>SUMIF(민감도분석!$17:$17,'A&amp;R'!AB$71&amp;'A&amp;R'!$R73,민감도분석!$24:$24)</f>
        <v>10.871922811767668</v>
      </c>
      <c r="AC73" s="380">
        <f>SUMIF(민감도분석!$17:$17,'A&amp;R'!AC$71&amp;'A&amp;R'!$R73,민감도분석!$24:$24)</f>
        <v>12.80382319892156</v>
      </c>
      <c r="AD73" s="380">
        <f>SUMIF(민감도분석!$17:$17,'A&amp;R'!AD$71&amp;'A&amp;R'!$R73,민감도분석!$24:$24)</f>
        <v>14.735163910719566</v>
      </c>
      <c r="AE73" s="380">
        <f>SUMIF(민감도분석!$17:$17,'A&amp;R'!AE$71&amp;'A&amp;R'!$R73,민감도분석!$24:$24)</f>
        <v>16.661898951562844</v>
      </c>
    </row>
    <row r="74" spans="2:31" ht="13.5" customHeight="1">
      <c r="C74" s="31"/>
      <c r="D74" s="33" t="str">
        <f>총투자비!D145</f>
        <v>이자비용</v>
      </c>
      <c r="E74" s="24"/>
      <c r="F74" s="24">
        <f>총투자비!F145</f>
        <v>5632.55</v>
      </c>
      <c r="G74" s="291">
        <f>총투자비!G145</f>
        <v>0.04</v>
      </c>
      <c r="H74" s="24" t="str">
        <f>총투자비!H145</f>
        <v>(인출시 선취)</v>
      </c>
      <c r="I74" s="24">
        <f>총투자비!I145</f>
        <v>0</v>
      </c>
      <c r="J74" s="293">
        <f>총투자비!J145</f>
        <v>16</v>
      </c>
      <c r="K74" s="129">
        <f>총투자비!K145</f>
        <v>44377</v>
      </c>
      <c r="L74" s="129"/>
      <c r="M74" s="129"/>
      <c r="N74" s="129"/>
      <c r="O74" s="332">
        <f t="shared" ca="1" si="5"/>
        <v>9.6436883365654518E-3</v>
      </c>
      <c r="Q74" s="405"/>
      <c r="R74" s="375">
        <f t="shared" ref="R74:R78" si="17">R73-5%</f>
        <v>0.89999999999999991</v>
      </c>
      <c r="S74" s="378">
        <f>SUMIF(민감도분석!$17:$17,'A&amp;R'!S$71&amp;'A&amp;R'!$R74,민감도분석!$23:$23)</f>
        <v>0.49331999778747559</v>
      </c>
      <c r="T74" s="378">
        <f>SUMIF(민감도분석!$17:$17,'A&amp;R'!T$71&amp;'A&amp;R'!$R74,민감도분석!$23:$23)</f>
        <v>0.58755837440490732</v>
      </c>
      <c r="U74" s="378">
        <f>SUMIF(민감도분석!$17:$17,'A&amp;R'!U$71&amp;'A&amp;R'!$R74,민감도분석!$23:$23)</f>
        <v>0.66580840110778805</v>
      </c>
      <c r="V74" s="378">
        <f>SUMIF(민감도분석!$17:$17,'A&amp;R'!V$71&amp;'A&amp;R'!$R74,민감도분석!$23:$23)</f>
        <v>0.73318659782409679</v>
      </c>
      <c r="W74" s="378">
        <f>SUMIF(민감도분석!$17:$17,'A&amp;R'!W$71&amp;'A&amp;R'!$R74,민감도분석!$23:$23)</f>
        <v>0.79263529777526842</v>
      </c>
      <c r="Y74" s="405"/>
      <c r="Z74" s="375">
        <f t="shared" ref="Z74:Z78" si="18">Z73-5%</f>
        <v>0.89999999999999991</v>
      </c>
      <c r="AA74" s="380">
        <f>SUMIF(민감도분석!$17:$17,'A&amp;R'!AA$71&amp;'A&amp;R'!$R74,민감도분석!$24:$24)</f>
        <v>5.8896533666839472</v>
      </c>
      <c r="AB74" s="380">
        <f>SUMIF(민감도분석!$17:$17,'A&amp;R'!AB$71&amp;'A&amp;R'!$R74,민감도분석!$24:$24)</f>
        <v>7.7198748106398272</v>
      </c>
      <c r="AC74" s="380">
        <f>SUMIF(민감도분석!$17:$17,'A&amp;R'!AC$71&amp;'A&amp;R'!$R74,민감도분석!$24:$24)</f>
        <v>9.5500962300487693</v>
      </c>
      <c r="AD74" s="380">
        <f>SUMIF(민감도분석!$17:$17,'A&amp;R'!AD$71&amp;'A&amp;R'!$R74,민감도분석!$24:$24)</f>
        <v>11.380317649457719</v>
      </c>
      <c r="AE74" s="380">
        <f>SUMIF(민감도분석!$17:$17,'A&amp;R'!AE$71&amp;'A&amp;R'!$R74,민감도분석!$24:$24)</f>
        <v>13.210539068866696</v>
      </c>
    </row>
    <row r="75" spans="2:31" ht="13.5" customHeight="1">
      <c r="C75" s="31"/>
      <c r="D75" s="32" t="str">
        <f>총투자비!D146</f>
        <v>후순위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31">
        <f t="shared" ca="1" si="5"/>
        <v>0</v>
      </c>
      <c r="Q75" s="405"/>
      <c r="R75" s="375">
        <f t="shared" si="17"/>
        <v>0.84999999999999987</v>
      </c>
      <c r="S75" s="378">
        <f>SUMIF(민감도분석!$17:$17,'A&amp;R'!S$71&amp;'A&amp;R'!$R75,민감도분석!$23:$23)</f>
        <v>0.2661684083938598</v>
      </c>
      <c r="T75" s="378">
        <f>SUMIF(민감도분석!$17:$17,'A&amp;R'!T$71&amp;'A&amp;R'!$R75,민감도분석!$23:$23)</f>
        <v>0.40990820407867434</v>
      </c>
      <c r="U75" s="378">
        <f>SUMIF(민감도분석!$17:$17,'A&amp;R'!U$71&amp;'A&amp;R'!$R75,민감도분석!$23:$23)</f>
        <v>0.51604197502136229</v>
      </c>
      <c r="V75" s="378">
        <f>SUMIF(민감도분석!$17:$17,'A&amp;R'!V$71&amp;'A&amp;R'!$R75,민감도분석!$23:$23)</f>
        <v>0.60153246879577638</v>
      </c>
      <c r="W75" s="378">
        <f>SUMIF(민감도분석!$17:$17,'A&amp;R'!W$71&amp;'A&amp;R'!$R75,민감도분석!$23:$23)</f>
        <v>0.67376484870910636</v>
      </c>
      <c r="Y75" s="405"/>
      <c r="Z75" s="375">
        <f t="shared" si="18"/>
        <v>0.84999999999999987</v>
      </c>
      <c r="AA75" s="380">
        <f>SUMIF(민감도분석!$17:$17,'A&amp;R'!AA$71&amp;'A&amp;R'!$R75,민감도분석!$24:$24)</f>
        <v>2.8392843368440168</v>
      </c>
      <c r="AB75" s="380">
        <f>SUMIF(민감도분석!$17:$17,'A&amp;R'!AB$71&amp;'A&amp;R'!$R75,민감도분석!$24:$24)</f>
        <v>4.5678268095119625</v>
      </c>
      <c r="AC75" s="380">
        <f>SUMIF(민감도분석!$17:$17,'A&amp;R'!AC$71&amp;'A&amp;R'!$R75,민감도분석!$24:$24)</f>
        <v>6.2963692611759763</v>
      </c>
      <c r="AD75" s="380">
        <f>SUMIF(민감도분석!$17:$17,'A&amp;R'!AD$71&amp;'A&amp;R'!$R75,민감도분석!$24:$24)</f>
        <v>8.0249117128399892</v>
      </c>
      <c r="AE75" s="380">
        <f>SUMIF(민감도분석!$17:$17,'A&amp;R'!AE$71&amp;'A&amp;R'!$R75,민감도분석!$24:$24)</f>
        <v>9.7534541645040154</v>
      </c>
    </row>
    <row r="76" spans="2:31" ht="13.5" customHeight="1">
      <c r="C76" s="31"/>
      <c r="D76" s="30" t="str">
        <f>총투자비!D147</f>
        <v>자문수수료</v>
      </c>
      <c r="E76" s="22"/>
      <c r="F76" s="22">
        <f>총투자비!F147</f>
        <v>1550</v>
      </c>
      <c r="G76" s="22">
        <f>총투자비!G147</f>
        <v>77500</v>
      </c>
      <c r="H76" s="22" t="str">
        <f>총투자비!H147</f>
        <v>백만원 x</v>
      </c>
      <c r="I76" s="254">
        <f>총투자비!I147</f>
        <v>0.02</v>
      </c>
      <c r="J76" s="22"/>
      <c r="K76" s="259">
        <f>총투자비!K147</f>
        <v>44377</v>
      </c>
      <c r="L76" s="259"/>
      <c r="M76" s="259"/>
      <c r="N76" s="259"/>
      <c r="O76" s="330">
        <f t="shared" ca="1" si="5"/>
        <v>2.6538098945728754E-3</v>
      </c>
      <c r="Q76" s="405"/>
      <c r="R76" s="375">
        <f t="shared" si="17"/>
        <v>0.79999999999999982</v>
      </c>
      <c r="S76" s="378">
        <f>SUMIF(민감도분석!$17:$17,'A&amp;R'!S$71&amp;'A&amp;R'!$R76,민감도분석!$23:$23)</f>
        <v>-0.99196262368466692</v>
      </c>
      <c r="T76" s="378">
        <f>SUMIF(민감도분석!$17:$17,'A&amp;R'!T$71&amp;'A&amp;R'!$R76,민감도분석!$23:$23)</f>
        <v>8.2620625495910621E-2</v>
      </c>
      <c r="U76" s="378">
        <f>SUMIF(민감도분석!$17:$17,'A&amp;R'!U$71&amp;'A&amp;R'!$R76,민감도분석!$23:$23)</f>
        <v>0.2865856599807739</v>
      </c>
      <c r="V76" s="378">
        <f>SUMIF(민감도분석!$17:$17,'A&amp;R'!V$71&amp;'A&amp;R'!$R76,민감도분석!$23:$23)</f>
        <v>0.41727143764495855</v>
      </c>
      <c r="W76" s="378">
        <f>SUMIF(민감도분석!$17:$17,'A&amp;R'!W$71&amp;'A&amp;R'!$R76,민감도분석!$23:$23)</f>
        <v>0.51630078315734873</v>
      </c>
      <c r="Y76" s="405"/>
      <c r="Z76" s="375">
        <f t="shared" si="18"/>
        <v>0.79999999999999982</v>
      </c>
      <c r="AA76" s="380">
        <f>SUMIF(민감도분석!$17:$17,'A&amp;R'!AA$71&amp;'A&amp;R'!$R76,민감도분석!$24:$24)</f>
        <v>4.8918009269982575E-10</v>
      </c>
      <c r="AB76" s="380">
        <f>SUMIF(민감도분석!$17:$17,'A&amp;R'!AB$71&amp;'A&amp;R'!$R76,민감도분석!$24:$24)</f>
        <v>1.4205330913063954</v>
      </c>
      <c r="AC76" s="380">
        <f>SUMIF(민감도분석!$17:$17,'A&amp;R'!AC$71&amp;'A&amp;R'!$R76,민감도분석!$24:$24)</f>
        <v>3.0473965752255525</v>
      </c>
      <c r="AD76" s="380">
        <f>SUMIF(민감도분석!$17:$17,'A&amp;R'!AD$71&amp;'A&amp;R'!$R76,민감도분석!$24:$24)</f>
        <v>4.6742600591446273</v>
      </c>
      <c r="AE76" s="380">
        <f>SUMIF(민감도분석!$17:$17,'A&amp;R'!AE$71&amp;'A&amp;R'!$R76,민감도분석!$24:$24)</f>
        <v>6.3011235430637029</v>
      </c>
    </row>
    <row r="77" spans="2:31" ht="13.5" customHeight="1">
      <c r="C77" s="31"/>
      <c r="D77" s="33" t="str">
        <f>총투자비!D148</f>
        <v>이자비용9)</v>
      </c>
      <c r="E77" s="24"/>
      <c r="F77" s="24">
        <f>총투자비!F148</f>
        <v>10333.333333333334</v>
      </c>
      <c r="G77" s="24"/>
      <c r="H77" s="24"/>
      <c r="I77" s="24"/>
      <c r="J77" s="24"/>
      <c r="K77" s="24"/>
      <c r="L77" s="24"/>
      <c r="M77" s="24"/>
      <c r="N77" s="24"/>
      <c r="O77" s="332">
        <f t="shared" ca="1" si="5"/>
        <v>1.769206596381917E-2</v>
      </c>
      <c r="Q77" s="405"/>
      <c r="R77" s="375">
        <f t="shared" si="17"/>
        <v>0.74999999999999978</v>
      </c>
      <c r="S77" s="378" t="e">
        <f>SUMIF(민감도분석!$17:$17,'A&amp;R'!S$71&amp;'A&amp;R'!$R77,민감도분석!$23:$23)</f>
        <v>#NUM!</v>
      </c>
      <c r="T77" s="378">
        <f>SUMIF(민감도분석!$17:$17,'A&amp;R'!T$71&amp;'A&amp;R'!$R77,민감도분석!$23:$23)</f>
        <v>-0.99555514606909123</v>
      </c>
      <c r="U77" s="378">
        <f>SUMIF(민감도분석!$17:$17,'A&amp;R'!U$71&amp;'A&amp;R'!$R77,민감도분석!$23:$23)</f>
        <v>-0.99552630224556182</v>
      </c>
      <c r="V77" s="378">
        <f>SUMIF(민감도분석!$17:$17,'A&amp;R'!V$71&amp;'A&amp;R'!$R77,민감도분석!$23:$23)</f>
        <v>6.4597468376159678E-2</v>
      </c>
      <c r="W77" s="378">
        <f>SUMIF(민감도분석!$17:$17,'A&amp;R'!W$71&amp;'A&amp;R'!$R77,민감도분석!$23:$23)</f>
        <v>0.2666521501541137</v>
      </c>
      <c r="Y77" s="405"/>
      <c r="Z77" s="375">
        <f t="shared" si="18"/>
        <v>0.74999999999999978</v>
      </c>
      <c r="AA77" s="380">
        <f>SUMIF(민감도분석!$17:$17,'A&amp;R'!AA$71&amp;'A&amp;R'!$R77,민감도분석!$24:$24)</f>
        <v>1.6602862160652876E-10</v>
      </c>
      <c r="AB77" s="380">
        <f>SUMIF(민감도분석!$17:$17,'A&amp;R'!AB$71&amp;'A&amp;R'!$R77,민감도분석!$24:$24)</f>
        <v>6.9916131906211373E-11</v>
      </c>
      <c r="AC77" s="380">
        <f>SUMIF(민감도분석!$17:$17,'A&amp;R'!AC$71&amp;'A&amp;R'!$R77,민감도분석!$24:$24)</f>
        <v>7.1970862336456791E-11</v>
      </c>
      <c r="AD77" s="380">
        <f>SUMIF(민감도분석!$17:$17,'A&amp;R'!AD$71&amp;'A&amp;R'!$R77,민감도분석!$24:$24)</f>
        <v>1.3188996057792683</v>
      </c>
      <c r="AE77" s="380">
        <f>SUMIF(민감도분석!$17:$17,'A&amp;R'!AE$71&amp;'A&amp;R'!$R77,민감도분석!$24:$24)</f>
        <v>2.8440841219534865</v>
      </c>
    </row>
    <row r="78" spans="2:31" ht="13.5" customHeight="1">
      <c r="C78" s="30" t="str">
        <f>총투자비!C149</f>
        <v>본 PF</v>
      </c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31">
        <f t="shared" ca="1" si="5"/>
        <v>0</v>
      </c>
      <c r="Q78" s="405"/>
      <c r="R78" s="376">
        <f t="shared" si="17"/>
        <v>0.69999999999999973</v>
      </c>
      <c r="S78" s="356" t="e">
        <f>SUMIF(민감도분석!$17:$17,'A&amp;R'!S$71&amp;'A&amp;R'!$R78,민감도분석!$23:$23)</f>
        <v>#NUM!</v>
      </c>
      <c r="T78" s="356">
        <f>SUMIF(민감도분석!$17:$17,'A&amp;R'!T$71&amp;'A&amp;R'!$R78,민감도분석!$23:$23)</f>
        <v>-0.99319336527085389</v>
      </c>
      <c r="U78" s="356">
        <f>SUMIF(민감도분석!$17:$17,'A&amp;R'!U$71&amp;'A&amp;R'!$R78,민감도분석!$23:$23)</f>
        <v>-0.9955206952762089</v>
      </c>
      <c r="V78" s="356">
        <f>SUMIF(민감도분석!$17:$17,'A&amp;R'!V$71&amp;'A&amp;R'!$R78,민감도분석!$23:$23)</f>
        <v>-0.99559387037530533</v>
      </c>
      <c r="W78" s="356">
        <f>SUMIF(민감도분석!$17:$17,'A&amp;R'!W$71&amp;'A&amp;R'!$R78,민감도분석!$23:$23)</f>
        <v>-0.99559508518024797</v>
      </c>
      <c r="Y78" s="405"/>
      <c r="Z78" s="376">
        <f t="shared" si="18"/>
        <v>0.69999999999999973</v>
      </c>
      <c r="AA78" s="381">
        <f>SUMIF(민감도분석!$17:$17,'A&amp;R'!AA$71&amp;'A&amp;R'!$R78,민감도분석!$24:$24)</f>
        <v>2.3605825845152142E-10</v>
      </c>
      <c r="AB78" s="381">
        <f>SUMIF(민감도분석!$17:$17,'A&amp;R'!AB$71&amp;'A&amp;R'!$R78,민감도분석!$24:$24)</f>
        <v>3.2669631764292715E-10</v>
      </c>
      <c r="AC78" s="381">
        <f>SUMIF(민감도분석!$17:$17,'A&amp;R'!AC$71&amp;'A&amp;R'!$R78,민감도분석!$24:$24)</f>
        <v>7.2340480983257288E-11</v>
      </c>
      <c r="AD78" s="381">
        <f>SUMIF(민감도분석!$17:$17,'A&amp;R'!AD$71&amp;'A&amp;R'!$R78,민감도분석!$24:$24)</f>
        <v>6.723857950419187E-11</v>
      </c>
      <c r="AE78" s="381">
        <f>SUMIF(민감도분석!$17:$17,'A&amp;R'!AE$71&amp;'A&amp;R'!$R78,민감도분석!$24:$24)</f>
        <v>6.719492375850678E-11</v>
      </c>
    </row>
    <row r="79" spans="2:31" ht="13.5" customHeight="1">
      <c r="C79" s="31"/>
      <c r="D79" s="32" t="str">
        <f>총투자비!D150</f>
        <v>Tranche A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31">
        <f t="shared" ca="1" si="5"/>
        <v>0</v>
      </c>
    </row>
    <row r="80" spans="2:31" ht="13.5" customHeight="1">
      <c r="C80" s="31"/>
      <c r="D80" s="30" t="str">
        <f>총투자비!D151</f>
        <v>자문수수료</v>
      </c>
      <c r="E80" s="22"/>
      <c r="F80" s="22">
        <f>총투자비!F151</f>
        <v>1831.1031250000001</v>
      </c>
      <c r="G80" s="22">
        <f>총투자비!G151</f>
        <v>183110.3125</v>
      </c>
      <c r="H80" s="22" t="str">
        <f>총투자비!H151</f>
        <v>백만원 x</v>
      </c>
      <c r="I80" s="254">
        <f>총투자비!I151</f>
        <v>0.01</v>
      </c>
      <c r="J80" s="22"/>
      <c r="K80" s="259">
        <f>총투자비!K151</f>
        <v>44834</v>
      </c>
      <c r="L80" s="259"/>
      <c r="M80" s="259"/>
      <c r="N80" s="259"/>
      <c r="O80" s="330">
        <f t="shared" ca="1" si="5"/>
        <v>3.13509651039246E-3</v>
      </c>
    </row>
    <row r="81" spans="2:15" ht="13.5" customHeight="1">
      <c r="C81" s="31"/>
      <c r="D81" s="33" t="str">
        <f>총투자비!D152</f>
        <v>이자비용10)</v>
      </c>
      <c r="E81" s="24"/>
      <c r="F81" s="24">
        <f>총투자비!F152</f>
        <v>23193.97291666668</v>
      </c>
      <c r="G81" s="24"/>
      <c r="H81" s="24"/>
      <c r="I81" s="24"/>
      <c r="J81" s="24"/>
      <c r="K81" s="24"/>
      <c r="L81" s="24"/>
      <c r="M81" s="24"/>
      <c r="N81" s="24"/>
      <c r="O81" s="332">
        <f t="shared" ca="1" si="5"/>
        <v>3.9711222464971184E-2</v>
      </c>
    </row>
    <row r="82" spans="2:15" ht="13.5" customHeight="1">
      <c r="C82" s="31"/>
      <c r="D82" s="32" t="str">
        <f>총투자비!D153</f>
        <v>Tranche B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31">
        <f t="shared" ca="1" si="5"/>
        <v>0</v>
      </c>
    </row>
    <row r="83" spans="2:15" ht="13.5" customHeight="1">
      <c r="C83" s="31"/>
      <c r="D83" s="30" t="str">
        <f>총투자비!D154</f>
        <v>자문수수료</v>
      </c>
      <c r="E83" s="22"/>
      <c r="F83" s="22">
        <f>총투자비!F154</f>
        <v>160.6344717495503</v>
      </c>
      <c r="G83" s="22">
        <f>총투자비!G154</f>
        <v>16063.447174955028</v>
      </c>
      <c r="H83" s="22" t="str">
        <f>총투자비!H154</f>
        <v>백만원 x</v>
      </c>
      <c r="I83" s="254">
        <f>총투자비!I154</f>
        <v>0.01</v>
      </c>
      <c r="J83" s="22"/>
      <c r="K83" s="259">
        <f>총투자비!K154</f>
        <v>44834</v>
      </c>
      <c r="L83" s="259"/>
      <c r="M83" s="259"/>
      <c r="N83" s="259"/>
      <c r="O83" s="330">
        <f t="shared" ca="1" si="5"/>
        <v>2.7502796808931846E-4</v>
      </c>
    </row>
    <row r="84" spans="2:15" ht="13.5" customHeight="1">
      <c r="C84" s="31"/>
      <c r="D84" s="31" t="str">
        <f>총투자비!D155</f>
        <v>이자비용10)</v>
      </c>
      <c r="E84" s="32"/>
      <c r="F84" s="32">
        <f ca="1">총투자비!F155</f>
        <v>2008.1558993647409</v>
      </c>
      <c r="G84" s="32"/>
      <c r="H84" s="32"/>
      <c r="I84" s="32"/>
      <c r="J84" s="32"/>
      <c r="K84" s="32"/>
      <c r="L84" s="32"/>
      <c r="M84" s="32"/>
      <c r="N84" s="32"/>
      <c r="O84" s="331">
        <f t="shared" ca="1" si="5"/>
        <v>3.4382348358574458E-3</v>
      </c>
    </row>
    <row r="85" spans="2:15" ht="13.5" customHeight="1">
      <c r="B85" s="289" t="str">
        <f>총투자비!B156</f>
        <v>총 투자비</v>
      </c>
      <c r="C85" s="289"/>
      <c r="D85" s="289"/>
      <c r="E85" s="297" t="b">
        <f ca="1">ABS(F85-총투자비!F156)&lt;0.001</f>
        <v>1</v>
      </c>
      <c r="F85" s="289">
        <f ca="1">F68+F69</f>
        <v>584065.95101551479</v>
      </c>
      <c r="G85" s="289"/>
      <c r="H85" s="289"/>
      <c r="I85" s="289"/>
      <c r="J85" s="289"/>
      <c r="K85" s="289"/>
      <c r="L85" s="289"/>
      <c r="M85" s="289"/>
      <c r="N85" s="289"/>
      <c r="O85" s="328">
        <f t="shared" ca="1" si="5"/>
        <v>1</v>
      </c>
    </row>
  </sheetData>
  <mergeCells count="6">
    <mergeCell ref="T11:V11"/>
    <mergeCell ref="X34:X39"/>
    <mergeCell ref="Q61:Q67"/>
    <mergeCell ref="Y61:Y67"/>
    <mergeCell ref="Q72:Q78"/>
    <mergeCell ref="Y72:Y78"/>
  </mergeCells>
  <phoneticPr fontId="2" type="noConversion"/>
  <conditionalFormatting sqref="H11:O14">
    <cfRule type="containsText" dxfId="1" priority="5" operator="containsText" text="False">
      <formula>NOT(ISERROR(SEARCH("False",H11)))</formula>
    </cfRule>
    <cfRule type="containsText" dxfId="0" priority="6" operator="containsText" text="True">
      <formula>NOT(ISERROR(SEARCH("True",H11)))</formula>
    </cfRule>
  </conditionalFormatting>
  <conditionalFormatting sqref="S61:W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61:AE67">
    <cfRule type="colorScale" priority="3">
      <colorScale>
        <cfvo type="min"/>
        <cfvo type="max"/>
        <color rgb="FFFCFCFF"/>
        <color rgb="FF63BE7B"/>
      </colorScale>
    </cfRule>
  </conditionalFormatting>
  <conditionalFormatting sqref="S72:W7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2:AE78">
    <cfRule type="colorScale" priority="1">
      <colorScale>
        <cfvo type="min"/>
        <cfvo type="max"/>
        <color rgb="FFFCFCFF"/>
        <color rgb="FF63BE7B"/>
      </colorScale>
    </cfRule>
  </conditionalFormatting>
  <hyperlinks>
    <hyperlink ref="O41" location="총투자비!A1" display="총투자비 상세"/>
  </hyperlinks>
  <printOptions horizontalCentered="1"/>
  <pageMargins left="0.31496062992125984" right="0.31496062992125984" top="0.35433070866141736" bottom="0.35433070866141736" header="0.31496062992125984" footer="0.31496062992125984"/>
  <pageSetup paperSize="8" scale="7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ES401"/>
  <sheetViews>
    <sheetView showGridLines="0" tabSelected="1" workbookViewId="0">
      <pane xSplit="14" ySplit="11" topLeftCell="O312" activePane="bottomRight" state="frozen"/>
      <selection pane="topRight" activeCell="O1" sqref="O1"/>
      <selection pane="bottomLeft" activeCell="A12" sqref="A12"/>
      <selection pane="bottomRight" activeCell="O364" sqref="O364"/>
    </sheetView>
  </sheetViews>
  <sheetFormatPr defaultColWidth="9" defaultRowHeight="13.5" customHeight="1" outlineLevelRow="1"/>
  <cols>
    <col min="1" max="1" width="3.3984375" style="1" customWidth="1"/>
    <col min="2" max="2" width="3.69921875" style="1" customWidth="1"/>
    <col min="3" max="3" width="4.3984375" style="1" customWidth="1"/>
    <col min="4" max="4" width="9" style="1"/>
    <col min="5" max="5" width="9.3984375" style="1" bestFit="1" customWidth="1"/>
    <col min="6" max="13" width="9" style="1"/>
    <col min="14" max="14" width="4.19921875" style="1" customWidth="1"/>
    <col min="15" max="16384" width="9" style="1"/>
  </cols>
  <sheetData>
    <row r="1" spans="1:69" ht="12.9" customHeight="1"/>
    <row r="2" spans="1:69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69" ht="12.9" customHeight="1">
      <c r="AB3" s="6" t="s">
        <v>3</v>
      </c>
      <c r="AC3" s="7" t="s">
        <v>4</v>
      </c>
      <c r="AD3" s="8" t="s">
        <v>5</v>
      </c>
    </row>
    <row r="4" spans="1:69" ht="12.9" customHeight="1">
      <c r="AB4" s="9" t="s">
        <v>6</v>
      </c>
      <c r="AC4" s="10" t="s">
        <v>7</v>
      </c>
      <c r="AD4" s="11" t="s">
        <v>8</v>
      </c>
    </row>
    <row r="5" spans="1:69" s="12" customFormat="1" ht="12.9" customHeight="1" thickBot="1"/>
    <row r="6" spans="1:69" ht="12.9" customHeight="1" thickTop="1">
      <c r="A6" s="1" t="s">
        <v>9</v>
      </c>
      <c r="AD6" s="13">
        <v>44381</v>
      </c>
    </row>
    <row r="7" spans="1:69" ht="12.9" customHeight="1">
      <c r="A7" s="14" t="s">
        <v>12</v>
      </c>
    </row>
    <row r="8" spans="1:69" s="98" customFormat="1" ht="12.9" hidden="1" customHeight="1" outlineLevel="1">
      <c r="A8" s="97"/>
      <c r="L8" s="98">
        <f>SUM(O8:XFD8)</f>
        <v>36</v>
      </c>
      <c r="M8" s="98" t="s">
        <v>100</v>
      </c>
      <c r="O8" s="98">
        <f t="shared" ref="O8:AT8" si="0">(O11&gt;=착공일)*(O11&lt;=준공일)*1</f>
        <v>0</v>
      </c>
      <c r="P8" s="98">
        <f t="shared" si="0"/>
        <v>0</v>
      </c>
      <c r="Q8" s="98">
        <f t="shared" si="0"/>
        <v>0</v>
      </c>
      <c r="R8" s="98">
        <f t="shared" si="0"/>
        <v>0</v>
      </c>
      <c r="S8" s="98">
        <f t="shared" si="0"/>
        <v>0</v>
      </c>
      <c r="T8" s="98">
        <f t="shared" si="0"/>
        <v>0</v>
      </c>
      <c r="U8" s="98">
        <f t="shared" si="0"/>
        <v>0</v>
      </c>
      <c r="V8" s="98">
        <f t="shared" si="0"/>
        <v>0</v>
      </c>
      <c r="W8" s="98">
        <f t="shared" si="0"/>
        <v>0</v>
      </c>
      <c r="X8" s="98">
        <f t="shared" si="0"/>
        <v>0</v>
      </c>
      <c r="Y8" s="98">
        <f t="shared" si="0"/>
        <v>0</v>
      </c>
      <c r="Z8" s="98">
        <f t="shared" si="0"/>
        <v>0</v>
      </c>
      <c r="AA8" s="98">
        <f t="shared" si="0"/>
        <v>0</v>
      </c>
      <c r="AB8" s="98">
        <f t="shared" si="0"/>
        <v>0</v>
      </c>
      <c r="AC8" s="98">
        <f t="shared" si="0"/>
        <v>0</v>
      </c>
      <c r="AD8" s="98">
        <f t="shared" si="0"/>
        <v>1</v>
      </c>
      <c r="AE8" s="98">
        <f t="shared" si="0"/>
        <v>1</v>
      </c>
      <c r="AF8" s="98">
        <f t="shared" si="0"/>
        <v>1</v>
      </c>
      <c r="AG8" s="98">
        <f t="shared" si="0"/>
        <v>1</v>
      </c>
      <c r="AH8" s="98">
        <f t="shared" si="0"/>
        <v>1</v>
      </c>
      <c r="AI8" s="98">
        <f t="shared" si="0"/>
        <v>1</v>
      </c>
      <c r="AJ8" s="98">
        <f t="shared" si="0"/>
        <v>1</v>
      </c>
      <c r="AK8" s="98">
        <f t="shared" si="0"/>
        <v>1</v>
      </c>
      <c r="AL8" s="98">
        <f t="shared" si="0"/>
        <v>1</v>
      </c>
      <c r="AM8" s="98">
        <f t="shared" si="0"/>
        <v>1</v>
      </c>
      <c r="AN8" s="98">
        <f t="shared" si="0"/>
        <v>1</v>
      </c>
      <c r="AO8" s="98">
        <f t="shared" si="0"/>
        <v>1</v>
      </c>
      <c r="AP8" s="98">
        <f t="shared" si="0"/>
        <v>1</v>
      </c>
      <c r="AQ8" s="98">
        <f t="shared" si="0"/>
        <v>1</v>
      </c>
      <c r="AR8" s="98">
        <f t="shared" si="0"/>
        <v>1</v>
      </c>
      <c r="AS8" s="98">
        <f t="shared" si="0"/>
        <v>1</v>
      </c>
      <c r="AT8" s="98">
        <f t="shared" si="0"/>
        <v>1</v>
      </c>
      <c r="AU8" s="98">
        <f t="shared" ref="AU8:BQ8" si="1">(AU11&gt;=착공일)*(AU11&lt;=준공일)*1</f>
        <v>1</v>
      </c>
      <c r="AV8" s="98">
        <f t="shared" si="1"/>
        <v>1</v>
      </c>
      <c r="AW8" s="98">
        <f t="shared" si="1"/>
        <v>1</v>
      </c>
      <c r="AX8" s="98">
        <f t="shared" si="1"/>
        <v>1</v>
      </c>
      <c r="AY8" s="98">
        <f t="shared" si="1"/>
        <v>1</v>
      </c>
      <c r="AZ8" s="98">
        <f t="shared" si="1"/>
        <v>1</v>
      </c>
      <c r="BA8" s="98">
        <f t="shared" si="1"/>
        <v>1</v>
      </c>
      <c r="BB8" s="98">
        <f t="shared" si="1"/>
        <v>1</v>
      </c>
      <c r="BC8" s="98">
        <f t="shared" si="1"/>
        <v>1</v>
      </c>
      <c r="BD8" s="98">
        <f t="shared" si="1"/>
        <v>1</v>
      </c>
      <c r="BE8" s="98">
        <f t="shared" si="1"/>
        <v>1</v>
      </c>
      <c r="BF8" s="98">
        <f t="shared" si="1"/>
        <v>1</v>
      </c>
      <c r="BG8" s="98">
        <f t="shared" si="1"/>
        <v>1</v>
      </c>
      <c r="BH8" s="98">
        <f t="shared" si="1"/>
        <v>1</v>
      </c>
      <c r="BI8" s="98">
        <f t="shared" si="1"/>
        <v>1</v>
      </c>
      <c r="BJ8" s="98">
        <f t="shared" si="1"/>
        <v>1</v>
      </c>
      <c r="BK8" s="98">
        <f t="shared" si="1"/>
        <v>1</v>
      </c>
      <c r="BL8" s="98">
        <f t="shared" si="1"/>
        <v>1</v>
      </c>
      <c r="BM8" s="98">
        <f t="shared" si="1"/>
        <v>1</v>
      </c>
      <c r="BN8" s="98">
        <f t="shared" si="1"/>
        <v>0</v>
      </c>
      <c r="BO8" s="98">
        <f t="shared" si="1"/>
        <v>0</v>
      </c>
      <c r="BP8" s="98">
        <f t="shared" si="1"/>
        <v>0</v>
      </c>
      <c r="BQ8" s="98">
        <f t="shared" si="1"/>
        <v>0</v>
      </c>
    </row>
    <row r="9" spans="1:69" s="98" customFormat="1" ht="12.9" hidden="1" customHeight="1" outlineLevel="1">
      <c r="A9" s="97"/>
      <c r="M9" s="98" t="s">
        <v>101</v>
      </c>
      <c r="O9" s="98">
        <f>SUM($O$8:O8)*O8</f>
        <v>0</v>
      </c>
      <c r="P9" s="98">
        <f>SUM($O$8:P8)*P8</f>
        <v>0</v>
      </c>
      <c r="Q9" s="98">
        <f>SUM($O$8:Q8)*Q8</f>
        <v>0</v>
      </c>
      <c r="R9" s="98">
        <f>SUM($O$8:R8)*R8</f>
        <v>0</v>
      </c>
      <c r="S9" s="98">
        <f>SUM($O$8:S8)*S8</f>
        <v>0</v>
      </c>
      <c r="T9" s="98">
        <f>SUM($O$8:T8)*T8</f>
        <v>0</v>
      </c>
      <c r="U9" s="98">
        <f>SUM($O$8:U8)*U8</f>
        <v>0</v>
      </c>
      <c r="V9" s="98">
        <f>SUM($O$8:V8)*V8</f>
        <v>0</v>
      </c>
      <c r="W9" s="98">
        <f>SUM($O$8:W8)*W8</f>
        <v>0</v>
      </c>
      <c r="X9" s="98">
        <f>SUM($O$8:X8)*X8</f>
        <v>0</v>
      </c>
      <c r="Y9" s="98">
        <f>SUM($O$8:Y8)*Y8</f>
        <v>0</v>
      </c>
      <c r="Z9" s="98">
        <f>SUM($O$8:Z8)*Z8</f>
        <v>0</v>
      </c>
      <c r="AA9" s="98">
        <f>SUM($O$8:AA8)*AA8</f>
        <v>0</v>
      </c>
      <c r="AB9" s="98">
        <f>SUM($O$8:AB8)*AB8</f>
        <v>0</v>
      </c>
      <c r="AC9" s="98">
        <f>SUM($O$8:AC8)*AC8</f>
        <v>0</v>
      </c>
      <c r="AD9" s="98">
        <f>SUM($O$8:AD8)*AD8</f>
        <v>1</v>
      </c>
      <c r="AE9" s="98">
        <f>SUM($O$8:AE8)*AE8</f>
        <v>2</v>
      </c>
      <c r="AF9" s="98">
        <f>SUM($O$8:AF8)*AF8</f>
        <v>3</v>
      </c>
      <c r="AG9" s="98">
        <f>SUM($O$8:AG8)*AG8</f>
        <v>4</v>
      </c>
      <c r="AH9" s="98">
        <f>SUM($O$8:AH8)*AH8</f>
        <v>5</v>
      </c>
      <c r="AI9" s="98">
        <f>SUM($O$8:AI8)*AI8</f>
        <v>6</v>
      </c>
      <c r="AJ9" s="98">
        <f>SUM($O$8:AJ8)*AJ8</f>
        <v>7</v>
      </c>
      <c r="AK9" s="98">
        <f>SUM($O$8:AK8)*AK8</f>
        <v>8</v>
      </c>
      <c r="AL9" s="98">
        <f>SUM($O$8:AL8)*AL8</f>
        <v>9</v>
      </c>
      <c r="AM9" s="98">
        <f>SUM($O$8:AM8)*AM8</f>
        <v>10</v>
      </c>
      <c r="AN9" s="98">
        <f>SUM($O$8:AN8)*AN8</f>
        <v>11</v>
      </c>
      <c r="AO9" s="98">
        <f>SUM($O$8:AO8)*AO8</f>
        <v>12</v>
      </c>
      <c r="AP9" s="98">
        <f>SUM($O$8:AP8)*AP8</f>
        <v>13</v>
      </c>
      <c r="AQ9" s="98">
        <f>SUM($O$8:AQ8)*AQ8</f>
        <v>14</v>
      </c>
      <c r="AR9" s="98">
        <f>SUM($O$8:AR8)*AR8</f>
        <v>15</v>
      </c>
      <c r="AS9" s="98">
        <f>SUM($O$8:AS8)*AS8</f>
        <v>16</v>
      </c>
      <c r="AT9" s="98">
        <f>SUM($O$8:AT8)*AT8</f>
        <v>17</v>
      </c>
      <c r="AU9" s="98">
        <f>SUM($O$8:AU8)*AU8</f>
        <v>18</v>
      </c>
      <c r="AV9" s="98">
        <f>SUM($O$8:AV8)*AV8</f>
        <v>19</v>
      </c>
      <c r="AW9" s="98">
        <f>SUM($O$8:AW8)*AW8</f>
        <v>20</v>
      </c>
      <c r="AX9" s="98">
        <f>SUM($O$8:AX8)*AX8</f>
        <v>21</v>
      </c>
      <c r="AY9" s="98">
        <f>SUM($O$8:AY8)*AY8</f>
        <v>22</v>
      </c>
      <c r="AZ9" s="98">
        <f>SUM($O$8:AZ8)*AZ8</f>
        <v>23</v>
      </c>
      <c r="BA9" s="98">
        <f>SUM($O$8:BA8)*BA8</f>
        <v>24</v>
      </c>
      <c r="BB9" s="98">
        <f>SUM($O$8:BB8)*BB8</f>
        <v>25</v>
      </c>
      <c r="BC9" s="98">
        <f>SUM($O$8:BC8)*BC8</f>
        <v>26</v>
      </c>
      <c r="BD9" s="98">
        <f>SUM($O$8:BD8)*BD8</f>
        <v>27</v>
      </c>
      <c r="BE9" s="98">
        <f>SUM($O$8:BE8)*BE8</f>
        <v>28</v>
      </c>
      <c r="BF9" s="98">
        <f>SUM($O$8:BF8)*BF8</f>
        <v>29</v>
      </c>
      <c r="BG9" s="98">
        <f>SUM($O$8:BG8)*BG8</f>
        <v>30</v>
      </c>
      <c r="BH9" s="98">
        <f>SUM($O$8:BH8)*BH8</f>
        <v>31</v>
      </c>
      <c r="BI9" s="98">
        <f>SUM($O$8:BI8)*BI8</f>
        <v>32</v>
      </c>
      <c r="BJ9" s="98">
        <f>SUM($O$8:BJ8)*BJ8</f>
        <v>33</v>
      </c>
      <c r="BK9" s="98">
        <f>SUM($O$8:BK8)*BK8</f>
        <v>34</v>
      </c>
      <c r="BL9" s="98">
        <f>SUM($O$8:BL8)*BL8</f>
        <v>35</v>
      </c>
      <c r="BM9" s="98">
        <f>SUM($O$8:BM8)*BM8</f>
        <v>36</v>
      </c>
      <c r="BN9" s="98">
        <f>SUM($O$8:BN8)*BN8</f>
        <v>0</v>
      </c>
      <c r="BO9" s="98">
        <f>SUM($O$8:BO8)*BO8</f>
        <v>0</v>
      </c>
      <c r="BP9" s="98">
        <f>SUM($O$8:BP8)*BP8</f>
        <v>0</v>
      </c>
      <c r="BQ9" s="98">
        <f>SUM($O$8:BQ8)*BQ8</f>
        <v>0</v>
      </c>
    </row>
    <row r="10" spans="1:69" s="98" customFormat="1" ht="12.9" hidden="1" customHeight="1" outlineLevel="1">
      <c r="A10" s="97"/>
      <c r="L10" s="99">
        <f>SUM(O10:XFD10)</f>
        <v>1.0000000000000002</v>
      </c>
      <c r="M10" s="98" t="s">
        <v>102</v>
      </c>
      <c r="O10" s="100">
        <f>SUMIF(표준공정률!$8:$8,총투자비!O9,표준공정률!$54:$54)</f>
        <v>0</v>
      </c>
      <c r="P10" s="100">
        <f>SUMIF(표준공정률!$8:$8,총투자비!P9,표준공정률!$54:$54)</f>
        <v>0</v>
      </c>
      <c r="Q10" s="100">
        <f>SUMIF(표준공정률!$8:$8,총투자비!Q9,표준공정률!$54:$54)</f>
        <v>0</v>
      </c>
      <c r="R10" s="100">
        <f>SUMIF(표준공정률!$8:$8,총투자비!R9,표준공정률!$54:$54)</f>
        <v>0</v>
      </c>
      <c r="S10" s="100">
        <f>SUMIF(표준공정률!$8:$8,총투자비!S9,표준공정률!$54:$54)</f>
        <v>0</v>
      </c>
      <c r="T10" s="100">
        <f>SUMIF(표준공정률!$8:$8,총투자비!T9,표준공정률!$54:$54)</f>
        <v>0</v>
      </c>
      <c r="U10" s="100">
        <f>SUMIF(표준공정률!$8:$8,총투자비!U9,표준공정률!$54:$54)</f>
        <v>0</v>
      </c>
      <c r="V10" s="100">
        <f>SUMIF(표준공정률!$8:$8,총투자비!V9,표준공정률!$54:$54)</f>
        <v>0</v>
      </c>
      <c r="W10" s="100">
        <f>SUMIF(표준공정률!$8:$8,총투자비!W9,표준공정률!$54:$54)</f>
        <v>0</v>
      </c>
      <c r="X10" s="100">
        <f>SUMIF(표준공정률!$8:$8,총투자비!X9,표준공정률!$54:$54)</f>
        <v>0</v>
      </c>
      <c r="Y10" s="100">
        <f>SUMIF(표준공정률!$8:$8,총투자비!Y9,표준공정률!$54:$54)</f>
        <v>0</v>
      </c>
      <c r="Z10" s="100">
        <f>SUMIF(표준공정률!$8:$8,총투자비!Z9,표준공정률!$54:$54)</f>
        <v>0</v>
      </c>
      <c r="AA10" s="100">
        <f>SUMIF(표준공정률!$8:$8,총투자비!AA9,표준공정률!$54:$54)</f>
        <v>0</v>
      </c>
      <c r="AB10" s="100">
        <f>SUMIF(표준공정률!$8:$8,총투자비!AB9,표준공정률!$54:$54)</f>
        <v>0</v>
      </c>
      <c r="AC10" s="100">
        <f>SUMIF(표준공정률!$8:$8,총투자비!AC9,표준공정률!$54:$54)</f>
        <v>0</v>
      </c>
      <c r="AD10" s="100">
        <f>SUMIF(표준공정률!$8:$8,총투자비!AD9,표준공정률!$54:$54)</f>
        <v>8.9999999999999998E-4</v>
      </c>
      <c r="AE10" s="100">
        <f>SUMIF(표준공정률!$8:$8,총투자비!AE9,표준공정률!$54:$54)</f>
        <v>3.2000000000000002E-3</v>
      </c>
      <c r="AF10" s="100">
        <f>SUMIF(표준공정률!$8:$8,총투자비!AF9,표준공정률!$54:$54)</f>
        <v>1.0800000000000001E-2</v>
      </c>
      <c r="AG10" s="100">
        <f>SUMIF(표준공정률!$8:$8,총투자비!AG9,표준공정률!$54:$54)</f>
        <v>1.55E-2</v>
      </c>
      <c r="AH10" s="100">
        <f>SUMIF(표준공정률!$8:$8,총투자비!AH9,표준공정률!$54:$54)</f>
        <v>1.8100000000000002E-2</v>
      </c>
      <c r="AI10" s="100">
        <f>SUMIF(표준공정률!$8:$8,총투자비!AI9,표준공정률!$54:$54)</f>
        <v>2.06E-2</v>
      </c>
      <c r="AJ10" s="100">
        <f>SUMIF(표준공정률!$8:$8,총투자비!AJ9,표준공정률!$54:$54)</f>
        <v>2.29E-2</v>
      </c>
      <c r="AK10" s="100">
        <f>SUMIF(표준공정률!$8:$8,총투자비!AK9,표준공정률!$54:$54)</f>
        <v>2.52E-2</v>
      </c>
      <c r="AL10" s="100">
        <f>SUMIF(표준공정률!$8:$8,총투자비!AL9,표준공정률!$54:$54)</f>
        <v>2.76E-2</v>
      </c>
      <c r="AM10" s="100">
        <f>SUMIF(표준공정률!$8:$8,총투자비!AM9,표준공정률!$54:$54)</f>
        <v>3.0200000000000001E-2</v>
      </c>
      <c r="AN10" s="100">
        <f>SUMIF(표준공정률!$8:$8,총투자비!AN9,표준공정률!$54:$54)</f>
        <v>3.1E-2</v>
      </c>
      <c r="AO10" s="100">
        <f>SUMIF(표준공정률!$8:$8,총투자비!AO9,표준공정률!$54:$54)</f>
        <v>3.1800000000000002E-2</v>
      </c>
      <c r="AP10" s="100">
        <f>SUMIF(표준공정률!$8:$8,총투자비!AP9,표준공정률!$54:$54)</f>
        <v>3.2599999999999997E-2</v>
      </c>
      <c r="AQ10" s="100">
        <f>SUMIF(표준공정률!$8:$8,총투자비!AQ9,표준공정률!$54:$54)</f>
        <v>3.3799999999999997E-2</v>
      </c>
      <c r="AR10" s="100">
        <f>SUMIF(표준공정률!$8:$8,총투자비!AR9,표준공정률!$54:$54)</f>
        <v>3.5000000000000003E-2</v>
      </c>
      <c r="AS10" s="100">
        <f>SUMIF(표준공정률!$8:$8,총투자비!AS9,표준공정률!$54:$54)</f>
        <v>3.5799999999999998E-2</v>
      </c>
      <c r="AT10" s="100">
        <f>SUMIF(표준공정률!$8:$8,총투자비!AT9,표준공정률!$54:$54)</f>
        <v>3.6600000000000001E-2</v>
      </c>
      <c r="AU10" s="100">
        <f>SUMIF(표준공정률!$8:$8,총투자비!AU9,표준공정률!$54:$54)</f>
        <v>3.73E-2</v>
      </c>
      <c r="AV10" s="100">
        <f>SUMIF(표준공정률!$8:$8,총투자비!AV9,표준공정률!$54:$54)</f>
        <v>3.8199999999999998E-2</v>
      </c>
      <c r="AW10" s="100">
        <f>SUMIF(표준공정률!$8:$8,총투자비!AW9,표준공정률!$54:$54)</f>
        <v>3.9E-2</v>
      </c>
      <c r="AX10" s="100">
        <f>SUMIF(표준공정률!$8:$8,총투자비!AX9,표준공정률!$54:$54)</f>
        <v>4.0399999999999998E-2</v>
      </c>
      <c r="AY10" s="100">
        <f>SUMIF(표준공정률!$8:$8,총투자비!AY9,표준공정률!$54:$54)</f>
        <v>3.9800000000000002E-2</v>
      </c>
      <c r="AZ10" s="100">
        <f>SUMIF(표준공정률!$8:$8,총투자비!AZ9,표준공정률!$54:$54)</f>
        <v>3.8199999999999998E-2</v>
      </c>
      <c r="BA10" s="100">
        <f>SUMIF(표준공정률!$8:$8,총투자비!BA9,표준공정률!$54:$54)</f>
        <v>3.6999999999999998E-2</v>
      </c>
      <c r="BB10" s="100">
        <f>SUMIF(표준공정률!$8:$8,총투자비!BB9,표준공정률!$54:$54)</f>
        <v>3.6200000000000003E-2</v>
      </c>
      <c r="BC10" s="100">
        <f>SUMIF(표준공정률!$8:$8,총투자비!BC9,표준공정률!$54:$54)</f>
        <v>3.5400000000000001E-2</v>
      </c>
      <c r="BD10" s="100">
        <f>SUMIF(표준공정률!$8:$8,총투자비!BD9,표준공정률!$54:$54)</f>
        <v>3.4700000000000002E-2</v>
      </c>
      <c r="BE10" s="100">
        <f>SUMIF(표준공정률!$8:$8,총투자비!BE9,표준공정률!$54:$54)</f>
        <v>3.3799999999999997E-2</v>
      </c>
      <c r="BF10" s="100">
        <f>SUMIF(표준공정률!$8:$8,총투자비!BF9,표준공정률!$54:$54)</f>
        <v>3.3000000000000002E-2</v>
      </c>
      <c r="BG10" s="100">
        <f>SUMIF(표준공정률!$8:$8,총투자비!BG9,표준공정률!$54:$54)</f>
        <v>2.9600000000000001E-2</v>
      </c>
      <c r="BH10" s="100">
        <f>SUMIF(표준공정률!$8:$8,총투자비!BH9,표준공정률!$54:$54)</f>
        <v>2.6800000000000001E-2</v>
      </c>
      <c r="BI10" s="100">
        <f>SUMIF(표준공정률!$8:$8,총투자비!BI9,표준공정률!$54:$54)</f>
        <v>2.3599999999999999E-2</v>
      </c>
      <c r="BJ10" s="100">
        <f>SUMIF(표준공정률!$8:$8,총투자비!BJ9,표준공정률!$54:$54)</f>
        <v>2.07E-2</v>
      </c>
      <c r="BK10" s="100">
        <f>SUMIF(표준공정률!$8:$8,총투자비!BK9,표준공정률!$54:$54)</f>
        <v>1.8700000000000001E-2</v>
      </c>
      <c r="BL10" s="100">
        <f>SUMIF(표준공정률!$8:$8,총투자비!BL9,표준공정률!$54:$54)</f>
        <v>1.5299999999999999E-2</v>
      </c>
      <c r="BM10" s="100">
        <f>SUMIF(표준공정률!$8:$8,총투자비!BM9,표준공정률!$54:$54)</f>
        <v>1.0699999999999999E-2</v>
      </c>
      <c r="BN10" s="100">
        <f>SUMIF(표준공정률!$8:$8,총투자비!BN9,표준공정률!$54:$54)</f>
        <v>0</v>
      </c>
      <c r="BO10" s="100">
        <f>SUMIF(표준공정률!$8:$8,총투자비!BO9,표준공정률!$54:$54)</f>
        <v>0</v>
      </c>
      <c r="BP10" s="100">
        <f>SUMIF(표준공정률!$8:$8,총투자비!BP9,표준공정률!$54:$54)</f>
        <v>0</v>
      </c>
      <c r="BQ10" s="100">
        <f>SUMIF(표준공정률!$8:$8,총투자비!BQ9,표준공정률!$54:$54)</f>
        <v>0</v>
      </c>
    </row>
    <row r="11" spans="1:69" ht="13.5" customHeight="1" collapsed="1">
      <c r="B11" s="45" t="s">
        <v>55</v>
      </c>
      <c r="C11" s="45"/>
      <c r="D11" s="45"/>
      <c r="E11" s="45"/>
      <c r="F11" s="45" t="s">
        <v>70</v>
      </c>
      <c r="G11" s="45" t="s">
        <v>71</v>
      </c>
      <c r="H11" s="45"/>
      <c r="I11" s="45"/>
      <c r="J11" s="45"/>
      <c r="K11" s="45"/>
      <c r="L11" s="46"/>
      <c r="M11" s="45" t="s">
        <v>62</v>
      </c>
      <c r="N11" s="45"/>
      <c r="O11" s="47">
        <f>Est</f>
        <v>44377</v>
      </c>
      <c r="P11" s="47">
        <f>EOMONTH(O11,1)</f>
        <v>44408</v>
      </c>
      <c r="Q11" s="47">
        <f t="shared" ref="Q11:BQ11" si="2">EOMONTH(P11,1)</f>
        <v>44439</v>
      </c>
      <c r="R11" s="47">
        <f t="shared" si="2"/>
        <v>44469</v>
      </c>
      <c r="S11" s="47">
        <f t="shared" si="2"/>
        <v>44500</v>
      </c>
      <c r="T11" s="47">
        <f t="shared" si="2"/>
        <v>44530</v>
      </c>
      <c r="U11" s="47">
        <f t="shared" si="2"/>
        <v>44561</v>
      </c>
      <c r="V11" s="47">
        <f t="shared" si="2"/>
        <v>44592</v>
      </c>
      <c r="W11" s="47">
        <f t="shared" si="2"/>
        <v>44620</v>
      </c>
      <c r="X11" s="47">
        <f t="shared" si="2"/>
        <v>44651</v>
      </c>
      <c r="Y11" s="47">
        <f t="shared" si="2"/>
        <v>44681</v>
      </c>
      <c r="Z11" s="47">
        <f t="shared" si="2"/>
        <v>44712</v>
      </c>
      <c r="AA11" s="47">
        <f t="shared" si="2"/>
        <v>44742</v>
      </c>
      <c r="AB11" s="47">
        <f t="shared" si="2"/>
        <v>44773</v>
      </c>
      <c r="AC11" s="47">
        <f t="shared" si="2"/>
        <v>44804</v>
      </c>
      <c r="AD11" s="47">
        <f t="shared" si="2"/>
        <v>44834</v>
      </c>
      <c r="AE11" s="47">
        <f t="shared" si="2"/>
        <v>44865</v>
      </c>
      <c r="AF11" s="47">
        <f t="shared" si="2"/>
        <v>44895</v>
      </c>
      <c r="AG11" s="47">
        <f t="shared" si="2"/>
        <v>44926</v>
      </c>
      <c r="AH11" s="47">
        <f t="shared" si="2"/>
        <v>44957</v>
      </c>
      <c r="AI11" s="47">
        <f t="shared" si="2"/>
        <v>44985</v>
      </c>
      <c r="AJ11" s="47">
        <f t="shared" si="2"/>
        <v>45016</v>
      </c>
      <c r="AK11" s="47">
        <f t="shared" si="2"/>
        <v>45046</v>
      </c>
      <c r="AL11" s="47">
        <f t="shared" si="2"/>
        <v>45077</v>
      </c>
      <c r="AM11" s="47">
        <f t="shared" si="2"/>
        <v>45107</v>
      </c>
      <c r="AN11" s="47">
        <f t="shared" si="2"/>
        <v>45138</v>
      </c>
      <c r="AO11" s="47">
        <f t="shared" si="2"/>
        <v>45169</v>
      </c>
      <c r="AP11" s="47">
        <f t="shared" si="2"/>
        <v>45199</v>
      </c>
      <c r="AQ11" s="47">
        <f t="shared" si="2"/>
        <v>45230</v>
      </c>
      <c r="AR11" s="47">
        <f t="shared" si="2"/>
        <v>45260</v>
      </c>
      <c r="AS11" s="47">
        <f t="shared" si="2"/>
        <v>45291</v>
      </c>
      <c r="AT11" s="47">
        <f t="shared" si="2"/>
        <v>45322</v>
      </c>
      <c r="AU11" s="47">
        <f t="shared" si="2"/>
        <v>45351</v>
      </c>
      <c r="AV11" s="47">
        <f t="shared" si="2"/>
        <v>45382</v>
      </c>
      <c r="AW11" s="47">
        <f t="shared" si="2"/>
        <v>45412</v>
      </c>
      <c r="AX11" s="47">
        <f t="shared" si="2"/>
        <v>45443</v>
      </c>
      <c r="AY11" s="47">
        <f t="shared" si="2"/>
        <v>45473</v>
      </c>
      <c r="AZ11" s="47">
        <f t="shared" si="2"/>
        <v>45504</v>
      </c>
      <c r="BA11" s="47">
        <f t="shared" si="2"/>
        <v>45535</v>
      </c>
      <c r="BB11" s="47">
        <f t="shared" si="2"/>
        <v>45565</v>
      </c>
      <c r="BC11" s="47">
        <f t="shared" si="2"/>
        <v>45596</v>
      </c>
      <c r="BD11" s="47">
        <f t="shared" si="2"/>
        <v>45626</v>
      </c>
      <c r="BE11" s="47">
        <f t="shared" si="2"/>
        <v>45657</v>
      </c>
      <c r="BF11" s="47">
        <f t="shared" si="2"/>
        <v>45688</v>
      </c>
      <c r="BG11" s="47">
        <f t="shared" si="2"/>
        <v>45716</v>
      </c>
      <c r="BH11" s="47">
        <f t="shared" si="2"/>
        <v>45747</v>
      </c>
      <c r="BI11" s="47">
        <f t="shared" si="2"/>
        <v>45777</v>
      </c>
      <c r="BJ11" s="47">
        <f t="shared" si="2"/>
        <v>45808</v>
      </c>
      <c r="BK11" s="47">
        <f t="shared" si="2"/>
        <v>45838</v>
      </c>
      <c r="BL11" s="47">
        <f t="shared" si="2"/>
        <v>45869</v>
      </c>
      <c r="BM11" s="47">
        <f t="shared" si="2"/>
        <v>45900</v>
      </c>
      <c r="BN11" s="47">
        <f t="shared" si="2"/>
        <v>45930</v>
      </c>
      <c r="BO11" s="47">
        <f t="shared" si="2"/>
        <v>45961</v>
      </c>
      <c r="BP11" s="47">
        <f t="shared" si="2"/>
        <v>45991</v>
      </c>
      <c r="BQ11" s="47">
        <f t="shared" si="2"/>
        <v>46022</v>
      </c>
    </row>
    <row r="12" spans="1:69" ht="13.5" customHeight="1">
      <c r="B12" s="80" t="s">
        <v>64</v>
      </c>
      <c r="C12" s="80"/>
      <c r="D12" s="80"/>
      <c r="E12" s="80"/>
      <c r="F12" s="80">
        <f ca="1">F13+F17+F18+F19+F20</f>
        <v>158300.60757219471</v>
      </c>
      <c r="G12" s="80"/>
      <c r="H12" s="80"/>
      <c r="I12" s="80"/>
      <c r="J12" s="80"/>
      <c r="K12" s="80"/>
      <c r="L12" s="81" t="b">
        <f ca="1">ABS(M12-F12)&lt;0.001</f>
        <v>1</v>
      </c>
      <c r="M12" s="80">
        <f ca="1">SUM(N12:XFD12)</f>
        <v>158300.60757219471</v>
      </c>
      <c r="N12" s="80"/>
      <c r="O12" s="80">
        <f ca="1">O13+O17+O18+O19+O20</f>
        <v>158300.60757219471</v>
      </c>
      <c r="P12" s="80">
        <f t="shared" ref="P12:BQ12" ca="1" si="3">P13+P17+P18+P19+P20</f>
        <v>0</v>
      </c>
      <c r="Q12" s="80">
        <f t="shared" ca="1" si="3"/>
        <v>0</v>
      </c>
      <c r="R12" s="80">
        <f t="shared" ca="1" si="3"/>
        <v>0</v>
      </c>
      <c r="S12" s="80">
        <f t="shared" ca="1" si="3"/>
        <v>0</v>
      </c>
      <c r="T12" s="80">
        <f t="shared" ca="1" si="3"/>
        <v>0</v>
      </c>
      <c r="U12" s="80">
        <f t="shared" ca="1" si="3"/>
        <v>0</v>
      </c>
      <c r="V12" s="80">
        <f t="shared" ca="1" si="3"/>
        <v>0</v>
      </c>
      <c r="W12" s="80">
        <f t="shared" ca="1" si="3"/>
        <v>0</v>
      </c>
      <c r="X12" s="80">
        <f t="shared" ca="1" si="3"/>
        <v>0</v>
      </c>
      <c r="Y12" s="80">
        <f t="shared" ca="1" si="3"/>
        <v>0</v>
      </c>
      <c r="Z12" s="80">
        <f t="shared" ca="1" si="3"/>
        <v>0</v>
      </c>
      <c r="AA12" s="80">
        <f t="shared" ca="1" si="3"/>
        <v>0</v>
      </c>
      <c r="AB12" s="80">
        <f t="shared" ca="1" si="3"/>
        <v>0</v>
      </c>
      <c r="AC12" s="80">
        <f t="shared" ca="1" si="3"/>
        <v>0</v>
      </c>
      <c r="AD12" s="80">
        <f t="shared" ca="1" si="3"/>
        <v>0</v>
      </c>
      <c r="AE12" s="80">
        <f t="shared" ca="1" si="3"/>
        <v>0</v>
      </c>
      <c r="AF12" s="80">
        <f t="shared" ca="1" si="3"/>
        <v>0</v>
      </c>
      <c r="AG12" s="80">
        <f t="shared" ca="1" si="3"/>
        <v>0</v>
      </c>
      <c r="AH12" s="80">
        <f t="shared" ca="1" si="3"/>
        <v>0</v>
      </c>
      <c r="AI12" s="80">
        <f t="shared" ca="1" si="3"/>
        <v>0</v>
      </c>
      <c r="AJ12" s="80">
        <f t="shared" ca="1" si="3"/>
        <v>0</v>
      </c>
      <c r="AK12" s="80">
        <f t="shared" ca="1" si="3"/>
        <v>0</v>
      </c>
      <c r="AL12" s="80">
        <f t="shared" ca="1" si="3"/>
        <v>0</v>
      </c>
      <c r="AM12" s="80">
        <f t="shared" ca="1" si="3"/>
        <v>0</v>
      </c>
      <c r="AN12" s="80">
        <f t="shared" ca="1" si="3"/>
        <v>0</v>
      </c>
      <c r="AO12" s="80">
        <f t="shared" ca="1" si="3"/>
        <v>0</v>
      </c>
      <c r="AP12" s="80">
        <f t="shared" ca="1" si="3"/>
        <v>0</v>
      </c>
      <c r="AQ12" s="80">
        <f t="shared" ca="1" si="3"/>
        <v>0</v>
      </c>
      <c r="AR12" s="80">
        <f t="shared" ca="1" si="3"/>
        <v>0</v>
      </c>
      <c r="AS12" s="80">
        <f t="shared" ca="1" si="3"/>
        <v>0</v>
      </c>
      <c r="AT12" s="80">
        <f t="shared" ca="1" si="3"/>
        <v>0</v>
      </c>
      <c r="AU12" s="80">
        <f t="shared" ca="1" si="3"/>
        <v>0</v>
      </c>
      <c r="AV12" s="80">
        <f t="shared" ca="1" si="3"/>
        <v>0</v>
      </c>
      <c r="AW12" s="80">
        <f t="shared" ca="1" si="3"/>
        <v>0</v>
      </c>
      <c r="AX12" s="80">
        <f t="shared" ca="1" si="3"/>
        <v>0</v>
      </c>
      <c r="AY12" s="80">
        <f t="shared" ca="1" si="3"/>
        <v>0</v>
      </c>
      <c r="AZ12" s="80">
        <f t="shared" ca="1" si="3"/>
        <v>0</v>
      </c>
      <c r="BA12" s="80">
        <f t="shared" ca="1" si="3"/>
        <v>0</v>
      </c>
      <c r="BB12" s="80">
        <f t="shared" ca="1" si="3"/>
        <v>0</v>
      </c>
      <c r="BC12" s="80">
        <f t="shared" ca="1" si="3"/>
        <v>0</v>
      </c>
      <c r="BD12" s="80">
        <f t="shared" ca="1" si="3"/>
        <v>0</v>
      </c>
      <c r="BE12" s="80">
        <f t="shared" ca="1" si="3"/>
        <v>0</v>
      </c>
      <c r="BF12" s="80">
        <f t="shared" ca="1" si="3"/>
        <v>0</v>
      </c>
      <c r="BG12" s="80">
        <f t="shared" ca="1" si="3"/>
        <v>0</v>
      </c>
      <c r="BH12" s="80">
        <f t="shared" ca="1" si="3"/>
        <v>0</v>
      </c>
      <c r="BI12" s="80">
        <f t="shared" ca="1" si="3"/>
        <v>0</v>
      </c>
      <c r="BJ12" s="80">
        <f t="shared" ca="1" si="3"/>
        <v>0</v>
      </c>
      <c r="BK12" s="80">
        <f t="shared" ca="1" si="3"/>
        <v>0</v>
      </c>
      <c r="BL12" s="80">
        <f t="shared" ca="1" si="3"/>
        <v>0</v>
      </c>
      <c r="BM12" s="80">
        <f t="shared" ca="1" si="3"/>
        <v>0</v>
      </c>
      <c r="BN12" s="80">
        <f t="shared" ca="1" si="3"/>
        <v>0</v>
      </c>
      <c r="BO12" s="80">
        <f t="shared" ca="1" si="3"/>
        <v>0</v>
      </c>
      <c r="BP12" s="80">
        <f t="shared" ca="1" si="3"/>
        <v>0</v>
      </c>
      <c r="BQ12" s="80">
        <f t="shared" ca="1" si="3"/>
        <v>0</v>
      </c>
    </row>
    <row r="13" spans="1:69" ht="13.5" customHeight="1">
      <c r="C13" s="71" t="s">
        <v>65</v>
      </c>
      <c r="D13" s="72"/>
      <c r="E13" s="72"/>
      <c r="F13" s="72">
        <f>I13*K13</f>
        <v>150871.875</v>
      </c>
      <c r="G13" s="72" t="s">
        <v>73</v>
      </c>
      <c r="H13" s="72"/>
      <c r="I13" s="322">
        <f>'A&amp;R'!I44</f>
        <v>10</v>
      </c>
      <c r="J13" s="72" t="s">
        <v>74</v>
      </c>
      <c r="K13" s="74">
        <f>'A&amp;R'!F27</f>
        <v>15087.1875</v>
      </c>
      <c r="L13" s="75"/>
      <c r="M13" s="72">
        <f>SUM(N13:XFD13)</f>
        <v>150871.875</v>
      </c>
      <c r="N13" s="72"/>
      <c r="O13" s="72">
        <f>SUM(O14:O16)</f>
        <v>150871.875</v>
      </c>
      <c r="P13" s="72">
        <f t="shared" ref="P13:BQ13" si="4">SUM(P14:P16)</f>
        <v>0</v>
      </c>
      <c r="Q13" s="72">
        <f t="shared" si="4"/>
        <v>0</v>
      </c>
      <c r="R13" s="72">
        <f t="shared" si="4"/>
        <v>0</v>
      </c>
      <c r="S13" s="72">
        <f t="shared" si="4"/>
        <v>0</v>
      </c>
      <c r="T13" s="72">
        <f t="shared" si="4"/>
        <v>0</v>
      </c>
      <c r="U13" s="72">
        <f t="shared" si="4"/>
        <v>0</v>
      </c>
      <c r="V13" s="72">
        <f t="shared" si="4"/>
        <v>0</v>
      </c>
      <c r="W13" s="72">
        <f t="shared" si="4"/>
        <v>0</v>
      </c>
      <c r="X13" s="72">
        <f t="shared" si="4"/>
        <v>0</v>
      </c>
      <c r="Y13" s="72">
        <f t="shared" si="4"/>
        <v>0</v>
      </c>
      <c r="Z13" s="72">
        <f t="shared" si="4"/>
        <v>0</v>
      </c>
      <c r="AA13" s="72">
        <f t="shared" si="4"/>
        <v>0</v>
      </c>
      <c r="AB13" s="72">
        <f t="shared" si="4"/>
        <v>0</v>
      </c>
      <c r="AC13" s="72">
        <f t="shared" si="4"/>
        <v>0</v>
      </c>
      <c r="AD13" s="72">
        <f t="shared" si="4"/>
        <v>0</v>
      </c>
      <c r="AE13" s="72">
        <f t="shared" si="4"/>
        <v>0</v>
      </c>
      <c r="AF13" s="72">
        <f t="shared" si="4"/>
        <v>0</v>
      </c>
      <c r="AG13" s="72">
        <f t="shared" si="4"/>
        <v>0</v>
      </c>
      <c r="AH13" s="72">
        <f t="shared" si="4"/>
        <v>0</v>
      </c>
      <c r="AI13" s="72">
        <f t="shared" si="4"/>
        <v>0</v>
      </c>
      <c r="AJ13" s="72">
        <f t="shared" si="4"/>
        <v>0</v>
      </c>
      <c r="AK13" s="72">
        <f t="shared" si="4"/>
        <v>0</v>
      </c>
      <c r="AL13" s="72">
        <f t="shared" si="4"/>
        <v>0</v>
      </c>
      <c r="AM13" s="72">
        <f t="shared" si="4"/>
        <v>0</v>
      </c>
      <c r="AN13" s="72">
        <f t="shared" si="4"/>
        <v>0</v>
      </c>
      <c r="AO13" s="72">
        <f t="shared" si="4"/>
        <v>0</v>
      </c>
      <c r="AP13" s="72">
        <f t="shared" si="4"/>
        <v>0</v>
      </c>
      <c r="AQ13" s="72">
        <f t="shared" si="4"/>
        <v>0</v>
      </c>
      <c r="AR13" s="72">
        <f t="shared" si="4"/>
        <v>0</v>
      </c>
      <c r="AS13" s="72">
        <f t="shared" si="4"/>
        <v>0</v>
      </c>
      <c r="AT13" s="72">
        <f t="shared" si="4"/>
        <v>0</v>
      </c>
      <c r="AU13" s="72">
        <f t="shared" si="4"/>
        <v>0</v>
      </c>
      <c r="AV13" s="72">
        <f t="shared" si="4"/>
        <v>0</v>
      </c>
      <c r="AW13" s="72">
        <f t="shared" si="4"/>
        <v>0</v>
      </c>
      <c r="AX13" s="72">
        <f t="shared" si="4"/>
        <v>0</v>
      </c>
      <c r="AY13" s="72">
        <f t="shared" si="4"/>
        <v>0</v>
      </c>
      <c r="AZ13" s="72">
        <f t="shared" si="4"/>
        <v>0</v>
      </c>
      <c r="BA13" s="72">
        <f t="shared" si="4"/>
        <v>0</v>
      </c>
      <c r="BB13" s="72">
        <f t="shared" si="4"/>
        <v>0</v>
      </c>
      <c r="BC13" s="72">
        <f t="shared" si="4"/>
        <v>0</v>
      </c>
      <c r="BD13" s="72">
        <f t="shared" si="4"/>
        <v>0</v>
      </c>
      <c r="BE13" s="72">
        <f t="shared" si="4"/>
        <v>0</v>
      </c>
      <c r="BF13" s="72">
        <f t="shared" si="4"/>
        <v>0</v>
      </c>
      <c r="BG13" s="72">
        <f t="shared" si="4"/>
        <v>0</v>
      </c>
      <c r="BH13" s="72">
        <f t="shared" si="4"/>
        <v>0</v>
      </c>
      <c r="BI13" s="72">
        <f t="shared" si="4"/>
        <v>0</v>
      </c>
      <c r="BJ13" s="72">
        <f t="shared" si="4"/>
        <v>0</v>
      </c>
      <c r="BK13" s="72">
        <f t="shared" si="4"/>
        <v>0</v>
      </c>
      <c r="BL13" s="72">
        <f t="shared" si="4"/>
        <v>0</v>
      </c>
      <c r="BM13" s="72">
        <f t="shared" si="4"/>
        <v>0</v>
      </c>
      <c r="BN13" s="72">
        <f t="shared" si="4"/>
        <v>0</v>
      </c>
      <c r="BO13" s="72">
        <f t="shared" si="4"/>
        <v>0</v>
      </c>
      <c r="BP13" s="72">
        <f t="shared" si="4"/>
        <v>0</v>
      </c>
      <c r="BQ13" s="72">
        <f t="shared" si="4"/>
        <v>0</v>
      </c>
    </row>
    <row r="14" spans="1:69" s="22" customFormat="1" ht="13.5" customHeight="1">
      <c r="A14" s="1"/>
      <c r="B14" s="1"/>
      <c r="C14" s="31"/>
      <c r="D14" s="30" t="s">
        <v>66</v>
      </c>
      <c r="F14" s="22">
        <f>$F$13*G14</f>
        <v>0</v>
      </c>
      <c r="G14" s="36">
        <v>0</v>
      </c>
      <c r="H14" s="39"/>
      <c r="L14" s="43"/>
      <c r="M14" s="22">
        <f>SUM(N14:XFD14)</f>
        <v>0</v>
      </c>
      <c r="O14" s="22">
        <f>(O$11=$H14)*$F14</f>
        <v>0</v>
      </c>
      <c r="P14" s="22">
        <f t="shared" ref="P14:BQ16" si="5">(P$11=$H14)*$F14</f>
        <v>0</v>
      </c>
      <c r="Q14" s="22">
        <f t="shared" si="5"/>
        <v>0</v>
      </c>
      <c r="R14" s="22">
        <f t="shared" si="5"/>
        <v>0</v>
      </c>
      <c r="S14" s="22">
        <f t="shared" si="5"/>
        <v>0</v>
      </c>
      <c r="T14" s="22">
        <f t="shared" si="5"/>
        <v>0</v>
      </c>
      <c r="U14" s="22">
        <f t="shared" si="5"/>
        <v>0</v>
      </c>
      <c r="V14" s="22">
        <f t="shared" si="5"/>
        <v>0</v>
      </c>
      <c r="W14" s="22">
        <f t="shared" si="5"/>
        <v>0</v>
      </c>
      <c r="X14" s="22">
        <f t="shared" si="5"/>
        <v>0</v>
      </c>
      <c r="Y14" s="22">
        <f t="shared" si="5"/>
        <v>0</v>
      </c>
      <c r="Z14" s="22">
        <f t="shared" si="5"/>
        <v>0</v>
      </c>
      <c r="AA14" s="22">
        <f t="shared" si="5"/>
        <v>0</v>
      </c>
      <c r="AB14" s="22">
        <f t="shared" si="5"/>
        <v>0</v>
      </c>
      <c r="AC14" s="22">
        <f t="shared" si="5"/>
        <v>0</v>
      </c>
      <c r="AD14" s="22">
        <f t="shared" si="5"/>
        <v>0</v>
      </c>
      <c r="AE14" s="22">
        <f t="shared" si="5"/>
        <v>0</v>
      </c>
      <c r="AF14" s="22">
        <f t="shared" si="5"/>
        <v>0</v>
      </c>
      <c r="AG14" s="22">
        <f t="shared" si="5"/>
        <v>0</v>
      </c>
      <c r="AH14" s="22">
        <f t="shared" si="5"/>
        <v>0</v>
      </c>
      <c r="AI14" s="22">
        <f t="shared" si="5"/>
        <v>0</v>
      </c>
      <c r="AJ14" s="22">
        <f t="shared" si="5"/>
        <v>0</v>
      </c>
      <c r="AK14" s="22">
        <f t="shared" si="5"/>
        <v>0</v>
      </c>
      <c r="AL14" s="22">
        <f t="shared" si="5"/>
        <v>0</v>
      </c>
      <c r="AM14" s="22">
        <f t="shared" si="5"/>
        <v>0</v>
      </c>
      <c r="AN14" s="22">
        <f t="shared" si="5"/>
        <v>0</v>
      </c>
      <c r="AO14" s="22">
        <f t="shared" si="5"/>
        <v>0</v>
      </c>
      <c r="AP14" s="22">
        <f t="shared" si="5"/>
        <v>0</v>
      </c>
      <c r="AQ14" s="22">
        <f t="shared" si="5"/>
        <v>0</v>
      </c>
      <c r="AR14" s="22">
        <f t="shared" si="5"/>
        <v>0</v>
      </c>
      <c r="AS14" s="22">
        <f t="shared" si="5"/>
        <v>0</v>
      </c>
      <c r="AT14" s="22">
        <f t="shared" si="5"/>
        <v>0</v>
      </c>
      <c r="AU14" s="22">
        <f t="shared" si="5"/>
        <v>0</v>
      </c>
      <c r="AV14" s="22">
        <f t="shared" si="5"/>
        <v>0</v>
      </c>
      <c r="AW14" s="22">
        <f t="shared" si="5"/>
        <v>0</v>
      </c>
      <c r="AX14" s="22">
        <f t="shared" si="5"/>
        <v>0</v>
      </c>
      <c r="AY14" s="22">
        <f t="shared" si="5"/>
        <v>0</v>
      </c>
      <c r="AZ14" s="22">
        <f t="shared" si="5"/>
        <v>0</v>
      </c>
      <c r="BA14" s="22">
        <f t="shared" si="5"/>
        <v>0</v>
      </c>
      <c r="BB14" s="22">
        <f t="shared" si="5"/>
        <v>0</v>
      </c>
      <c r="BC14" s="22">
        <f t="shared" si="5"/>
        <v>0</v>
      </c>
      <c r="BD14" s="22">
        <f t="shared" si="5"/>
        <v>0</v>
      </c>
      <c r="BE14" s="22">
        <f t="shared" si="5"/>
        <v>0</v>
      </c>
      <c r="BF14" s="22">
        <f t="shared" si="5"/>
        <v>0</v>
      </c>
      <c r="BG14" s="22">
        <f t="shared" si="5"/>
        <v>0</v>
      </c>
      <c r="BH14" s="22">
        <f t="shared" si="5"/>
        <v>0</v>
      </c>
      <c r="BI14" s="22">
        <f t="shared" si="5"/>
        <v>0</v>
      </c>
      <c r="BJ14" s="22">
        <f t="shared" si="5"/>
        <v>0</v>
      </c>
      <c r="BK14" s="22">
        <f t="shared" si="5"/>
        <v>0</v>
      </c>
      <c r="BL14" s="22">
        <f t="shared" si="5"/>
        <v>0</v>
      </c>
      <c r="BM14" s="22">
        <f t="shared" si="5"/>
        <v>0</v>
      </c>
      <c r="BN14" s="22">
        <f t="shared" si="5"/>
        <v>0</v>
      </c>
      <c r="BO14" s="22">
        <f t="shared" si="5"/>
        <v>0</v>
      </c>
      <c r="BP14" s="22">
        <f t="shared" si="5"/>
        <v>0</v>
      </c>
      <c r="BQ14" s="22">
        <f t="shared" si="5"/>
        <v>0</v>
      </c>
    </row>
    <row r="15" spans="1:69" s="32" customFormat="1" ht="13.5" customHeight="1">
      <c r="A15" s="1"/>
      <c r="B15" s="1"/>
      <c r="C15" s="31"/>
      <c r="D15" s="31" t="s">
        <v>67</v>
      </c>
      <c r="F15" s="32">
        <f t="shared" ref="F15:F16" si="6">$F$13*G15</f>
        <v>0</v>
      </c>
      <c r="G15" s="37">
        <v>0</v>
      </c>
      <c r="H15" s="40"/>
      <c r="L15" s="42"/>
      <c r="M15" s="32">
        <f t="shared" ref="M15:M82" si="7">SUM(N15:XFD15)</f>
        <v>0</v>
      </c>
      <c r="O15" s="32">
        <f t="shared" ref="O15:AD16" si="8">(O$11=$H15)*$F15</f>
        <v>0</v>
      </c>
      <c r="P15" s="32">
        <f t="shared" si="8"/>
        <v>0</v>
      </c>
      <c r="Q15" s="32">
        <f t="shared" si="8"/>
        <v>0</v>
      </c>
      <c r="R15" s="32">
        <f t="shared" si="8"/>
        <v>0</v>
      </c>
      <c r="S15" s="32">
        <f t="shared" si="8"/>
        <v>0</v>
      </c>
      <c r="T15" s="32">
        <f t="shared" si="8"/>
        <v>0</v>
      </c>
      <c r="U15" s="32">
        <f t="shared" si="8"/>
        <v>0</v>
      </c>
      <c r="V15" s="32">
        <f t="shared" si="8"/>
        <v>0</v>
      </c>
      <c r="W15" s="32">
        <f t="shared" si="8"/>
        <v>0</v>
      </c>
      <c r="X15" s="32">
        <f t="shared" si="8"/>
        <v>0</v>
      </c>
      <c r="Y15" s="32">
        <f t="shared" si="8"/>
        <v>0</v>
      </c>
      <c r="Z15" s="32">
        <f t="shared" si="8"/>
        <v>0</v>
      </c>
      <c r="AA15" s="32">
        <f t="shared" si="8"/>
        <v>0</v>
      </c>
      <c r="AB15" s="32">
        <f t="shared" si="8"/>
        <v>0</v>
      </c>
      <c r="AC15" s="32">
        <f t="shared" si="8"/>
        <v>0</v>
      </c>
      <c r="AD15" s="32">
        <f t="shared" si="8"/>
        <v>0</v>
      </c>
      <c r="AE15" s="32">
        <f t="shared" si="5"/>
        <v>0</v>
      </c>
      <c r="AF15" s="32">
        <f t="shared" si="5"/>
        <v>0</v>
      </c>
      <c r="AG15" s="32">
        <f t="shared" si="5"/>
        <v>0</v>
      </c>
      <c r="AH15" s="32">
        <f t="shared" si="5"/>
        <v>0</v>
      </c>
      <c r="AI15" s="32">
        <f t="shared" si="5"/>
        <v>0</v>
      </c>
      <c r="AJ15" s="32">
        <f t="shared" si="5"/>
        <v>0</v>
      </c>
      <c r="AK15" s="32">
        <f t="shared" si="5"/>
        <v>0</v>
      </c>
      <c r="AL15" s="32">
        <f t="shared" si="5"/>
        <v>0</v>
      </c>
      <c r="AM15" s="32">
        <f t="shared" si="5"/>
        <v>0</v>
      </c>
      <c r="AN15" s="32">
        <f t="shared" si="5"/>
        <v>0</v>
      </c>
      <c r="AO15" s="32">
        <f t="shared" si="5"/>
        <v>0</v>
      </c>
      <c r="AP15" s="32">
        <f t="shared" si="5"/>
        <v>0</v>
      </c>
      <c r="AQ15" s="32">
        <f t="shared" si="5"/>
        <v>0</v>
      </c>
      <c r="AR15" s="32">
        <f t="shared" si="5"/>
        <v>0</v>
      </c>
      <c r="AS15" s="32">
        <f t="shared" si="5"/>
        <v>0</v>
      </c>
      <c r="AT15" s="32">
        <f t="shared" si="5"/>
        <v>0</v>
      </c>
      <c r="AU15" s="32">
        <f t="shared" si="5"/>
        <v>0</v>
      </c>
      <c r="AV15" s="32">
        <f t="shared" si="5"/>
        <v>0</v>
      </c>
      <c r="AW15" s="32">
        <f t="shared" si="5"/>
        <v>0</v>
      </c>
      <c r="AX15" s="32">
        <f t="shared" si="5"/>
        <v>0</v>
      </c>
      <c r="AY15" s="32">
        <f t="shared" si="5"/>
        <v>0</v>
      </c>
      <c r="AZ15" s="32">
        <f t="shared" si="5"/>
        <v>0</v>
      </c>
      <c r="BA15" s="32">
        <f t="shared" si="5"/>
        <v>0</v>
      </c>
      <c r="BB15" s="32">
        <f t="shared" si="5"/>
        <v>0</v>
      </c>
      <c r="BC15" s="32">
        <f t="shared" si="5"/>
        <v>0</v>
      </c>
      <c r="BD15" s="32">
        <f t="shared" si="5"/>
        <v>0</v>
      </c>
      <c r="BE15" s="32">
        <f t="shared" si="5"/>
        <v>0</v>
      </c>
      <c r="BF15" s="32">
        <f t="shared" si="5"/>
        <v>0</v>
      </c>
      <c r="BG15" s="32">
        <f t="shared" si="5"/>
        <v>0</v>
      </c>
      <c r="BH15" s="32">
        <f t="shared" si="5"/>
        <v>0</v>
      </c>
      <c r="BI15" s="32">
        <f t="shared" si="5"/>
        <v>0</v>
      </c>
      <c r="BJ15" s="32">
        <f t="shared" si="5"/>
        <v>0</v>
      </c>
      <c r="BK15" s="32">
        <f t="shared" si="5"/>
        <v>0</v>
      </c>
      <c r="BL15" s="32">
        <f t="shared" si="5"/>
        <v>0</v>
      </c>
      <c r="BM15" s="32">
        <f t="shared" si="5"/>
        <v>0</v>
      </c>
      <c r="BN15" s="32">
        <f t="shared" si="5"/>
        <v>0</v>
      </c>
      <c r="BO15" s="32">
        <f t="shared" si="5"/>
        <v>0</v>
      </c>
      <c r="BP15" s="32">
        <f t="shared" si="5"/>
        <v>0</v>
      </c>
      <c r="BQ15" s="32">
        <f t="shared" si="5"/>
        <v>0</v>
      </c>
    </row>
    <row r="16" spans="1:69" s="24" customFormat="1" ht="13.5" customHeight="1">
      <c r="A16" s="1"/>
      <c r="B16" s="1"/>
      <c r="C16" s="54"/>
      <c r="D16" s="33" t="s">
        <v>68</v>
      </c>
      <c r="F16" s="24">
        <f t="shared" si="6"/>
        <v>150871.875</v>
      </c>
      <c r="G16" s="38">
        <v>1</v>
      </c>
      <c r="H16" s="41">
        <f>'A&amp;R'!D14</f>
        <v>44377</v>
      </c>
      <c r="L16" s="44"/>
      <c r="M16" s="24">
        <f t="shared" si="7"/>
        <v>150871.875</v>
      </c>
      <c r="O16" s="24">
        <f t="shared" si="8"/>
        <v>150871.875</v>
      </c>
      <c r="P16" s="24">
        <f t="shared" si="5"/>
        <v>0</v>
      </c>
      <c r="Q16" s="24">
        <f t="shared" si="5"/>
        <v>0</v>
      </c>
      <c r="R16" s="24">
        <f t="shared" si="5"/>
        <v>0</v>
      </c>
      <c r="S16" s="24">
        <f t="shared" si="5"/>
        <v>0</v>
      </c>
      <c r="T16" s="24">
        <f t="shared" si="5"/>
        <v>0</v>
      </c>
      <c r="U16" s="24">
        <f t="shared" si="5"/>
        <v>0</v>
      </c>
      <c r="V16" s="24">
        <f t="shared" si="5"/>
        <v>0</v>
      </c>
      <c r="W16" s="24">
        <f t="shared" si="5"/>
        <v>0</v>
      </c>
      <c r="X16" s="24">
        <f t="shared" si="5"/>
        <v>0</v>
      </c>
      <c r="Y16" s="24">
        <f t="shared" si="5"/>
        <v>0</v>
      </c>
      <c r="Z16" s="24">
        <f t="shared" si="5"/>
        <v>0</v>
      </c>
      <c r="AA16" s="24">
        <f t="shared" si="5"/>
        <v>0</v>
      </c>
      <c r="AB16" s="24">
        <f t="shared" si="5"/>
        <v>0</v>
      </c>
      <c r="AC16" s="24">
        <f t="shared" si="5"/>
        <v>0</v>
      </c>
      <c r="AD16" s="24">
        <f t="shared" si="5"/>
        <v>0</v>
      </c>
      <c r="AE16" s="24">
        <f t="shared" si="5"/>
        <v>0</v>
      </c>
      <c r="AF16" s="24">
        <f t="shared" si="5"/>
        <v>0</v>
      </c>
      <c r="AG16" s="24">
        <f t="shared" si="5"/>
        <v>0</v>
      </c>
      <c r="AH16" s="24">
        <f t="shared" si="5"/>
        <v>0</v>
      </c>
      <c r="AI16" s="24">
        <f t="shared" si="5"/>
        <v>0</v>
      </c>
      <c r="AJ16" s="24">
        <f t="shared" si="5"/>
        <v>0</v>
      </c>
      <c r="AK16" s="24">
        <f t="shared" si="5"/>
        <v>0</v>
      </c>
      <c r="AL16" s="24">
        <f t="shared" si="5"/>
        <v>0</v>
      </c>
      <c r="AM16" s="24">
        <f t="shared" si="5"/>
        <v>0</v>
      </c>
      <c r="AN16" s="24">
        <f t="shared" si="5"/>
        <v>0</v>
      </c>
      <c r="AO16" s="24">
        <f t="shared" si="5"/>
        <v>0</v>
      </c>
      <c r="AP16" s="24">
        <f t="shared" si="5"/>
        <v>0</v>
      </c>
      <c r="AQ16" s="24">
        <f t="shared" si="5"/>
        <v>0</v>
      </c>
      <c r="AR16" s="24">
        <f t="shared" si="5"/>
        <v>0</v>
      </c>
      <c r="AS16" s="24">
        <f t="shared" si="5"/>
        <v>0</v>
      </c>
      <c r="AT16" s="24">
        <f t="shared" si="5"/>
        <v>0</v>
      </c>
      <c r="AU16" s="24">
        <f t="shared" si="5"/>
        <v>0</v>
      </c>
      <c r="AV16" s="24">
        <f t="shared" si="5"/>
        <v>0</v>
      </c>
      <c r="AW16" s="24">
        <f t="shared" si="5"/>
        <v>0</v>
      </c>
      <c r="AX16" s="24">
        <f t="shared" si="5"/>
        <v>0</v>
      </c>
      <c r="AY16" s="24">
        <f t="shared" si="5"/>
        <v>0</v>
      </c>
      <c r="AZ16" s="24">
        <f t="shared" si="5"/>
        <v>0</v>
      </c>
      <c r="BA16" s="24">
        <f t="shared" si="5"/>
        <v>0</v>
      </c>
      <c r="BB16" s="24">
        <f t="shared" si="5"/>
        <v>0</v>
      </c>
      <c r="BC16" s="24">
        <f t="shared" si="5"/>
        <v>0</v>
      </c>
      <c r="BD16" s="24">
        <f t="shared" si="5"/>
        <v>0</v>
      </c>
      <c r="BE16" s="24">
        <f t="shared" si="5"/>
        <v>0</v>
      </c>
      <c r="BF16" s="24">
        <f t="shared" si="5"/>
        <v>0</v>
      </c>
      <c r="BG16" s="24">
        <f t="shared" si="5"/>
        <v>0</v>
      </c>
      <c r="BH16" s="24">
        <f t="shared" si="5"/>
        <v>0</v>
      </c>
      <c r="BI16" s="24">
        <f t="shared" si="5"/>
        <v>0</v>
      </c>
      <c r="BJ16" s="24">
        <f t="shared" si="5"/>
        <v>0</v>
      </c>
      <c r="BK16" s="24">
        <f t="shared" si="5"/>
        <v>0</v>
      </c>
      <c r="BL16" s="24">
        <f t="shared" si="5"/>
        <v>0</v>
      </c>
      <c r="BM16" s="24">
        <f t="shared" si="5"/>
        <v>0</v>
      </c>
      <c r="BN16" s="24">
        <f t="shared" si="5"/>
        <v>0</v>
      </c>
      <c r="BO16" s="24">
        <f t="shared" si="5"/>
        <v>0</v>
      </c>
      <c r="BP16" s="24">
        <f t="shared" si="5"/>
        <v>0</v>
      </c>
      <c r="BQ16" s="24">
        <f t="shared" si="5"/>
        <v>0</v>
      </c>
    </row>
    <row r="17" spans="1:69" ht="13.5" customHeight="1">
      <c r="C17" s="76" t="s">
        <v>69</v>
      </c>
      <c r="D17" s="77"/>
      <c r="E17" s="77"/>
      <c r="F17" s="321">
        <f>'A&amp;R'!F45</f>
        <v>0</v>
      </c>
      <c r="G17" s="77" t="s">
        <v>72</v>
      </c>
      <c r="H17" s="77"/>
      <c r="I17" s="77"/>
      <c r="J17" s="78">
        <f>Est</f>
        <v>44377</v>
      </c>
      <c r="K17" s="77"/>
      <c r="L17" s="48"/>
      <c r="M17" s="77">
        <f t="shared" si="7"/>
        <v>0</v>
      </c>
      <c r="N17" s="77"/>
      <c r="O17" s="77">
        <f>(O11=$J$17)*$F$17</f>
        <v>0</v>
      </c>
      <c r="P17" s="77">
        <f t="shared" ref="P17:BQ17" si="9">(P11=$J$17)*$F$17</f>
        <v>0</v>
      </c>
      <c r="Q17" s="77">
        <f t="shared" si="9"/>
        <v>0</v>
      </c>
      <c r="R17" s="77">
        <f t="shared" si="9"/>
        <v>0</v>
      </c>
      <c r="S17" s="77">
        <f t="shared" si="9"/>
        <v>0</v>
      </c>
      <c r="T17" s="77">
        <f t="shared" si="9"/>
        <v>0</v>
      </c>
      <c r="U17" s="77">
        <f t="shared" si="9"/>
        <v>0</v>
      </c>
      <c r="V17" s="77">
        <f t="shared" si="9"/>
        <v>0</v>
      </c>
      <c r="W17" s="77">
        <f t="shared" si="9"/>
        <v>0</v>
      </c>
      <c r="X17" s="77">
        <f t="shared" si="9"/>
        <v>0</v>
      </c>
      <c r="Y17" s="77">
        <f t="shared" si="9"/>
        <v>0</v>
      </c>
      <c r="Z17" s="77">
        <f t="shared" si="9"/>
        <v>0</v>
      </c>
      <c r="AA17" s="77">
        <f t="shared" si="9"/>
        <v>0</v>
      </c>
      <c r="AB17" s="77">
        <f t="shared" si="9"/>
        <v>0</v>
      </c>
      <c r="AC17" s="77">
        <f t="shared" si="9"/>
        <v>0</v>
      </c>
      <c r="AD17" s="77">
        <f t="shared" si="9"/>
        <v>0</v>
      </c>
      <c r="AE17" s="77">
        <f t="shared" si="9"/>
        <v>0</v>
      </c>
      <c r="AF17" s="77">
        <f t="shared" si="9"/>
        <v>0</v>
      </c>
      <c r="AG17" s="77">
        <f t="shared" si="9"/>
        <v>0</v>
      </c>
      <c r="AH17" s="77">
        <f t="shared" si="9"/>
        <v>0</v>
      </c>
      <c r="AI17" s="77">
        <f t="shared" si="9"/>
        <v>0</v>
      </c>
      <c r="AJ17" s="77">
        <f t="shared" si="9"/>
        <v>0</v>
      </c>
      <c r="AK17" s="77">
        <f t="shared" si="9"/>
        <v>0</v>
      </c>
      <c r="AL17" s="77">
        <f t="shared" si="9"/>
        <v>0</v>
      </c>
      <c r="AM17" s="77">
        <f t="shared" si="9"/>
        <v>0</v>
      </c>
      <c r="AN17" s="77">
        <f t="shared" si="9"/>
        <v>0</v>
      </c>
      <c r="AO17" s="77">
        <f t="shared" si="9"/>
        <v>0</v>
      </c>
      <c r="AP17" s="77">
        <f t="shared" si="9"/>
        <v>0</v>
      </c>
      <c r="AQ17" s="77">
        <f t="shared" si="9"/>
        <v>0</v>
      </c>
      <c r="AR17" s="77">
        <f t="shared" si="9"/>
        <v>0</v>
      </c>
      <c r="AS17" s="77">
        <f t="shared" si="9"/>
        <v>0</v>
      </c>
      <c r="AT17" s="77">
        <f t="shared" si="9"/>
        <v>0</v>
      </c>
      <c r="AU17" s="77">
        <f t="shared" si="9"/>
        <v>0</v>
      </c>
      <c r="AV17" s="77">
        <f t="shared" si="9"/>
        <v>0</v>
      </c>
      <c r="AW17" s="77">
        <f t="shared" si="9"/>
        <v>0</v>
      </c>
      <c r="AX17" s="77">
        <f t="shared" si="9"/>
        <v>0</v>
      </c>
      <c r="AY17" s="77">
        <f t="shared" si="9"/>
        <v>0</v>
      </c>
      <c r="AZ17" s="77">
        <f t="shared" si="9"/>
        <v>0</v>
      </c>
      <c r="BA17" s="77">
        <f t="shared" si="9"/>
        <v>0</v>
      </c>
      <c r="BB17" s="77">
        <f t="shared" si="9"/>
        <v>0</v>
      </c>
      <c r="BC17" s="77">
        <f t="shared" si="9"/>
        <v>0</v>
      </c>
      <c r="BD17" s="77">
        <f t="shared" si="9"/>
        <v>0</v>
      </c>
      <c r="BE17" s="77">
        <f t="shared" si="9"/>
        <v>0</v>
      </c>
      <c r="BF17" s="77">
        <f t="shared" si="9"/>
        <v>0</v>
      </c>
      <c r="BG17" s="77">
        <f t="shared" si="9"/>
        <v>0</v>
      </c>
      <c r="BH17" s="77">
        <f t="shared" si="9"/>
        <v>0</v>
      </c>
      <c r="BI17" s="77">
        <f t="shared" si="9"/>
        <v>0</v>
      </c>
      <c r="BJ17" s="77">
        <f t="shared" si="9"/>
        <v>0</v>
      </c>
      <c r="BK17" s="77">
        <f t="shared" si="9"/>
        <v>0</v>
      </c>
      <c r="BL17" s="77">
        <f t="shared" si="9"/>
        <v>0</v>
      </c>
      <c r="BM17" s="77">
        <f t="shared" si="9"/>
        <v>0</v>
      </c>
      <c r="BN17" s="77">
        <f t="shared" si="9"/>
        <v>0</v>
      </c>
      <c r="BO17" s="77">
        <f t="shared" si="9"/>
        <v>0</v>
      </c>
      <c r="BP17" s="77">
        <f t="shared" si="9"/>
        <v>0</v>
      </c>
      <c r="BQ17" s="77">
        <f t="shared" si="9"/>
        <v>0</v>
      </c>
    </row>
    <row r="18" spans="1:69" ht="13.5" customHeight="1">
      <c r="C18" s="79" t="s">
        <v>75</v>
      </c>
      <c r="D18" s="49"/>
      <c r="E18" s="49"/>
      <c r="F18" s="49">
        <f ca="1">K18*J18</f>
        <v>7379.196839933993</v>
      </c>
      <c r="G18" s="49" t="s">
        <v>76</v>
      </c>
      <c r="H18" s="49"/>
      <c r="I18" s="49"/>
      <c r="J18" s="323">
        <f>'A&amp;R'!J46</f>
        <v>4.5999999999999999E-2</v>
      </c>
      <c r="K18" s="50">
        <f ca="1">IF(Cir=1,'취득원가 및 VAT'!O91,0)</f>
        <v>160417.32260726072</v>
      </c>
      <c r="L18" s="51"/>
      <c r="M18" s="49">
        <f t="shared" ca="1" si="7"/>
        <v>7379.196839933993</v>
      </c>
      <c r="N18" s="49"/>
      <c r="O18" s="49">
        <f ca="1">(O11=$H$16)*$F$18</f>
        <v>7379.196839933993</v>
      </c>
      <c r="P18" s="49">
        <f t="shared" ref="P18:BQ18" ca="1" si="10">(P11=$H$16)*$F$18</f>
        <v>0</v>
      </c>
      <c r="Q18" s="49">
        <f t="shared" ca="1" si="10"/>
        <v>0</v>
      </c>
      <c r="R18" s="49">
        <f t="shared" ca="1" si="10"/>
        <v>0</v>
      </c>
      <c r="S18" s="49">
        <f t="shared" ca="1" si="10"/>
        <v>0</v>
      </c>
      <c r="T18" s="49">
        <f t="shared" ca="1" si="10"/>
        <v>0</v>
      </c>
      <c r="U18" s="49">
        <f t="shared" ca="1" si="10"/>
        <v>0</v>
      </c>
      <c r="V18" s="49">
        <f t="shared" ca="1" si="10"/>
        <v>0</v>
      </c>
      <c r="W18" s="49">
        <f t="shared" ca="1" si="10"/>
        <v>0</v>
      </c>
      <c r="X18" s="49">
        <f t="shared" ca="1" si="10"/>
        <v>0</v>
      </c>
      <c r="Y18" s="49">
        <f t="shared" ca="1" si="10"/>
        <v>0</v>
      </c>
      <c r="Z18" s="49">
        <f t="shared" ca="1" si="10"/>
        <v>0</v>
      </c>
      <c r="AA18" s="49">
        <f t="shared" ca="1" si="10"/>
        <v>0</v>
      </c>
      <c r="AB18" s="49">
        <f t="shared" ca="1" si="10"/>
        <v>0</v>
      </c>
      <c r="AC18" s="49">
        <f t="shared" ca="1" si="10"/>
        <v>0</v>
      </c>
      <c r="AD18" s="49">
        <f t="shared" ca="1" si="10"/>
        <v>0</v>
      </c>
      <c r="AE18" s="49">
        <f t="shared" ca="1" si="10"/>
        <v>0</v>
      </c>
      <c r="AF18" s="49">
        <f t="shared" ca="1" si="10"/>
        <v>0</v>
      </c>
      <c r="AG18" s="49">
        <f t="shared" ca="1" si="10"/>
        <v>0</v>
      </c>
      <c r="AH18" s="49">
        <f t="shared" ca="1" si="10"/>
        <v>0</v>
      </c>
      <c r="AI18" s="49">
        <f t="shared" ca="1" si="10"/>
        <v>0</v>
      </c>
      <c r="AJ18" s="49">
        <f t="shared" ca="1" si="10"/>
        <v>0</v>
      </c>
      <c r="AK18" s="49">
        <f t="shared" ca="1" si="10"/>
        <v>0</v>
      </c>
      <c r="AL18" s="49">
        <f t="shared" ca="1" si="10"/>
        <v>0</v>
      </c>
      <c r="AM18" s="49">
        <f t="shared" ca="1" si="10"/>
        <v>0</v>
      </c>
      <c r="AN18" s="49">
        <f t="shared" ca="1" si="10"/>
        <v>0</v>
      </c>
      <c r="AO18" s="49">
        <f t="shared" ca="1" si="10"/>
        <v>0</v>
      </c>
      <c r="AP18" s="49">
        <f t="shared" ca="1" si="10"/>
        <v>0</v>
      </c>
      <c r="AQ18" s="49">
        <f t="shared" ca="1" si="10"/>
        <v>0</v>
      </c>
      <c r="AR18" s="49">
        <f t="shared" ca="1" si="10"/>
        <v>0</v>
      </c>
      <c r="AS18" s="49">
        <f t="shared" ca="1" si="10"/>
        <v>0</v>
      </c>
      <c r="AT18" s="49">
        <f t="shared" ca="1" si="10"/>
        <v>0</v>
      </c>
      <c r="AU18" s="49">
        <f t="shared" ca="1" si="10"/>
        <v>0</v>
      </c>
      <c r="AV18" s="49">
        <f t="shared" ca="1" si="10"/>
        <v>0</v>
      </c>
      <c r="AW18" s="49">
        <f t="shared" ca="1" si="10"/>
        <v>0</v>
      </c>
      <c r="AX18" s="49">
        <f t="shared" ca="1" si="10"/>
        <v>0</v>
      </c>
      <c r="AY18" s="49">
        <f t="shared" ca="1" si="10"/>
        <v>0</v>
      </c>
      <c r="AZ18" s="49">
        <f t="shared" ca="1" si="10"/>
        <v>0</v>
      </c>
      <c r="BA18" s="49">
        <f t="shared" ca="1" si="10"/>
        <v>0</v>
      </c>
      <c r="BB18" s="49">
        <f t="shared" ca="1" si="10"/>
        <v>0</v>
      </c>
      <c r="BC18" s="49">
        <f t="shared" ca="1" si="10"/>
        <v>0</v>
      </c>
      <c r="BD18" s="49">
        <f t="shared" ca="1" si="10"/>
        <v>0</v>
      </c>
      <c r="BE18" s="49">
        <f t="shared" ca="1" si="10"/>
        <v>0</v>
      </c>
      <c r="BF18" s="49">
        <f t="shared" ca="1" si="10"/>
        <v>0</v>
      </c>
      <c r="BG18" s="49">
        <f t="shared" ca="1" si="10"/>
        <v>0</v>
      </c>
      <c r="BH18" s="49">
        <f t="shared" ca="1" si="10"/>
        <v>0</v>
      </c>
      <c r="BI18" s="49">
        <f t="shared" ca="1" si="10"/>
        <v>0</v>
      </c>
      <c r="BJ18" s="49">
        <f t="shared" ca="1" si="10"/>
        <v>0</v>
      </c>
      <c r="BK18" s="49">
        <f t="shared" ca="1" si="10"/>
        <v>0</v>
      </c>
      <c r="BL18" s="49">
        <f t="shared" ca="1" si="10"/>
        <v>0</v>
      </c>
      <c r="BM18" s="49">
        <f t="shared" ca="1" si="10"/>
        <v>0</v>
      </c>
      <c r="BN18" s="49">
        <f t="shared" ca="1" si="10"/>
        <v>0</v>
      </c>
      <c r="BO18" s="49">
        <f t="shared" ca="1" si="10"/>
        <v>0</v>
      </c>
      <c r="BP18" s="49">
        <f t="shared" ca="1" si="10"/>
        <v>0</v>
      </c>
      <c r="BQ18" s="49">
        <f t="shared" ca="1" si="10"/>
        <v>0</v>
      </c>
    </row>
    <row r="19" spans="1:69" ht="13.5" customHeight="1">
      <c r="C19" s="79" t="s">
        <v>77</v>
      </c>
      <c r="D19" s="49"/>
      <c r="E19" s="49"/>
      <c r="F19" s="49">
        <f ca="1">F170+(K18-H170)*J170</f>
        <v>22.625732260726075</v>
      </c>
      <c r="G19" s="49" t="s">
        <v>88</v>
      </c>
      <c r="H19" s="49"/>
      <c r="I19" s="49"/>
      <c r="J19" s="49"/>
      <c r="K19" s="49"/>
      <c r="L19" s="51"/>
      <c r="M19" s="49">
        <f t="shared" ca="1" si="7"/>
        <v>22.625732260726075</v>
      </c>
      <c r="N19" s="49"/>
      <c r="O19" s="49">
        <f ca="1">(O11=$H$16)*$F$19</f>
        <v>22.625732260726075</v>
      </c>
      <c r="P19" s="49">
        <f t="shared" ref="P19:BQ19" ca="1" si="11">(P11=$H$16)*$F$19</f>
        <v>0</v>
      </c>
      <c r="Q19" s="49">
        <f t="shared" ca="1" si="11"/>
        <v>0</v>
      </c>
      <c r="R19" s="49">
        <f t="shared" ca="1" si="11"/>
        <v>0</v>
      </c>
      <c r="S19" s="49">
        <f t="shared" ca="1" si="11"/>
        <v>0</v>
      </c>
      <c r="T19" s="49">
        <f t="shared" ca="1" si="11"/>
        <v>0</v>
      </c>
      <c r="U19" s="49">
        <f t="shared" ca="1" si="11"/>
        <v>0</v>
      </c>
      <c r="V19" s="49">
        <f t="shared" ca="1" si="11"/>
        <v>0</v>
      </c>
      <c r="W19" s="49">
        <f t="shared" ca="1" si="11"/>
        <v>0</v>
      </c>
      <c r="X19" s="49">
        <f t="shared" ca="1" si="11"/>
        <v>0</v>
      </c>
      <c r="Y19" s="49">
        <f t="shared" ca="1" si="11"/>
        <v>0</v>
      </c>
      <c r="Z19" s="49">
        <f t="shared" ca="1" si="11"/>
        <v>0</v>
      </c>
      <c r="AA19" s="49">
        <f t="shared" ca="1" si="11"/>
        <v>0</v>
      </c>
      <c r="AB19" s="49">
        <f t="shared" ca="1" si="11"/>
        <v>0</v>
      </c>
      <c r="AC19" s="49">
        <f t="shared" ca="1" si="11"/>
        <v>0</v>
      </c>
      <c r="AD19" s="49">
        <f t="shared" ca="1" si="11"/>
        <v>0</v>
      </c>
      <c r="AE19" s="49">
        <f t="shared" ca="1" si="11"/>
        <v>0</v>
      </c>
      <c r="AF19" s="49">
        <f t="shared" ca="1" si="11"/>
        <v>0</v>
      </c>
      <c r="AG19" s="49">
        <f t="shared" ca="1" si="11"/>
        <v>0</v>
      </c>
      <c r="AH19" s="49">
        <f t="shared" ca="1" si="11"/>
        <v>0</v>
      </c>
      <c r="AI19" s="49">
        <f t="shared" ca="1" si="11"/>
        <v>0</v>
      </c>
      <c r="AJ19" s="49">
        <f t="shared" ca="1" si="11"/>
        <v>0</v>
      </c>
      <c r="AK19" s="49">
        <f t="shared" ca="1" si="11"/>
        <v>0</v>
      </c>
      <c r="AL19" s="49">
        <f t="shared" ca="1" si="11"/>
        <v>0</v>
      </c>
      <c r="AM19" s="49">
        <f t="shared" ca="1" si="11"/>
        <v>0</v>
      </c>
      <c r="AN19" s="49">
        <f t="shared" ca="1" si="11"/>
        <v>0</v>
      </c>
      <c r="AO19" s="49">
        <f t="shared" ca="1" si="11"/>
        <v>0</v>
      </c>
      <c r="AP19" s="49">
        <f t="shared" ca="1" si="11"/>
        <v>0</v>
      </c>
      <c r="AQ19" s="49">
        <f t="shared" ca="1" si="11"/>
        <v>0</v>
      </c>
      <c r="AR19" s="49">
        <f t="shared" ca="1" si="11"/>
        <v>0</v>
      </c>
      <c r="AS19" s="49">
        <f t="shared" ca="1" si="11"/>
        <v>0</v>
      </c>
      <c r="AT19" s="49">
        <f t="shared" ca="1" si="11"/>
        <v>0</v>
      </c>
      <c r="AU19" s="49">
        <f t="shared" ca="1" si="11"/>
        <v>0</v>
      </c>
      <c r="AV19" s="49">
        <f t="shared" ca="1" si="11"/>
        <v>0</v>
      </c>
      <c r="AW19" s="49">
        <f t="shared" ca="1" si="11"/>
        <v>0</v>
      </c>
      <c r="AX19" s="49">
        <f t="shared" ca="1" si="11"/>
        <v>0</v>
      </c>
      <c r="AY19" s="49">
        <f t="shared" ca="1" si="11"/>
        <v>0</v>
      </c>
      <c r="AZ19" s="49">
        <f t="shared" ca="1" si="11"/>
        <v>0</v>
      </c>
      <c r="BA19" s="49">
        <f t="shared" ca="1" si="11"/>
        <v>0</v>
      </c>
      <c r="BB19" s="49">
        <f t="shared" ca="1" si="11"/>
        <v>0</v>
      </c>
      <c r="BC19" s="49">
        <f t="shared" ca="1" si="11"/>
        <v>0</v>
      </c>
      <c r="BD19" s="49">
        <f t="shared" ca="1" si="11"/>
        <v>0</v>
      </c>
      <c r="BE19" s="49">
        <f t="shared" ca="1" si="11"/>
        <v>0</v>
      </c>
      <c r="BF19" s="49">
        <f t="shared" ca="1" si="11"/>
        <v>0</v>
      </c>
      <c r="BG19" s="49">
        <f t="shared" ca="1" si="11"/>
        <v>0</v>
      </c>
      <c r="BH19" s="49">
        <f t="shared" ca="1" si="11"/>
        <v>0</v>
      </c>
      <c r="BI19" s="49">
        <f t="shared" ca="1" si="11"/>
        <v>0</v>
      </c>
      <c r="BJ19" s="49">
        <f t="shared" ca="1" si="11"/>
        <v>0</v>
      </c>
      <c r="BK19" s="49">
        <f t="shared" ca="1" si="11"/>
        <v>0</v>
      </c>
      <c r="BL19" s="49">
        <f t="shared" ca="1" si="11"/>
        <v>0</v>
      </c>
      <c r="BM19" s="49">
        <f t="shared" ca="1" si="11"/>
        <v>0</v>
      </c>
      <c r="BN19" s="49">
        <f t="shared" ca="1" si="11"/>
        <v>0</v>
      </c>
      <c r="BO19" s="49">
        <f t="shared" ca="1" si="11"/>
        <v>0</v>
      </c>
      <c r="BP19" s="49">
        <f t="shared" ca="1" si="11"/>
        <v>0</v>
      </c>
      <c r="BQ19" s="49">
        <f t="shared" ca="1" si="11"/>
        <v>0</v>
      </c>
    </row>
    <row r="20" spans="1:69" ht="13.5" customHeight="1">
      <c r="C20" s="76" t="s">
        <v>89</v>
      </c>
      <c r="D20" s="77"/>
      <c r="E20" s="77"/>
      <c r="F20" s="77">
        <f>SUM(F21:F23)</f>
        <v>26.91</v>
      </c>
      <c r="G20" s="77"/>
      <c r="H20" s="77"/>
      <c r="I20" s="77"/>
      <c r="J20" s="77"/>
      <c r="K20" s="77"/>
      <c r="L20" s="48"/>
      <c r="M20" s="77">
        <f t="shared" si="7"/>
        <v>26.91</v>
      </c>
      <c r="N20" s="77"/>
      <c r="O20" s="77">
        <f>SUM(O21:O23)</f>
        <v>26.91</v>
      </c>
      <c r="P20" s="77">
        <f t="shared" ref="P20:BQ20" si="12">SUM(P21:P23)</f>
        <v>0</v>
      </c>
      <c r="Q20" s="77">
        <f t="shared" si="12"/>
        <v>0</v>
      </c>
      <c r="R20" s="77">
        <f t="shared" si="12"/>
        <v>0</v>
      </c>
      <c r="S20" s="77">
        <f t="shared" si="12"/>
        <v>0</v>
      </c>
      <c r="T20" s="77">
        <f t="shared" si="12"/>
        <v>0</v>
      </c>
      <c r="U20" s="77">
        <f t="shared" si="12"/>
        <v>0</v>
      </c>
      <c r="V20" s="77">
        <f t="shared" si="12"/>
        <v>0</v>
      </c>
      <c r="W20" s="77">
        <f t="shared" si="12"/>
        <v>0</v>
      </c>
      <c r="X20" s="77">
        <f t="shared" si="12"/>
        <v>0</v>
      </c>
      <c r="Y20" s="77">
        <f t="shared" si="12"/>
        <v>0</v>
      </c>
      <c r="Z20" s="77">
        <f t="shared" si="12"/>
        <v>0</v>
      </c>
      <c r="AA20" s="77">
        <f t="shared" si="12"/>
        <v>0</v>
      </c>
      <c r="AB20" s="77">
        <f t="shared" si="12"/>
        <v>0</v>
      </c>
      <c r="AC20" s="77">
        <f t="shared" si="12"/>
        <v>0</v>
      </c>
      <c r="AD20" s="77">
        <f t="shared" si="12"/>
        <v>0</v>
      </c>
      <c r="AE20" s="77">
        <f t="shared" si="12"/>
        <v>0</v>
      </c>
      <c r="AF20" s="77">
        <f t="shared" si="12"/>
        <v>0</v>
      </c>
      <c r="AG20" s="77">
        <f t="shared" si="12"/>
        <v>0</v>
      </c>
      <c r="AH20" s="77">
        <f t="shared" si="12"/>
        <v>0</v>
      </c>
      <c r="AI20" s="77">
        <f t="shared" si="12"/>
        <v>0</v>
      </c>
      <c r="AJ20" s="77">
        <f t="shared" si="12"/>
        <v>0</v>
      </c>
      <c r="AK20" s="77">
        <f t="shared" si="12"/>
        <v>0</v>
      </c>
      <c r="AL20" s="77">
        <f t="shared" si="12"/>
        <v>0</v>
      </c>
      <c r="AM20" s="77">
        <f t="shared" si="12"/>
        <v>0</v>
      </c>
      <c r="AN20" s="77">
        <f t="shared" si="12"/>
        <v>0</v>
      </c>
      <c r="AO20" s="77">
        <f t="shared" si="12"/>
        <v>0</v>
      </c>
      <c r="AP20" s="77">
        <f t="shared" si="12"/>
        <v>0</v>
      </c>
      <c r="AQ20" s="77">
        <f t="shared" si="12"/>
        <v>0</v>
      </c>
      <c r="AR20" s="77">
        <f t="shared" si="12"/>
        <v>0</v>
      </c>
      <c r="AS20" s="77">
        <f t="shared" si="12"/>
        <v>0</v>
      </c>
      <c r="AT20" s="77">
        <f t="shared" si="12"/>
        <v>0</v>
      </c>
      <c r="AU20" s="77">
        <f t="shared" si="12"/>
        <v>0</v>
      </c>
      <c r="AV20" s="77">
        <f t="shared" si="12"/>
        <v>0</v>
      </c>
      <c r="AW20" s="77">
        <f t="shared" si="12"/>
        <v>0</v>
      </c>
      <c r="AX20" s="77">
        <f t="shared" si="12"/>
        <v>0</v>
      </c>
      <c r="AY20" s="77">
        <f t="shared" si="12"/>
        <v>0</v>
      </c>
      <c r="AZ20" s="77">
        <f t="shared" si="12"/>
        <v>0</v>
      </c>
      <c r="BA20" s="77">
        <f t="shared" si="12"/>
        <v>0</v>
      </c>
      <c r="BB20" s="77">
        <f t="shared" si="12"/>
        <v>0</v>
      </c>
      <c r="BC20" s="77">
        <f t="shared" si="12"/>
        <v>0</v>
      </c>
      <c r="BD20" s="77">
        <f t="shared" si="12"/>
        <v>0</v>
      </c>
      <c r="BE20" s="77">
        <f t="shared" si="12"/>
        <v>0</v>
      </c>
      <c r="BF20" s="77">
        <f t="shared" si="12"/>
        <v>0</v>
      </c>
      <c r="BG20" s="77">
        <f t="shared" si="12"/>
        <v>0</v>
      </c>
      <c r="BH20" s="77">
        <f t="shared" si="12"/>
        <v>0</v>
      </c>
      <c r="BI20" s="77">
        <f t="shared" si="12"/>
        <v>0</v>
      </c>
      <c r="BJ20" s="77">
        <f t="shared" si="12"/>
        <v>0</v>
      </c>
      <c r="BK20" s="77">
        <f t="shared" si="12"/>
        <v>0</v>
      </c>
      <c r="BL20" s="77">
        <f t="shared" si="12"/>
        <v>0</v>
      </c>
      <c r="BM20" s="77">
        <f t="shared" si="12"/>
        <v>0</v>
      </c>
      <c r="BN20" s="77">
        <f t="shared" si="12"/>
        <v>0</v>
      </c>
      <c r="BO20" s="77">
        <f t="shared" si="12"/>
        <v>0</v>
      </c>
      <c r="BP20" s="77">
        <f t="shared" si="12"/>
        <v>0</v>
      </c>
      <c r="BQ20" s="77">
        <f t="shared" si="12"/>
        <v>0</v>
      </c>
    </row>
    <row r="21" spans="1:69" s="22" customFormat="1" ht="13.5" customHeight="1">
      <c r="A21" s="1"/>
      <c r="B21" s="1"/>
      <c r="C21" s="31"/>
      <c r="D21" s="30" t="s">
        <v>90</v>
      </c>
      <c r="F21" s="22">
        <f>H21*J21</f>
        <v>20</v>
      </c>
      <c r="G21" s="22" t="s">
        <v>93</v>
      </c>
      <c r="H21" s="35">
        <v>5000</v>
      </c>
      <c r="I21" s="22" t="s">
        <v>94</v>
      </c>
      <c r="J21" s="70">
        <v>4.0000000000000001E-3</v>
      </c>
      <c r="L21" s="43"/>
      <c r="M21" s="22">
        <f t="shared" si="7"/>
        <v>20</v>
      </c>
      <c r="O21" s="22">
        <f t="shared" ref="O21:X23" si="13">(O$11=Est)*$F21</f>
        <v>20</v>
      </c>
      <c r="P21" s="22">
        <f t="shared" si="13"/>
        <v>0</v>
      </c>
      <c r="Q21" s="22">
        <f t="shared" si="13"/>
        <v>0</v>
      </c>
      <c r="R21" s="22">
        <f t="shared" si="13"/>
        <v>0</v>
      </c>
      <c r="S21" s="22">
        <f t="shared" si="13"/>
        <v>0</v>
      </c>
      <c r="T21" s="22">
        <f t="shared" si="13"/>
        <v>0</v>
      </c>
      <c r="U21" s="22">
        <f t="shared" si="13"/>
        <v>0</v>
      </c>
      <c r="V21" s="22">
        <f t="shared" si="13"/>
        <v>0</v>
      </c>
      <c r="W21" s="22">
        <f t="shared" si="13"/>
        <v>0</v>
      </c>
      <c r="X21" s="22">
        <f t="shared" si="13"/>
        <v>0</v>
      </c>
      <c r="Y21" s="22">
        <f t="shared" ref="Y21:AH23" si="14">(Y$11=Est)*$F21</f>
        <v>0</v>
      </c>
      <c r="Z21" s="22">
        <f t="shared" si="14"/>
        <v>0</v>
      </c>
      <c r="AA21" s="22">
        <f t="shared" si="14"/>
        <v>0</v>
      </c>
      <c r="AB21" s="22">
        <f t="shared" si="14"/>
        <v>0</v>
      </c>
      <c r="AC21" s="22">
        <f t="shared" si="14"/>
        <v>0</v>
      </c>
      <c r="AD21" s="22">
        <f t="shared" si="14"/>
        <v>0</v>
      </c>
      <c r="AE21" s="22">
        <f t="shared" si="14"/>
        <v>0</v>
      </c>
      <c r="AF21" s="22">
        <f t="shared" si="14"/>
        <v>0</v>
      </c>
      <c r="AG21" s="22">
        <f t="shared" si="14"/>
        <v>0</v>
      </c>
      <c r="AH21" s="22">
        <f t="shared" si="14"/>
        <v>0</v>
      </c>
      <c r="AI21" s="22">
        <f t="shared" ref="AI21:AR23" si="15">(AI$11=Est)*$F21</f>
        <v>0</v>
      </c>
      <c r="AJ21" s="22">
        <f t="shared" si="15"/>
        <v>0</v>
      </c>
      <c r="AK21" s="22">
        <f t="shared" si="15"/>
        <v>0</v>
      </c>
      <c r="AL21" s="22">
        <f t="shared" si="15"/>
        <v>0</v>
      </c>
      <c r="AM21" s="22">
        <f t="shared" si="15"/>
        <v>0</v>
      </c>
      <c r="AN21" s="22">
        <f t="shared" si="15"/>
        <v>0</v>
      </c>
      <c r="AO21" s="22">
        <f t="shared" si="15"/>
        <v>0</v>
      </c>
      <c r="AP21" s="22">
        <f t="shared" si="15"/>
        <v>0</v>
      </c>
      <c r="AQ21" s="22">
        <f t="shared" si="15"/>
        <v>0</v>
      </c>
      <c r="AR21" s="22">
        <f t="shared" si="15"/>
        <v>0</v>
      </c>
      <c r="AS21" s="22">
        <f t="shared" ref="AS21:BB23" si="16">(AS$11=Est)*$F21</f>
        <v>0</v>
      </c>
      <c r="AT21" s="22">
        <f t="shared" si="16"/>
        <v>0</v>
      </c>
      <c r="AU21" s="22">
        <f t="shared" si="16"/>
        <v>0</v>
      </c>
      <c r="AV21" s="22">
        <f t="shared" si="16"/>
        <v>0</v>
      </c>
      <c r="AW21" s="22">
        <f t="shared" si="16"/>
        <v>0</v>
      </c>
      <c r="AX21" s="22">
        <f t="shared" si="16"/>
        <v>0</v>
      </c>
      <c r="AY21" s="22">
        <f t="shared" si="16"/>
        <v>0</v>
      </c>
      <c r="AZ21" s="22">
        <f t="shared" si="16"/>
        <v>0</v>
      </c>
      <c r="BA21" s="22">
        <f t="shared" si="16"/>
        <v>0</v>
      </c>
      <c r="BB21" s="22">
        <f t="shared" si="16"/>
        <v>0</v>
      </c>
      <c r="BC21" s="22">
        <f t="shared" ref="BC21:BQ23" si="17">(BC$11=Est)*$F21</f>
        <v>0</v>
      </c>
      <c r="BD21" s="22">
        <f t="shared" si="17"/>
        <v>0</v>
      </c>
      <c r="BE21" s="22">
        <f t="shared" si="17"/>
        <v>0</v>
      </c>
      <c r="BF21" s="22">
        <f t="shared" si="17"/>
        <v>0</v>
      </c>
      <c r="BG21" s="22">
        <f t="shared" si="17"/>
        <v>0</v>
      </c>
      <c r="BH21" s="22">
        <f t="shared" si="17"/>
        <v>0</v>
      </c>
      <c r="BI21" s="22">
        <f t="shared" si="17"/>
        <v>0</v>
      </c>
      <c r="BJ21" s="22">
        <f t="shared" si="17"/>
        <v>0</v>
      </c>
      <c r="BK21" s="22">
        <f t="shared" si="17"/>
        <v>0</v>
      </c>
      <c r="BL21" s="22">
        <f t="shared" si="17"/>
        <v>0</v>
      </c>
      <c r="BM21" s="22">
        <f t="shared" si="17"/>
        <v>0</v>
      </c>
      <c r="BN21" s="22">
        <f t="shared" si="17"/>
        <v>0</v>
      </c>
      <c r="BO21" s="22">
        <f t="shared" si="17"/>
        <v>0</v>
      </c>
      <c r="BP21" s="22">
        <f t="shared" si="17"/>
        <v>0</v>
      </c>
      <c r="BQ21" s="22">
        <f t="shared" si="17"/>
        <v>0</v>
      </c>
    </row>
    <row r="22" spans="1:69" s="32" customFormat="1" ht="13.5" customHeight="1">
      <c r="A22" s="1"/>
      <c r="B22" s="1"/>
      <c r="C22" s="31"/>
      <c r="D22" s="31" t="s">
        <v>91</v>
      </c>
      <c r="F22" s="32">
        <f>H22*J22</f>
        <v>4</v>
      </c>
      <c r="G22" s="32" t="s">
        <v>90</v>
      </c>
      <c r="H22" s="32">
        <f>F21</f>
        <v>20</v>
      </c>
      <c r="I22" s="32" t="s">
        <v>94</v>
      </c>
      <c r="J22" s="37">
        <v>0.2</v>
      </c>
      <c r="L22" s="42"/>
      <c r="M22" s="32">
        <f t="shared" si="7"/>
        <v>4</v>
      </c>
      <c r="O22" s="32">
        <f t="shared" si="13"/>
        <v>4</v>
      </c>
      <c r="P22" s="32">
        <f t="shared" si="13"/>
        <v>0</v>
      </c>
      <c r="Q22" s="32">
        <f t="shared" si="13"/>
        <v>0</v>
      </c>
      <c r="R22" s="32">
        <f t="shared" si="13"/>
        <v>0</v>
      </c>
      <c r="S22" s="32">
        <f t="shared" si="13"/>
        <v>0</v>
      </c>
      <c r="T22" s="32">
        <f t="shared" si="13"/>
        <v>0</v>
      </c>
      <c r="U22" s="32">
        <f t="shared" si="13"/>
        <v>0</v>
      </c>
      <c r="V22" s="32">
        <f t="shared" si="13"/>
        <v>0</v>
      </c>
      <c r="W22" s="32">
        <f t="shared" si="13"/>
        <v>0</v>
      </c>
      <c r="X22" s="32">
        <f t="shared" si="13"/>
        <v>0</v>
      </c>
      <c r="Y22" s="32">
        <f t="shared" si="14"/>
        <v>0</v>
      </c>
      <c r="Z22" s="32">
        <f t="shared" si="14"/>
        <v>0</v>
      </c>
      <c r="AA22" s="32">
        <f t="shared" si="14"/>
        <v>0</v>
      </c>
      <c r="AB22" s="32">
        <f t="shared" si="14"/>
        <v>0</v>
      </c>
      <c r="AC22" s="32">
        <f t="shared" si="14"/>
        <v>0</v>
      </c>
      <c r="AD22" s="32">
        <f t="shared" si="14"/>
        <v>0</v>
      </c>
      <c r="AE22" s="32">
        <f t="shared" si="14"/>
        <v>0</v>
      </c>
      <c r="AF22" s="32">
        <f t="shared" si="14"/>
        <v>0</v>
      </c>
      <c r="AG22" s="32">
        <f t="shared" si="14"/>
        <v>0</v>
      </c>
      <c r="AH22" s="32">
        <f t="shared" si="14"/>
        <v>0</v>
      </c>
      <c r="AI22" s="32">
        <f t="shared" si="15"/>
        <v>0</v>
      </c>
      <c r="AJ22" s="32">
        <f t="shared" si="15"/>
        <v>0</v>
      </c>
      <c r="AK22" s="32">
        <f t="shared" si="15"/>
        <v>0</v>
      </c>
      <c r="AL22" s="32">
        <f t="shared" si="15"/>
        <v>0</v>
      </c>
      <c r="AM22" s="32">
        <f t="shared" si="15"/>
        <v>0</v>
      </c>
      <c r="AN22" s="32">
        <f t="shared" si="15"/>
        <v>0</v>
      </c>
      <c r="AO22" s="32">
        <f t="shared" si="15"/>
        <v>0</v>
      </c>
      <c r="AP22" s="32">
        <f t="shared" si="15"/>
        <v>0</v>
      </c>
      <c r="AQ22" s="32">
        <f t="shared" si="15"/>
        <v>0</v>
      </c>
      <c r="AR22" s="32">
        <f t="shared" si="15"/>
        <v>0</v>
      </c>
      <c r="AS22" s="32">
        <f t="shared" si="16"/>
        <v>0</v>
      </c>
      <c r="AT22" s="32">
        <f t="shared" si="16"/>
        <v>0</v>
      </c>
      <c r="AU22" s="32">
        <f t="shared" si="16"/>
        <v>0</v>
      </c>
      <c r="AV22" s="32">
        <f t="shared" si="16"/>
        <v>0</v>
      </c>
      <c r="AW22" s="32">
        <f t="shared" si="16"/>
        <v>0</v>
      </c>
      <c r="AX22" s="32">
        <f t="shared" si="16"/>
        <v>0</v>
      </c>
      <c r="AY22" s="32">
        <f t="shared" si="16"/>
        <v>0</v>
      </c>
      <c r="AZ22" s="32">
        <f t="shared" si="16"/>
        <v>0</v>
      </c>
      <c r="BA22" s="32">
        <f t="shared" si="16"/>
        <v>0</v>
      </c>
      <c r="BB22" s="32">
        <f t="shared" si="16"/>
        <v>0</v>
      </c>
      <c r="BC22" s="32">
        <f t="shared" si="17"/>
        <v>0</v>
      </c>
      <c r="BD22" s="32">
        <f t="shared" si="17"/>
        <v>0</v>
      </c>
      <c r="BE22" s="32">
        <f t="shared" si="17"/>
        <v>0</v>
      </c>
      <c r="BF22" s="32">
        <f t="shared" si="17"/>
        <v>0</v>
      </c>
      <c r="BG22" s="32">
        <f t="shared" si="17"/>
        <v>0</v>
      </c>
      <c r="BH22" s="32">
        <f t="shared" si="17"/>
        <v>0</v>
      </c>
      <c r="BI22" s="32">
        <f t="shared" si="17"/>
        <v>0</v>
      </c>
      <c r="BJ22" s="32">
        <f t="shared" si="17"/>
        <v>0</v>
      </c>
      <c r="BK22" s="32">
        <f t="shared" si="17"/>
        <v>0</v>
      </c>
      <c r="BL22" s="32">
        <f t="shared" si="17"/>
        <v>0</v>
      </c>
      <c r="BM22" s="32">
        <f t="shared" si="17"/>
        <v>0</v>
      </c>
      <c r="BN22" s="32">
        <f t="shared" si="17"/>
        <v>0</v>
      </c>
      <c r="BO22" s="32">
        <f t="shared" si="17"/>
        <v>0</v>
      </c>
      <c r="BP22" s="32">
        <f t="shared" si="17"/>
        <v>0</v>
      </c>
      <c r="BQ22" s="32">
        <f t="shared" si="17"/>
        <v>0</v>
      </c>
    </row>
    <row r="23" spans="1:69" s="24" customFormat="1" ht="13.5" customHeight="1">
      <c r="A23" s="1"/>
      <c r="B23" s="34"/>
      <c r="C23" s="54"/>
      <c r="D23" s="33" t="s">
        <v>92</v>
      </c>
      <c r="F23" s="24">
        <f>($H$21&lt;=$E$174)*($F$174)+($H$21&gt;$D$175)*($H$21&lt;=$E$175)*($F$175+($H$21-$H$175)*$J$175)+($H$21&gt;$D$176)*($H$21&lt;=$E$176)*($F$176+($H$21-$H$176)*$J$176)+($H$21&gt;$D$177)*($H$21&lt;=$E$177)*($F$177+($H$21-$H$177)*$J$177)+($H$21&gt;$D$178)*($H$21&lt;=$E$178)*($F$178+($H$21-$H$178)*$J$178)+($H$21&gt;$D$179)*($H$21&lt;=$E$179)*($F$179+($H$21-$H$179)*$J$179)+($H$21&gt;$D$180)*($H$21&lt;=$E$180)*($F$180+($H$21-$H$180)*$J$180)+($H$21&gt;$D$181)*($F$181+($H$21-$H$181)*$J$181)</f>
        <v>2.91</v>
      </c>
      <c r="G23" s="24" t="s">
        <v>78</v>
      </c>
      <c r="L23" s="44"/>
      <c r="M23" s="24">
        <f t="shared" si="7"/>
        <v>2.91</v>
      </c>
      <c r="O23" s="24">
        <f t="shared" si="13"/>
        <v>2.91</v>
      </c>
      <c r="P23" s="24">
        <f t="shared" si="13"/>
        <v>0</v>
      </c>
      <c r="Q23" s="24">
        <f t="shared" si="13"/>
        <v>0</v>
      </c>
      <c r="R23" s="24">
        <f t="shared" si="13"/>
        <v>0</v>
      </c>
      <c r="S23" s="24">
        <f t="shared" si="13"/>
        <v>0</v>
      </c>
      <c r="T23" s="24">
        <f t="shared" si="13"/>
        <v>0</v>
      </c>
      <c r="U23" s="24">
        <f t="shared" si="13"/>
        <v>0</v>
      </c>
      <c r="V23" s="24">
        <f t="shared" si="13"/>
        <v>0</v>
      </c>
      <c r="W23" s="24">
        <f t="shared" si="13"/>
        <v>0</v>
      </c>
      <c r="X23" s="24">
        <f t="shared" si="13"/>
        <v>0</v>
      </c>
      <c r="Y23" s="24">
        <f t="shared" si="14"/>
        <v>0</v>
      </c>
      <c r="Z23" s="24">
        <f t="shared" si="14"/>
        <v>0</v>
      </c>
      <c r="AA23" s="24">
        <f t="shared" si="14"/>
        <v>0</v>
      </c>
      <c r="AB23" s="24">
        <f t="shared" si="14"/>
        <v>0</v>
      </c>
      <c r="AC23" s="24">
        <f t="shared" si="14"/>
        <v>0</v>
      </c>
      <c r="AD23" s="24">
        <f t="shared" si="14"/>
        <v>0</v>
      </c>
      <c r="AE23" s="24">
        <f t="shared" si="14"/>
        <v>0</v>
      </c>
      <c r="AF23" s="24">
        <f t="shared" si="14"/>
        <v>0</v>
      </c>
      <c r="AG23" s="24">
        <f t="shared" si="14"/>
        <v>0</v>
      </c>
      <c r="AH23" s="24">
        <f t="shared" si="14"/>
        <v>0</v>
      </c>
      <c r="AI23" s="24">
        <f t="shared" si="15"/>
        <v>0</v>
      </c>
      <c r="AJ23" s="24">
        <f t="shared" si="15"/>
        <v>0</v>
      </c>
      <c r="AK23" s="24">
        <f t="shared" si="15"/>
        <v>0</v>
      </c>
      <c r="AL23" s="24">
        <f t="shared" si="15"/>
        <v>0</v>
      </c>
      <c r="AM23" s="24">
        <f t="shared" si="15"/>
        <v>0</v>
      </c>
      <c r="AN23" s="24">
        <f t="shared" si="15"/>
        <v>0</v>
      </c>
      <c r="AO23" s="24">
        <f t="shared" si="15"/>
        <v>0</v>
      </c>
      <c r="AP23" s="24">
        <f t="shared" si="15"/>
        <v>0</v>
      </c>
      <c r="AQ23" s="24">
        <f t="shared" si="15"/>
        <v>0</v>
      </c>
      <c r="AR23" s="24">
        <f t="shared" si="15"/>
        <v>0</v>
      </c>
      <c r="AS23" s="24">
        <f t="shared" si="16"/>
        <v>0</v>
      </c>
      <c r="AT23" s="24">
        <f t="shared" si="16"/>
        <v>0</v>
      </c>
      <c r="AU23" s="24">
        <f t="shared" si="16"/>
        <v>0</v>
      </c>
      <c r="AV23" s="24">
        <f t="shared" si="16"/>
        <v>0</v>
      </c>
      <c r="AW23" s="24">
        <f t="shared" si="16"/>
        <v>0</v>
      </c>
      <c r="AX23" s="24">
        <f t="shared" si="16"/>
        <v>0</v>
      </c>
      <c r="AY23" s="24">
        <f t="shared" si="16"/>
        <v>0</v>
      </c>
      <c r="AZ23" s="24">
        <f t="shared" si="16"/>
        <v>0</v>
      </c>
      <c r="BA23" s="24">
        <f t="shared" si="16"/>
        <v>0</v>
      </c>
      <c r="BB23" s="24">
        <f t="shared" si="16"/>
        <v>0</v>
      </c>
      <c r="BC23" s="24">
        <f t="shared" si="17"/>
        <v>0</v>
      </c>
      <c r="BD23" s="24">
        <f t="shared" si="17"/>
        <v>0</v>
      </c>
      <c r="BE23" s="24">
        <f t="shared" si="17"/>
        <v>0</v>
      </c>
      <c r="BF23" s="24">
        <f t="shared" si="17"/>
        <v>0</v>
      </c>
      <c r="BG23" s="24">
        <f t="shared" si="17"/>
        <v>0</v>
      </c>
      <c r="BH23" s="24">
        <f t="shared" si="17"/>
        <v>0</v>
      </c>
      <c r="BI23" s="24">
        <f t="shared" si="17"/>
        <v>0</v>
      </c>
      <c r="BJ23" s="24">
        <f t="shared" si="17"/>
        <v>0</v>
      </c>
      <c r="BK23" s="24">
        <f t="shared" si="17"/>
        <v>0</v>
      </c>
      <c r="BL23" s="24">
        <f t="shared" si="17"/>
        <v>0</v>
      </c>
      <c r="BM23" s="24">
        <f t="shared" si="17"/>
        <v>0</v>
      </c>
      <c r="BN23" s="24">
        <f t="shared" si="17"/>
        <v>0</v>
      </c>
      <c r="BO23" s="24">
        <f t="shared" si="17"/>
        <v>0</v>
      </c>
      <c r="BP23" s="24">
        <f t="shared" si="17"/>
        <v>0</v>
      </c>
      <c r="BQ23" s="24">
        <f t="shared" si="17"/>
        <v>0</v>
      </c>
    </row>
    <row r="24" spans="1:69" ht="13.5" customHeight="1">
      <c r="B24" s="80" t="s">
        <v>95</v>
      </c>
      <c r="C24" s="80"/>
      <c r="D24" s="80"/>
      <c r="E24" s="80"/>
      <c r="F24" s="80">
        <f>SUM(F25:F26)</f>
        <v>276537.75599999999</v>
      </c>
      <c r="G24" s="80"/>
      <c r="H24" s="80"/>
      <c r="I24" s="80"/>
      <c r="J24" s="80"/>
      <c r="K24" s="80"/>
      <c r="L24" s="81" t="b">
        <f>ABS(F24-M24)&lt;0.001</f>
        <v>1</v>
      </c>
      <c r="M24" s="80">
        <f t="shared" si="7"/>
        <v>276537.75599999994</v>
      </c>
      <c r="N24" s="80"/>
      <c r="O24" s="80">
        <f>SUM(O25:O26)</f>
        <v>0</v>
      </c>
      <c r="P24" s="80">
        <f t="shared" ref="P24:BQ24" si="18">SUM(P25:P26)</f>
        <v>0</v>
      </c>
      <c r="Q24" s="80">
        <f t="shared" si="18"/>
        <v>0</v>
      </c>
      <c r="R24" s="80">
        <f t="shared" si="18"/>
        <v>0</v>
      </c>
      <c r="S24" s="80">
        <f t="shared" si="18"/>
        <v>0</v>
      </c>
      <c r="T24" s="80">
        <f t="shared" si="18"/>
        <v>0</v>
      </c>
      <c r="U24" s="80">
        <f t="shared" si="18"/>
        <v>0</v>
      </c>
      <c r="V24" s="80">
        <f t="shared" si="18"/>
        <v>0</v>
      </c>
      <c r="W24" s="80">
        <f t="shared" si="18"/>
        <v>0</v>
      </c>
      <c r="X24" s="80">
        <f t="shared" si="18"/>
        <v>0</v>
      </c>
      <c r="Y24" s="80">
        <f t="shared" si="18"/>
        <v>0</v>
      </c>
      <c r="Z24" s="80">
        <f t="shared" si="18"/>
        <v>0</v>
      </c>
      <c r="AA24" s="80">
        <f t="shared" si="18"/>
        <v>0</v>
      </c>
      <c r="AB24" s="80">
        <f t="shared" si="18"/>
        <v>0</v>
      </c>
      <c r="AC24" s="80">
        <f t="shared" si="18"/>
        <v>0</v>
      </c>
      <c r="AD24" s="80">
        <f t="shared" si="18"/>
        <v>248.88398039999998</v>
      </c>
      <c r="AE24" s="80">
        <f t="shared" si="18"/>
        <v>884.92081919999998</v>
      </c>
      <c r="AF24" s="80">
        <f t="shared" si="18"/>
        <v>2986.6077648</v>
      </c>
      <c r="AG24" s="80">
        <f t="shared" si="18"/>
        <v>4286.3352179999993</v>
      </c>
      <c r="AH24" s="80">
        <f t="shared" si="18"/>
        <v>5005.3333836000002</v>
      </c>
      <c r="AI24" s="80">
        <f t="shared" si="18"/>
        <v>5696.6777735999995</v>
      </c>
      <c r="AJ24" s="80">
        <f t="shared" si="18"/>
        <v>6332.7146123999992</v>
      </c>
      <c r="AK24" s="80">
        <f t="shared" si="18"/>
        <v>6968.7514511999989</v>
      </c>
      <c r="AL24" s="80">
        <f t="shared" si="18"/>
        <v>7632.4420655999993</v>
      </c>
      <c r="AM24" s="80">
        <f t="shared" si="18"/>
        <v>8351.4402311999984</v>
      </c>
      <c r="AN24" s="80">
        <f t="shared" si="18"/>
        <v>8572.6704359999985</v>
      </c>
      <c r="AO24" s="80">
        <f t="shared" si="18"/>
        <v>8793.9006408000005</v>
      </c>
      <c r="AP24" s="80">
        <f t="shared" si="18"/>
        <v>9015.1308455999988</v>
      </c>
      <c r="AQ24" s="80">
        <f t="shared" si="18"/>
        <v>9346.9761527999981</v>
      </c>
      <c r="AR24" s="80">
        <f t="shared" si="18"/>
        <v>9678.8214599999992</v>
      </c>
      <c r="AS24" s="80">
        <f t="shared" si="18"/>
        <v>9900.0516647999975</v>
      </c>
      <c r="AT24" s="80">
        <f t="shared" si="18"/>
        <v>10121.281869599999</v>
      </c>
      <c r="AU24" s="80">
        <f t="shared" si="18"/>
        <v>10314.858298799998</v>
      </c>
      <c r="AV24" s="80">
        <f t="shared" si="18"/>
        <v>10563.7422792</v>
      </c>
      <c r="AW24" s="80">
        <f t="shared" si="18"/>
        <v>10784.972483999998</v>
      </c>
      <c r="AX24" s="80">
        <f t="shared" si="18"/>
        <v>11172.125342399999</v>
      </c>
      <c r="AY24" s="80">
        <f t="shared" si="18"/>
        <v>11006.202688799998</v>
      </c>
      <c r="AZ24" s="80">
        <f t="shared" si="18"/>
        <v>10563.7422792</v>
      </c>
      <c r="BA24" s="80">
        <f t="shared" si="18"/>
        <v>10231.896971999999</v>
      </c>
      <c r="BB24" s="80">
        <f t="shared" si="18"/>
        <v>10010.6667672</v>
      </c>
      <c r="BC24" s="80">
        <f t="shared" si="18"/>
        <v>9789.4365624000002</v>
      </c>
      <c r="BD24" s="80">
        <f t="shared" si="18"/>
        <v>9595.860133199998</v>
      </c>
      <c r="BE24" s="80">
        <f t="shared" si="18"/>
        <v>9346.9761527999981</v>
      </c>
      <c r="BF24" s="80">
        <f t="shared" si="18"/>
        <v>9125.7459479999998</v>
      </c>
      <c r="BG24" s="80">
        <f t="shared" si="18"/>
        <v>8185.5175775999996</v>
      </c>
      <c r="BH24" s="80">
        <f t="shared" si="18"/>
        <v>7411.2118608000001</v>
      </c>
      <c r="BI24" s="80">
        <f t="shared" si="18"/>
        <v>6526.2910415999995</v>
      </c>
      <c r="BJ24" s="80">
        <f t="shared" si="18"/>
        <v>5724.3315491999992</v>
      </c>
      <c r="BK24" s="80">
        <f t="shared" si="18"/>
        <v>5171.2560371999998</v>
      </c>
      <c r="BL24" s="80">
        <f t="shared" si="18"/>
        <v>4231.0276667999997</v>
      </c>
      <c r="BM24" s="80">
        <f t="shared" si="18"/>
        <v>2958.9539891999993</v>
      </c>
      <c r="BN24" s="80">
        <f t="shared" si="18"/>
        <v>0</v>
      </c>
      <c r="BO24" s="80">
        <f t="shared" si="18"/>
        <v>0</v>
      </c>
      <c r="BP24" s="80">
        <f t="shared" si="18"/>
        <v>0</v>
      </c>
      <c r="BQ24" s="80">
        <f t="shared" si="18"/>
        <v>0</v>
      </c>
    </row>
    <row r="25" spans="1:69" s="72" customFormat="1" ht="13.5" customHeight="1">
      <c r="A25" s="14"/>
      <c r="B25" s="14"/>
      <c r="C25" s="71" t="s">
        <v>53</v>
      </c>
      <c r="F25" s="72">
        <f>H25*J25</f>
        <v>273654.08399999997</v>
      </c>
      <c r="G25" s="72" t="s">
        <v>96</v>
      </c>
      <c r="H25" s="108">
        <f>'A&amp;R'!F39</f>
        <v>57011.267500000002</v>
      </c>
      <c r="I25" s="72" t="s">
        <v>97</v>
      </c>
      <c r="J25" s="324">
        <f>'A&amp;R'!J50</f>
        <v>4.8</v>
      </c>
      <c r="K25" s="72" t="s">
        <v>74</v>
      </c>
      <c r="L25" s="75"/>
      <c r="M25" s="72">
        <f t="shared" si="7"/>
        <v>273654.08399999997</v>
      </c>
      <c r="O25" s="72">
        <f>$F25*O$10</f>
        <v>0</v>
      </c>
      <c r="P25" s="72">
        <f t="shared" ref="P25:BQ25" si="19">$F25*P$10</f>
        <v>0</v>
      </c>
      <c r="Q25" s="72">
        <f t="shared" si="19"/>
        <v>0</v>
      </c>
      <c r="R25" s="72">
        <f t="shared" si="19"/>
        <v>0</v>
      </c>
      <c r="S25" s="72">
        <f t="shared" si="19"/>
        <v>0</v>
      </c>
      <c r="T25" s="72">
        <f t="shared" si="19"/>
        <v>0</v>
      </c>
      <c r="U25" s="72">
        <f t="shared" si="19"/>
        <v>0</v>
      </c>
      <c r="V25" s="72">
        <f t="shared" si="19"/>
        <v>0</v>
      </c>
      <c r="W25" s="72">
        <f t="shared" si="19"/>
        <v>0</v>
      </c>
      <c r="X25" s="72">
        <f t="shared" si="19"/>
        <v>0</v>
      </c>
      <c r="Y25" s="72">
        <f t="shared" si="19"/>
        <v>0</v>
      </c>
      <c r="Z25" s="72">
        <f t="shared" si="19"/>
        <v>0</v>
      </c>
      <c r="AA25" s="72">
        <f t="shared" si="19"/>
        <v>0</v>
      </c>
      <c r="AB25" s="72">
        <f t="shared" si="19"/>
        <v>0</v>
      </c>
      <c r="AC25" s="72">
        <f t="shared" si="19"/>
        <v>0</v>
      </c>
      <c r="AD25" s="72">
        <f t="shared" si="19"/>
        <v>246.28867559999998</v>
      </c>
      <c r="AE25" s="72">
        <f t="shared" si="19"/>
        <v>875.69306879999999</v>
      </c>
      <c r="AF25" s="72">
        <f t="shared" si="19"/>
        <v>2955.4641071999999</v>
      </c>
      <c r="AG25" s="72">
        <f t="shared" si="19"/>
        <v>4241.6383019999994</v>
      </c>
      <c r="AH25" s="72">
        <f t="shared" si="19"/>
        <v>4953.1389203999997</v>
      </c>
      <c r="AI25" s="72">
        <f t="shared" si="19"/>
        <v>5637.2741303999992</v>
      </c>
      <c r="AJ25" s="72">
        <f t="shared" si="19"/>
        <v>6266.6785235999996</v>
      </c>
      <c r="AK25" s="72">
        <f t="shared" si="19"/>
        <v>6896.0829167999991</v>
      </c>
      <c r="AL25" s="72">
        <f t="shared" si="19"/>
        <v>7552.8527183999995</v>
      </c>
      <c r="AM25" s="72">
        <f t="shared" si="19"/>
        <v>8264.3533367999989</v>
      </c>
      <c r="AN25" s="72">
        <f t="shared" si="19"/>
        <v>8483.2766039999988</v>
      </c>
      <c r="AO25" s="72">
        <f t="shared" si="19"/>
        <v>8702.1998712000004</v>
      </c>
      <c r="AP25" s="72">
        <f t="shared" si="19"/>
        <v>8921.1231383999984</v>
      </c>
      <c r="AQ25" s="72">
        <f t="shared" si="19"/>
        <v>9249.5080391999982</v>
      </c>
      <c r="AR25" s="72">
        <f t="shared" si="19"/>
        <v>9577.8929399999997</v>
      </c>
      <c r="AS25" s="72">
        <f t="shared" si="19"/>
        <v>9796.8162071999977</v>
      </c>
      <c r="AT25" s="72">
        <f t="shared" si="19"/>
        <v>10015.739474399999</v>
      </c>
      <c r="AU25" s="72">
        <f t="shared" si="19"/>
        <v>10207.297333199998</v>
      </c>
      <c r="AV25" s="72">
        <f t="shared" si="19"/>
        <v>10453.586008799999</v>
      </c>
      <c r="AW25" s="72">
        <f t="shared" si="19"/>
        <v>10672.509275999999</v>
      </c>
      <c r="AX25" s="72">
        <f t="shared" si="19"/>
        <v>11055.624993599999</v>
      </c>
      <c r="AY25" s="72">
        <f t="shared" si="19"/>
        <v>10891.432543199999</v>
      </c>
      <c r="AZ25" s="72">
        <f t="shared" si="19"/>
        <v>10453.586008799999</v>
      </c>
      <c r="BA25" s="72">
        <f t="shared" si="19"/>
        <v>10125.201107999999</v>
      </c>
      <c r="BB25" s="72">
        <f t="shared" si="19"/>
        <v>9906.2778407999995</v>
      </c>
      <c r="BC25" s="72">
        <f t="shared" si="19"/>
        <v>9687.3545735999996</v>
      </c>
      <c r="BD25" s="72">
        <f t="shared" si="19"/>
        <v>9495.7967147999989</v>
      </c>
      <c r="BE25" s="72">
        <f t="shared" si="19"/>
        <v>9249.5080391999982</v>
      </c>
      <c r="BF25" s="72">
        <f t="shared" si="19"/>
        <v>9030.5847720000002</v>
      </c>
      <c r="BG25" s="72">
        <f t="shared" si="19"/>
        <v>8100.1608864</v>
      </c>
      <c r="BH25" s="72">
        <f t="shared" si="19"/>
        <v>7333.9294511999997</v>
      </c>
      <c r="BI25" s="72">
        <f t="shared" si="19"/>
        <v>6458.2363823999995</v>
      </c>
      <c r="BJ25" s="72">
        <f t="shared" si="19"/>
        <v>5664.6395387999992</v>
      </c>
      <c r="BK25" s="72">
        <f t="shared" si="19"/>
        <v>5117.3313707999996</v>
      </c>
      <c r="BL25" s="72">
        <f t="shared" si="19"/>
        <v>4186.9074851999994</v>
      </c>
      <c r="BM25" s="72">
        <f t="shared" si="19"/>
        <v>2928.0986987999995</v>
      </c>
      <c r="BN25" s="72">
        <f t="shared" si="19"/>
        <v>0</v>
      </c>
      <c r="BO25" s="72">
        <f t="shared" si="19"/>
        <v>0</v>
      </c>
      <c r="BP25" s="72">
        <f t="shared" si="19"/>
        <v>0</v>
      </c>
      <c r="BQ25" s="72">
        <f t="shared" si="19"/>
        <v>0</v>
      </c>
    </row>
    <row r="26" spans="1:69" s="111" customFormat="1" ht="13.5" customHeight="1">
      <c r="A26" s="14"/>
      <c r="B26" s="109"/>
      <c r="C26" s="110" t="s">
        <v>54</v>
      </c>
      <c r="F26" s="111">
        <f t="shared" ref="F26" si="20">H26*J26</f>
        <v>2883.672</v>
      </c>
      <c r="G26" s="111" t="s">
        <v>96</v>
      </c>
      <c r="H26" s="112">
        <f>'A&amp;R'!L39</f>
        <v>600.76499999999999</v>
      </c>
      <c r="I26" s="111" t="s">
        <v>97</v>
      </c>
      <c r="J26" s="325">
        <f>'A&amp;R'!J51</f>
        <v>4.8</v>
      </c>
      <c r="K26" s="111" t="s">
        <v>74</v>
      </c>
      <c r="L26" s="113"/>
      <c r="M26" s="111">
        <f t="shared" si="7"/>
        <v>2883.672</v>
      </c>
      <c r="O26" s="111">
        <f t="shared" ref="O26:BQ26" si="21">$F26*O$10</f>
        <v>0</v>
      </c>
      <c r="P26" s="111">
        <f t="shared" si="21"/>
        <v>0</v>
      </c>
      <c r="Q26" s="111">
        <f t="shared" si="21"/>
        <v>0</v>
      </c>
      <c r="R26" s="111">
        <f t="shared" si="21"/>
        <v>0</v>
      </c>
      <c r="S26" s="111">
        <f t="shared" si="21"/>
        <v>0</v>
      </c>
      <c r="T26" s="111">
        <f t="shared" si="21"/>
        <v>0</v>
      </c>
      <c r="U26" s="111">
        <f t="shared" si="21"/>
        <v>0</v>
      </c>
      <c r="V26" s="111">
        <f t="shared" si="21"/>
        <v>0</v>
      </c>
      <c r="W26" s="111">
        <f t="shared" si="21"/>
        <v>0</v>
      </c>
      <c r="X26" s="111">
        <f t="shared" si="21"/>
        <v>0</v>
      </c>
      <c r="Y26" s="111">
        <f t="shared" si="21"/>
        <v>0</v>
      </c>
      <c r="Z26" s="111">
        <f t="shared" si="21"/>
        <v>0</v>
      </c>
      <c r="AA26" s="111">
        <f t="shared" si="21"/>
        <v>0</v>
      </c>
      <c r="AB26" s="111">
        <f t="shared" si="21"/>
        <v>0</v>
      </c>
      <c r="AC26" s="111">
        <f t="shared" si="21"/>
        <v>0</v>
      </c>
      <c r="AD26" s="111">
        <f t="shared" si="21"/>
        <v>2.5953048000000001</v>
      </c>
      <c r="AE26" s="111">
        <f t="shared" si="21"/>
        <v>9.2277503999999997</v>
      </c>
      <c r="AF26" s="111">
        <f t="shared" si="21"/>
        <v>31.143657600000001</v>
      </c>
      <c r="AG26" s="111">
        <f t="shared" si="21"/>
        <v>44.696916000000002</v>
      </c>
      <c r="AH26" s="111">
        <f t="shared" si="21"/>
        <v>52.194463200000001</v>
      </c>
      <c r="AI26" s="111">
        <f t="shared" si="21"/>
        <v>59.403643200000005</v>
      </c>
      <c r="AJ26" s="111">
        <f t="shared" si="21"/>
        <v>66.036088800000002</v>
      </c>
      <c r="AK26" s="111">
        <f t="shared" si="21"/>
        <v>72.668534399999999</v>
      </c>
      <c r="AL26" s="111">
        <f t="shared" si="21"/>
        <v>79.589347200000006</v>
      </c>
      <c r="AM26" s="111">
        <f t="shared" si="21"/>
        <v>87.086894400000006</v>
      </c>
      <c r="AN26" s="111">
        <f t="shared" si="21"/>
        <v>89.393832000000003</v>
      </c>
      <c r="AO26" s="111">
        <f t="shared" si="21"/>
        <v>91.700769600000001</v>
      </c>
      <c r="AP26" s="111">
        <f t="shared" si="21"/>
        <v>94.007707199999999</v>
      </c>
      <c r="AQ26" s="111">
        <f t="shared" si="21"/>
        <v>97.468113599999995</v>
      </c>
      <c r="AR26" s="111">
        <f t="shared" si="21"/>
        <v>100.92852000000001</v>
      </c>
      <c r="AS26" s="111">
        <f t="shared" si="21"/>
        <v>103.23545759999999</v>
      </c>
      <c r="AT26" s="111">
        <f t="shared" si="21"/>
        <v>105.5423952</v>
      </c>
      <c r="AU26" s="111">
        <f t="shared" si="21"/>
        <v>107.5609656</v>
      </c>
      <c r="AV26" s="111">
        <f t="shared" si="21"/>
        <v>110.1562704</v>
      </c>
      <c r="AW26" s="111">
        <f t="shared" si="21"/>
        <v>112.46320799999999</v>
      </c>
      <c r="AX26" s="111">
        <f t="shared" si="21"/>
        <v>116.5003488</v>
      </c>
      <c r="AY26" s="111">
        <f t="shared" si="21"/>
        <v>114.77014560000001</v>
      </c>
      <c r="AZ26" s="111">
        <f t="shared" si="21"/>
        <v>110.1562704</v>
      </c>
      <c r="BA26" s="111">
        <f t="shared" si="21"/>
        <v>106.695864</v>
      </c>
      <c r="BB26" s="111">
        <f t="shared" si="21"/>
        <v>104.3889264</v>
      </c>
      <c r="BC26" s="111">
        <f t="shared" si="21"/>
        <v>102.0819888</v>
      </c>
      <c r="BD26" s="111">
        <f t="shared" si="21"/>
        <v>100.0634184</v>
      </c>
      <c r="BE26" s="111">
        <f t="shared" si="21"/>
        <v>97.468113599999995</v>
      </c>
      <c r="BF26" s="111">
        <f t="shared" si="21"/>
        <v>95.161176000000012</v>
      </c>
      <c r="BG26" s="111">
        <f t="shared" si="21"/>
        <v>85.3566912</v>
      </c>
      <c r="BH26" s="111">
        <f t="shared" si="21"/>
        <v>77.282409600000008</v>
      </c>
      <c r="BI26" s="111">
        <f t="shared" si="21"/>
        <v>68.054659200000003</v>
      </c>
      <c r="BJ26" s="111">
        <f t="shared" si="21"/>
        <v>59.692010400000001</v>
      </c>
      <c r="BK26" s="111">
        <f t="shared" si="21"/>
        <v>53.924666400000007</v>
      </c>
      <c r="BL26" s="111">
        <f t="shared" si="21"/>
        <v>44.120181599999995</v>
      </c>
      <c r="BM26" s="111">
        <f t="shared" si="21"/>
        <v>30.855290399999998</v>
      </c>
      <c r="BN26" s="111">
        <f t="shared" si="21"/>
        <v>0</v>
      </c>
      <c r="BO26" s="111">
        <f t="shared" si="21"/>
        <v>0</v>
      </c>
      <c r="BP26" s="111">
        <f t="shared" si="21"/>
        <v>0</v>
      </c>
      <c r="BQ26" s="111">
        <f t="shared" si="21"/>
        <v>0</v>
      </c>
    </row>
    <row r="27" spans="1:69" ht="13.5" customHeight="1">
      <c r="B27" s="80" t="s">
        <v>103</v>
      </c>
      <c r="C27" s="80"/>
      <c r="D27" s="80"/>
      <c r="E27" s="80"/>
      <c r="F27" s="80">
        <f ca="1">F28+F32+F53+F57+F61+F65+F69+F75</f>
        <v>15629.695268889802</v>
      </c>
      <c r="G27" s="80"/>
      <c r="H27" s="80"/>
      <c r="I27" s="80"/>
      <c r="J27" s="80"/>
      <c r="K27" s="80"/>
      <c r="L27" s="81" t="b">
        <f ca="1">ABS(F27-M27)&lt;0.001</f>
        <v>1</v>
      </c>
      <c r="M27" s="80">
        <f t="shared" ca="1" si="7"/>
        <v>15629.695268932839</v>
      </c>
      <c r="N27" s="80"/>
      <c r="O27" s="80">
        <f ca="1">O28+O32+O53+O57+O61+O65+O69+O75</f>
        <v>4003.4971067884071</v>
      </c>
      <c r="P27" s="80">
        <f t="shared" ref="P27:BQ27" ca="1" si="22">P28+P32+P53+P57+P61+P65+P69+P75</f>
        <v>0</v>
      </c>
      <c r="Q27" s="80">
        <f t="shared" ca="1" si="22"/>
        <v>0</v>
      </c>
      <c r="R27" s="80">
        <f t="shared" ca="1" si="22"/>
        <v>3936.3033567884072</v>
      </c>
      <c r="S27" s="80">
        <f t="shared" ca="1" si="22"/>
        <v>25</v>
      </c>
      <c r="T27" s="80">
        <f t="shared" ca="1" si="22"/>
        <v>25</v>
      </c>
      <c r="U27" s="80">
        <f t="shared" ca="1" si="22"/>
        <v>25</v>
      </c>
      <c r="V27" s="80">
        <f t="shared" ca="1" si="22"/>
        <v>25</v>
      </c>
      <c r="W27" s="80">
        <f t="shared" ca="1" si="22"/>
        <v>25</v>
      </c>
      <c r="X27" s="80">
        <f t="shared" ca="1" si="22"/>
        <v>25</v>
      </c>
      <c r="Y27" s="80">
        <f t="shared" ca="1" si="22"/>
        <v>25</v>
      </c>
      <c r="Z27" s="80">
        <f t="shared" ca="1" si="22"/>
        <v>25</v>
      </c>
      <c r="AA27" s="80">
        <f t="shared" ca="1" si="22"/>
        <v>25</v>
      </c>
      <c r="AB27" s="80">
        <f t="shared" ca="1" si="22"/>
        <v>25</v>
      </c>
      <c r="AC27" s="80">
        <f t="shared" ca="1" si="22"/>
        <v>3904.3809802694</v>
      </c>
      <c r="AD27" s="80">
        <f t="shared" ca="1" si="22"/>
        <v>1374.0234954484763</v>
      </c>
      <c r="AE27" s="80">
        <f t="shared" ca="1" si="22"/>
        <v>0</v>
      </c>
      <c r="AF27" s="80">
        <f t="shared" ca="1" si="22"/>
        <v>0</v>
      </c>
      <c r="AG27" s="80">
        <f t="shared" ca="1" si="22"/>
        <v>0</v>
      </c>
      <c r="AH27" s="80">
        <f t="shared" ca="1" si="22"/>
        <v>0</v>
      </c>
      <c r="AI27" s="80">
        <f t="shared" ca="1" si="22"/>
        <v>0</v>
      </c>
      <c r="AJ27" s="80">
        <f t="shared" ca="1" si="22"/>
        <v>0</v>
      </c>
      <c r="AK27" s="80">
        <f t="shared" ca="1" si="22"/>
        <v>0</v>
      </c>
      <c r="AL27" s="80">
        <f t="shared" ca="1" si="22"/>
        <v>0</v>
      </c>
      <c r="AM27" s="80">
        <f t="shared" ca="1" si="22"/>
        <v>0</v>
      </c>
      <c r="AN27" s="80">
        <f t="shared" ca="1" si="22"/>
        <v>0</v>
      </c>
      <c r="AO27" s="80">
        <f t="shared" ca="1" si="22"/>
        <v>0</v>
      </c>
      <c r="AP27" s="80">
        <f t="shared" ca="1" si="22"/>
        <v>0</v>
      </c>
      <c r="AQ27" s="80">
        <f t="shared" ca="1" si="22"/>
        <v>0</v>
      </c>
      <c r="AR27" s="80">
        <f t="shared" ca="1" si="22"/>
        <v>0</v>
      </c>
      <c r="AS27" s="80">
        <f t="shared" ca="1" si="22"/>
        <v>0</v>
      </c>
      <c r="AT27" s="80">
        <f t="shared" ca="1" si="22"/>
        <v>0</v>
      </c>
      <c r="AU27" s="80">
        <f t="shared" ca="1" si="22"/>
        <v>0</v>
      </c>
      <c r="AV27" s="80">
        <f t="shared" ca="1" si="22"/>
        <v>0</v>
      </c>
      <c r="AW27" s="80">
        <f t="shared" ca="1" si="22"/>
        <v>0</v>
      </c>
      <c r="AX27" s="80">
        <f t="shared" ca="1" si="22"/>
        <v>0</v>
      </c>
      <c r="AY27" s="80">
        <f t="shared" ca="1" si="22"/>
        <v>0</v>
      </c>
      <c r="AZ27" s="80">
        <f t="shared" ca="1" si="22"/>
        <v>0</v>
      </c>
      <c r="BA27" s="80">
        <f t="shared" ca="1" si="22"/>
        <v>0</v>
      </c>
      <c r="BB27" s="80">
        <f t="shared" ca="1" si="22"/>
        <v>0</v>
      </c>
      <c r="BC27" s="80">
        <f t="shared" ca="1" si="22"/>
        <v>0</v>
      </c>
      <c r="BD27" s="80">
        <f t="shared" ca="1" si="22"/>
        <v>0</v>
      </c>
      <c r="BE27" s="80">
        <f t="shared" ca="1" si="22"/>
        <v>0</v>
      </c>
      <c r="BF27" s="80">
        <f t="shared" ca="1" si="22"/>
        <v>0</v>
      </c>
      <c r="BG27" s="80">
        <f t="shared" ca="1" si="22"/>
        <v>0</v>
      </c>
      <c r="BH27" s="80">
        <f t="shared" ca="1" si="22"/>
        <v>0</v>
      </c>
      <c r="BI27" s="80">
        <f t="shared" ca="1" si="22"/>
        <v>0</v>
      </c>
      <c r="BJ27" s="80">
        <f t="shared" ca="1" si="22"/>
        <v>2161.4903296000002</v>
      </c>
      <c r="BK27" s="80">
        <f t="shared" ca="1" si="22"/>
        <v>0</v>
      </c>
      <c r="BL27" s="80">
        <f t="shared" ca="1" si="22"/>
        <v>0</v>
      </c>
      <c r="BM27" s="80">
        <f t="shared" ca="1" si="22"/>
        <v>0</v>
      </c>
      <c r="BN27" s="80">
        <f t="shared" ca="1" si="22"/>
        <v>0</v>
      </c>
      <c r="BO27" s="80">
        <f t="shared" ca="1" si="22"/>
        <v>0</v>
      </c>
      <c r="BP27" s="80">
        <f t="shared" ca="1" si="22"/>
        <v>0</v>
      </c>
      <c r="BQ27" s="80">
        <f t="shared" ca="1" si="22"/>
        <v>0</v>
      </c>
    </row>
    <row r="28" spans="1:69" s="72" customFormat="1" ht="13.5" customHeight="1">
      <c r="A28" s="14"/>
      <c r="B28" s="14"/>
      <c r="C28" s="71" t="s">
        <v>104</v>
      </c>
      <c r="F28" s="72">
        <f>H28*J28</f>
        <v>8641.8048749999998</v>
      </c>
      <c r="G28" s="72" t="s">
        <v>96</v>
      </c>
      <c r="H28" s="108">
        <f>'A&amp;R'!F30</f>
        <v>57612.032500000001</v>
      </c>
      <c r="I28" s="72" t="s">
        <v>97</v>
      </c>
      <c r="J28" s="324">
        <f>'A&amp;R'!J53</f>
        <v>0.15</v>
      </c>
      <c r="K28" s="72" t="s">
        <v>74</v>
      </c>
      <c r="L28" s="75"/>
      <c r="M28" s="72">
        <f t="shared" si="7"/>
        <v>8641.8048749999998</v>
      </c>
      <c r="O28" s="72">
        <f>SUM(O29:O31)</f>
        <v>2592.5414624999999</v>
      </c>
      <c r="P28" s="72">
        <f t="shared" ref="P28:BQ28" si="23">SUM(P29:P31)</f>
        <v>0</v>
      </c>
      <c r="Q28" s="72">
        <f t="shared" si="23"/>
        <v>0</v>
      </c>
      <c r="R28" s="72">
        <f t="shared" si="23"/>
        <v>2592.5414624999999</v>
      </c>
      <c r="S28" s="72">
        <f t="shared" si="23"/>
        <v>0</v>
      </c>
      <c r="T28" s="72">
        <f t="shared" si="23"/>
        <v>0</v>
      </c>
      <c r="U28" s="72">
        <f t="shared" si="23"/>
        <v>0</v>
      </c>
      <c r="V28" s="72">
        <f t="shared" si="23"/>
        <v>0</v>
      </c>
      <c r="W28" s="72">
        <f t="shared" si="23"/>
        <v>0</v>
      </c>
      <c r="X28" s="72">
        <f t="shared" si="23"/>
        <v>0</v>
      </c>
      <c r="Y28" s="72">
        <f t="shared" si="23"/>
        <v>0</v>
      </c>
      <c r="Z28" s="72">
        <f t="shared" si="23"/>
        <v>0</v>
      </c>
      <c r="AA28" s="72">
        <f t="shared" si="23"/>
        <v>0</v>
      </c>
      <c r="AB28" s="72">
        <f t="shared" si="23"/>
        <v>0</v>
      </c>
      <c r="AC28" s="72">
        <f t="shared" si="23"/>
        <v>3456.7219500000001</v>
      </c>
      <c r="AD28" s="72">
        <f t="shared" si="23"/>
        <v>0</v>
      </c>
      <c r="AE28" s="72">
        <f t="shared" si="23"/>
        <v>0</v>
      </c>
      <c r="AF28" s="72">
        <f t="shared" si="23"/>
        <v>0</v>
      </c>
      <c r="AG28" s="72">
        <f t="shared" si="23"/>
        <v>0</v>
      </c>
      <c r="AH28" s="72">
        <f t="shared" si="23"/>
        <v>0</v>
      </c>
      <c r="AI28" s="72">
        <f t="shared" si="23"/>
        <v>0</v>
      </c>
      <c r="AJ28" s="72">
        <f t="shared" si="23"/>
        <v>0</v>
      </c>
      <c r="AK28" s="72">
        <f t="shared" si="23"/>
        <v>0</v>
      </c>
      <c r="AL28" s="72">
        <f t="shared" si="23"/>
        <v>0</v>
      </c>
      <c r="AM28" s="72">
        <f t="shared" si="23"/>
        <v>0</v>
      </c>
      <c r="AN28" s="72">
        <f t="shared" si="23"/>
        <v>0</v>
      </c>
      <c r="AO28" s="72">
        <f t="shared" si="23"/>
        <v>0</v>
      </c>
      <c r="AP28" s="72">
        <f t="shared" si="23"/>
        <v>0</v>
      </c>
      <c r="AQ28" s="72">
        <f t="shared" si="23"/>
        <v>0</v>
      </c>
      <c r="AR28" s="72">
        <f t="shared" si="23"/>
        <v>0</v>
      </c>
      <c r="AS28" s="72">
        <f t="shared" si="23"/>
        <v>0</v>
      </c>
      <c r="AT28" s="72">
        <f t="shared" si="23"/>
        <v>0</v>
      </c>
      <c r="AU28" s="72">
        <f t="shared" si="23"/>
        <v>0</v>
      </c>
      <c r="AV28" s="72">
        <f t="shared" si="23"/>
        <v>0</v>
      </c>
      <c r="AW28" s="72">
        <f t="shared" si="23"/>
        <v>0</v>
      </c>
      <c r="AX28" s="72">
        <f t="shared" si="23"/>
        <v>0</v>
      </c>
      <c r="AY28" s="72">
        <f t="shared" si="23"/>
        <v>0</v>
      </c>
      <c r="AZ28" s="72">
        <f t="shared" si="23"/>
        <v>0</v>
      </c>
      <c r="BA28" s="72">
        <f t="shared" si="23"/>
        <v>0</v>
      </c>
      <c r="BB28" s="72">
        <f t="shared" si="23"/>
        <v>0</v>
      </c>
      <c r="BC28" s="72">
        <f t="shared" si="23"/>
        <v>0</v>
      </c>
      <c r="BD28" s="72">
        <f t="shared" si="23"/>
        <v>0</v>
      </c>
      <c r="BE28" s="72">
        <f t="shared" si="23"/>
        <v>0</v>
      </c>
      <c r="BF28" s="72">
        <f t="shared" si="23"/>
        <v>0</v>
      </c>
      <c r="BG28" s="72">
        <f t="shared" si="23"/>
        <v>0</v>
      </c>
      <c r="BH28" s="72">
        <f t="shared" si="23"/>
        <v>0</v>
      </c>
      <c r="BI28" s="72">
        <f t="shared" si="23"/>
        <v>0</v>
      </c>
      <c r="BJ28" s="72">
        <f t="shared" si="23"/>
        <v>0</v>
      </c>
      <c r="BK28" s="72">
        <f t="shared" si="23"/>
        <v>0</v>
      </c>
      <c r="BL28" s="72">
        <f t="shared" si="23"/>
        <v>0</v>
      </c>
      <c r="BM28" s="72">
        <f t="shared" si="23"/>
        <v>0</v>
      </c>
      <c r="BN28" s="72">
        <f t="shared" si="23"/>
        <v>0</v>
      </c>
      <c r="BO28" s="72">
        <f t="shared" si="23"/>
        <v>0</v>
      </c>
      <c r="BP28" s="72">
        <f t="shared" si="23"/>
        <v>0</v>
      </c>
      <c r="BQ28" s="72">
        <f t="shared" si="23"/>
        <v>0</v>
      </c>
    </row>
    <row r="29" spans="1:69" s="22" customFormat="1" ht="13.5" customHeight="1">
      <c r="A29" s="1"/>
      <c r="B29" s="1"/>
      <c r="C29" s="31"/>
      <c r="D29" s="30" t="s">
        <v>66</v>
      </c>
      <c r="F29" s="22">
        <f>$F$28*G29</f>
        <v>2592.5414624999999</v>
      </c>
      <c r="G29" s="105">
        <v>0.3</v>
      </c>
      <c r="H29" s="39">
        <f>Est</f>
        <v>44377</v>
      </c>
      <c r="L29" s="43"/>
      <c r="M29" s="22">
        <f t="shared" si="7"/>
        <v>2592.5414624999999</v>
      </c>
      <c r="O29" s="22">
        <f>(O$11=$H29)*$F29</f>
        <v>2592.5414624999999</v>
      </c>
      <c r="P29" s="22">
        <f t="shared" ref="P29:BQ31" si="24">(P$11=$H29)*$F29</f>
        <v>0</v>
      </c>
      <c r="Q29" s="22">
        <f t="shared" si="24"/>
        <v>0</v>
      </c>
      <c r="R29" s="22">
        <f t="shared" si="24"/>
        <v>0</v>
      </c>
      <c r="S29" s="22">
        <f t="shared" si="24"/>
        <v>0</v>
      </c>
      <c r="T29" s="22">
        <f t="shared" si="24"/>
        <v>0</v>
      </c>
      <c r="U29" s="22">
        <f t="shared" si="24"/>
        <v>0</v>
      </c>
      <c r="V29" s="22">
        <f t="shared" si="24"/>
        <v>0</v>
      </c>
      <c r="W29" s="22">
        <f t="shared" si="24"/>
        <v>0</v>
      </c>
      <c r="X29" s="22">
        <f t="shared" si="24"/>
        <v>0</v>
      </c>
      <c r="Y29" s="22">
        <f t="shared" si="24"/>
        <v>0</v>
      </c>
      <c r="Z29" s="22">
        <f t="shared" si="24"/>
        <v>0</v>
      </c>
      <c r="AA29" s="22">
        <f t="shared" si="24"/>
        <v>0</v>
      </c>
      <c r="AB29" s="22">
        <f t="shared" si="24"/>
        <v>0</v>
      </c>
      <c r="AC29" s="22">
        <f t="shared" si="24"/>
        <v>0</v>
      </c>
      <c r="AD29" s="22">
        <f t="shared" si="24"/>
        <v>0</v>
      </c>
      <c r="AE29" s="22">
        <f t="shared" si="24"/>
        <v>0</v>
      </c>
      <c r="AF29" s="22">
        <f t="shared" si="24"/>
        <v>0</v>
      </c>
      <c r="AG29" s="22">
        <f t="shared" si="24"/>
        <v>0</v>
      </c>
      <c r="AH29" s="22">
        <f t="shared" si="24"/>
        <v>0</v>
      </c>
      <c r="AI29" s="22">
        <f t="shared" si="24"/>
        <v>0</v>
      </c>
      <c r="AJ29" s="22">
        <f t="shared" si="24"/>
        <v>0</v>
      </c>
      <c r="AK29" s="22">
        <f t="shared" si="24"/>
        <v>0</v>
      </c>
      <c r="AL29" s="22">
        <f t="shared" si="24"/>
        <v>0</v>
      </c>
      <c r="AM29" s="22">
        <f t="shared" si="24"/>
        <v>0</v>
      </c>
      <c r="AN29" s="22">
        <f t="shared" si="24"/>
        <v>0</v>
      </c>
      <c r="AO29" s="22">
        <f t="shared" si="24"/>
        <v>0</v>
      </c>
      <c r="AP29" s="22">
        <f t="shared" si="24"/>
        <v>0</v>
      </c>
      <c r="AQ29" s="22">
        <f t="shared" si="24"/>
        <v>0</v>
      </c>
      <c r="AR29" s="22">
        <f t="shared" si="24"/>
        <v>0</v>
      </c>
      <c r="AS29" s="22">
        <f t="shared" si="24"/>
        <v>0</v>
      </c>
      <c r="AT29" s="22">
        <f t="shared" si="24"/>
        <v>0</v>
      </c>
      <c r="AU29" s="22">
        <f t="shared" si="24"/>
        <v>0</v>
      </c>
      <c r="AV29" s="22">
        <f t="shared" si="24"/>
        <v>0</v>
      </c>
      <c r="AW29" s="22">
        <f t="shared" si="24"/>
        <v>0</v>
      </c>
      <c r="AX29" s="22">
        <f t="shared" si="24"/>
        <v>0</v>
      </c>
      <c r="AY29" s="22">
        <f t="shared" si="24"/>
        <v>0</v>
      </c>
      <c r="AZ29" s="22">
        <f t="shared" si="24"/>
        <v>0</v>
      </c>
      <c r="BA29" s="22">
        <f t="shared" si="24"/>
        <v>0</v>
      </c>
      <c r="BB29" s="22">
        <f t="shared" si="24"/>
        <v>0</v>
      </c>
      <c r="BC29" s="22">
        <f t="shared" si="24"/>
        <v>0</v>
      </c>
      <c r="BD29" s="22">
        <f t="shared" si="24"/>
        <v>0</v>
      </c>
      <c r="BE29" s="22">
        <f t="shared" si="24"/>
        <v>0</v>
      </c>
      <c r="BF29" s="22">
        <f t="shared" si="24"/>
        <v>0</v>
      </c>
      <c r="BG29" s="22">
        <f t="shared" si="24"/>
        <v>0</v>
      </c>
      <c r="BH29" s="22">
        <f t="shared" si="24"/>
        <v>0</v>
      </c>
      <c r="BI29" s="22">
        <f t="shared" si="24"/>
        <v>0</v>
      </c>
      <c r="BJ29" s="22">
        <f t="shared" si="24"/>
        <v>0</v>
      </c>
      <c r="BK29" s="22">
        <f t="shared" si="24"/>
        <v>0</v>
      </c>
      <c r="BL29" s="22">
        <f t="shared" si="24"/>
        <v>0</v>
      </c>
      <c r="BM29" s="22">
        <f t="shared" si="24"/>
        <v>0</v>
      </c>
      <c r="BN29" s="22">
        <f t="shared" si="24"/>
        <v>0</v>
      </c>
      <c r="BO29" s="22">
        <f t="shared" si="24"/>
        <v>0</v>
      </c>
      <c r="BP29" s="22">
        <f t="shared" si="24"/>
        <v>0</v>
      </c>
      <c r="BQ29" s="22">
        <f t="shared" si="24"/>
        <v>0</v>
      </c>
    </row>
    <row r="30" spans="1:69" s="32" customFormat="1" ht="13.5" customHeight="1">
      <c r="A30" s="1"/>
      <c r="B30" s="1"/>
      <c r="C30" s="31"/>
      <c r="D30" s="31" t="s">
        <v>67</v>
      </c>
      <c r="F30" s="32">
        <f t="shared" ref="F30:F31" si="25">$F$28*G30</f>
        <v>2592.5414624999999</v>
      </c>
      <c r="G30" s="106">
        <v>0.3</v>
      </c>
      <c r="H30" s="40">
        <f>'A&amp;R'!D15</f>
        <v>44469</v>
      </c>
      <c r="L30" s="42"/>
      <c r="M30" s="32">
        <f t="shared" si="7"/>
        <v>2592.5414624999999</v>
      </c>
      <c r="O30" s="32">
        <f t="shared" ref="O30:AD31" si="26">(O$11=$H30)*$F30</f>
        <v>0</v>
      </c>
      <c r="P30" s="32">
        <f t="shared" si="26"/>
        <v>0</v>
      </c>
      <c r="Q30" s="32">
        <f t="shared" si="26"/>
        <v>0</v>
      </c>
      <c r="R30" s="32">
        <f t="shared" si="26"/>
        <v>2592.5414624999999</v>
      </c>
      <c r="S30" s="32">
        <f t="shared" si="26"/>
        <v>0</v>
      </c>
      <c r="T30" s="32">
        <f t="shared" si="26"/>
        <v>0</v>
      </c>
      <c r="U30" s="32">
        <f t="shared" si="26"/>
        <v>0</v>
      </c>
      <c r="V30" s="32">
        <f t="shared" si="26"/>
        <v>0</v>
      </c>
      <c r="W30" s="32">
        <f t="shared" si="26"/>
        <v>0</v>
      </c>
      <c r="X30" s="32">
        <f t="shared" si="26"/>
        <v>0</v>
      </c>
      <c r="Y30" s="32">
        <f t="shared" si="26"/>
        <v>0</v>
      </c>
      <c r="Z30" s="32">
        <f t="shared" si="26"/>
        <v>0</v>
      </c>
      <c r="AA30" s="32">
        <f t="shared" si="26"/>
        <v>0</v>
      </c>
      <c r="AB30" s="32">
        <f t="shared" si="26"/>
        <v>0</v>
      </c>
      <c r="AC30" s="32">
        <f t="shared" si="26"/>
        <v>0</v>
      </c>
      <c r="AD30" s="32">
        <f t="shared" si="26"/>
        <v>0</v>
      </c>
      <c r="AE30" s="32">
        <f t="shared" si="24"/>
        <v>0</v>
      </c>
      <c r="AF30" s="32">
        <f t="shared" si="24"/>
        <v>0</v>
      </c>
      <c r="AG30" s="32">
        <f t="shared" si="24"/>
        <v>0</v>
      </c>
      <c r="AH30" s="32">
        <f t="shared" si="24"/>
        <v>0</v>
      </c>
      <c r="AI30" s="32">
        <f t="shared" si="24"/>
        <v>0</v>
      </c>
      <c r="AJ30" s="32">
        <f t="shared" si="24"/>
        <v>0</v>
      </c>
      <c r="AK30" s="32">
        <f t="shared" si="24"/>
        <v>0</v>
      </c>
      <c r="AL30" s="32">
        <f t="shared" si="24"/>
        <v>0</v>
      </c>
      <c r="AM30" s="32">
        <f t="shared" si="24"/>
        <v>0</v>
      </c>
      <c r="AN30" s="32">
        <f t="shared" si="24"/>
        <v>0</v>
      </c>
      <c r="AO30" s="32">
        <f t="shared" si="24"/>
        <v>0</v>
      </c>
      <c r="AP30" s="32">
        <f t="shared" si="24"/>
        <v>0</v>
      </c>
      <c r="AQ30" s="32">
        <f t="shared" si="24"/>
        <v>0</v>
      </c>
      <c r="AR30" s="32">
        <f t="shared" si="24"/>
        <v>0</v>
      </c>
      <c r="AS30" s="32">
        <f t="shared" si="24"/>
        <v>0</v>
      </c>
      <c r="AT30" s="32">
        <f t="shared" si="24"/>
        <v>0</v>
      </c>
      <c r="AU30" s="32">
        <f t="shared" si="24"/>
        <v>0</v>
      </c>
      <c r="AV30" s="32">
        <f t="shared" si="24"/>
        <v>0</v>
      </c>
      <c r="AW30" s="32">
        <f t="shared" si="24"/>
        <v>0</v>
      </c>
      <c r="AX30" s="32">
        <f t="shared" si="24"/>
        <v>0</v>
      </c>
      <c r="AY30" s="32">
        <f t="shared" si="24"/>
        <v>0</v>
      </c>
      <c r="AZ30" s="32">
        <f t="shared" si="24"/>
        <v>0</v>
      </c>
      <c r="BA30" s="32">
        <f t="shared" si="24"/>
        <v>0</v>
      </c>
      <c r="BB30" s="32">
        <f t="shared" si="24"/>
        <v>0</v>
      </c>
      <c r="BC30" s="32">
        <f t="shared" si="24"/>
        <v>0</v>
      </c>
      <c r="BD30" s="32">
        <f t="shared" si="24"/>
        <v>0</v>
      </c>
      <c r="BE30" s="32">
        <f t="shared" si="24"/>
        <v>0</v>
      </c>
      <c r="BF30" s="32">
        <f t="shared" si="24"/>
        <v>0</v>
      </c>
      <c r="BG30" s="32">
        <f t="shared" si="24"/>
        <v>0</v>
      </c>
      <c r="BH30" s="32">
        <f t="shared" si="24"/>
        <v>0</v>
      </c>
      <c r="BI30" s="32">
        <f t="shared" si="24"/>
        <v>0</v>
      </c>
      <c r="BJ30" s="32">
        <f t="shared" si="24"/>
        <v>0</v>
      </c>
      <c r="BK30" s="32">
        <f t="shared" si="24"/>
        <v>0</v>
      </c>
      <c r="BL30" s="32">
        <f t="shared" si="24"/>
        <v>0</v>
      </c>
      <c r="BM30" s="32">
        <f t="shared" si="24"/>
        <v>0</v>
      </c>
      <c r="BN30" s="32">
        <f t="shared" si="24"/>
        <v>0</v>
      </c>
      <c r="BO30" s="32">
        <f t="shared" si="24"/>
        <v>0</v>
      </c>
      <c r="BP30" s="32">
        <f t="shared" si="24"/>
        <v>0</v>
      </c>
      <c r="BQ30" s="32">
        <f t="shared" si="24"/>
        <v>0</v>
      </c>
    </row>
    <row r="31" spans="1:69" s="24" customFormat="1" ht="13.5" customHeight="1">
      <c r="A31" s="1"/>
      <c r="B31" s="1"/>
      <c r="C31" s="54"/>
      <c r="D31" s="33" t="s">
        <v>68</v>
      </c>
      <c r="F31" s="24">
        <f t="shared" si="25"/>
        <v>3456.7219500000001</v>
      </c>
      <c r="G31" s="107">
        <v>0.4</v>
      </c>
      <c r="H31" s="41">
        <f>'A&amp;R'!D16</f>
        <v>44804</v>
      </c>
      <c r="L31" s="44"/>
      <c r="M31" s="24">
        <f t="shared" si="7"/>
        <v>3456.7219500000001</v>
      </c>
      <c r="O31" s="24">
        <f t="shared" si="26"/>
        <v>0</v>
      </c>
      <c r="P31" s="24">
        <f t="shared" si="24"/>
        <v>0</v>
      </c>
      <c r="Q31" s="24">
        <f t="shared" si="24"/>
        <v>0</v>
      </c>
      <c r="R31" s="24">
        <f t="shared" si="24"/>
        <v>0</v>
      </c>
      <c r="S31" s="24">
        <f t="shared" si="24"/>
        <v>0</v>
      </c>
      <c r="T31" s="24">
        <f t="shared" si="24"/>
        <v>0</v>
      </c>
      <c r="U31" s="24">
        <f t="shared" si="24"/>
        <v>0</v>
      </c>
      <c r="V31" s="24">
        <f t="shared" si="24"/>
        <v>0</v>
      </c>
      <c r="W31" s="24">
        <f t="shared" si="24"/>
        <v>0</v>
      </c>
      <c r="X31" s="24">
        <f t="shared" si="24"/>
        <v>0</v>
      </c>
      <c r="Y31" s="24">
        <f t="shared" si="24"/>
        <v>0</v>
      </c>
      <c r="Z31" s="24">
        <f t="shared" si="24"/>
        <v>0</v>
      </c>
      <c r="AA31" s="24">
        <f t="shared" si="24"/>
        <v>0</v>
      </c>
      <c r="AB31" s="24">
        <f t="shared" si="24"/>
        <v>0</v>
      </c>
      <c r="AC31" s="24">
        <f t="shared" si="24"/>
        <v>3456.7219500000001</v>
      </c>
      <c r="AD31" s="24">
        <f t="shared" si="24"/>
        <v>0</v>
      </c>
      <c r="AE31" s="24">
        <f t="shared" si="24"/>
        <v>0</v>
      </c>
      <c r="AF31" s="24">
        <f t="shared" si="24"/>
        <v>0</v>
      </c>
      <c r="AG31" s="24">
        <f t="shared" si="24"/>
        <v>0</v>
      </c>
      <c r="AH31" s="24">
        <f t="shared" si="24"/>
        <v>0</v>
      </c>
      <c r="AI31" s="24">
        <f t="shared" si="24"/>
        <v>0</v>
      </c>
      <c r="AJ31" s="24">
        <f t="shared" si="24"/>
        <v>0</v>
      </c>
      <c r="AK31" s="24">
        <f t="shared" si="24"/>
        <v>0</v>
      </c>
      <c r="AL31" s="24">
        <f t="shared" si="24"/>
        <v>0</v>
      </c>
      <c r="AM31" s="24">
        <f t="shared" si="24"/>
        <v>0</v>
      </c>
      <c r="AN31" s="24">
        <f t="shared" si="24"/>
        <v>0</v>
      </c>
      <c r="AO31" s="24">
        <f t="shared" si="24"/>
        <v>0</v>
      </c>
      <c r="AP31" s="24">
        <f t="shared" si="24"/>
        <v>0</v>
      </c>
      <c r="AQ31" s="24">
        <f t="shared" si="24"/>
        <v>0</v>
      </c>
      <c r="AR31" s="24">
        <f t="shared" si="24"/>
        <v>0</v>
      </c>
      <c r="AS31" s="24">
        <f t="shared" si="24"/>
        <v>0</v>
      </c>
      <c r="AT31" s="24">
        <f t="shared" si="24"/>
        <v>0</v>
      </c>
      <c r="AU31" s="24">
        <f t="shared" si="24"/>
        <v>0</v>
      </c>
      <c r="AV31" s="24">
        <f t="shared" si="24"/>
        <v>0</v>
      </c>
      <c r="AW31" s="24">
        <f t="shared" si="24"/>
        <v>0</v>
      </c>
      <c r="AX31" s="24">
        <f t="shared" si="24"/>
        <v>0</v>
      </c>
      <c r="AY31" s="24">
        <f t="shared" si="24"/>
        <v>0</v>
      </c>
      <c r="AZ31" s="24">
        <f t="shared" si="24"/>
        <v>0</v>
      </c>
      <c r="BA31" s="24">
        <f t="shared" si="24"/>
        <v>0</v>
      </c>
      <c r="BB31" s="24">
        <f t="shared" si="24"/>
        <v>0</v>
      </c>
      <c r="BC31" s="24">
        <f t="shared" si="24"/>
        <v>0</v>
      </c>
      <c r="BD31" s="24">
        <f t="shared" si="24"/>
        <v>0</v>
      </c>
      <c r="BE31" s="24">
        <f t="shared" si="24"/>
        <v>0</v>
      </c>
      <c r="BF31" s="24">
        <f t="shared" si="24"/>
        <v>0</v>
      </c>
      <c r="BG31" s="24">
        <f t="shared" si="24"/>
        <v>0</v>
      </c>
      <c r="BH31" s="24">
        <f t="shared" si="24"/>
        <v>0</v>
      </c>
      <c r="BI31" s="24">
        <f t="shared" si="24"/>
        <v>0</v>
      </c>
      <c r="BJ31" s="24">
        <f t="shared" si="24"/>
        <v>0</v>
      </c>
      <c r="BK31" s="24">
        <f t="shared" si="24"/>
        <v>0</v>
      </c>
      <c r="BL31" s="24">
        <f t="shared" si="24"/>
        <v>0</v>
      </c>
      <c r="BM31" s="24">
        <f t="shared" si="24"/>
        <v>0</v>
      </c>
      <c r="BN31" s="24">
        <f t="shared" si="24"/>
        <v>0</v>
      </c>
      <c r="BO31" s="24">
        <f t="shared" si="24"/>
        <v>0</v>
      </c>
      <c r="BP31" s="24">
        <f t="shared" si="24"/>
        <v>0</v>
      </c>
      <c r="BQ31" s="24">
        <f t="shared" si="24"/>
        <v>0</v>
      </c>
    </row>
    <row r="32" spans="1:69" s="77" customFormat="1" ht="13.5" customHeight="1">
      <c r="A32" s="14"/>
      <c r="B32" s="14"/>
      <c r="C32" s="76" t="s">
        <v>105</v>
      </c>
      <c r="F32" s="77">
        <f>F33+F37+F41+F45+F49</f>
        <v>1056.6475756735001</v>
      </c>
      <c r="L32" s="48"/>
      <c r="M32" s="77">
        <f t="shared" si="7"/>
        <v>1056.6475756734999</v>
      </c>
      <c r="O32" s="77">
        <f>O33+O37+O41+O45+O49</f>
        <v>316.99427270205001</v>
      </c>
      <c r="P32" s="77">
        <f t="shared" ref="P32:BQ32" si="27">P33+P37+P41+P45+P49</f>
        <v>0</v>
      </c>
      <c r="Q32" s="77">
        <f t="shared" si="27"/>
        <v>0</v>
      </c>
      <c r="R32" s="77">
        <f t="shared" si="27"/>
        <v>316.99427270205001</v>
      </c>
      <c r="S32" s="77">
        <f t="shared" si="27"/>
        <v>0</v>
      </c>
      <c r="T32" s="77">
        <f t="shared" si="27"/>
        <v>0</v>
      </c>
      <c r="U32" s="77">
        <f t="shared" si="27"/>
        <v>0</v>
      </c>
      <c r="V32" s="77">
        <f t="shared" si="27"/>
        <v>0</v>
      </c>
      <c r="W32" s="77">
        <f t="shared" si="27"/>
        <v>0</v>
      </c>
      <c r="X32" s="77">
        <f t="shared" si="27"/>
        <v>0</v>
      </c>
      <c r="Y32" s="77">
        <f t="shared" si="27"/>
        <v>0</v>
      </c>
      <c r="Z32" s="77">
        <f t="shared" si="27"/>
        <v>0</v>
      </c>
      <c r="AA32" s="77">
        <f t="shared" si="27"/>
        <v>0</v>
      </c>
      <c r="AB32" s="77">
        <f t="shared" si="27"/>
        <v>0</v>
      </c>
      <c r="AC32" s="77">
        <f t="shared" si="27"/>
        <v>422.65903026939998</v>
      </c>
      <c r="AD32" s="77">
        <f t="shared" si="27"/>
        <v>0</v>
      </c>
      <c r="AE32" s="77">
        <f t="shared" si="27"/>
        <v>0</v>
      </c>
      <c r="AF32" s="77">
        <f t="shared" si="27"/>
        <v>0</v>
      </c>
      <c r="AG32" s="77">
        <f t="shared" si="27"/>
        <v>0</v>
      </c>
      <c r="AH32" s="77">
        <f t="shared" si="27"/>
        <v>0</v>
      </c>
      <c r="AI32" s="77">
        <f t="shared" si="27"/>
        <v>0</v>
      </c>
      <c r="AJ32" s="77">
        <f t="shared" si="27"/>
        <v>0</v>
      </c>
      <c r="AK32" s="77">
        <f t="shared" si="27"/>
        <v>0</v>
      </c>
      <c r="AL32" s="77">
        <f t="shared" si="27"/>
        <v>0</v>
      </c>
      <c r="AM32" s="77">
        <f t="shared" si="27"/>
        <v>0</v>
      </c>
      <c r="AN32" s="77">
        <f t="shared" si="27"/>
        <v>0</v>
      </c>
      <c r="AO32" s="77">
        <f t="shared" si="27"/>
        <v>0</v>
      </c>
      <c r="AP32" s="77">
        <f t="shared" si="27"/>
        <v>0</v>
      </c>
      <c r="AQ32" s="77">
        <f t="shared" si="27"/>
        <v>0</v>
      </c>
      <c r="AR32" s="77">
        <f t="shared" si="27"/>
        <v>0</v>
      </c>
      <c r="AS32" s="77">
        <f t="shared" si="27"/>
        <v>0</v>
      </c>
      <c r="AT32" s="77">
        <f t="shared" si="27"/>
        <v>0</v>
      </c>
      <c r="AU32" s="77">
        <f t="shared" si="27"/>
        <v>0</v>
      </c>
      <c r="AV32" s="77">
        <f t="shared" si="27"/>
        <v>0</v>
      </c>
      <c r="AW32" s="77">
        <f t="shared" si="27"/>
        <v>0</v>
      </c>
      <c r="AX32" s="77">
        <f t="shared" si="27"/>
        <v>0</v>
      </c>
      <c r="AY32" s="77">
        <f t="shared" si="27"/>
        <v>0</v>
      </c>
      <c r="AZ32" s="77">
        <f t="shared" si="27"/>
        <v>0</v>
      </c>
      <c r="BA32" s="77">
        <f t="shared" si="27"/>
        <v>0</v>
      </c>
      <c r="BB32" s="77">
        <f t="shared" si="27"/>
        <v>0</v>
      </c>
      <c r="BC32" s="77">
        <f t="shared" si="27"/>
        <v>0</v>
      </c>
      <c r="BD32" s="77">
        <f t="shared" si="27"/>
        <v>0</v>
      </c>
      <c r="BE32" s="77">
        <f t="shared" si="27"/>
        <v>0</v>
      </c>
      <c r="BF32" s="77">
        <f t="shared" si="27"/>
        <v>0</v>
      </c>
      <c r="BG32" s="77">
        <f t="shared" si="27"/>
        <v>0</v>
      </c>
      <c r="BH32" s="77">
        <f t="shared" si="27"/>
        <v>0</v>
      </c>
      <c r="BI32" s="77">
        <f t="shared" si="27"/>
        <v>0</v>
      </c>
      <c r="BJ32" s="77">
        <f t="shared" si="27"/>
        <v>0</v>
      </c>
      <c r="BK32" s="77">
        <f t="shared" si="27"/>
        <v>0</v>
      </c>
      <c r="BL32" s="77">
        <f t="shared" si="27"/>
        <v>0</v>
      </c>
      <c r="BM32" s="77">
        <f t="shared" si="27"/>
        <v>0</v>
      </c>
      <c r="BN32" s="77">
        <f t="shared" si="27"/>
        <v>0</v>
      </c>
      <c r="BO32" s="77">
        <f t="shared" si="27"/>
        <v>0</v>
      </c>
      <c r="BP32" s="77">
        <f t="shared" si="27"/>
        <v>0</v>
      </c>
      <c r="BQ32" s="77">
        <f t="shared" si="27"/>
        <v>0</v>
      </c>
    </row>
    <row r="33" spans="1:69" s="102" customFormat="1" ht="13.5" customHeight="1">
      <c r="A33" s="1"/>
      <c r="B33" s="1"/>
      <c r="C33" s="31"/>
      <c r="D33" s="101" t="s">
        <v>108</v>
      </c>
      <c r="F33" s="102">
        <f>J201</f>
        <v>654.44167800000002</v>
      </c>
      <c r="G33" s="102" t="s">
        <v>106</v>
      </c>
      <c r="L33" s="103"/>
      <c r="M33" s="102">
        <f t="shared" si="7"/>
        <v>654.44167800000002</v>
      </c>
      <c r="O33" s="102">
        <f>SUM(O34:O36)</f>
        <v>196.33250340000001</v>
      </c>
      <c r="P33" s="102">
        <f t="shared" ref="P33:BQ33" si="28">SUM(P34:P36)</f>
        <v>0</v>
      </c>
      <c r="Q33" s="102">
        <f t="shared" si="28"/>
        <v>0</v>
      </c>
      <c r="R33" s="102">
        <f t="shared" si="28"/>
        <v>196.33250340000001</v>
      </c>
      <c r="S33" s="102">
        <f t="shared" si="28"/>
        <v>0</v>
      </c>
      <c r="T33" s="102">
        <f t="shared" si="28"/>
        <v>0</v>
      </c>
      <c r="U33" s="102">
        <f t="shared" si="28"/>
        <v>0</v>
      </c>
      <c r="V33" s="102">
        <f t="shared" si="28"/>
        <v>0</v>
      </c>
      <c r="W33" s="102">
        <f t="shared" si="28"/>
        <v>0</v>
      </c>
      <c r="X33" s="102">
        <f t="shared" si="28"/>
        <v>0</v>
      </c>
      <c r="Y33" s="102">
        <f t="shared" si="28"/>
        <v>0</v>
      </c>
      <c r="Z33" s="102">
        <f t="shared" si="28"/>
        <v>0</v>
      </c>
      <c r="AA33" s="102">
        <f t="shared" si="28"/>
        <v>0</v>
      </c>
      <c r="AB33" s="102">
        <f t="shared" si="28"/>
        <v>0</v>
      </c>
      <c r="AC33" s="102">
        <f t="shared" si="28"/>
        <v>261.77667120000001</v>
      </c>
      <c r="AD33" s="102">
        <f t="shared" si="28"/>
        <v>0</v>
      </c>
      <c r="AE33" s="102">
        <f t="shared" si="28"/>
        <v>0</v>
      </c>
      <c r="AF33" s="102">
        <f t="shared" si="28"/>
        <v>0</v>
      </c>
      <c r="AG33" s="102">
        <f t="shared" si="28"/>
        <v>0</v>
      </c>
      <c r="AH33" s="102">
        <f t="shared" si="28"/>
        <v>0</v>
      </c>
      <c r="AI33" s="102">
        <f t="shared" si="28"/>
        <v>0</v>
      </c>
      <c r="AJ33" s="102">
        <f t="shared" si="28"/>
        <v>0</v>
      </c>
      <c r="AK33" s="102">
        <f t="shared" si="28"/>
        <v>0</v>
      </c>
      <c r="AL33" s="102">
        <f t="shared" si="28"/>
        <v>0</v>
      </c>
      <c r="AM33" s="102">
        <f t="shared" si="28"/>
        <v>0</v>
      </c>
      <c r="AN33" s="102">
        <f t="shared" si="28"/>
        <v>0</v>
      </c>
      <c r="AO33" s="102">
        <f t="shared" si="28"/>
        <v>0</v>
      </c>
      <c r="AP33" s="102">
        <f t="shared" si="28"/>
        <v>0</v>
      </c>
      <c r="AQ33" s="102">
        <f t="shared" si="28"/>
        <v>0</v>
      </c>
      <c r="AR33" s="102">
        <f t="shared" si="28"/>
        <v>0</v>
      </c>
      <c r="AS33" s="102">
        <f t="shared" si="28"/>
        <v>0</v>
      </c>
      <c r="AT33" s="102">
        <f t="shared" si="28"/>
        <v>0</v>
      </c>
      <c r="AU33" s="102">
        <f t="shared" si="28"/>
        <v>0</v>
      </c>
      <c r="AV33" s="102">
        <f t="shared" si="28"/>
        <v>0</v>
      </c>
      <c r="AW33" s="102">
        <f t="shared" si="28"/>
        <v>0</v>
      </c>
      <c r="AX33" s="102">
        <f t="shared" si="28"/>
        <v>0</v>
      </c>
      <c r="AY33" s="102">
        <f t="shared" si="28"/>
        <v>0</v>
      </c>
      <c r="AZ33" s="102">
        <f t="shared" si="28"/>
        <v>0</v>
      </c>
      <c r="BA33" s="102">
        <f t="shared" si="28"/>
        <v>0</v>
      </c>
      <c r="BB33" s="102">
        <f t="shared" si="28"/>
        <v>0</v>
      </c>
      <c r="BC33" s="102">
        <f t="shared" si="28"/>
        <v>0</v>
      </c>
      <c r="BD33" s="102">
        <f t="shared" si="28"/>
        <v>0</v>
      </c>
      <c r="BE33" s="102">
        <f t="shared" si="28"/>
        <v>0</v>
      </c>
      <c r="BF33" s="102">
        <f t="shared" si="28"/>
        <v>0</v>
      </c>
      <c r="BG33" s="102">
        <f t="shared" si="28"/>
        <v>0</v>
      </c>
      <c r="BH33" s="102">
        <f t="shared" si="28"/>
        <v>0</v>
      </c>
      <c r="BI33" s="102">
        <f t="shared" si="28"/>
        <v>0</v>
      </c>
      <c r="BJ33" s="102">
        <f t="shared" si="28"/>
        <v>0</v>
      </c>
      <c r="BK33" s="102">
        <f t="shared" si="28"/>
        <v>0</v>
      </c>
      <c r="BL33" s="102">
        <f t="shared" si="28"/>
        <v>0</v>
      </c>
      <c r="BM33" s="102">
        <f t="shared" si="28"/>
        <v>0</v>
      </c>
      <c r="BN33" s="102">
        <f t="shared" si="28"/>
        <v>0</v>
      </c>
      <c r="BO33" s="102">
        <f t="shared" si="28"/>
        <v>0</v>
      </c>
      <c r="BP33" s="102">
        <f t="shared" si="28"/>
        <v>0</v>
      </c>
      <c r="BQ33" s="102">
        <f t="shared" si="28"/>
        <v>0</v>
      </c>
    </row>
    <row r="34" spans="1:69" s="22" customFormat="1" ht="13.5" customHeight="1">
      <c r="A34" s="1"/>
      <c r="B34" s="1"/>
      <c r="C34" s="31"/>
      <c r="D34" s="30" t="s">
        <v>66</v>
      </c>
      <c r="F34" s="22">
        <f>$F$33*G34</f>
        <v>196.33250340000001</v>
      </c>
      <c r="G34" s="105">
        <v>0.3</v>
      </c>
      <c r="H34" s="39">
        <f>Est</f>
        <v>44377</v>
      </c>
      <c r="L34" s="43"/>
      <c r="M34" s="22">
        <f t="shared" si="7"/>
        <v>196.33250340000001</v>
      </c>
      <c r="O34" s="22">
        <f>(O$11=$H34)*$F34</f>
        <v>196.33250340000001</v>
      </c>
      <c r="P34" s="22">
        <f t="shared" ref="P34:BQ36" si="29">(P$11=$H34)*$F34</f>
        <v>0</v>
      </c>
      <c r="Q34" s="22">
        <f t="shared" si="29"/>
        <v>0</v>
      </c>
      <c r="R34" s="22">
        <f t="shared" si="29"/>
        <v>0</v>
      </c>
      <c r="S34" s="22">
        <f t="shared" si="29"/>
        <v>0</v>
      </c>
      <c r="T34" s="22">
        <f t="shared" si="29"/>
        <v>0</v>
      </c>
      <c r="U34" s="22">
        <f t="shared" si="29"/>
        <v>0</v>
      </c>
      <c r="V34" s="22">
        <f t="shared" si="29"/>
        <v>0</v>
      </c>
      <c r="W34" s="22">
        <f t="shared" si="29"/>
        <v>0</v>
      </c>
      <c r="X34" s="22">
        <f t="shared" si="29"/>
        <v>0</v>
      </c>
      <c r="Y34" s="22">
        <f t="shared" si="29"/>
        <v>0</v>
      </c>
      <c r="Z34" s="22">
        <f t="shared" si="29"/>
        <v>0</v>
      </c>
      <c r="AA34" s="22">
        <f t="shared" si="29"/>
        <v>0</v>
      </c>
      <c r="AB34" s="22">
        <f t="shared" si="29"/>
        <v>0</v>
      </c>
      <c r="AC34" s="22">
        <f t="shared" si="29"/>
        <v>0</v>
      </c>
      <c r="AD34" s="22">
        <f t="shared" si="29"/>
        <v>0</v>
      </c>
      <c r="AE34" s="22">
        <f t="shared" si="29"/>
        <v>0</v>
      </c>
      <c r="AF34" s="22">
        <f t="shared" si="29"/>
        <v>0</v>
      </c>
      <c r="AG34" s="22">
        <f t="shared" si="29"/>
        <v>0</v>
      </c>
      <c r="AH34" s="22">
        <f t="shared" si="29"/>
        <v>0</v>
      </c>
      <c r="AI34" s="22">
        <f t="shared" si="29"/>
        <v>0</v>
      </c>
      <c r="AJ34" s="22">
        <f t="shared" si="29"/>
        <v>0</v>
      </c>
      <c r="AK34" s="22">
        <f t="shared" si="29"/>
        <v>0</v>
      </c>
      <c r="AL34" s="22">
        <f t="shared" si="29"/>
        <v>0</v>
      </c>
      <c r="AM34" s="22">
        <f t="shared" si="29"/>
        <v>0</v>
      </c>
      <c r="AN34" s="22">
        <f t="shared" si="29"/>
        <v>0</v>
      </c>
      <c r="AO34" s="22">
        <f t="shared" si="29"/>
        <v>0</v>
      </c>
      <c r="AP34" s="22">
        <f t="shared" si="29"/>
        <v>0</v>
      </c>
      <c r="AQ34" s="22">
        <f t="shared" si="29"/>
        <v>0</v>
      </c>
      <c r="AR34" s="22">
        <f t="shared" si="29"/>
        <v>0</v>
      </c>
      <c r="AS34" s="22">
        <f t="shared" si="29"/>
        <v>0</v>
      </c>
      <c r="AT34" s="22">
        <f t="shared" si="29"/>
        <v>0</v>
      </c>
      <c r="AU34" s="22">
        <f t="shared" si="29"/>
        <v>0</v>
      </c>
      <c r="AV34" s="22">
        <f t="shared" si="29"/>
        <v>0</v>
      </c>
      <c r="AW34" s="22">
        <f t="shared" si="29"/>
        <v>0</v>
      </c>
      <c r="AX34" s="22">
        <f t="shared" si="29"/>
        <v>0</v>
      </c>
      <c r="AY34" s="22">
        <f t="shared" si="29"/>
        <v>0</v>
      </c>
      <c r="AZ34" s="22">
        <f t="shared" si="29"/>
        <v>0</v>
      </c>
      <c r="BA34" s="22">
        <f t="shared" si="29"/>
        <v>0</v>
      </c>
      <c r="BB34" s="22">
        <f t="shared" si="29"/>
        <v>0</v>
      </c>
      <c r="BC34" s="22">
        <f t="shared" si="29"/>
        <v>0</v>
      </c>
      <c r="BD34" s="22">
        <f t="shared" si="29"/>
        <v>0</v>
      </c>
      <c r="BE34" s="22">
        <f t="shared" si="29"/>
        <v>0</v>
      </c>
      <c r="BF34" s="22">
        <f t="shared" si="29"/>
        <v>0</v>
      </c>
      <c r="BG34" s="22">
        <f t="shared" si="29"/>
        <v>0</v>
      </c>
      <c r="BH34" s="22">
        <f t="shared" si="29"/>
        <v>0</v>
      </c>
      <c r="BI34" s="22">
        <f t="shared" si="29"/>
        <v>0</v>
      </c>
      <c r="BJ34" s="22">
        <f t="shared" si="29"/>
        <v>0</v>
      </c>
      <c r="BK34" s="22">
        <f t="shared" si="29"/>
        <v>0</v>
      </c>
      <c r="BL34" s="22">
        <f t="shared" si="29"/>
        <v>0</v>
      </c>
      <c r="BM34" s="22">
        <f t="shared" si="29"/>
        <v>0</v>
      </c>
      <c r="BN34" s="22">
        <f t="shared" si="29"/>
        <v>0</v>
      </c>
      <c r="BO34" s="22">
        <f t="shared" si="29"/>
        <v>0</v>
      </c>
      <c r="BP34" s="22">
        <f t="shared" si="29"/>
        <v>0</v>
      </c>
      <c r="BQ34" s="22">
        <f t="shared" si="29"/>
        <v>0</v>
      </c>
    </row>
    <row r="35" spans="1:69" s="32" customFormat="1" ht="13.5" customHeight="1">
      <c r="A35" s="1"/>
      <c r="B35" s="1"/>
      <c r="C35" s="31"/>
      <c r="D35" s="31" t="s">
        <v>67</v>
      </c>
      <c r="F35" s="32">
        <f t="shared" ref="F35:F36" si="30">$F$33*G35</f>
        <v>196.33250340000001</v>
      </c>
      <c r="G35" s="106">
        <v>0.3</v>
      </c>
      <c r="H35" s="40">
        <f>'A&amp;R'!D15</f>
        <v>44469</v>
      </c>
      <c r="L35" s="42"/>
      <c r="M35" s="32">
        <f t="shared" si="7"/>
        <v>196.33250340000001</v>
      </c>
      <c r="O35" s="32">
        <f t="shared" ref="O35:AD36" si="31">(O$11=$H35)*$F35</f>
        <v>0</v>
      </c>
      <c r="P35" s="32">
        <f t="shared" si="31"/>
        <v>0</v>
      </c>
      <c r="Q35" s="32">
        <f t="shared" si="31"/>
        <v>0</v>
      </c>
      <c r="R35" s="32">
        <f t="shared" si="31"/>
        <v>196.33250340000001</v>
      </c>
      <c r="S35" s="32">
        <f t="shared" si="31"/>
        <v>0</v>
      </c>
      <c r="T35" s="32">
        <f t="shared" si="31"/>
        <v>0</v>
      </c>
      <c r="U35" s="32">
        <f t="shared" si="31"/>
        <v>0</v>
      </c>
      <c r="V35" s="32">
        <f t="shared" si="31"/>
        <v>0</v>
      </c>
      <c r="W35" s="32">
        <f t="shared" si="31"/>
        <v>0</v>
      </c>
      <c r="X35" s="32">
        <f t="shared" si="31"/>
        <v>0</v>
      </c>
      <c r="Y35" s="32">
        <f t="shared" si="31"/>
        <v>0</v>
      </c>
      <c r="Z35" s="32">
        <f t="shared" si="31"/>
        <v>0</v>
      </c>
      <c r="AA35" s="32">
        <f t="shared" si="31"/>
        <v>0</v>
      </c>
      <c r="AB35" s="32">
        <f t="shared" si="31"/>
        <v>0</v>
      </c>
      <c r="AC35" s="32">
        <f t="shared" si="31"/>
        <v>0</v>
      </c>
      <c r="AD35" s="32">
        <f t="shared" si="31"/>
        <v>0</v>
      </c>
      <c r="AE35" s="32">
        <f t="shared" si="29"/>
        <v>0</v>
      </c>
      <c r="AF35" s="32">
        <f t="shared" si="29"/>
        <v>0</v>
      </c>
      <c r="AG35" s="32">
        <f t="shared" si="29"/>
        <v>0</v>
      </c>
      <c r="AH35" s="32">
        <f t="shared" si="29"/>
        <v>0</v>
      </c>
      <c r="AI35" s="32">
        <f t="shared" si="29"/>
        <v>0</v>
      </c>
      <c r="AJ35" s="32">
        <f t="shared" si="29"/>
        <v>0</v>
      </c>
      <c r="AK35" s="32">
        <f t="shared" si="29"/>
        <v>0</v>
      </c>
      <c r="AL35" s="32">
        <f t="shared" si="29"/>
        <v>0</v>
      </c>
      <c r="AM35" s="32">
        <f t="shared" si="29"/>
        <v>0</v>
      </c>
      <c r="AN35" s="32">
        <f t="shared" si="29"/>
        <v>0</v>
      </c>
      <c r="AO35" s="32">
        <f t="shared" si="29"/>
        <v>0</v>
      </c>
      <c r="AP35" s="32">
        <f t="shared" si="29"/>
        <v>0</v>
      </c>
      <c r="AQ35" s="32">
        <f t="shared" si="29"/>
        <v>0</v>
      </c>
      <c r="AR35" s="32">
        <f t="shared" si="29"/>
        <v>0</v>
      </c>
      <c r="AS35" s="32">
        <f t="shared" si="29"/>
        <v>0</v>
      </c>
      <c r="AT35" s="32">
        <f t="shared" si="29"/>
        <v>0</v>
      </c>
      <c r="AU35" s="32">
        <f t="shared" si="29"/>
        <v>0</v>
      </c>
      <c r="AV35" s="32">
        <f t="shared" si="29"/>
        <v>0</v>
      </c>
      <c r="AW35" s="32">
        <f t="shared" si="29"/>
        <v>0</v>
      </c>
      <c r="AX35" s="32">
        <f t="shared" si="29"/>
        <v>0</v>
      </c>
      <c r="AY35" s="32">
        <f t="shared" si="29"/>
        <v>0</v>
      </c>
      <c r="AZ35" s="32">
        <f t="shared" si="29"/>
        <v>0</v>
      </c>
      <c r="BA35" s="32">
        <f t="shared" si="29"/>
        <v>0</v>
      </c>
      <c r="BB35" s="32">
        <f t="shared" si="29"/>
        <v>0</v>
      </c>
      <c r="BC35" s="32">
        <f t="shared" si="29"/>
        <v>0</v>
      </c>
      <c r="BD35" s="32">
        <f t="shared" si="29"/>
        <v>0</v>
      </c>
      <c r="BE35" s="32">
        <f t="shared" si="29"/>
        <v>0</v>
      </c>
      <c r="BF35" s="32">
        <f t="shared" si="29"/>
        <v>0</v>
      </c>
      <c r="BG35" s="32">
        <f t="shared" si="29"/>
        <v>0</v>
      </c>
      <c r="BH35" s="32">
        <f t="shared" si="29"/>
        <v>0</v>
      </c>
      <c r="BI35" s="32">
        <f t="shared" si="29"/>
        <v>0</v>
      </c>
      <c r="BJ35" s="32">
        <f t="shared" si="29"/>
        <v>0</v>
      </c>
      <c r="BK35" s="32">
        <f t="shared" si="29"/>
        <v>0</v>
      </c>
      <c r="BL35" s="32">
        <f t="shared" si="29"/>
        <v>0</v>
      </c>
      <c r="BM35" s="32">
        <f t="shared" si="29"/>
        <v>0</v>
      </c>
      <c r="BN35" s="32">
        <f t="shared" si="29"/>
        <v>0</v>
      </c>
      <c r="BO35" s="32">
        <f t="shared" si="29"/>
        <v>0</v>
      </c>
      <c r="BP35" s="32">
        <f t="shared" si="29"/>
        <v>0</v>
      </c>
      <c r="BQ35" s="32">
        <f t="shared" si="29"/>
        <v>0</v>
      </c>
    </row>
    <row r="36" spans="1:69" s="24" customFormat="1" ht="13.5" customHeight="1">
      <c r="A36" s="1"/>
      <c r="B36" s="1"/>
      <c r="C36" s="31"/>
      <c r="D36" s="33" t="s">
        <v>68</v>
      </c>
      <c r="F36" s="24">
        <f t="shared" si="30"/>
        <v>261.77667120000001</v>
      </c>
      <c r="G36" s="107">
        <v>0.4</v>
      </c>
      <c r="H36" s="41">
        <f>'A&amp;R'!D16</f>
        <v>44804</v>
      </c>
      <c r="L36" s="44"/>
      <c r="M36" s="24">
        <f t="shared" si="7"/>
        <v>261.77667120000001</v>
      </c>
      <c r="O36" s="24">
        <f t="shared" si="31"/>
        <v>0</v>
      </c>
      <c r="P36" s="24">
        <f t="shared" si="29"/>
        <v>0</v>
      </c>
      <c r="Q36" s="24">
        <f t="shared" si="29"/>
        <v>0</v>
      </c>
      <c r="R36" s="24">
        <f t="shared" si="29"/>
        <v>0</v>
      </c>
      <c r="S36" s="24">
        <f t="shared" si="29"/>
        <v>0</v>
      </c>
      <c r="T36" s="24">
        <f t="shared" si="29"/>
        <v>0</v>
      </c>
      <c r="U36" s="24">
        <f t="shared" si="29"/>
        <v>0</v>
      </c>
      <c r="V36" s="24">
        <f t="shared" si="29"/>
        <v>0</v>
      </c>
      <c r="W36" s="24">
        <f t="shared" si="29"/>
        <v>0</v>
      </c>
      <c r="X36" s="24">
        <f t="shared" si="29"/>
        <v>0</v>
      </c>
      <c r="Y36" s="24">
        <f t="shared" si="29"/>
        <v>0</v>
      </c>
      <c r="Z36" s="24">
        <f t="shared" si="29"/>
        <v>0</v>
      </c>
      <c r="AA36" s="24">
        <f t="shared" si="29"/>
        <v>0</v>
      </c>
      <c r="AB36" s="24">
        <f t="shared" si="29"/>
        <v>0</v>
      </c>
      <c r="AC36" s="24">
        <f t="shared" si="29"/>
        <v>261.77667120000001</v>
      </c>
      <c r="AD36" s="24">
        <f t="shared" si="29"/>
        <v>0</v>
      </c>
      <c r="AE36" s="24">
        <f t="shared" si="29"/>
        <v>0</v>
      </c>
      <c r="AF36" s="24">
        <f t="shared" si="29"/>
        <v>0</v>
      </c>
      <c r="AG36" s="24">
        <f t="shared" si="29"/>
        <v>0</v>
      </c>
      <c r="AH36" s="24">
        <f t="shared" si="29"/>
        <v>0</v>
      </c>
      <c r="AI36" s="24">
        <f t="shared" si="29"/>
        <v>0</v>
      </c>
      <c r="AJ36" s="24">
        <f t="shared" si="29"/>
        <v>0</v>
      </c>
      <c r="AK36" s="24">
        <f t="shared" si="29"/>
        <v>0</v>
      </c>
      <c r="AL36" s="24">
        <f t="shared" si="29"/>
        <v>0</v>
      </c>
      <c r="AM36" s="24">
        <f t="shared" si="29"/>
        <v>0</v>
      </c>
      <c r="AN36" s="24">
        <f t="shared" si="29"/>
        <v>0</v>
      </c>
      <c r="AO36" s="24">
        <f t="shared" si="29"/>
        <v>0</v>
      </c>
      <c r="AP36" s="24">
        <f t="shared" si="29"/>
        <v>0</v>
      </c>
      <c r="AQ36" s="24">
        <f t="shared" si="29"/>
        <v>0</v>
      </c>
      <c r="AR36" s="24">
        <f t="shared" si="29"/>
        <v>0</v>
      </c>
      <c r="AS36" s="24">
        <f t="shared" si="29"/>
        <v>0</v>
      </c>
      <c r="AT36" s="24">
        <f t="shared" si="29"/>
        <v>0</v>
      </c>
      <c r="AU36" s="24">
        <f t="shared" si="29"/>
        <v>0</v>
      </c>
      <c r="AV36" s="24">
        <f t="shared" si="29"/>
        <v>0</v>
      </c>
      <c r="AW36" s="24">
        <f t="shared" si="29"/>
        <v>0</v>
      </c>
      <c r="AX36" s="24">
        <f t="shared" si="29"/>
        <v>0</v>
      </c>
      <c r="AY36" s="24">
        <f t="shared" si="29"/>
        <v>0</v>
      </c>
      <c r="AZ36" s="24">
        <f t="shared" si="29"/>
        <v>0</v>
      </c>
      <c r="BA36" s="24">
        <f t="shared" si="29"/>
        <v>0</v>
      </c>
      <c r="BB36" s="24">
        <f t="shared" si="29"/>
        <v>0</v>
      </c>
      <c r="BC36" s="24">
        <f t="shared" si="29"/>
        <v>0</v>
      </c>
      <c r="BD36" s="24">
        <f t="shared" si="29"/>
        <v>0</v>
      </c>
      <c r="BE36" s="24">
        <f t="shared" si="29"/>
        <v>0</v>
      </c>
      <c r="BF36" s="24">
        <f t="shared" si="29"/>
        <v>0</v>
      </c>
      <c r="BG36" s="24">
        <f t="shared" si="29"/>
        <v>0</v>
      </c>
      <c r="BH36" s="24">
        <f t="shared" si="29"/>
        <v>0</v>
      </c>
      <c r="BI36" s="24">
        <f t="shared" si="29"/>
        <v>0</v>
      </c>
      <c r="BJ36" s="24">
        <f t="shared" si="29"/>
        <v>0</v>
      </c>
      <c r="BK36" s="24">
        <f t="shared" si="29"/>
        <v>0</v>
      </c>
      <c r="BL36" s="24">
        <f t="shared" si="29"/>
        <v>0</v>
      </c>
      <c r="BM36" s="24">
        <f t="shared" si="29"/>
        <v>0</v>
      </c>
      <c r="BN36" s="24">
        <f t="shared" si="29"/>
        <v>0</v>
      </c>
      <c r="BO36" s="24">
        <f t="shared" si="29"/>
        <v>0</v>
      </c>
      <c r="BP36" s="24">
        <f t="shared" si="29"/>
        <v>0</v>
      </c>
      <c r="BQ36" s="24">
        <f t="shared" si="29"/>
        <v>0</v>
      </c>
    </row>
    <row r="37" spans="1:69" s="32" customFormat="1" ht="13.5" customHeight="1">
      <c r="A37" s="1"/>
      <c r="B37" s="1"/>
      <c r="C37" s="31"/>
      <c r="D37" s="31" t="s">
        <v>127</v>
      </c>
      <c r="F37" s="32">
        <f>J222</f>
        <v>142.26922023600002</v>
      </c>
      <c r="G37" s="32" t="s">
        <v>138</v>
      </c>
      <c r="L37" s="42"/>
      <c r="M37" s="32">
        <f t="shared" si="7"/>
        <v>142.26922023600002</v>
      </c>
      <c r="O37" s="102">
        <f>SUM(O38:O40)</f>
        <v>42.680766070800004</v>
      </c>
      <c r="P37" s="102">
        <f t="shared" ref="P37:BQ37" si="32">SUM(P38:P40)</f>
        <v>0</v>
      </c>
      <c r="Q37" s="102">
        <f t="shared" si="32"/>
        <v>0</v>
      </c>
      <c r="R37" s="102">
        <f t="shared" si="32"/>
        <v>42.680766070800004</v>
      </c>
      <c r="S37" s="102">
        <f t="shared" si="32"/>
        <v>0</v>
      </c>
      <c r="T37" s="102">
        <f t="shared" si="32"/>
        <v>0</v>
      </c>
      <c r="U37" s="102">
        <f t="shared" si="32"/>
        <v>0</v>
      </c>
      <c r="V37" s="102">
        <f t="shared" si="32"/>
        <v>0</v>
      </c>
      <c r="W37" s="102">
        <f t="shared" si="32"/>
        <v>0</v>
      </c>
      <c r="X37" s="102">
        <f t="shared" si="32"/>
        <v>0</v>
      </c>
      <c r="Y37" s="102">
        <f t="shared" si="32"/>
        <v>0</v>
      </c>
      <c r="Z37" s="102">
        <f t="shared" si="32"/>
        <v>0</v>
      </c>
      <c r="AA37" s="102">
        <f t="shared" si="32"/>
        <v>0</v>
      </c>
      <c r="AB37" s="102">
        <f t="shared" si="32"/>
        <v>0</v>
      </c>
      <c r="AC37" s="102">
        <f t="shared" si="32"/>
        <v>56.907688094400015</v>
      </c>
      <c r="AD37" s="102">
        <f t="shared" si="32"/>
        <v>0</v>
      </c>
      <c r="AE37" s="102">
        <f t="shared" si="32"/>
        <v>0</v>
      </c>
      <c r="AF37" s="102">
        <f t="shared" si="32"/>
        <v>0</v>
      </c>
      <c r="AG37" s="102">
        <f t="shared" si="32"/>
        <v>0</v>
      </c>
      <c r="AH37" s="102">
        <f t="shared" si="32"/>
        <v>0</v>
      </c>
      <c r="AI37" s="102">
        <f t="shared" si="32"/>
        <v>0</v>
      </c>
      <c r="AJ37" s="102">
        <f t="shared" si="32"/>
        <v>0</v>
      </c>
      <c r="AK37" s="102">
        <f t="shared" si="32"/>
        <v>0</v>
      </c>
      <c r="AL37" s="102">
        <f t="shared" si="32"/>
        <v>0</v>
      </c>
      <c r="AM37" s="102">
        <f t="shared" si="32"/>
        <v>0</v>
      </c>
      <c r="AN37" s="102">
        <f t="shared" si="32"/>
        <v>0</v>
      </c>
      <c r="AO37" s="102">
        <f t="shared" si="32"/>
        <v>0</v>
      </c>
      <c r="AP37" s="102">
        <f t="shared" si="32"/>
        <v>0</v>
      </c>
      <c r="AQ37" s="102">
        <f t="shared" si="32"/>
        <v>0</v>
      </c>
      <c r="AR37" s="102">
        <f t="shared" si="32"/>
        <v>0</v>
      </c>
      <c r="AS37" s="102">
        <f t="shared" si="32"/>
        <v>0</v>
      </c>
      <c r="AT37" s="102">
        <f t="shared" si="32"/>
        <v>0</v>
      </c>
      <c r="AU37" s="102">
        <f t="shared" si="32"/>
        <v>0</v>
      </c>
      <c r="AV37" s="102">
        <f t="shared" si="32"/>
        <v>0</v>
      </c>
      <c r="AW37" s="102">
        <f t="shared" si="32"/>
        <v>0</v>
      </c>
      <c r="AX37" s="102">
        <f t="shared" si="32"/>
        <v>0</v>
      </c>
      <c r="AY37" s="102">
        <f t="shared" si="32"/>
        <v>0</v>
      </c>
      <c r="AZ37" s="102">
        <f t="shared" si="32"/>
        <v>0</v>
      </c>
      <c r="BA37" s="102">
        <f t="shared" si="32"/>
        <v>0</v>
      </c>
      <c r="BB37" s="102">
        <f t="shared" si="32"/>
        <v>0</v>
      </c>
      <c r="BC37" s="102">
        <f t="shared" si="32"/>
        <v>0</v>
      </c>
      <c r="BD37" s="102">
        <f t="shared" si="32"/>
        <v>0</v>
      </c>
      <c r="BE37" s="102">
        <f t="shared" si="32"/>
        <v>0</v>
      </c>
      <c r="BF37" s="102">
        <f t="shared" si="32"/>
        <v>0</v>
      </c>
      <c r="BG37" s="102">
        <f t="shared" si="32"/>
        <v>0</v>
      </c>
      <c r="BH37" s="102">
        <f t="shared" si="32"/>
        <v>0</v>
      </c>
      <c r="BI37" s="102">
        <f t="shared" si="32"/>
        <v>0</v>
      </c>
      <c r="BJ37" s="102">
        <f t="shared" si="32"/>
        <v>0</v>
      </c>
      <c r="BK37" s="102">
        <f t="shared" si="32"/>
        <v>0</v>
      </c>
      <c r="BL37" s="102">
        <f t="shared" si="32"/>
        <v>0</v>
      </c>
      <c r="BM37" s="102">
        <f t="shared" si="32"/>
        <v>0</v>
      </c>
      <c r="BN37" s="102">
        <f t="shared" si="32"/>
        <v>0</v>
      </c>
      <c r="BO37" s="102">
        <f t="shared" si="32"/>
        <v>0</v>
      </c>
      <c r="BP37" s="102">
        <f t="shared" si="32"/>
        <v>0</v>
      </c>
      <c r="BQ37" s="102">
        <f t="shared" si="32"/>
        <v>0</v>
      </c>
    </row>
    <row r="38" spans="1:69" s="22" customFormat="1" ht="13.5" customHeight="1">
      <c r="A38" s="1"/>
      <c r="B38" s="1"/>
      <c r="C38" s="31"/>
      <c r="D38" s="30" t="s">
        <v>66</v>
      </c>
      <c r="F38" s="22">
        <f>$F$37*G38</f>
        <v>42.680766070800004</v>
      </c>
      <c r="G38" s="105">
        <v>0.3</v>
      </c>
      <c r="H38" s="39">
        <f>H34</f>
        <v>44377</v>
      </c>
      <c r="L38" s="43"/>
      <c r="M38" s="22">
        <f t="shared" ref="M38:M40" si="33">SUM(N38:XFD38)</f>
        <v>42.680766070800004</v>
      </c>
      <c r="O38" s="22">
        <f>(O$11=$H38)*$F38</f>
        <v>42.680766070800004</v>
      </c>
      <c r="P38" s="22">
        <f t="shared" ref="P38:BQ40" si="34">(P$11=$H38)*$F38</f>
        <v>0</v>
      </c>
      <c r="Q38" s="22">
        <f t="shared" si="34"/>
        <v>0</v>
      </c>
      <c r="R38" s="22">
        <f t="shared" si="34"/>
        <v>0</v>
      </c>
      <c r="S38" s="22">
        <f t="shared" si="34"/>
        <v>0</v>
      </c>
      <c r="T38" s="22">
        <f t="shared" si="34"/>
        <v>0</v>
      </c>
      <c r="U38" s="22">
        <f t="shared" si="34"/>
        <v>0</v>
      </c>
      <c r="V38" s="22">
        <f t="shared" si="34"/>
        <v>0</v>
      </c>
      <c r="W38" s="22">
        <f t="shared" si="34"/>
        <v>0</v>
      </c>
      <c r="X38" s="22">
        <f t="shared" si="34"/>
        <v>0</v>
      </c>
      <c r="Y38" s="22">
        <f t="shared" si="34"/>
        <v>0</v>
      </c>
      <c r="Z38" s="22">
        <f t="shared" si="34"/>
        <v>0</v>
      </c>
      <c r="AA38" s="22">
        <f t="shared" si="34"/>
        <v>0</v>
      </c>
      <c r="AB38" s="22">
        <f t="shared" si="34"/>
        <v>0</v>
      </c>
      <c r="AC38" s="22">
        <f t="shared" si="34"/>
        <v>0</v>
      </c>
      <c r="AD38" s="22">
        <f t="shared" si="34"/>
        <v>0</v>
      </c>
      <c r="AE38" s="22">
        <f t="shared" si="34"/>
        <v>0</v>
      </c>
      <c r="AF38" s="22">
        <f t="shared" si="34"/>
        <v>0</v>
      </c>
      <c r="AG38" s="22">
        <f t="shared" si="34"/>
        <v>0</v>
      </c>
      <c r="AH38" s="22">
        <f t="shared" si="34"/>
        <v>0</v>
      </c>
      <c r="AI38" s="22">
        <f t="shared" si="34"/>
        <v>0</v>
      </c>
      <c r="AJ38" s="22">
        <f t="shared" si="34"/>
        <v>0</v>
      </c>
      <c r="AK38" s="22">
        <f t="shared" si="34"/>
        <v>0</v>
      </c>
      <c r="AL38" s="22">
        <f t="shared" si="34"/>
        <v>0</v>
      </c>
      <c r="AM38" s="22">
        <f t="shared" si="34"/>
        <v>0</v>
      </c>
      <c r="AN38" s="22">
        <f t="shared" si="34"/>
        <v>0</v>
      </c>
      <c r="AO38" s="22">
        <f t="shared" si="34"/>
        <v>0</v>
      </c>
      <c r="AP38" s="22">
        <f t="shared" si="34"/>
        <v>0</v>
      </c>
      <c r="AQ38" s="22">
        <f t="shared" si="34"/>
        <v>0</v>
      </c>
      <c r="AR38" s="22">
        <f t="shared" si="34"/>
        <v>0</v>
      </c>
      <c r="AS38" s="22">
        <f t="shared" si="34"/>
        <v>0</v>
      </c>
      <c r="AT38" s="22">
        <f t="shared" si="34"/>
        <v>0</v>
      </c>
      <c r="AU38" s="22">
        <f t="shared" si="34"/>
        <v>0</v>
      </c>
      <c r="AV38" s="22">
        <f t="shared" si="34"/>
        <v>0</v>
      </c>
      <c r="AW38" s="22">
        <f t="shared" si="34"/>
        <v>0</v>
      </c>
      <c r="AX38" s="22">
        <f t="shared" si="34"/>
        <v>0</v>
      </c>
      <c r="AY38" s="22">
        <f t="shared" si="34"/>
        <v>0</v>
      </c>
      <c r="AZ38" s="22">
        <f t="shared" si="34"/>
        <v>0</v>
      </c>
      <c r="BA38" s="22">
        <f t="shared" si="34"/>
        <v>0</v>
      </c>
      <c r="BB38" s="22">
        <f t="shared" si="34"/>
        <v>0</v>
      </c>
      <c r="BC38" s="22">
        <f t="shared" si="34"/>
        <v>0</v>
      </c>
      <c r="BD38" s="22">
        <f t="shared" si="34"/>
        <v>0</v>
      </c>
      <c r="BE38" s="22">
        <f t="shared" si="34"/>
        <v>0</v>
      </c>
      <c r="BF38" s="22">
        <f t="shared" si="34"/>
        <v>0</v>
      </c>
      <c r="BG38" s="22">
        <f t="shared" si="34"/>
        <v>0</v>
      </c>
      <c r="BH38" s="22">
        <f t="shared" si="34"/>
        <v>0</v>
      </c>
      <c r="BI38" s="22">
        <f t="shared" si="34"/>
        <v>0</v>
      </c>
      <c r="BJ38" s="22">
        <f t="shared" si="34"/>
        <v>0</v>
      </c>
      <c r="BK38" s="22">
        <f t="shared" si="34"/>
        <v>0</v>
      </c>
      <c r="BL38" s="22">
        <f t="shared" si="34"/>
        <v>0</v>
      </c>
      <c r="BM38" s="22">
        <f t="shared" si="34"/>
        <v>0</v>
      </c>
      <c r="BN38" s="22">
        <f t="shared" si="34"/>
        <v>0</v>
      </c>
      <c r="BO38" s="22">
        <f t="shared" si="34"/>
        <v>0</v>
      </c>
      <c r="BP38" s="22">
        <f t="shared" si="34"/>
        <v>0</v>
      </c>
      <c r="BQ38" s="22">
        <f t="shared" si="34"/>
        <v>0</v>
      </c>
    </row>
    <row r="39" spans="1:69" s="32" customFormat="1" ht="13.5" customHeight="1">
      <c r="A39" s="1"/>
      <c r="B39" s="1"/>
      <c r="C39" s="31"/>
      <c r="D39" s="31" t="s">
        <v>67</v>
      </c>
      <c r="F39" s="32">
        <f t="shared" ref="F39:F40" si="35">$F$37*G39</f>
        <v>42.680766070800004</v>
      </c>
      <c r="G39" s="106">
        <v>0.3</v>
      </c>
      <c r="H39" s="40">
        <f t="shared" ref="H39:H40" si="36">H35</f>
        <v>44469</v>
      </c>
      <c r="L39" s="42"/>
      <c r="M39" s="32">
        <f t="shared" si="33"/>
        <v>42.680766070800004</v>
      </c>
      <c r="O39" s="32">
        <f t="shared" ref="O39:AD40" si="37">(O$11=$H39)*$F39</f>
        <v>0</v>
      </c>
      <c r="P39" s="32">
        <f t="shared" si="37"/>
        <v>0</v>
      </c>
      <c r="Q39" s="32">
        <f t="shared" si="37"/>
        <v>0</v>
      </c>
      <c r="R39" s="32">
        <f t="shared" si="37"/>
        <v>42.680766070800004</v>
      </c>
      <c r="S39" s="32">
        <f t="shared" si="37"/>
        <v>0</v>
      </c>
      <c r="T39" s="32">
        <f t="shared" si="37"/>
        <v>0</v>
      </c>
      <c r="U39" s="32">
        <f t="shared" si="37"/>
        <v>0</v>
      </c>
      <c r="V39" s="32">
        <f t="shared" si="37"/>
        <v>0</v>
      </c>
      <c r="W39" s="32">
        <f t="shared" si="37"/>
        <v>0</v>
      </c>
      <c r="X39" s="32">
        <f t="shared" si="37"/>
        <v>0</v>
      </c>
      <c r="Y39" s="32">
        <f t="shared" si="37"/>
        <v>0</v>
      </c>
      <c r="Z39" s="32">
        <f t="shared" si="37"/>
        <v>0</v>
      </c>
      <c r="AA39" s="32">
        <f t="shared" si="37"/>
        <v>0</v>
      </c>
      <c r="AB39" s="32">
        <f t="shared" si="37"/>
        <v>0</v>
      </c>
      <c r="AC39" s="32">
        <f t="shared" si="37"/>
        <v>0</v>
      </c>
      <c r="AD39" s="32">
        <f t="shared" si="37"/>
        <v>0</v>
      </c>
      <c r="AE39" s="32">
        <f t="shared" si="34"/>
        <v>0</v>
      </c>
      <c r="AF39" s="32">
        <f t="shared" si="34"/>
        <v>0</v>
      </c>
      <c r="AG39" s="32">
        <f t="shared" si="34"/>
        <v>0</v>
      </c>
      <c r="AH39" s="32">
        <f t="shared" si="34"/>
        <v>0</v>
      </c>
      <c r="AI39" s="32">
        <f t="shared" si="34"/>
        <v>0</v>
      </c>
      <c r="AJ39" s="32">
        <f t="shared" si="34"/>
        <v>0</v>
      </c>
      <c r="AK39" s="32">
        <f t="shared" si="34"/>
        <v>0</v>
      </c>
      <c r="AL39" s="32">
        <f t="shared" si="34"/>
        <v>0</v>
      </c>
      <c r="AM39" s="32">
        <f t="shared" si="34"/>
        <v>0</v>
      </c>
      <c r="AN39" s="32">
        <f t="shared" si="34"/>
        <v>0</v>
      </c>
      <c r="AO39" s="32">
        <f t="shared" si="34"/>
        <v>0</v>
      </c>
      <c r="AP39" s="32">
        <f t="shared" si="34"/>
        <v>0</v>
      </c>
      <c r="AQ39" s="32">
        <f t="shared" si="34"/>
        <v>0</v>
      </c>
      <c r="AR39" s="32">
        <f t="shared" si="34"/>
        <v>0</v>
      </c>
      <c r="AS39" s="32">
        <f t="shared" si="34"/>
        <v>0</v>
      </c>
      <c r="AT39" s="32">
        <f t="shared" si="34"/>
        <v>0</v>
      </c>
      <c r="AU39" s="32">
        <f t="shared" si="34"/>
        <v>0</v>
      </c>
      <c r="AV39" s="32">
        <f t="shared" si="34"/>
        <v>0</v>
      </c>
      <c r="AW39" s="32">
        <f t="shared" si="34"/>
        <v>0</v>
      </c>
      <c r="AX39" s="32">
        <f t="shared" si="34"/>
        <v>0</v>
      </c>
      <c r="AY39" s="32">
        <f t="shared" si="34"/>
        <v>0</v>
      </c>
      <c r="AZ39" s="32">
        <f t="shared" si="34"/>
        <v>0</v>
      </c>
      <c r="BA39" s="32">
        <f t="shared" si="34"/>
        <v>0</v>
      </c>
      <c r="BB39" s="32">
        <f t="shared" si="34"/>
        <v>0</v>
      </c>
      <c r="BC39" s="32">
        <f t="shared" si="34"/>
        <v>0</v>
      </c>
      <c r="BD39" s="32">
        <f t="shared" si="34"/>
        <v>0</v>
      </c>
      <c r="BE39" s="32">
        <f t="shared" si="34"/>
        <v>0</v>
      </c>
      <c r="BF39" s="32">
        <f t="shared" si="34"/>
        <v>0</v>
      </c>
      <c r="BG39" s="32">
        <f t="shared" si="34"/>
        <v>0</v>
      </c>
      <c r="BH39" s="32">
        <f t="shared" si="34"/>
        <v>0</v>
      </c>
      <c r="BI39" s="32">
        <f t="shared" si="34"/>
        <v>0</v>
      </c>
      <c r="BJ39" s="32">
        <f t="shared" si="34"/>
        <v>0</v>
      </c>
      <c r="BK39" s="32">
        <f t="shared" si="34"/>
        <v>0</v>
      </c>
      <c r="BL39" s="32">
        <f t="shared" si="34"/>
        <v>0</v>
      </c>
      <c r="BM39" s="32">
        <f t="shared" si="34"/>
        <v>0</v>
      </c>
      <c r="BN39" s="32">
        <f t="shared" si="34"/>
        <v>0</v>
      </c>
      <c r="BO39" s="32">
        <f t="shared" si="34"/>
        <v>0</v>
      </c>
      <c r="BP39" s="32">
        <f t="shared" si="34"/>
        <v>0</v>
      </c>
      <c r="BQ39" s="32">
        <f t="shared" si="34"/>
        <v>0</v>
      </c>
    </row>
    <row r="40" spans="1:69" s="24" customFormat="1" ht="13.5" customHeight="1">
      <c r="A40" s="1"/>
      <c r="B40" s="1"/>
      <c r="C40" s="31"/>
      <c r="D40" s="33" t="s">
        <v>68</v>
      </c>
      <c r="F40" s="24">
        <f t="shared" si="35"/>
        <v>56.907688094400015</v>
      </c>
      <c r="G40" s="107">
        <v>0.4</v>
      </c>
      <c r="H40" s="41">
        <f t="shared" si="36"/>
        <v>44804</v>
      </c>
      <c r="L40" s="44"/>
      <c r="M40" s="24">
        <f t="shared" si="33"/>
        <v>56.907688094400015</v>
      </c>
      <c r="O40" s="24">
        <f t="shared" si="37"/>
        <v>0</v>
      </c>
      <c r="P40" s="24">
        <f t="shared" si="34"/>
        <v>0</v>
      </c>
      <c r="Q40" s="24">
        <f t="shared" si="34"/>
        <v>0</v>
      </c>
      <c r="R40" s="24">
        <f t="shared" si="34"/>
        <v>0</v>
      </c>
      <c r="S40" s="24">
        <f t="shared" si="34"/>
        <v>0</v>
      </c>
      <c r="T40" s="24">
        <f t="shared" si="34"/>
        <v>0</v>
      </c>
      <c r="U40" s="24">
        <f t="shared" si="34"/>
        <v>0</v>
      </c>
      <c r="V40" s="24">
        <f t="shared" si="34"/>
        <v>0</v>
      </c>
      <c r="W40" s="24">
        <f t="shared" si="34"/>
        <v>0</v>
      </c>
      <c r="X40" s="24">
        <f t="shared" si="34"/>
        <v>0</v>
      </c>
      <c r="Y40" s="24">
        <f t="shared" si="34"/>
        <v>0</v>
      </c>
      <c r="Z40" s="24">
        <f t="shared" si="34"/>
        <v>0</v>
      </c>
      <c r="AA40" s="24">
        <f t="shared" si="34"/>
        <v>0</v>
      </c>
      <c r="AB40" s="24">
        <f t="shared" si="34"/>
        <v>0</v>
      </c>
      <c r="AC40" s="24">
        <f t="shared" si="34"/>
        <v>56.907688094400015</v>
      </c>
      <c r="AD40" s="24">
        <f t="shared" si="34"/>
        <v>0</v>
      </c>
      <c r="AE40" s="24">
        <f t="shared" si="34"/>
        <v>0</v>
      </c>
      <c r="AF40" s="24">
        <f t="shared" si="34"/>
        <v>0</v>
      </c>
      <c r="AG40" s="24">
        <f t="shared" si="34"/>
        <v>0</v>
      </c>
      <c r="AH40" s="24">
        <f t="shared" si="34"/>
        <v>0</v>
      </c>
      <c r="AI40" s="24">
        <f t="shared" si="34"/>
        <v>0</v>
      </c>
      <c r="AJ40" s="24">
        <f t="shared" si="34"/>
        <v>0</v>
      </c>
      <c r="AK40" s="24">
        <f t="shared" si="34"/>
        <v>0</v>
      </c>
      <c r="AL40" s="24">
        <f t="shared" si="34"/>
        <v>0</v>
      </c>
      <c r="AM40" s="24">
        <f t="shared" si="34"/>
        <v>0</v>
      </c>
      <c r="AN40" s="24">
        <f t="shared" si="34"/>
        <v>0</v>
      </c>
      <c r="AO40" s="24">
        <f t="shared" si="34"/>
        <v>0</v>
      </c>
      <c r="AP40" s="24">
        <f t="shared" si="34"/>
        <v>0</v>
      </c>
      <c r="AQ40" s="24">
        <f t="shared" si="34"/>
        <v>0</v>
      </c>
      <c r="AR40" s="24">
        <f t="shared" si="34"/>
        <v>0</v>
      </c>
      <c r="AS40" s="24">
        <f t="shared" si="34"/>
        <v>0</v>
      </c>
      <c r="AT40" s="24">
        <f t="shared" si="34"/>
        <v>0</v>
      </c>
      <c r="AU40" s="24">
        <f t="shared" si="34"/>
        <v>0</v>
      </c>
      <c r="AV40" s="24">
        <f t="shared" si="34"/>
        <v>0</v>
      </c>
      <c r="AW40" s="24">
        <f t="shared" si="34"/>
        <v>0</v>
      </c>
      <c r="AX40" s="24">
        <f t="shared" si="34"/>
        <v>0</v>
      </c>
      <c r="AY40" s="24">
        <f t="shared" si="34"/>
        <v>0</v>
      </c>
      <c r="AZ40" s="24">
        <f t="shared" si="34"/>
        <v>0</v>
      </c>
      <c r="BA40" s="24">
        <f t="shared" si="34"/>
        <v>0</v>
      </c>
      <c r="BB40" s="24">
        <f t="shared" si="34"/>
        <v>0</v>
      </c>
      <c r="BC40" s="24">
        <f t="shared" si="34"/>
        <v>0</v>
      </c>
      <c r="BD40" s="24">
        <f t="shared" si="34"/>
        <v>0</v>
      </c>
      <c r="BE40" s="24">
        <f t="shared" si="34"/>
        <v>0</v>
      </c>
      <c r="BF40" s="24">
        <f t="shared" si="34"/>
        <v>0</v>
      </c>
      <c r="BG40" s="24">
        <f t="shared" si="34"/>
        <v>0</v>
      </c>
      <c r="BH40" s="24">
        <f t="shared" si="34"/>
        <v>0</v>
      </c>
      <c r="BI40" s="24">
        <f t="shared" si="34"/>
        <v>0</v>
      </c>
      <c r="BJ40" s="24">
        <f t="shared" si="34"/>
        <v>0</v>
      </c>
      <c r="BK40" s="24">
        <f t="shared" si="34"/>
        <v>0</v>
      </c>
      <c r="BL40" s="24">
        <f t="shared" si="34"/>
        <v>0</v>
      </c>
      <c r="BM40" s="24">
        <f t="shared" si="34"/>
        <v>0</v>
      </c>
      <c r="BN40" s="24">
        <f t="shared" si="34"/>
        <v>0</v>
      </c>
      <c r="BO40" s="24">
        <f t="shared" si="34"/>
        <v>0</v>
      </c>
      <c r="BP40" s="24">
        <f t="shared" si="34"/>
        <v>0</v>
      </c>
      <c r="BQ40" s="24">
        <f t="shared" si="34"/>
        <v>0</v>
      </c>
    </row>
    <row r="41" spans="1:69" s="32" customFormat="1" ht="13.5" customHeight="1">
      <c r="A41" s="1"/>
      <c r="B41" s="1"/>
      <c r="C41" s="31"/>
      <c r="D41" s="31" t="s">
        <v>132</v>
      </c>
      <c r="F41" s="32">
        <f>J243</f>
        <v>125.18362411749997</v>
      </c>
      <c r="G41" s="32" t="s">
        <v>139</v>
      </c>
      <c r="L41" s="42"/>
      <c r="M41" s="32">
        <f t="shared" ref="M41:M44" si="38">SUM(N41:XFD41)</f>
        <v>125.18362411749997</v>
      </c>
      <c r="O41" s="102">
        <f>SUM(O42:O44)</f>
        <v>37.555087235249992</v>
      </c>
      <c r="P41" s="102">
        <f t="shared" ref="P41:BQ41" si="39">SUM(P42:P44)</f>
        <v>0</v>
      </c>
      <c r="Q41" s="102">
        <f t="shared" si="39"/>
        <v>0</v>
      </c>
      <c r="R41" s="102">
        <f t="shared" si="39"/>
        <v>37.555087235249992</v>
      </c>
      <c r="S41" s="102">
        <f t="shared" si="39"/>
        <v>0</v>
      </c>
      <c r="T41" s="102">
        <f t="shared" si="39"/>
        <v>0</v>
      </c>
      <c r="U41" s="102">
        <f t="shared" si="39"/>
        <v>0</v>
      </c>
      <c r="V41" s="102">
        <f t="shared" si="39"/>
        <v>0</v>
      </c>
      <c r="W41" s="102">
        <f t="shared" si="39"/>
        <v>0</v>
      </c>
      <c r="X41" s="102">
        <f t="shared" si="39"/>
        <v>0</v>
      </c>
      <c r="Y41" s="102">
        <f t="shared" si="39"/>
        <v>0</v>
      </c>
      <c r="Z41" s="102">
        <f t="shared" si="39"/>
        <v>0</v>
      </c>
      <c r="AA41" s="102">
        <f t="shared" si="39"/>
        <v>0</v>
      </c>
      <c r="AB41" s="102">
        <f t="shared" si="39"/>
        <v>0</v>
      </c>
      <c r="AC41" s="102">
        <f t="shared" si="39"/>
        <v>50.07344964699999</v>
      </c>
      <c r="AD41" s="102">
        <f t="shared" si="39"/>
        <v>0</v>
      </c>
      <c r="AE41" s="102">
        <f t="shared" si="39"/>
        <v>0</v>
      </c>
      <c r="AF41" s="102">
        <f t="shared" si="39"/>
        <v>0</v>
      </c>
      <c r="AG41" s="102">
        <f t="shared" si="39"/>
        <v>0</v>
      </c>
      <c r="AH41" s="102">
        <f t="shared" si="39"/>
        <v>0</v>
      </c>
      <c r="AI41" s="102">
        <f t="shared" si="39"/>
        <v>0</v>
      </c>
      <c r="AJ41" s="102">
        <f t="shared" si="39"/>
        <v>0</v>
      </c>
      <c r="AK41" s="102">
        <f t="shared" si="39"/>
        <v>0</v>
      </c>
      <c r="AL41" s="102">
        <f t="shared" si="39"/>
        <v>0</v>
      </c>
      <c r="AM41" s="102">
        <f t="shared" si="39"/>
        <v>0</v>
      </c>
      <c r="AN41" s="102">
        <f t="shared" si="39"/>
        <v>0</v>
      </c>
      <c r="AO41" s="102">
        <f t="shared" si="39"/>
        <v>0</v>
      </c>
      <c r="AP41" s="102">
        <f t="shared" si="39"/>
        <v>0</v>
      </c>
      <c r="AQ41" s="102">
        <f t="shared" si="39"/>
        <v>0</v>
      </c>
      <c r="AR41" s="102">
        <f t="shared" si="39"/>
        <v>0</v>
      </c>
      <c r="AS41" s="102">
        <f t="shared" si="39"/>
        <v>0</v>
      </c>
      <c r="AT41" s="102">
        <f t="shared" si="39"/>
        <v>0</v>
      </c>
      <c r="AU41" s="102">
        <f t="shared" si="39"/>
        <v>0</v>
      </c>
      <c r="AV41" s="102">
        <f t="shared" si="39"/>
        <v>0</v>
      </c>
      <c r="AW41" s="102">
        <f t="shared" si="39"/>
        <v>0</v>
      </c>
      <c r="AX41" s="102">
        <f t="shared" si="39"/>
        <v>0</v>
      </c>
      <c r="AY41" s="102">
        <f t="shared" si="39"/>
        <v>0</v>
      </c>
      <c r="AZ41" s="102">
        <f t="shared" si="39"/>
        <v>0</v>
      </c>
      <c r="BA41" s="102">
        <f t="shared" si="39"/>
        <v>0</v>
      </c>
      <c r="BB41" s="102">
        <f t="shared" si="39"/>
        <v>0</v>
      </c>
      <c r="BC41" s="102">
        <f t="shared" si="39"/>
        <v>0</v>
      </c>
      <c r="BD41" s="102">
        <f t="shared" si="39"/>
        <v>0</v>
      </c>
      <c r="BE41" s="102">
        <f t="shared" si="39"/>
        <v>0</v>
      </c>
      <c r="BF41" s="102">
        <f t="shared" si="39"/>
        <v>0</v>
      </c>
      <c r="BG41" s="102">
        <f t="shared" si="39"/>
        <v>0</v>
      </c>
      <c r="BH41" s="102">
        <f t="shared" si="39"/>
        <v>0</v>
      </c>
      <c r="BI41" s="102">
        <f t="shared" si="39"/>
        <v>0</v>
      </c>
      <c r="BJ41" s="102">
        <f t="shared" si="39"/>
        <v>0</v>
      </c>
      <c r="BK41" s="102">
        <f t="shared" si="39"/>
        <v>0</v>
      </c>
      <c r="BL41" s="102">
        <f t="shared" si="39"/>
        <v>0</v>
      </c>
      <c r="BM41" s="102">
        <f t="shared" si="39"/>
        <v>0</v>
      </c>
      <c r="BN41" s="102">
        <f t="shared" si="39"/>
        <v>0</v>
      </c>
      <c r="BO41" s="102">
        <f t="shared" si="39"/>
        <v>0</v>
      </c>
      <c r="BP41" s="102">
        <f t="shared" si="39"/>
        <v>0</v>
      </c>
      <c r="BQ41" s="102">
        <f t="shared" si="39"/>
        <v>0</v>
      </c>
    </row>
    <row r="42" spans="1:69" s="22" customFormat="1" ht="13.5" customHeight="1">
      <c r="A42" s="1"/>
      <c r="B42" s="1"/>
      <c r="C42" s="31"/>
      <c r="D42" s="30" t="s">
        <v>66</v>
      </c>
      <c r="F42" s="22">
        <f>$F$41*G42</f>
        <v>37.555087235249992</v>
      </c>
      <c r="G42" s="105">
        <v>0.3</v>
      </c>
      <c r="H42" s="39">
        <f>H38</f>
        <v>44377</v>
      </c>
      <c r="L42" s="43"/>
      <c r="M42" s="22">
        <f t="shared" si="38"/>
        <v>37.555087235249992</v>
      </c>
      <c r="O42" s="22">
        <f>(O$11=$H42)*$F42</f>
        <v>37.555087235249992</v>
      </c>
      <c r="P42" s="22">
        <f t="shared" ref="P42:BQ44" si="40">(P$11=$H42)*$F42</f>
        <v>0</v>
      </c>
      <c r="Q42" s="22">
        <f t="shared" si="40"/>
        <v>0</v>
      </c>
      <c r="R42" s="22">
        <f t="shared" si="40"/>
        <v>0</v>
      </c>
      <c r="S42" s="22">
        <f t="shared" si="40"/>
        <v>0</v>
      </c>
      <c r="T42" s="22">
        <f t="shared" si="40"/>
        <v>0</v>
      </c>
      <c r="U42" s="22">
        <f t="shared" si="40"/>
        <v>0</v>
      </c>
      <c r="V42" s="22">
        <f t="shared" si="40"/>
        <v>0</v>
      </c>
      <c r="W42" s="22">
        <f t="shared" si="40"/>
        <v>0</v>
      </c>
      <c r="X42" s="22">
        <f t="shared" si="40"/>
        <v>0</v>
      </c>
      <c r="Y42" s="22">
        <f t="shared" si="40"/>
        <v>0</v>
      </c>
      <c r="Z42" s="22">
        <f t="shared" si="40"/>
        <v>0</v>
      </c>
      <c r="AA42" s="22">
        <f t="shared" si="40"/>
        <v>0</v>
      </c>
      <c r="AB42" s="22">
        <f t="shared" si="40"/>
        <v>0</v>
      </c>
      <c r="AC42" s="22">
        <f t="shared" si="40"/>
        <v>0</v>
      </c>
      <c r="AD42" s="22">
        <f t="shared" si="40"/>
        <v>0</v>
      </c>
      <c r="AE42" s="22">
        <f t="shared" si="40"/>
        <v>0</v>
      </c>
      <c r="AF42" s="22">
        <f t="shared" si="40"/>
        <v>0</v>
      </c>
      <c r="AG42" s="22">
        <f t="shared" si="40"/>
        <v>0</v>
      </c>
      <c r="AH42" s="22">
        <f t="shared" si="40"/>
        <v>0</v>
      </c>
      <c r="AI42" s="22">
        <f t="shared" si="40"/>
        <v>0</v>
      </c>
      <c r="AJ42" s="22">
        <f t="shared" si="40"/>
        <v>0</v>
      </c>
      <c r="AK42" s="22">
        <f t="shared" si="40"/>
        <v>0</v>
      </c>
      <c r="AL42" s="22">
        <f t="shared" si="40"/>
        <v>0</v>
      </c>
      <c r="AM42" s="22">
        <f t="shared" si="40"/>
        <v>0</v>
      </c>
      <c r="AN42" s="22">
        <f t="shared" si="40"/>
        <v>0</v>
      </c>
      <c r="AO42" s="22">
        <f t="shared" si="40"/>
        <v>0</v>
      </c>
      <c r="AP42" s="22">
        <f t="shared" si="40"/>
        <v>0</v>
      </c>
      <c r="AQ42" s="22">
        <f t="shared" si="40"/>
        <v>0</v>
      </c>
      <c r="AR42" s="22">
        <f t="shared" si="40"/>
        <v>0</v>
      </c>
      <c r="AS42" s="22">
        <f t="shared" si="40"/>
        <v>0</v>
      </c>
      <c r="AT42" s="22">
        <f t="shared" si="40"/>
        <v>0</v>
      </c>
      <c r="AU42" s="22">
        <f t="shared" si="40"/>
        <v>0</v>
      </c>
      <c r="AV42" s="22">
        <f t="shared" si="40"/>
        <v>0</v>
      </c>
      <c r="AW42" s="22">
        <f t="shared" si="40"/>
        <v>0</v>
      </c>
      <c r="AX42" s="22">
        <f t="shared" si="40"/>
        <v>0</v>
      </c>
      <c r="AY42" s="22">
        <f t="shared" si="40"/>
        <v>0</v>
      </c>
      <c r="AZ42" s="22">
        <f t="shared" si="40"/>
        <v>0</v>
      </c>
      <c r="BA42" s="22">
        <f t="shared" si="40"/>
        <v>0</v>
      </c>
      <c r="BB42" s="22">
        <f t="shared" si="40"/>
        <v>0</v>
      </c>
      <c r="BC42" s="22">
        <f t="shared" si="40"/>
        <v>0</v>
      </c>
      <c r="BD42" s="22">
        <f t="shared" si="40"/>
        <v>0</v>
      </c>
      <c r="BE42" s="22">
        <f t="shared" si="40"/>
        <v>0</v>
      </c>
      <c r="BF42" s="22">
        <f t="shared" si="40"/>
        <v>0</v>
      </c>
      <c r="BG42" s="22">
        <f t="shared" si="40"/>
        <v>0</v>
      </c>
      <c r="BH42" s="22">
        <f t="shared" si="40"/>
        <v>0</v>
      </c>
      <c r="BI42" s="22">
        <f t="shared" si="40"/>
        <v>0</v>
      </c>
      <c r="BJ42" s="22">
        <f t="shared" si="40"/>
        <v>0</v>
      </c>
      <c r="BK42" s="22">
        <f t="shared" si="40"/>
        <v>0</v>
      </c>
      <c r="BL42" s="22">
        <f t="shared" si="40"/>
        <v>0</v>
      </c>
      <c r="BM42" s="22">
        <f t="shared" si="40"/>
        <v>0</v>
      </c>
      <c r="BN42" s="22">
        <f t="shared" si="40"/>
        <v>0</v>
      </c>
      <c r="BO42" s="22">
        <f t="shared" si="40"/>
        <v>0</v>
      </c>
      <c r="BP42" s="22">
        <f t="shared" si="40"/>
        <v>0</v>
      </c>
      <c r="BQ42" s="22">
        <f t="shared" si="40"/>
        <v>0</v>
      </c>
    </row>
    <row r="43" spans="1:69" s="32" customFormat="1" ht="13.5" customHeight="1">
      <c r="A43" s="1"/>
      <c r="B43" s="1"/>
      <c r="C43" s="31"/>
      <c r="D43" s="31" t="s">
        <v>67</v>
      </c>
      <c r="F43" s="32">
        <f t="shared" ref="F43:F44" si="41">$F$41*G43</f>
        <v>37.555087235249992</v>
      </c>
      <c r="G43" s="106">
        <v>0.3</v>
      </c>
      <c r="H43" s="40">
        <f t="shared" ref="H43:H44" si="42">H39</f>
        <v>44469</v>
      </c>
      <c r="L43" s="42"/>
      <c r="M43" s="32">
        <f t="shared" si="38"/>
        <v>37.555087235249992</v>
      </c>
      <c r="O43" s="32">
        <f t="shared" ref="O43:AD44" si="43">(O$11=$H43)*$F43</f>
        <v>0</v>
      </c>
      <c r="P43" s="32">
        <f t="shared" si="43"/>
        <v>0</v>
      </c>
      <c r="Q43" s="32">
        <f t="shared" si="43"/>
        <v>0</v>
      </c>
      <c r="R43" s="32">
        <f t="shared" si="43"/>
        <v>37.555087235249992</v>
      </c>
      <c r="S43" s="32">
        <f t="shared" si="43"/>
        <v>0</v>
      </c>
      <c r="T43" s="32">
        <f t="shared" si="43"/>
        <v>0</v>
      </c>
      <c r="U43" s="32">
        <f t="shared" si="43"/>
        <v>0</v>
      </c>
      <c r="V43" s="32">
        <f t="shared" si="43"/>
        <v>0</v>
      </c>
      <c r="W43" s="32">
        <f t="shared" si="43"/>
        <v>0</v>
      </c>
      <c r="X43" s="32">
        <f t="shared" si="43"/>
        <v>0</v>
      </c>
      <c r="Y43" s="32">
        <f t="shared" si="43"/>
        <v>0</v>
      </c>
      <c r="Z43" s="32">
        <f t="shared" si="43"/>
        <v>0</v>
      </c>
      <c r="AA43" s="32">
        <f t="shared" si="43"/>
        <v>0</v>
      </c>
      <c r="AB43" s="32">
        <f t="shared" si="43"/>
        <v>0</v>
      </c>
      <c r="AC43" s="32">
        <f t="shared" si="43"/>
        <v>0</v>
      </c>
      <c r="AD43" s="32">
        <f t="shared" si="43"/>
        <v>0</v>
      </c>
      <c r="AE43" s="32">
        <f t="shared" si="40"/>
        <v>0</v>
      </c>
      <c r="AF43" s="32">
        <f t="shared" si="40"/>
        <v>0</v>
      </c>
      <c r="AG43" s="32">
        <f t="shared" si="40"/>
        <v>0</v>
      </c>
      <c r="AH43" s="32">
        <f t="shared" si="40"/>
        <v>0</v>
      </c>
      <c r="AI43" s="32">
        <f t="shared" si="40"/>
        <v>0</v>
      </c>
      <c r="AJ43" s="32">
        <f t="shared" si="40"/>
        <v>0</v>
      </c>
      <c r="AK43" s="32">
        <f t="shared" si="40"/>
        <v>0</v>
      </c>
      <c r="AL43" s="32">
        <f t="shared" si="40"/>
        <v>0</v>
      </c>
      <c r="AM43" s="32">
        <f t="shared" si="40"/>
        <v>0</v>
      </c>
      <c r="AN43" s="32">
        <f t="shared" si="40"/>
        <v>0</v>
      </c>
      <c r="AO43" s="32">
        <f t="shared" si="40"/>
        <v>0</v>
      </c>
      <c r="AP43" s="32">
        <f t="shared" si="40"/>
        <v>0</v>
      </c>
      <c r="AQ43" s="32">
        <f t="shared" si="40"/>
        <v>0</v>
      </c>
      <c r="AR43" s="32">
        <f t="shared" si="40"/>
        <v>0</v>
      </c>
      <c r="AS43" s="32">
        <f t="shared" si="40"/>
        <v>0</v>
      </c>
      <c r="AT43" s="32">
        <f t="shared" si="40"/>
        <v>0</v>
      </c>
      <c r="AU43" s="32">
        <f t="shared" si="40"/>
        <v>0</v>
      </c>
      <c r="AV43" s="32">
        <f t="shared" si="40"/>
        <v>0</v>
      </c>
      <c r="AW43" s="32">
        <f t="shared" si="40"/>
        <v>0</v>
      </c>
      <c r="AX43" s="32">
        <f t="shared" si="40"/>
        <v>0</v>
      </c>
      <c r="AY43" s="32">
        <f t="shared" si="40"/>
        <v>0</v>
      </c>
      <c r="AZ43" s="32">
        <f t="shared" si="40"/>
        <v>0</v>
      </c>
      <c r="BA43" s="32">
        <f t="shared" si="40"/>
        <v>0</v>
      </c>
      <c r="BB43" s="32">
        <f t="shared" si="40"/>
        <v>0</v>
      </c>
      <c r="BC43" s="32">
        <f t="shared" si="40"/>
        <v>0</v>
      </c>
      <c r="BD43" s="32">
        <f t="shared" si="40"/>
        <v>0</v>
      </c>
      <c r="BE43" s="32">
        <f t="shared" si="40"/>
        <v>0</v>
      </c>
      <c r="BF43" s="32">
        <f t="shared" si="40"/>
        <v>0</v>
      </c>
      <c r="BG43" s="32">
        <f t="shared" si="40"/>
        <v>0</v>
      </c>
      <c r="BH43" s="32">
        <f t="shared" si="40"/>
        <v>0</v>
      </c>
      <c r="BI43" s="32">
        <f t="shared" si="40"/>
        <v>0</v>
      </c>
      <c r="BJ43" s="32">
        <f t="shared" si="40"/>
        <v>0</v>
      </c>
      <c r="BK43" s="32">
        <f t="shared" si="40"/>
        <v>0</v>
      </c>
      <c r="BL43" s="32">
        <f t="shared" si="40"/>
        <v>0</v>
      </c>
      <c r="BM43" s="32">
        <f t="shared" si="40"/>
        <v>0</v>
      </c>
      <c r="BN43" s="32">
        <f t="shared" si="40"/>
        <v>0</v>
      </c>
      <c r="BO43" s="32">
        <f t="shared" si="40"/>
        <v>0</v>
      </c>
      <c r="BP43" s="32">
        <f t="shared" si="40"/>
        <v>0</v>
      </c>
      <c r="BQ43" s="32">
        <f t="shared" si="40"/>
        <v>0</v>
      </c>
    </row>
    <row r="44" spans="1:69" s="24" customFormat="1" ht="13.5" customHeight="1">
      <c r="A44" s="1"/>
      <c r="B44" s="1"/>
      <c r="C44" s="31"/>
      <c r="D44" s="33" t="s">
        <v>68</v>
      </c>
      <c r="F44" s="24">
        <f t="shared" si="41"/>
        <v>50.07344964699999</v>
      </c>
      <c r="G44" s="107">
        <v>0.4</v>
      </c>
      <c r="H44" s="41">
        <f t="shared" si="42"/>
        <v>44804</v>
      </c>
      <c r="L44" s="44"/>
      <c r="M44" s="24">
        <f t="shared" si="38"/>
        <v>50.07344964699999</v>
      </c>
      <c r="O44" s="24">
        <f t="shared" si="43"/>
        <v>0</v>
      </c>
      <c r="P44" s="24">
        <f t="shared" si="40"/>
        <v>0</v>
      </c>
      <c r="Q44" s="24">
        <f t="shared" si="40"/>
        <v>0</v>
      </c>
      <c r="R44" s="24">
        <f t="shared" si="40"/>
        <v>0</v>
      </c>
      <c r="S44" s="24">
        <f t="shared" si="40"/>
        <v>0</v>
      </c>
      <c r="T44" s="24">
        <f t="shared" si="40"/>
        <v>0</v>
      </c>
      <c r="U44" s="24">
        <f t="shared" si="40"/>
        <v>0</v>
      </c>
      <c r="V44" s="24">
        <f t="shared" si="40"/>
        <v>0</v>
      </c>
      <c r="W44" s="24">
        <f t="shared" si="40"/>
        <v>0</v>
      </c>
      <c r="X44" s="24">
        <f t="shared" si="40"/>
        <v>0</v>
      </c>
      <c r="Y44" s="24">
        <f t="shared" si="40"/>
        <v>0</v>
      </c>
      <c r="Z44" s="24">
        <f t="shared" si="40"/>
        <v>0</v>
      </c>
      <c r="AA44" s="24">
        <f t="shared" si="40"/>
        <v>0</v>
      </c>
      <c r="AB44" s="24">
        <f t="shared" si="40"/>
        <v>0</v>
      </c>
      <c r="AC44" s="24">
        <f t="shared" si="40"/>
        <v>50.07344964699999</v>
      </c>
      <c r="AD44" s="24">
        <f t="shared" si="40"/>
        <v>0</v>
      </c>
      <c r="AE44" s="24">
        <f t="shared" si="40"/>
        <v>0</v>
      </c>
      <c r="AF44" s="24">
        <f t="shared" si="40"/>
        <v>0</v>
      </c>
      <c r="AG44" s="24">
        <f t="shared" si="40"/>
        <v>0</v>
      </c>
      <c r="AH44" s="24">
        <f t="shared" si="40"/>
        <v>0</v>
      </c>
      <c r="AI44" s="24">
        <f t="shared" si="40"/>
        <v>0</v>
      </c>
      <c r="AJ44" s="24">
        <f t="shared" si="40"/>
        <v>0</v>
      </c>
      <c r="AK44" s="24">
        <f t="shared" si="40"/>
        <v>0</v>
      </c>
      <c r="AL44" s="24">
        <f t="shared" si="40"/>
        <v>0</v>
      </c>
      <c r="AM44" s="24">
        <f t="shared" si="40"/>
        <v>0</v>
      </c>
      <c r="AN44" s="24">
        <f t="shared" si="40"/>
        <v>0</v>
      </c>
      <c r="AO44" s="24">
        <f t="shared" si="40"/>
        <v>0</v>
      </c>
      <c r="AP44" s="24">
        <f t="shared" si="40"/>
        <v>0</v>
      </c>
      <c r="AQ44" s="24">
        <f t="shared" si="40"/>
        <v>0</v>
      </c>
      <c r="AR44" s="24">
        <f t="shared" si="40"/>
        <v>0</v>
      </c>
      <c r="AS44" s="24">
        <f t="shared" si="40"/>
        <v>0</v>
      </c>
      <c r="AT44" s="24">
        <f t="shared" si="40"/>
        <v>0</v>
      </c>
      <c r="AU44" s="24">
        <f t="shared" si="40"/>
        <v>0</v>
      </c>
      <c r="AV44" s="24">
        <f t="shared" si="40"/>
        <v>0</v>
      </c>
      <c r="AW44" s="24">
        <f t="shared" si="40"/>
        <v>0</v>
      </c>
      <c r="AX44" s="24">
        <f t="shared" si="40"/>
        <v>0</v>
      </c>
      <c r="AY44" s="24">
        <f t="shared" si="40"/>
        <v>0</v>
      </c>
      <c r="AZ44" s="24">
        <f t="shared" si="40"/>
        <v>0</v>
      </c>
      <c r="BA44" s="24">
        <f t="shared" si="40"/>
        <v>0</v>
      </c>
      <c r="BB44" s="24">
        <f t="shared" si="40"/>
        <v>0</v>
      </c>
      <c r="BC44" s="24">
        <f t="shared" si="40"/>
        <v>0</v>
      </c>
      <c r="BD44" s="24">
        <f t="shared" si="40"/>
        <v>0</v>
      </c>
      <c r="BE44" s="24">
        <f t="shared" si="40"/>
        <v>0</v>
      </c>
      <c r="BF44" s="24">
        <f t="shared" si="40"/>
        <v>0</v>
      </c>
      <c r="BG44" s="24">
        <f t="shared" si="40"/>
        <v>0</v>
      </c>
      <c r="BH44" s="24">
        <f t="shared" si="40"/>
        <v>0</v>
      </c>
      <c r="BI44" s="24">
        <f t="shared" si="40"/>
        <v>0</v>
      </c>
      <c r="BJ44" s="24">
        <f t="shared" si="40"/>
        <v>0</v>
      </c>
      <c r="BK44" s="24">
        <f t="shared" si="40"/>
        <v>0</v>
      </c>
      <c r="BL44" s="24">
        <f t="shared" si="40"/>
        <v>0</v>
      </c>
      <c r="BM44" s="24">
        <f t="shared" si="40"/>
        <v>0</v>
      </c>
      <c r="BN44" s="24">
        <f t="shared" si="40"/>
        <v>0</v>
      </c>
      <c r="BO44" s="24">
        <f t="shared" si="40"/>
        <v>0</v>
      </c>
      <c r="BP44" s="24">
        <f t="shared" si="40"/>
        <v>0</v>
      </c>
      <c r="BQ44" s="24">
        <f t="shared" si="40"/>
        <v>0</v>
      </c>
    </row>
    <row r="45" spans="1:69" s="32" customFormat="1" ht="13.5" customHeight="1">
      <c r="A45" s="1"/>
      <c r="B45" s="1"/>
      <c r="C45" s="31"/>
      <c r="D45" s="31" t="s">
        <v>141</v>
      </c>
      <c r="F45" s="32">
        <f>J264</f>
        <v>84.753053319999992</v>
      </c>
      <c r="G45" s="32" t="s">
        <v>140</v>
      </c>
      <c r="L45" s="42"/>
      <c r="M45" s="32">
        <f>SUM(N45:XFD45)</f>
        <v>84.753053319999992</v>
      </c>
      <c r="O45" s="102">
        <f>SUM(O46:O48)</f>
        <v>25.425915995999997</v>
      </c>
      <c r="P45" s="102">
        <f t="shared" ref="P45:BQ45" si="44">SUM(P46:P48)</f>
        <v>0</v>
      </c>
      <c r="Q45" s="102">
        <f t="shared" si="44"/>
        <v>0</v>
      </c>
      <c r="R45" s="102">
        <f t="shared" si="44"/>
        <v>25.425915995999997</v>
      </c>
      <c r="S45" s="102">
        <f t="shared" si="44"/>
        <v>0</v>
      </c>
      <c r="T45" s="102">
        <f t="shared" si="44"/>
        <v>0</v>
      </c>
      <c r="U45" s="102">
        <f t="shared" si="44"/>
        <v>0</v>
      </c>
      <c r="V45" s="102">
        <f t="shared" si="44"/>
        <v>0</v>
      </c>
      <c r="W45" s="102">
        <f t="shared" si="44"/>
        <v>0</v>
      </c>
      <c r="X45" s="102">
        <f t="shared" si="44"/>
        <v>0</v>
      </c>
      <c r="Y45" s="102">
        <f t="shared" si="44"/>
        <v>0</v>
      </c>
      <c r="Z45" s="102">
        <f t="shared" si="44"/>
        <v>0</v>
      </c>
      <c r="AA45" s="102">
        <f t="shared" si="44"/>
        <v>0</v>
      </c>
      <c r="AB45" s="102">
        <f t="shared" si="44"/>
        <v>0</v>
      </c>
      <c r="AC45" s="102">
        <f t="shared" si="44"/>
        <v>33.901221327999998</v>
      </c>
      <c r="AD45" s="102">
        <f t="shared" si="44"/>
        <v>0</v>
      </c>
      <c r="AE45" s="102">
        <f t="shared" si="44"/>
        <v>0</v>
      </c>
      <c r="AF45" s="102">
        <f t="shared" si="44"/>
        <v>0</v>
      </c>
      <c r="AG45" s="102">
        <f t="shared" si="44"/>
        <v>0</v>
      </c>
      <c r="AH45" s="102">
        <f t="shared" si="44"/>
        <v>0</v>
      </c>
      <c r="AI45" s="102">
        <f t="shared" si="44"/>
        <v>0</v>
      </c>
      <c r="AJ45" s="102">
        <f t="shared" si="44"/>
        <v>0</v>
      </c>
      <c r="AK45" s="102">
        <f t="shared" si="44"/>
        <v>0</v>
      </c>
      <c r="AL45" s="102">
        <f t="shared" si="44"/>
        <v>0</v>
      </c>
      <c r="AM45" s="102">
        <f t="shared" si="44"/>
        <v>0</v>
      </c>
      <c r="AN45" s="102">
        <f t="shared" si="44"/>
        <v>0</v>
      </c>
      <c r="AO45" s="102">
        <f t="shared" si="44"/>
        <v>0</v>
      </c>
      <c r="AP45" s="102">
        <f t="shared" si="44"/>
        <v>0</v>
      </c>
      <c r="AQ45" s="102">
        <f t="shared" si="44"/>
        <v>0</v>
      </c>
      <c r="AR45" s="102">
        <f t="shared" si="44"/>
        <v>0</v>
      </c>
      <c r="AS45" s="102">
        <f t="shared" si="44"/>
        <v>0</v>
      </c>
      <c r="AT45" s="102">
        <f t="shared" si="44"/>
        <v>0</v>
      </c>
      <c r="AU45" s="102">
        <f t="shared" si="44"/>
        <v>0</v>
      </c>
      <c r="AV45" s="102">
        <f t="shared" si="44"/>
        <v>0</v>
      </c>
      <c r="AW45" s="102">
        <f t="shared" si="44"/>
        <v>0</v>
      </c>
      <c r="AX45" s="102">
        <f t="shared" si="44"/>
        <v>0</v>
      </c>
      <c r="AY45" s="102">
        <f t="shared" si="44"/>
        <v>0</v>
      </c>
      <c r="AZ45" s="102">
        <f t="shared" si="44"/>
        <v>0</v>
      </c>
      <c r="BA45" s="102">
        <f t="shared" si="44"/>
        <v>0</v>
      </c>
      <c r="BB45" s="102">
        <f t="shared" si="44"/>
        <v>0</v>
      </c>
      <c r="BC45" s="102">
        <f t="shared" si="44"/>
        <v>0</v>
      </c>
      <c r="BD45" s="102">
        <f t="shared" si="44"/>
        <v>0</v>
      </c>
      <c r="BE45" s="102">
        <f t="shared" si="44"/>
        <v>0</v>
      </c>
      <c r="BF45" s="102">
        <f t="shared" si="44"/>
        <v>0</v>
      </c>
      <c r="BG45" s="102">
        <f t="shared" si="44"/>
        <v>0</v>
      </c>
      <c r="BH45" s="102">
        <f t="shared" si="44"/>
        <v>0</v>
      </c>
      <c r="BI45" s="102">
        <f t="shared" si="44"/>
        <v>0</v>
      </c>
      <c r="BJ45" s="102">
        <f t="shared" si="44"/>
        <v>0</v>
      </c>
      <c r="BK45" s="102">
        <f t="shared" si="44"/>
        <v>0</v>
      </c>
      <c r="BL45" s="102">
        <f t="shared" si="44"/>
        <v>0</v>
      </c>
      <c r="BM45" s="102">
        <f t="shared" si="44"/>
        <v>0</v>
      </c>
      <c r="BN45" s="102">
        <f t="shared" si="44"/>
        <v>0</v>
      </c>
      <c r="BO45" s="102">
        <f t="shared" si="44"/>
        <v>0</v>
      </c>
      <c r="BP45" s="102">
        <f t="shared" si="44"/>
        <v>0</v>
      </c>
      <c r="BQ45" s="102">
        <f t="shared" si="44"/>
        <v>0</v>
      </c>
    </row>
    <row r="46" spans="1:69" s="22" customFormat="1" ht="13.5" customHeight="1">
      <c r="A46" s="1"/>
      <c r="B46" s="1"/>
      <c r="C46" s="31"/>
      <c r="D46" s="30" t="s">
        <v>66</v>
      </c>
      <c r="F46" s="22">
        <f>$F$45*G46</f>
        <v>25.425915995999997</v>
      </c>
      <c r="G46" s="105">
        <v>0.3</v>
      </c>
      <c r="H46" s="39">
        <f>H42</f>
        <v>44377</v>
      </c>
      <c r="L46" s="43"/>
      <c r="M46" s="22">
        <f t="shared" ref="M46:M48" si="45">SUM(N46:XFD46)</f>
        <v>25.425915995999997</v>
      </c>
      <c r="O46" s="22">
        <f>(O$11=$H46)*$F46</f>
        <v>25.425915995999997</v>
      </c>
      <c r="P46" s="22">
        <f t="shared" ref="P46:BQ48" si="46">(P$11=$H46)*$F46</f>
        <v>0</v>
      </c>
      <c r="Q46" s="22">
        <f t="shared" si="46"/>
        <v>0</v>
      </c>
      <c r="R46" s="22">
        <f t="shared" si="46"/>
        <v>0</v>
      </c>
      <c r="S46" s="22">
        <f t="shared" si="46"/>
        <v>0</v>
      </c>
      <c r="T46" s="22">
        <f t="shared" si="46"/>
        <v>0</v>
      </c>
      <c r="U46" s="22">
        <f t="shared" si="46"/>
        <v>0</v>
      </c>
      <c r="V46" s="22">
        <f t="shared" si="46"/>
        <v>0</v>
      </c>
      <c r="W46" s="22">
        <f t="shared" si="46"/>
        <v>0</v>
      </c>
      <c r="X46" s="22">
        <f t="shared" si="46"/>
        <v>0</v>
      </c>
      <c r="Y46" s="22">
        <f t="shared" si="46"/>
        <v>0</v>
      </c>
      <c r="Z46" s="22">
        <f t="shared" si="46"/>
        <v>0</v>
      </c>
      <c r="AA46" s="22">
        <f t="shared" si="46"/>
        <v>0</v>
      </c>
      <c r="AB46" s="22">
        <f t="shared" si="46"/>
        <v>0</v>
      </c>
      <c r="AC46" s="22">
        <f t="shared" si="46"/>
        <v>0</v>
      </c>
      <c r="AD46" s="22">
        <f t="shared" si="46"/>
        <v>0</v>
      </c>
      <c r="AE46" s="22">
        <f t="shared" si="46"/>
        <v>0</v>
      </c>
      <c r="AF46" s="22">
        <f t="shared" si="46"/>
        <v>0</v>
      </c>
      <c r="AG46" s="22">
        <f t="shared" si="46"/>
        <v>0</v>
      </c>
      <c r="AH46" s="22">
        <f t="shared" si="46"/>
        <v>0</v>
      </c>
      <c r="AI46" s="22">
        <f t="shared" si="46"/>
        <v>0</v>
      </c>
      <c r="AJ46" s="22">
        <f t="shared" si="46"/>
        <v>0</v>
      </c>
      <c r="AK46" s="22">
        <f t="shared" si="46"/>
        <v>0</v>
      </c>
      <c r="AL46" s="22">
        <f t="shared" si="46"/>
        <v>0</v>
      </c>
      <c r="AM46" s="22">
        <f t="shared" si="46"/>
        <v>0</v>
      </c>
      <c r="AN46" s="22">
        <f t="shared" si="46"/>
        <v>0</v>
      </c>
      <c r="AO46" s="22">
        <f t="shared" si="46"/>
        <v>0</v>
      </c>
      <c r="AP46" s="22">
        <f t="shared" si="46"/>
        <v>0</v>
      </c>
      <c r="AQ46" s="22">
        <f t="shared" si="46"/>
        <v>0</v>
      </c>
      <c r="AR46" s="22">
        <f t="shared" si="46"/>
        <v>0</v>
      </c>
      <c r="AS46" s="22">
        <f t="shared" si="46"/>
        <v>0</v>
      </c>
      <c r="AT46" s="22">
        <f t="shared" si="46"/>
        <v>0</v>
      </c>
      <c r="AU46" s="22">
        <f t="shared" si="46"/>
        <v>0</v>
      </c>
      <c r="AV46" s="22">
        <f t="shared" si="46"/>
        <v>0</v>
      </c>
      <c r="AW46" s="22">
        <f t="shared" si="46"/>
        <v>0</v>
      </c>
      <c r="AX46" s="22">
        <f t="shared" si="46"/>
        <v>0</v>
      </c>
      <c r="AY46" s="22">
        <f t="shared" si="46"/>
        <v>0</v>
      </c>
      <c r="AZ46" s="22">
        <f t="shared" si="46"/>
        <v>0</v>
      </c>
      <c r="BA46" s="22">
        <f t="shared" si="46"/>
        <v>0</v>
      </c>
      <c r="BB46" s="22">
        <f t="shared" si="46"/>
        <v>0</v>
      </c>
      <c r="BC46" s="22">
        <f t="shared" si="46"/>
        <v>0</v>
      </c>
      <c r="BD46" s="22">
        <f t="shared" si="46"/>
        <v>0</v>
      </c>
      <c r="BE46" s="22">
        <f t="shared" si="46"/>
        <v>0</v>
      </c>
      <c r="BF46" s="22">
        <f t="shared" si="46"/>
        <v>0</v>
      </c>
      <c r="BG46" s="22">
        <f t="shared" si="46"/>
        <v>0</v>
      </c>
      <c r="BH46" s="22">
        <f t="shared" si="46"/>
        <v>0</v>
      </c>
      <c r="BI46" s="22">
        <f t="shared" si="46"/>
        <v>0</v>
      </c>
      <c r="BJ46" s="22">
        <f t="shared" si="46"/>
        <v>0</v>
      </c>
      <c r="BK46" s="22">
        <f t="shared" si="46"/>
        <v>0</v>
      </c>
      <c r="BL46" s="22">
        <f t="shared" si="46"/>
        <v>0</v>
      </c>
      <c r="BM46" s="22">
        <f t="shared" si="46"/>
        <v>0</v>
      </c>
      <c r="BN46" s="22">
        <f t="shared" si="46"/>
        <v>0</v>
      </c>
      <c r="BO46" s="22">
        <f t="shared" si="46"/>
        <v>0</v>
      </c>
      <c r="BP46" s="22">
        <f t="shared" si="46"/>
        <v>0</v>
      </c>
      <c r="BQ46" s="22">
        <f t="shared" si="46"/>
        <v>0</v>
      </c>
    </row>
    <row r="47" spans="1:69" s="32" customFormat="1" ht="13.5" customHeight="1">
      <c r="A47" s="1"/>
      <c r="B47" s="1"/>
      <c r="C47" s="31"/>
      <c r="D47" s="31" t="s">
        <v>67</v>
      </c>
      <c r="F47" s="32">
        <f t="shared" ref="F47:F48" si="47">$F$45*G47</f>
        <v>25.425915995999997</v>
      </c>
      <c r="G47" s="106">
        <v>0.3</v>
      </c>
      <c r="H47" s="40">
        <f t="shared" ref="H47:H48" si="48">H43</f>
        <v>44469</v>
      </c>
      <c r="L47" s="42"/>
      <c r="M47" s="32">
        <f t="shared" si="45"/>
        <v>25.425915995999997</v>
      </c>
      <c r="O47" s="32">
        <f t="shared" ref="O47:AD48" si="49">(O$11=$H47)*$F47</f>
        <v>0</v>
      </c>
      <c r="P47" s="32">
        <f t="shared" si="49"/>
        <v>0</v>
      </c>
      <c r="Q47" s="32">
        <f t="shared" si="49"/>
        <v>0</v>
      </c>
      <c r="R47" s="32">
        <f t="shared" si="49"/>
        <v>25.425915995999997</v>
      </c>
      <c r="S47" s="32">
        <f t="shared" si="49"/>
        <v>0</v>
      </c>
      <c r="T47" s="32">
        <f t="shared" si="49"/>
        <v>0</v>
      </c>
      <c r="U47" s="32">
        <f t="shared" si="49"/>
        <v>0</v>
      </c>
      <c r="V47" s="32">
        <f t="shared" si="49"/>
        <v>0</v>
      </c>
      <c r="W47" s="32">
        <f t="shared" si="49"/>
        <v>0</v>
      </c>
      <c r="X47" s="32">
        <f t="shared" si="49"/>
        <v>0</v>
      </c>
      <c r="Y47" s="32">
        <f t="shared" si="49"/>
        <v>0</v>
      </c>
      <c r="Z47" s="32">
        <f t="shared" si="49"/>
        <v>0</v>
      </c>
      <c r="AA47" s="32">
        <f t="shared" si="49"/>
        <v>0</v>
      </c>
      <c r="AB47" s="32">
        <f t="shared" si="49"/>
        <v>0</v>
      </c>
      <c r="AC47" s="32">
        <f t="shared" si="49"/>
        <v>0</v>
      </c>
      <c r="AD47" s="32">
        <f t="shared" si="49"/>
        <v>0</v>
      </c>
      <c r="AE47" s="32">
        <f t="shared" si="46"/>
        <v>0</v>
      </c>
      <c r="AF47" s="32">
        <f t="shared" si="46"/>
        <v>0</v>
      </c>
      <c r="AG47" s="32">
        <f t="shared" si="46"/>
        <v>0</v>
      </c>
      <c r="AH47" s="32">
        <f t="shared" si="46"/>
        <v>0</v>
      </c>
      <c r="AI47" s="32">
        <f t="shared" si="46"/>
        <v>0</v>
      </c>
      <c r="AJ47" s="32">
        <f t="shared" si="46"/>
        <v>0</v>
      </c>
      <c r="AK47" s="32">
        <f t="shared" si="46"/>
        <v>0</v>
      </c>
      <c r="AL47" s="32">
        <f t="shared" si="46"/>
        <v>0</v>
      </c>
      <c r="AM47" s="32">
        <f t="shared" si="46"/>
        <v>0</v>
      </c>
      <c r="AN47" s="32">
        <f t="shared" si="46"/>
        <v>0</v>
      </c>
      <c r="AO47" s="32">
        <f t="shared" si="46"/>
        <v>0</v>
      </c>
      <c r="AP47" s="32">
        <f t="shared" si="46"/>
        <v>0</v>
      </c>
      <c r="AQ47" s="32">
        <f t="shared" si="46"/>
        <v>0</v>
      </c>
      <c r="AR47" s="32">
        <f t="shared" si="46"/>
        <v>0</v>
      </c>
      <c r="AS47" s="32">
        <f t="shared" si="46"/>
        <v>0</v>
      </c>
      <c r="AT47" s="32">
        <f t="shared" si="46"/>
        <v>0</v>
      </c>
      <c r="AU47" s="32">
        <f t="shared" si="46"/>
        <v>0</v>
      </c>
      <c r="AV47" s="32">
        <f t="shared" si="46"/>
        <v>0</v>
      </c>
      <c r="AW47" s="32">
        <f t="shared" si="46"/>
        <v>0</v>
      </c>
      <c r="AX47" s="32">
        <f t="shared" si="46"/>
        <v>0</v>
      </c>
      <c r="AY47" s="32">
        <f t="shared" si="46"/>
        <v>0</v>
      </c>
      <c r="AZ47" s="32">
        <f t="shared" si="46"/>
        <v>0</v>
      </c>
      <c r="BA47" s="32">
        <f t="shared" si="46"/>
        <v>0</v>
      </c>
      <c r="BB47" s="32">
        <f t="shared" si="46"/>
        <v>0</v>
      </c>
      <c r="BC47" s="32">
        <f t="shared" si="46"/>
        <v>0</v>
      </c>
      <c r="BD47" s="32">
        <f t="shared" si="46"/>
        <v>0</v>
      </c>
      <c r="BE47" s="32">
        <f t="shared" si="46"/>
        <v>0</v>
      </c>
      <c r="BF47" s="32">
        <f t="shared" si="46"/>
        <v>0</v>
      </c>
      <c r="BG47" s="32">
        <f t="shared" si="46"/>
        <v>0</v>
      </c>
      <c r="BH47" s="32">
        <f t="shared" si="46"/>
        <v>0</v>
      </c>
      <c r="BI47" s="32">
        <f t="shared" si="46"/>
        <v>0</v>
      </c>
      <c r="BJ47" s="32">
        <f t="shared" si="46"/>
        <v>0</v>
      </c>
      <c r="BK47" s="32">
        <f t="shared" si="46"/>
        <v>0</v>
      </c>
      <c r="BL47" s="32">
        <f t="shared" si="46"/>
        <v>0</v>
      </c>
      <c r="BM47" s="32">
        <f t="shared" si="46"/>
        <v>0</v>
      </c>
      <c r="BN47" s="32">
        <f t="shared" si="46"/>
        <v>0</v>
      </c>
      <c r="BO47" s="32">
        <f t="shared" si="46"/>
        <v>0</v>
      </c>
      <c r="BP47" s="32">
        <f t="shared" si="46"/>
        <v>0</v>
      </c>
      <c r="BQ47" s="32">
        <f t="shared" si="46"/>
        <v>0</v>
      </c>
    </row>
    <row r="48" spans="1:69" s="24" customFormat="1" ht="13.5" customHeight="1">
      <c r="A48" s="1"/>
      <c r="B48" s="1"/>
      <c r="C48" s="31"/>
      <c r="D48" s="33" t="s">
        <v>68</v>
      </c>
      <c r="F48" s="24">
        <f t="shared" si="47"/>
        <v>33.901221327999998</v>
      </c>
      <c r="G48" s="107">
        <v>0.4</v>
      </c>
      <c r="H48" s="41">
        <f t="shared" si="48"/>
        <v>44804</v>
      </c>
      <c r="L48" s="44"/>
      <c r="M48" s="24">
        <f t="shared" si="45"/>
        <v>33.901221327999998</v>
      </c>
      <c r="O48" s="24">
        <f t="shared" si="49"/>
        <v>0</v>
      </c>
      <c r="P48" s="24">
        <f t="shared" si="46"/>
        <v>0</v>
      </c>
      <c r="Q48" s="24">
        <f t="shared" si="46"/>
        <v>0</v>
      </c>
      <c r="R48" s="24">
        <f t="shared" si="46"/>
        <v>0</v>
      </c>
      <c r="S48" s="24">
        <f t="shared" si="46"/>
        <v>0</v>
      </c>
      <c r="T48" s="24">
        <f t="shared" si="46"/>
        <v>0</v>
      </c>
      <c r="U48" s="24">
        <f t="shared" si="46"/>
        <v>0</v>
      </c>
      <c r="V48" s="24">
        <f t="shared" si="46"/>
        <v>0</v>
      </c>
      <c r="W48" s="24">
        <f t="shared" si="46"/>
        <v>0</v>
      </c>
      <c r="X48" s="24">
        <f t="shared" si="46"/>
        <v>0</v>
      </c>
      <c r="Y48" s="24">
        <f t="shared" si="46"/>
        <v>0</v>
      </c>
      <c r="Z48" s="24">
        <f t="shared" si="46"/>
        <v>0</v>
      </c>
      <c r="AA48" s="24">
        <f t="shared" si="46"/>
        <v>0</v>
      </c>
      <c r="AB48" s="24">
        <f t="shared" si="46"/>
        <v>0</v>
      </c>
      <c r="AC48" s="24">
        <f t="shared" si="46"/>
        <v>33.901221327999998</v>
      </c>
      <c r="AD48" s="24">
        <f t="shared" si="46"/>
        <v>0</v>
      </c>
      <c r="AE48" s="24">
        <f t="shared" si="46"/>
        <v>0</v>
      </c>
      <c r="AF48" s="24">
        <f t="shared" si="46"/>
        <v>0</v>
      </c>
      <c r="AG48" s="24">
        <f t="shared" si="46"/>
        <v>0</v>
      </c>
      <c r="AH48" s="24">
        <f t="shared" si="46"/>
        <v>0</v>
      </c>
      <c r="AI48" s="24">
        <f t="shared" si="46"/>
        <v>0</v>
      </c>
      <c r="AJ48" s="24">
        <f t="shared" si="46"/>
        <v>0</v>
      </c>
      <c r="AK48" s="24">
        <f t="shared" si="46"/>
        <v>0</v>
      </c>
      <c r="AL48" s="24">
        <f t="shared" si="46"/>
        <v>0</v>
      </c>
      <c r="AM48" s="24">
        <f t="shared" si="46"/>
        <v>0</v>
      </c>
      <c r="AN48" s="24">
        <f t="shared" si="46"/>
        <v>0</v>
      </c>
      <c r="AO48" s="24">
        <f t="shared" si="46"/>
        <v>0</v>
      </c>
      <c r="AP48" s="24">
        <f t="shared" si="46"/>
        <v>0</v>
      </c>
      <c r="AQ48" s="24">
        <f t="shared" si="46"/>
        <v>0</v>
      </c>
      <c r="AR48" s="24">
        <f t="shared" si="46"/>
        <v>0</v>
      </c>
      <c r="AS48" s="24">
        <f t="shared" si="46"/>
        <v>0</v>
      </c>
      <c r="AT48" s="24">
        <f t="shared" si="46"/>
        <v>0</v>
      </c>
      <c r="AU48" s="24">
        <f t="shared" si="46"/>
        <v>0</v>
      </c>
      <c r="AV48" s="24">
        <f t="shared" si="46"/>
        <v>0</v>
      </c>
      <c r="AW48" s="24">
        <f t="shared" si="46"/>
        <v>0</v>
      </c>
      <c r="AX48" s="24">
        <f t="shared" si="46"/>
        <v>0</v>
      </c>
      <c r="AY48" s="24">
        <f t="shared" si="46"/>
        <v>0</v>
      </c>
      <c r="AZ48" s="24">
        <f t="shared" si="46"/>
        <v>0</v>
      </c>
      <c r="BA48" s="24">
        <f t="shared" si="46"/>
        <v>0</v>
      </c>
      <c r="BB48" s="24">
        <f t="shared" si="46"/>
        <v>0</v>
      </c>
      <c r="BC48" s="24">
        <f t="shared" si="46"/>
        <v>0</v>
      </c>
      <c r="BD48" s="24">
        <f t="shared" si="46"/>
        <v>0</v>
      </c>
      <c r="BE48" s="24">
        <f t="shared" si="46"/>
        <v>0</v>
      </c>
      <c r="BF48" s="24">
        <f t="shared" si="46"/>
        <v>0</v>
      </c>
      <c r="BG48" s="24">
        <f t="shared" si="46"/>
        <v>0</v>
      </c>
      <c r="BH48" s="24">
        <f t="shared" si="46"/>
        <v>0</v>
      </c>
      <c r="BI48" s="24">
        <f t="shared" si="46"/>
        <v>0</v>
      </c>
      <c r="BJ48" s="24">
        <f t="shared" si="46"/>
        <v>0</v>
      </c>
      <c r="BK48" s="24">
        <f t="shared" si="46"/>
        <v>0</v>
      </c>
      <c r="BL48" s="24">
        <f t="shared" si="46"/>
        <v>0</v>
      </c>
      <c r="BM48" s="24">
        <f t="shared" si="46"/>
        <v>0</v>
      </c>
      <c r="BN48" s="24">
        <f t="shared" si="46"/>
        <v>0</v>
      </c>
      <c r="BO48" s="24">
        <f t="shared" si="46"/>
        <v>0</v>
      </c>
      <c r="BP48" s="24">
        <f t="shared" si="46"/>
        <v>0</v>
      </c>
      <c r="BQ48" s="24">
        <f t="shared" si="46"/>
        <v>0</v>
      </c>
    </row>
    <row r="49" spans="1:69" s="32" customFormat="1" ht="13.5" customHeight="1">
      <c r="A49" s="1"/>
      <c r="B49" s="1"/>
      <c r="C49" s="31"/>
      <c r="D49" s="31" t="s">
        <v>107</v>
      </c>
      <c r="F49" s="104">
        <v>50</v>
      </c>
      <c r="G49" s="32" t="s">
        <v>144</v>
      </c>
      <c r="L49" s="42"/>
      <c r="M49" s="32">
        <f>SUM(N49:XFD49)</f>
        <v>50</v>
      </c>
      <c r="O49" s="102">
        <f>SUM(O50:O52)</f>
        <v>15</v>
      </c>
      <c r="P49" s="102">
        <f t="shared" ref="P49:BQ49" si="50">SUM(P50:P52)</f>
        <v>0</v>
      </c>
      <c r="Q49" s="102">
        <f t="shared" si="50"/>
        <v>0</v>
      </c>
      <c r="R49" s="102">
        <f t="shared" si="50"/>
        <v>15</v>
      </c>
      <c r="S49" s="102">
        <f t="shared" si="50"/>
        <v>0</v>
      </c>
      <c r="T49" s="102">
        <f t="shared" si="50"/>
        <v>0</v>
      </c>
      <c r="U49" s="102">
        <f t="shared" si="50"/>
        <v>0</v>
      </c>
      <c r="V49" s="102">
        <f t="shared" si="50"/>
        <v>0</v>
      </c>
      <c r="W49" s="102">
        <f t="shared" si="50"/>
        <v>0</v>
      </c>
      <c r="X49" s="102">
        <f t="shared" si="50"/>
        <v>0</v>
      </c>
      <c r="Y49" s="102">
        <f t="shared" si="50"/>
        <v>0</v>
      </c>
      <c r="Z49" s="102">
        <f t="shared" si="50"/>
        <v>0</v>
      </c>
      <c r="AA49" s="102">
        <f t="shared" si="50"/>
        <v>0</v>
      </c>
      <c r="AB49" s="102">
        <f t="shared" si="50"/>
        <v>0</v>
      </c>
      <c r="AC49" s="102">
        <f t="shared" si="50"/>
        <v>20</v>
      </c>
      <c r="AD49" s="102">
        <f t="shared" si="50"/>
        <v>0</v>
      </c>
      <c r="AE49" s="102">
        <f t="shared" si="50"/>
        <v>0</v>
      </c>
      <c r="AF49" s="102">
        <f t="shared" si="50"/>
        <v>0</v>
      </c>
      <c r="AG49" s="102">
        <f t="shared" si="50"/>
        <v>0</v>
      </c>
      <c r="AH49" s="102">
        <f t="shared" si="50"/>
        <v>0</v>
      </c>
      <c r="AI49" s="102">
        <f t="shared" si="50"/>
        <v>0</v>
      </c>
      <c r="AJ49" s="102">
        <f t="shared" si="50"/>
        <v>0</v>
      </c>
      <c r="AK49" s="102">
        <f t="shared" si="50"/>
        <v>0</v>
      </c>
      <c r="AL49" s="102">
        <f t="shared" si="50"/>
        <v>0</v>
      </c>
      <c r="AM49" s="102">
        <f t="shared" si="50"/>
        <v>0</v>
      </c>
      <c r="AN49" s="102">
        <f t="shared" si="50"/>
        <v>0</v>
      </c>
      <c r="AO49" s="102">
        <f t="shared" si="50"/>
        <v>0</v>
      </c>
      <c r="AP49" s="102">
        <f t="shared" si="50"/>
        <v>0</v>
      </c>
      <c r="AQ49" s="102">
        <f t="shared" si="50"/>
        <v>0</v>
      </c>
      <c r="AR49" s="102">
        <f t="shared" si="50"/>
        <v>0</v>
      </c>
      <c r="AS49" s="102">
        <f t="shared" si="50"/>
        <v>0</v>
      </c>
      <c r="AT49" s="102">
        <f t="shared" si="50"/>
        <v>0</v>
      </c>
      <c r="AU49" s="102">
        <f t="shared" si="50"/>
        <v>0</v>
      </c>
      <c r="AV49" s="102">
        <f t="shared" si="50"/>
        <v>0</v>
      </c>
      <c r="AW49" s="102">
        <f t="shared" si="50"/>
        <v>0</v>
      </c>
      <c r="AX49" s="102">
        <f t="shared" si="50"/>
        <v>0</v>
      </c>
      <c r="AY49" s="102">
        <f t="shared" si="50"/>
        <v>0</v>
      </c>
      <c r="AZ49" s="102">
        <f t="shared" si="50"/>
        <v>0</v>
      </c>
      <c r="BA49" s="102">
        <f t="shared" si="50"/>
        <v>0</v>
      </c>
      <c r="BB49" s="102">
        <f t="shared" si="50"/>
        <v>0</v>
      </c>
      <c r="BC49" s="102">
        <f t="shared" si="50"/>
        <v>0</v>
      </c>
      <c r="BD49" s="102">
        <f t="shared" si="50"/>
        <v>0</v>
      </c>
      <c r="BE49" s="102">
        <f t="shared" si="50"/>
        <v>0</v>
      </c>
      <c r="BF49" s="102">
        <f t="shared" si="50"/>
        <v>0</v>
      </c>
      <c r="BG49" s="102">
        <f t="shared" si="50"/>
        <v>0</v>
      </c>
      <c r="BH49" s="102">
        <f t="shared" si="50"/>
        <v>0</v>
      </c>
      <c r="BI49" s="102">
        <f t="shared" si="50"/>
        <v>0</v>
      </c>
      <c r="BJ49" s="102">
        <f t="shared" si="50"/>
        <v>0</v>
      </c>
      <c r="BK49" s="102">
        <f t="shared" si="50"/>
        <v>0</v>
      </c>
      <c r="BL49" s="102">
        <f t="shared" si="50"/>
        <v>0</v>
      </c>
      <c r="BM49" s="102">
        <f t="shared" si="50"/>
        <v>0</v>
      </c>
      <c r="BN49" s="102">
        <f t="shared" si="50"/>
        <v>0</v>
      </c>
      <c r="BO49" s="102">
        <f t="shared" si="50"/>
        <v>0</v>
      </c>
      <c r="BP49" s="102">
        <f t="shared" si="50"/>
        <v>0</v>
      </c>
      <c r="BQ49" s="102">
        <f t="shared" si="50"/>
        <v>0</v>
      </c>
    </row>
    <row r="50" spans="1:69" s="22" customFormat="1" ht="13.5" customHeight="1">
      <c r="A50" s="1"/>
      <c r="B50" s="1"/>
      <c r="C50" s="31"/>
      <c r="D50" s="30" t="s">
        <v>66</v>
      </c>
      <c r="F50" s="22">
        <f>$F$49*G50</f>
        <v>15</v>
      </c>
      <c r="G50" s="105">
        <v>0.3</v>
      </c>
      <c r="H50" s="39">
        <f>H46</f>
        <v>44377</v>
      </c>
      <c r="L50" s="43"/>
      <c r="M50" s="22">
        <f t="shared" ref="M50:M56" si="51">SUM(N50:XFD50)</f>
        <v>15</v>
      </c>
      <c r="O50" s="22">
        <f>(O$11=$H50)*$F50</f>
        <v>15</v>
      </c>
      <c r="P50" s="22">
        <f t="shared" ref="P50:BQ52" si="52">(P$11=$H50)*$F50</f>
        <v>0</v>
      </c>
      <c r="Q50" s="22">
        <f t="shared" si="52"/>
        <v>0</v>
      </c>
      <c r="R50" s="22">
        <f t="shared" si="52"/>
        <v>0</v>
      </c>
      <c r="S50" s="22">
        <f t="shared" si="52"/>
        <v>0</v>
      </c>
      <c r="T50" s="22">
        <f t="shared" si="52"/>
        <v>0</v>
      </c>
      <c r="U50" s="22">
        <f t="shared" si="52"/>
        <v>0</v>
      </c>
      <c r="V50" s="22">
        <f t="shared" si="52"/>
        <v>0</v>
      </c>
      <c r="W50" s="22">
        <f t="shared" si="52"/>
        <v>0</v>
      </c>
      <c r="X50" s="22">
        <f t="shared" si="52"/>
        <v>0</v>
      </c>
      <c r="Y50" s="22">
        <f t="shared" si="52"/>
        <v>0</v>
      </c>
      <c r="Z50" s="22">
        <f t="shared" si="52"/>
        <v>0</v>
      </c>
      <c r="AA50" s="22">
        <f t="shared" si="52"/>
        <v>0</v>
      </c>
      <c r="AB50" s="22">
        <f t="shared" si="52"/>
        <v>0</v>
      </c>
      <c r="AC50" s="22">
        <f t="shared" si="52"/>
        <v>0</v>
      </c>
      <c r="AD50" s="22">
        <f t="shared" si="52"/>
        <v>0</v>
      </c>
      <c r="AE50" s="22">
        <f t="shared" si="52"/>
        <v>0</v>
      </c>
      <c r="AF50" s="22">
        <f t="shared" si="52"/>
        <v>0</v>
      </c>
      <c r="AG50" s="22">
        <f t="shared" si="52"/>
        <v>0</v>
      </c>
      <c r="AH50" s="22">
        <f t="shared" si="52"/>
        <v>0</v>
      </c>
      <c r="AI50" s="22">
        <f t="shared" si="52"/>
        <v>0</v>
      </c>
      <c r="AJ50" s="22">
        <f t="shared" si="52"/>
        <v>0</v>
      </c>
      <c r="AK50" s="22">
        <f t="shared" si="52"/>
        <v>0</v>
      </c>
      <c r="AL50" s="22">
        <f t="shared" si="52"/>
        <v>0</v>
      </c>
      <c r="AM50" s="22">
        <f t="shared" si="52"/>
        <v>0</v>
      </c>
      <c r="AN50" s="22">
        <f t="shared" si="52"/>
        <v>0</v>
      </c>
      <c r="AO50" s="22">
        <f t="shared" si="52"/>
        <v>0</v>
      </c>
      <c r="AP50" s="22">
        <f t="shared" si="52"/>
        <v>0</v>
      </c>
      <c r="AQ50" s="22">
        <f t="shared" si="52"/>
        <v>0</v>
      </c>
      <c r="AR50" s="22">
        <f t="shared" si="52"/>
        <v>0</v>
      </c>
      <c r="AS50" s="22">
        <f t="shared" si="52"/>
        <v>0</v>
      </c>
      <c r="AT50" s="22">
        <f t="shared" si="52"/>
        <v>0</v>
      </c>
      <c r="AU50" s="22">
        <f t="shared" si="52"/>
        <v>0</v>
      </c>
      <c r="AV50" s="22">
        <f t="shared" si="52"/>
        <v>0</v>
      </c>
      <c r="AW50" s="22">
        <f t="shared" si="52"/>
        <v>0</v>
      </c>
      <c r="AX50" s="22">
        <f t="shared" si="52"/>
        <v>0</v>
      </c>
      <c r="AY50" s="22">
        <f t="shared" si="52"/>
        <v>0</v>
      </c>
      <c r="AZ50" s="22">
        <f t="shared" si="52"/>
        <v>0</v>
      </c>
      <c r="BA50" s="22">
        <f t="shared" si="52"/>
        <v>0</v>
      </c>
      <c r="BB50" s="22">
        <f t="shared" si="52"/>
        <v>0</v>
      </c>
      <c r="BC50" s="22">
        <f t="shared" si="52"/>
        <v>0</v>
      </c>
      <c r="BD50" s="22">
        <f t="shared" si="52"/>
        <v>0</v>
      </c>
      <c r="BE50" s="22">
        <f t="shared" si="52"/>
        <v>0</v>
      </c>
      <c r="BF50" s="22">
        <f t="shared" si="52"/>
        <v>0</v>
      </c>
      <c r="BG50" s="22">
        <f t="shared" si="52"/>
        <v>0</v>
      </c>
      <c r="BH50" s="22">
        <f t="shared" si="52"/>
        <v>0</v>
      </c>
      <c r="BI50" s="22">
        <f t="shared" si="52"/>
        <v>0</v>
      </c>
      <c r="BJ50" s="22">
        <f t="shared" si="52"/>
        <v>0</v>
      </c>
      <c r="BK50" s="22">
        <f t="shared" si="52"/>
        <v>0</v>
      </c>
      <c r="BL50" s="22">
        <f t="shared" si="52"/>
        <v>0</v>
      </c>
      <c r="BM50" s="22">
        <f t="shared" si="52"/>
        <v>0</v>
      </c>
      <c r="BN50" s="22">
        <f t="shared" si="52"/>
        <v>0</v>
      </c>
      <c r="BO50" s="22">
        <f t="shared" si="52"/>
        <v>0</v>
      </c>
      <c r="BP50" s="22">
        <f t="shared" si="52"/>
        <v>0</v>
      </c>
      <c r="BQ50" s="22">
        <f t="shared" si="52"/>
        <v>0</v>
      </c>
    </row>
    <row r="51" spans="1:69" s="32" customFormat="1" ht="13.5" customHeight="1">
      <c r="A51" s="1"/>
      <c r="B51" s="1"/>
      <c r="C51" s="31"/>
      <c r="D51" s="31" t="s">
        <v>67</v>
      </c>
      <c r="F51" s="32">
        <f t="shared" ref="F51:F52" si="53">$F$49*G51</f>
        <v>15</v>
      </c>
      <c r="G51" s="106">
        <v>0.3</v>
      </c>
      <c r="H51" s="40">
        <f t="shared" ref="H51:H52" si="54">H47</f>
        <v>44469</v>
      </c>
      <c r="L51" s="42"/>
      <c r="M51" s="32">
        <f t="shared" si="51"/>
        <v>15</v>
      </c>
      <c r="O51" s="32">
        <f t="shared" ref="O51:AD52" si="55">(O$11=$H51)*$F51</f>
        <v>0</v>
      </c>
      <c r="P51" s="32">
        <f t="shared" si="55"/>
        <v>0</v>
      </c>
      <c r="Q51" s="32">
        <f t="shared" si="55"/>
        <v>0</v>
      </c>
      <c r="R51" s="32">
        <f t="shared" si="55"/>
        <v>15</v>
      </c>
      <c r="S51" s="32">
        <f t="shared" si="55"/>
        <v>0</v>
      </c>
      <c r="T51" s="32">
        <f t="shared" si="55"/>
        <v>0</v>
      </c>
      <c r="U51" s="32">
        <f t="shared" si="55"/>
        <v>0</v>
      </c>
      <c r="V51" s="32">
        <f t="shared" si="55"/>
        <v>0</v>
      </c>
      <c r="W51" s="32">
        <f t="shared" si="55"/>
        <v>0</v>
      </c>
      <c r="X51" s="32">
        <f t="shared" si="55"/>
        <v>0</v>
      </c>
      <c r="Y51" s="32">
        <f t="shared" si="55"/>
        <v>0</v>
      </c>
      <c r="Z51" s="32">
        <f t="shared" si="55"/>
        <v>0</v>
      </c>
      <c r="AA51" s="32">
        <f t="shared" si="55"/>
        <v>0</v>
      </c>
      <c r="AB51" s="32">
        <f t="shared" si="55"/>
        <v>0</v>
      </c>
      <c r="AC51" s="32">
        <f t="shared" si="55"/>
        <v>0</v>
      </c>
      <c r="AD51" s="32">
        <f t="shared" si="55"/>
        <v>0</v>
      </c>
      <c r="AE51" s="32">
        <f t="shared" si="52"/>
        <v>0</v>
      </c>
      <c r="AF51" s="32">
        <f t="shared" si="52"/>
        <v>0</v>
      </c>
      <c r="AG51" s="32">
        <f t="shared" si="52"/>
        <v>0</v>
      </c>
      <c r="AH51" s="32">
        <f t="shared" si="52"/>
        <v>0</v>
      </c>
      <c r="AI51" s="32">
        <f t="shared" si="52"/>
        <v>0</v>
      </c>
      <c r="AJ51" s="32">
        <f t="shared" si="52"/>
        <v>0</v>
      </c>
      <c r="AK51" s="32">
        <f t="shared" si="52"/>
        <v>0</v>
      </c>
      <c r="AL51" s="32">
        <f t="shared" si="52"/>
        <v>0</v>
      </c>
      <c r="AM51" s="32">
        <f t="shared" si="52"/>
        <v>0</v>
      </c>
      <c r="AN51" s="32">
        <f t="shared" si="52"/>
        <v>0</v>
      </c>
      <c r="AO51" s="32">
        <f t="shared" si="52"/>
        <v>0</v>
      </c>
      <c r="AP51" s="32">
        <f t="shared" si="52"/>
        <v>0</v>
      </c>
      <c r="AQ51" s="32">
        <f t="shared" si="52"/>
        <v>0</v>
      </c>
      <c r="AR51" s="32">
        <f t="shared" si="52"/>
        <v>0</v>
      </c>
      <c r="AS51" s="32">
        <f t="shared" si="52"/>
        <v>0</v>
      </c>
      <c r="AT51" s="32">
        <f t="shared" si="52"/>
        <v>0</v>
      </c>
      <c r="AU51" s="32">
        <f t="shared" si="52"/>
        <v>0</v>
      </c>
      <c r="AV51" s="32">
        <f t="shared" si="52"/>
        <v>0</v>
      </c>
      <c r="AW51" s="32">
        <f t="shared" si="52"/>
        <v>0</v>
      </c>
      <c r="AX51" s="32">
        <f t="shared" si="52"/>
        <v>0</v>
      </c>
      <c r="AY51" s="32">
        <f t="shared" si="52"/>
        <v>0</v>
      </c>
      <c r="AZ51" s="32">
        <f t="shared" si="52"/>
        <v>0</v>
      </c>
      <c r="BA51" s="32">
        <f t="shared" si="52"/>
        <v>0</v>
      </c>
      <c r="BB51" s="32">
        <f t="shared" si="52"/>
        <v>0</v>
      </c>
      <c r="BC51" s="32">
        <f t="shared" si="52"/>
        <v>0</v>
      </c>
      <c r="BD51" s="32">
        <f t="shared" si="52"/>
        <v>0</v>
      </c>
      <c r="BE51" s="32">
        <f t="shared" si="52"/>
        <v>0</v>
      </c>
      <c r="BF51" s="32">
        <f t="shared" si="52"/>
        <v>0</v>
      </c>
      <c r="BG51" s="32">
        <f t="shared" si="52"/>
        <v>0</v>
      </c>
      <c r="BH51" s="32">
        <f t="shared" si="52"/>
        <v>0</v>
      </c>
      <c r="BI51" s="32">
        <f t="shared" si="52"/>
        <v>0</v>
      </c>
      <c r="BJ51" s="32">
        <f t="shared" si="52"/>
        <v>0</v>
      </c>
      <c r="BK51" s="32">
        <f t="shared" si="52"/>
        <v>0</v>
      </c>
      <c r="BL51" s="32">
        <f t="shared" si="52"/>
        <v>0</v>
      </c>
      <c r="BM51" s="32">
        <f t="shared" si="52"/>
        <v>0</v>
      </c>
      <c r="BN51" s="32">
        <f t="shared" si="52"/>
        <v>0</v>
      </c>
      <c r="BO51" s="32">
        <f t="shared" si="52"/>
        <v>0</v>
      </c>
      <c r="BP51" s="32">
        <f t="shared" si="52"/>
        <v>0</v>
      </c>
      <c r="BQ51" s="32">
        <f t="shared" si="52"/>
        <v>0</v>
      </c>
    </row>
    <row r="52" spans="1:69" s="24" customFormat="1" ht="13.5" customHeight="1">
      <c r="A52" s="1"/>
      <c r="B52" s="1"/>
      <c r="C52" s="54"/>
      <c r="D52" s="33" t="s">
        <v>68</v>
      </c>
      <c r="F52" s="24">
        <f t="shared" si="53"/>
        <v>20</v>
      </c>
      <c r="G52" s="107">
        <v>0.4</v>
      </c>
      <c r="H52" s="41">
        <f t="shared" si="54"/>
        <v>44804</v>
      </c>
      <c r="L52" s="44"/>
      <c r="M52" s="24">
        <f t="shared" si="51"/>
        <v>20</v>
      </c>
      <c r="O52" s="24">
        <f t="shared" si="55"/>
        <v>0</v>
      </c>
      <c r="P52" s="24">
        <f t="shared" si="52"/>
        <v>0</v>
      </c>
      <c r="Q52" s="24">
        <f t="shared" si="52"/>
        <v>0</v>
      </c>
      <c r="R52" s="24">
        <f t="shared" si="52"/>
        <v>0</v>
      </c>
      <c r="S52" s="24">
        <f t="shared" si="52"/>
        <v>0</v>
      </c>
      <c r="T52" s="24">
        <f t="shared" si="52"/>
        <v>0</v>
      </c>
      <c r="U52" s="24">
        <f t="shared" si="52"/>
        <v>0</v>
      </c>
      <c r="V52" s="24">
        <f t="shared" si="52"/>
        <v>0</v>
      </c>
      <c r="W52" s="24">
        <f t="shared" si="52"/>
        <v>0</v>
      </c>
      <c r="X52" s="24">
        <f t="shared" si="52"/>
        <v>0</v>
      </c>
      <c r="Y52" s="24">
        <f t="shared" si="52"/>
        <v>0</v>
      </c>
      <c r="Z52" s="24">
        <f t="shared" si="52"/>
        <v>0</v>
      </c>
      <c r="AA52" s="24">
        <f t="shared" si="52"/>
        <v>0</v>
      </c>
      <c r="AB52" s="24">
        <f t="shared" si="52"/>
        <v>0</v>
      </c>
      <c r="AC52" s="24">
        <f t="shared" si="52"/>
        <v>20</v>
      </c>
      <c r="AD52" s="24">
        <f t="shared" si="52"/>
        <v>0</v>
      </c>
      <c r="AE52" s="24">
        <f t="shared" si="52"/>
        <v>0</v>
      </c>
      <c r="AF52" s="24">
        <f t="shared" si="52"/>
        <v>0</v>
      </c>
      <c r="AG52" s="24">
        <f t="shared" si="52"/>
        <v>0</v>
      </c>
      <c r="AH52" s="24">
        <f t="shared" si="52"/>
        <v>0</v>
      </c>
      <c r="AI52" s="24">
        <f t="shared" si="52"/>
        <v>0</v>
      </c>
      <c r="AJ52" s="24">
        <f t="shared" si="52"/>
        <v>0</v>
      </c>
      <c r="AK52" s="24">
        <f t="shared" si="52"/>
        <v>0</v>
      </c>
      <c r="AL52" s="24">
        <f t="shared" si="52"/>
        <v>0</v>
      </c>
      <c r="AM52" s="24">
        <f t="shared" si="52"/>
        <v>0</v>
      </c>
      <c r="AN52" s="24">
        <f t="shared" si="52"/>
        <v>0</v>
      </c>
      <c r="AO52" s="24">
        <f t="shared" si="52"/>
        <v>0</v>
      </c>
      <c r="AP52" s="24">
        <f t="shared" si="52"/>
        <v>0</v>
      </c>
      <c r="AQ52" s="24">
        <f t="shared" si="52"/>
        <v>0</v>
      </c>
      <c r="AR52" s="24">
        <f t="shared" si="52"/>
        <v>0</v>
      </c>
      <c r="AS52" s="24">
        <f t="shared" si="52"/>
        <v>0</v>
      </c>
      <c r="AT52" s="24">
        <f t="shared" si="52"/>
        <v>0</v>
      </c>
      <c r="AU52" s="24">
        <f t="shared" si="52"/>
        <v>0</v>
      </c>
      <c r="AV52" s="24">
        <f t="shared" si="52"/>
        <v>0</v>
      </c>
      <c r="AW52" s="24">
        <f t="shared" si="52"/>
        <v>0</v>
      </c>
      <c r="AX52" s="24">
        <f t="shared" si="52"/>
        <v>0</v>
      </c>
      <c r="AY52" s="24">
        <f t="shared" si="52"/>
        <v>0</v>
      </c>
      <c r="AZ52" s="24">
        <f t="shared" si="52"/>
        <v>0</v>
      </c>
      <c r="BA52" s="24">
        <f t="shared" si="52"/>
        <v>0</v>
      </c>
      <c r="BB52" s="24">
        <f t="shared" si="52"/>
        <v>0</v>
      </c>
      <c r="BC52" s="24">
        <f t="shared" si="52"/>
        <v>0</v>
      </c>
      <c r="BD52" s="24">
        <f t="shared" si="52"/>
        <v>0</v>
      </c>
      <c r="BE52" s="24">
        <f t="shared" si="52"/>
        <v>0</v>
      </c>
      <c r="BF52" s="24">
        <f t="shared" si="52"/>
        <v>0</v>
      </c>
      <c r="BG52" s="24">
        <f t="shared" si="52"/>
        <v>0</v>
      </c>
      <c r="BH52" s="24">
        <f t="shared" si="52"/>
        <v>0</v>
      </c>
      <c r="BI52" s="24">
        <f t="shared" si="52"/>
        <v>0</v>
      </c>
      <c r="BJ52" s="24">
        <f t="shared" si="52"/>
        <v>0</v>
      </c>
      <c r="BK52" s="24">
        <f t="shared" si="52"/>
        <v>0</v>
      </c>
      <c r="BL52" s="24">
        <f t="shared" si="52"/>
        <v>0</v>
      </c>
      <c r="BM52" s="24">
        <f t="shared" si="52"/>
        <v>0</v>
      </c>
      <c r="BN52" s="24">
        <f t="shared" si="52"/>
        <v>0</v>
      </c>
      <c r="BO52" s="24">
        <f t="shared" si="52"/>
        <v>0</v>
      </c>
      <c r="BP52" s="24">
        <f t="shared" si="52"/>
        <v>0</v>
      </c>
      <c r="BQ52" s="24">
        <f t="shared" si="52"/>
        <v>0</v>
      </c>
    </row>
    <row r="53" spans="1:69" s="14" customFormat="1" ht="13.5" customHeight="1">
      <c r="C53" s="76" t="s">
        <v>145</v>
      </c>
      <c r="F53" s="14">
        <f ca="1">IF(Cir=1,F139*H53,0)</f>
        <v>3222.5587386095162</v>
      </c>
      <c r="G53" s="14" t="s">
        <v>146</v>
      </c>
      <c r="H53" s="326">
        <f>'A&amp;R'!H55</f>
        <v>6.0000000000000001E-3</v>
      </c>
      <c r="L53" s="48"/>
      <c r="M53" s="32">
        <f ca="1">SUM(N53:XFD53)</f>
        <v>3222.5587386211905</v>
      </c>
      <c r="O53" s="14">
        <f ca="1">SUM(O54:O56)</f>
        <v>966.76762158489032</v>
      </c>
      <c r="P53" s="14">
        <f t="shared" ref="P53:BQ53" ca="1" si="56">SUM(P54:P56)</f>
        <v>0</v>
      </c>
      <c r="Q53" s="14">
        <f t="shared" ca="1" si="56"/>
        <v>0</v>
      </c>
      <c r="R53" s="14">
        <f t="shared" ca="1" si="56"/>
        <v>966.76762158489032</v>
      </c>
      <c r="S53" s="14">
        <f t="shared" ca="1" si="56"/>
        <v>0</v>
      </c>
      <c r="T53" s="14">
        <f t="shared" ca="1" si="56"/>
        <v>0</v>
      </c>
      <c r="U53" s="14">
        <f t="shared" ca="1" si="56"/>
        <v>0</v>
      </c>
      <c r="V53" s="14">
        <f t="shared" ca="1" si="56"/>
        <v>0</v>
      </c>
      <c r="W53" s="14">
        <f t="shared" ca="1" si="56"/>
        <v>0</v>
      </c>
      <c r="X53" s="14">
        <f t="shared" ca="1" si="56"/>
        <v>0</v>
      </c>
      <c r="Y53" s="14">
        <f t="shared" ca="1" si="56"/>
        <v>0</v>
      </c>
      <c r="Z53" s="14">
        <f t="shared" ca="1" si="56"/>
        <v>0</v>
      </c>
      <c r="AA53" s="14">
        <f t="shared" ca="1" si="56"/>
        <v>0</v>
      </c>
      <c r="AB53" s="14">
        <f t="shared" ca="1" si="56"/>
        <v>0</v>
      </c>
      <c r="AC53" s="14">
        <f t="shared" ca="1" si="56"/>
        <v>0</v>
      </c>
      <c r="AD53" s="14">
        <f t="shared" ca="1" si="56"/>
        <v>1289.0234954465204</v>
      </c>
      <c r="AE53" s="14">
        <f t="shared" ca="1" si="56"/>
        <v>0</v>
      </c>
      <c r="AF53" s="14">
        <f t="shared" ca="1" si="56"/>
        <v>0</v>
      </c>
      <c r="AG53" s="14">
        <f t="shared" ca="1" si="56"/>
        <v>0</v>
      </c>
      <c r="AH53" s="14">
        <f t="shared" ca="1" si="56"/>
        <v>0</v>
      </c>
      <c r="AI53" s="14">
        <f t="shared" ca="1" si="56"/>
        <v>0</v>
      </c>
      <c r="AJ53" s="14">
        <f t="shared" ca="1" si="56"/>
        <v>0</v>
      </c>
      <c r="AK53" s="14">
        <f t="shared" ca="1" si="56"/>
        <v>0</v>
      </c>
      <c r="AL53" s="14">
        <f t="shared" ca="1" si="56"/>
        <v>0</v>
      </c>
      <c r="AM53" s="14">
        <f t="shared" ca="1" si="56"/>
        <v>0</v>
      </c>
      <c r="AN53" s="14">
        <f t="shared" ca="1" si="56"/>
        <v>0</v>
      </c>
      <c r="AO53" s="14">
        <f t="shared" ca="1" si="56"/>
        <v>0</v>
      </c>
      <c r="AP53" s="14">
        <f t="shared" ca="1" si="56"/>
        <v>0</v>
      </c>
      <c r="AQ53" s="14">
        <f t="shared" ca="1" si="56"/>
        <v>0</v>
      </c>
      <c r="AR53" s="14">
        <f t="shared" ca="1" si="56"/>
        <v>0</v>
      </c>
      <c r="AS53" s="14">
        <f t="shared" ca="1" si="56"/>
        <v>0</v>
      </c>
      <c r="AT53" s="14">
        <f t="shared" ca="1" si="56"/>
        <v>0</v>
      </c>
      <c r="AU53" s="14">
        <f t="shared" ca="1" si="56"/>
        <v>0</v>
      </c>
      <c r="AV53" s="14">
        <f t="shared" ca="1" si="56"/>
        <v>0</v>
      </c>
      <c r="AW53" s="14">
        <f t="shared" ca="1" si="56"/>
        <v>0</v>
      </c>
      <c r="AX53" s="14">
        <f t="shared" ca="1" si="56"/>
        <v>0</v>
      </c>
      <c r="AY53" s="14">
        <f t="shared" ca="1" si="56"/>
        <v>0</v>
      </c>
      <c r="AZ53" s="14">
        <f t="shared" ca="1" si="56"/>
        <v>0</v>
      </c>
      <c r="BA53" s="14">
        <f t="shared" ca="1" si="56"/>
        <v>0</v>
      </c>
      <c r="BB53" s="14">
        <f t="shared" ca="1" si="56"/>
        <v>0</v>
      </c>
      <c r="BC53" s="14">
        <f t="shared" ca="1" si="56"/>
        <v>0</v>
      </c>
      <c r="BD53" s="14">
        <f t="shared" ca="1" si="56"/>
        <v>0</v>
      </c>
      <c r="BE53" s="14">
        <f t="shared" ca="1" si="56"/>
        <v>0</v>
      </c>
      <c r="BF53" s="14">
        <f t="shared" ca="1" si="56"/>
        <v>0</v>
      </c>
      <c r="BG53" s="14">
        <f t="shared" ca="1" si="56"/>
        <v>0</v>
      </c>
      <c r="BH53" s="14">
        <f t="shared" ca="1" si="56"/>
        <v>0</v>
      </c>
      <c r="BI53" s="14">
        <f t="shared" ca="1" si="56"/>
        <v>0</v>
      </c>
      <c r="BJ53" s="14">
        <f t="shared" ca="1" si="56"/>
        <v>0</v>
      </c>
      <c r="BK53" s="14">
        <f t="shared" ca="1" si="56"/>
        <v>0</v>
      </c>
      <c r="BL53" s="14">
        <f t="shared" ca="1" si="56"/>
        <v>0</v>
      </c>
      <c r="BM53" s="14">
        <f t="shared" ca="1" si="56"/>
        <v>0</v>
      </c>
      <c r="BN53" s="14">
        <f t="shared" ca="1" si="56"/>
        <v>0</v>
      </c>
      <c r="BO53" s="14">
        <f t="shared" ca="1" si="56"/>
        <v>0</v>
      </c>
      <c r="BP53" s="14">
        <f t="shared" ca="1" si="56"/>
        <v>0</v>
      </c>
      <c r="BQ53" s="14">
        <f t="shared" ca="1" si="56"/>
        <v>0</v>
      </c>
    </row>
    <row r="54" spans="1:69" s="22" customFormat="1" ht="13.5" customHeight="1">
      <c r="A54" s="1"/>
      <c r="B54" s="1"/>
      <c r="C54" s="116"/>
      <c r="D54" s="30" t="s">
        <v>66</v>
      </c>
      <c r="F54" s="22">
        <f ca="1">$F$53*G54</f>
        <v>966.76762158285487</v>
      </c>
      <c r="G54" s="105">
        <v>0.3</v>
      </c>
      <c r="H54" s="39">
        <f>Est</f>
        <v>44377</v>
      </c>
      <c r="L54" s="43"/>
      <c r="M54" s="22">
        <f t="shared" ca="1" si="51"/>
        <v>966.76762158489032</v>
      </c>
      <c r="O54" s="22">
        <f ca="1">(O$11=$H54)*$F54</f>
        <v>966.76762158285487</v>
      </c>
      <c r="P54" s="22">
        <f t="shared" ref="P54:BQ56" ca="1" si="57">(P$11=$H54)*$F54</f>
        <v>0</v>
      </c>
      <c r="Q54" s="22">
        <f t="shared" ca="1" si="57"/>
        <v>0</v>
      </c>
      <c r="R54" s="22">
        <f t="shared" ca="1" si="57"/>
        <v>0</v>
      </c>
      <c r="S54" s="22">
        <f t="shared" ca="1" si="57"/>
        <v>0</v>
      </c>
      <c r="T54" s="22">
        <f t="shared" ca="1" si="57"/>
        <v>0</v>
      </c>
      <c r="U54" s="22">
        <f t="shared" ca="1" si="57"/>
        <v>0</v>
      </c>
      <c r="V54" s="22">
        <f t="shared" ca="1" si="57"/>
        <v>0</v>
      </c>
      <c r="W54" s="22">
        <f t="shared" ca="1" si="57"/>
        <v>0</v>
      </c>
      <c r="X54" s="22">
        <f t="shared" ca="1" si="57"/>
        <v>0</v>
      </c>
      <c r="Y54" s="22">
        <f t="shared" ca="1" si="57"/>
        <v>0</v>
      </c>
      <c r="Z54" s="22">
        <f t="shared" ca="1" si="57"/>
        <v>0</v>
      </c>
      <c r="AA54" s="22">
        <f t="shared" ca="1" si="57"/>
        <v>0</v>
      </c>
      <c r="AB54" s="22">
        <f t="shared" ca="1" si="57"/>
        <v>0</v>
      </c>
      <c r="AC54" s="22">
        <f t="shared" ca="1" si="57"/>
        <v>0</v>
      </c>
      <c r="AD54" s="22">
        <f t="shared" ca="1" si="57"/>
        <v>0</v>
      </c>
      <c r="AE54" s="22">
        <f t="shared" ca="1" si="57"/>
        <v>0</v>
      </c>
      <c r="AF54" s="22">
        <f t="shared" ca="1" si="57"/>
        <v>0</v>
      </c>
      <c r="AG54" s="22">
        <f t="shared" ca="1" si="57"/>
        <v>0</v>
      </c>
      <c r="AH54" s="22">
        <f t="shared" ca="1" si="57"/>
        <v>0</v>
      </c>
      <c r="AI54" s="22">
        <f t="shared" ca="1" si="57"/>
        <v>0</v>
      </c>
      <c r="AJ54" s="22">
        <f t="shared" ca="1" si="57"/>
        <v>0</v>
      </c>
      <c r="AK54" s="22">
        <f t="shared" ca="1" si="57"/>
        <v>0</v>
      </c>
      <c r="AL54" s="22">
        <f t="shared" ca="1" si="57"/>
        <v>0</v>
      </c>
      <c r="AM54" s="22">
        <f t="shared" ca="1" si="57"/>
        <v>0</v>
      </c>
      <c r="AN54" s="22">
        <f t="shared" ca="1" si="57"/>
        <v>0</v>
      </c>
      <c r="AO54" s="22">
        <f t="shared" ca="1" si="57"/>
        <v>0</v>
      </c>
      <c r="AP54" s="22">
        <f t="shared" ca="1" si="57"/>
        <v>0</v>
      </c>
      <c r="AQ54" s="22">
        <f t="shared" ca="1" si="57"/>
        <v>0</v>
      </c>
      <c r="AR54" s="22">
        <f t="shared" ca="1" si="57"/>
        <v>0</v>
      </c>
      <c r="AS54" s="22">
        <f t="shared" ca="1" si="57"/>
        <v>0</v>
      </c>
      <c r="AT54" s="22">
        <f t="shared" ca="1" si="57"/>
        <v>0</v>
      </c>
      <c r="AU54" s="22">
        <f t="shared" ca="1" si="57"/>
        <v>0</v>
      </c>
      <c r="AV54" s="22">
        <f t="shared" ca="1" si="57"/>
        <v>0</v>
      </c>
      <c r="AW54" s="22">
        <f t="shared" ca="1" si="57"/>
        <v>0</v>
      </c>
      <c r="AX54" s="22">
        <f t="shared" ca="1" si="57"/>
        <v>0</v>
      </c>
      <c r="AY54" s="22">
        <f t="shared" ca="1" si="57"/>
        <v>0</v>
      </c>
      <c r="AZ54" s="22">
        <f t="shared" ca="1" si="57"/>
        <v>0</v>
      </c>
      <c r="BA54" s="22">
        <f t="shared" ca="1" si="57"/>
        <v>0</v>
      </c>
      <c r="BB54" s="22">
        <f t="shared" ca="1" si="57"/>
        <v>0</v>
      </c>
      <c r="BC54" s="22">
        <f t="shared" ca="1" si="57"/>
        <v>0</v>
      </c>
      <c r="BD54" s="22">
        <f t="shared" ca="1" si="57"/>
        <v>0</v>
      </c>
      <c r="BE54" s="22">
        <f t="shared" ca="1" si="57"/>
        <v>0</v>
      </c>
      <c r="BF54" s="22">
        <f t="shared" ca="1" si="57"/>
        <v>0</v>
      </c>
      <c r="BG54" s="22">
        <f t="shared" ca="1" si="57"/>
        <v>0</v>
      </c>
      <c r="BH54" s="22">
        <f t="shared" ca="1" si="57"/>
        <v>0</v>
      </c>
      <c r="BI54" s="22">
        <f t="shared" ca="1" si="57"/>
        <v>0</v>
      </c>
      <c r="BJ54" s="22">
        <f t="shared" ca="1" si="57"/>
        <v>0</v>
      </c>
      <c r="BK54" s="22">
        <f t="shared" ca="1" si="57"/>
        <v>0</v>
      </c>
      <c r="BL54" s="22">
        <f t="shared" ca="1" si="57"/>
        <v>0</v>
      </c>
      <c r="BM54" s="22">
        <f t="shared" ca="1" si="57"/>
        <v>0</v>
      </c>
      <c r="BN54" s="22">
        <f t="shared" ca="1" si="57"/>
        <v>0</v>
      </c>
      <c r="BO54" s="22">
        <f t="shared" ca="1" si="57"/>
        <v>0</v>
      </c>
      <c r="BP54" s="22">
        <f t="shared" ca="1" si="57"/>
        <v>0</v>
      </c>
      <c r="BQ54" s="22">
        <f t="shared" ca="1" si="57"/>
        <v>0</v>
      </c>
    </row>
    <row r="55" spans="1:69" s="32" customFormat="1" ht="13.5" customHeight="1">
      <c r="A55" s="1"/>
      <c r="B55" s="1"/>
      <c r="C55" s="31"/>
      <c r="D55" s="31" t="s">
        <v>67</v>
      </c>
      <c r="F55" s="32">
        <f t="shared" ref="F55:F56" ca="1" si="58">$F$53*G55</f>
        <v>966.76762158285487</v>
      </c>
      <c r="G55" s="106">
        <v>0.3</v>
      </c>
      <c r="H55" s="40">
        <f>'A&amp;R'!D15</f>
        <v>44469</v>
      </c>
      <c r="L55" s="42"/>
      <c r="M55" s="32">
        <f t="shared" ca="1" si="51"/>
        <v>966.76762158489032</v>
      </c>
      <c r="O55" s="32">
        <f t="shared" ref="O55:AD56" ca="1" si="59">(O$11=$H55)*$F55</f>
        <v>0</v>
      </c>
      <c r="P55" s="32">
        <f t="shared" ca="1" si="59"/>
        <v>0</v>
      </c>
      <c r="Q55" s="32">
        <f t="shared" ca="1" si="59"/>
        <v>0</v>
      </c>
      <c r="R55" s="32">
        <f t="shared" ca="1" si="59"/>
        <v>966.76762158285487</v>
      </c>
      <c r="S55" s="32">
        <f t="shared" ca="1" si="59"/>
        <v>0</v>
      </c>
      <c r="T55" s="32">
        <f t="shared" ca="1" si="59"/>
        <v>0</v>
      </c>
      <c r="U55" s="32">
        <f t="shared" ca="1" si="59"/>
        <v>0</v>
      </c>
      <c r="V55" s="32">
        <f t="shared" ca="1" si="59"/>
        <v>0</v>
      </c>
      <c r="W55" s="32">
        <f t="shared" ca="1" si="59"/>
        <v>0</v>
      </c>
      <c r="X55" s="32">
        <f t="shared" ca="1" si="59"/>
        <v>0</v>
      </c>
      <c r="Y55" s="32">
        <f t="shared" ca="1" si="59"/>
        <v>0</v>
      </c>
      <c r="Z55" s="32">
        <f t="shared" ca="1" si="59"/>
        <v>0</v>
      </c>
      <c r="AA55" s="32">
        <f t="shared" ca="1" si="59"/>
        <v>0</v>
      </c>
      <c r="AB55" s="32">
        <f t="shared" ca="1" si="59"/>
        <v>0</v>
      </c>
      <c r="AC55" s="32">
        <f t="shared" ca="1" si="59"/>
        <v>0</v>
      </c>
      <c r="AD55" s="32">
        <f t="shared" ca="1" si="59"/>
        <v>0</v>
      </c>
      <c r="AE55" s="32">
        <f t="shared" ca="1" si="57"/>
        <v>0</v>
      </c>
      <c r="AF55" s="32">
        <f t="shared" ca="1" si="57"/>
        <v>0</v>
      </c>
      <c r="AG55" s="32">
        <f t="shared" ca="1" si="57"/>
        <v>0</v>
      </c>
      <c r="AH55" s="32">
        <f t="shared" ca="1" si="57"/>
        <v>0</v>
      </c>
      <c r="AI55" s="32">
        <f t="shared" ca="1" si="57"/>
        <v>0</v>
      </c>
      <c r="AJ55" s="32">
        <f t="shared" ca="1" si="57"/>
        <v>0</v>
      </c>
      <c r="AK55" s="32">
        <f t="shared" ca="1" si="57"/>
        <v>0</v>
      </c>
      <c r="AL55" s="32">
        <f t="shared" ca="1" si="57"/>
        <v>0</v>
      </c>
      <c r="AM55" s="32">
        <f t="shared" ca="1" si="57"/>
        <v>0</v>
      </c>
      <c r="AN55" s="32">
        <f t="shared" ca="1" si="57"/>
        <v>0</v>
      </c>
      <c r="AO55" s="32">
        <f t="shared" ca="1" si="57"/>
        <v>0</v>
      </c>
      <c r="AP55" s="32">
        <f t="shared" ca="1" si="57"/>
        <v>0</v>
      </c>
      <c r="AQ55" s="32">
        <f t="shared" ca="1" si="57"/>
        <v>0</v>
      </c>
      <c r="AR55" s="32">
        <f t="shared" ca="1" si="57"/>
        <v>0</v>
      </c>
      <c r="AS55" s="32">
        <f t="shared" ca="1" si="57"/>
        <v>0</v>
      </c>
      <c r="AT55" s="32">
        <f t="shared" ca="1" si="57"/>
        <v>0</v>
      </c>
      <c r="AU55" s="32">
        <f t="shared" ca="1" si="57"/>
        <v>0</v>
      </c>
      <c r="AV55" s="32">
        <f t="shared" ca="1" si="57"/>
        <v>0</v>
      </c>
      <c r="AW55" s="32">
        <f t="shared" ca="1" si="57"/>
        <v>0</v>
      </c>
      <c r="AX55" s="32">
        <f t="shared" ca="1" si="57"/>
        <v>0</v>
      </c>
      <c r="AY55" s="32">
        <f t="shared" ca="1" si="57"/>
        <v>0</v>
      </c>
      <c r="AZ55" s="32">
        <f t="shared" ca="1" si="57"/>
        <v>0</v>
      </c>
      <c r="BA55" s="32">
        <f t="shared" ca="1" si="57"/>
        <v>0</v>
      </c>
      <c r="BB55" s="32">
        <f t="shared" ca="1" si="57"/>
        <v>0</v>
      </c>
      <c r="BC55" s="32">
        <f t="shared" ca="1" si="57"/>
        <v>0</v>
      </c>
      <c r="BD55" s="32">
        <f t="shared" ca="1" si="57"/>
        <v>0</v>
      </c>
      <c r="BE55" s="32">
        <f t="shared" ca="1" si="57"/>
        <v>0</v>
      </c>
      <c r="BF55" s="32">
        <f t="shared" ca="1" si="57"/>
        <v>0</v>
      </c>
      <c r="BG55" s="32">
        <f t="shared" ca="1" si="57"/>
        <v>0</v>
      </c>
      <c r="BH55" s="32">
        <f t="shared" ca="1" si="57"/>
        <v>0</v>
      </c>
      <c r="BI55" s="32">
        <f t="shared" ca="1" si="57"/>
        <v>0</v>
      </c>
      <c r="BJ55" s="32">
        <f t="shared" ca="1" si="57"/>
        <v>0</v>
      </c>
      <c r="BK55" s="32">
        <f t="shared" ca="1" si="57"/>
        <v>0</v>
      </c>
      <c r="BL55" s="32">
        <f t="shared" ca="1" si="57"/>
        <v>0</v>
      </c>
      <c r="BM55" s="32">
        <f t="shared" ca="1" si="57"/>
        <v>0</v>
      </c>
      <c r="BN55" s="32">
        <f t="shared" ca="1" si="57"/>
        <v>0</v>
      </c>
      <c r="BO55" s="32">
        <f t="shared" ca="1" si="57"/>
        <v>0</v>
      </c>
      <c r="BP55" s="32">
        <f t="shared" ca="1" si="57"/>
        <v>0</v>
      </c>
      <c r="BQ55" s="32">
        <f t="shared" ca="1" si="57"/>
        <v>0</v>
      </c>
    </row>
    <row r="56" spans="1:69" s="24" customFormat="1" ht="13.5" customHeight="1">
      <c r="A56" s="1"/>
      <c r="B56" s="1"/>
      <c r="C56" s="54"/>
      <c r="D56" s="33" t="s">
        <v>68</v>
      </c>
      <c r="F56" s="24">
        <f t="shared" ca="1" si="58"/>
        <v>1289.0234954438065</v>
      </c>
      <c r="G56" s="107">
        <v>0.4</v>
      </c>
      <c r="H56" s="41">
        <f>착공일</f>
        <v>44834</v>
      </c>
      <c r="L56" s="44"/>
      <c r="M56" s="24">
        <f t="shared" ca="1" si="51"/>
        <v>1289.0234954465204</v>
      </c>
      <c r="O56" s="24">
        <f t="shared" ca="1" si="59"/>
        <v>0</v>
      </c>
      <c r="P56" s="24">
        <f t="shared" ca="1" si="57"/>
        <v>0</v>
      </c>
      <c r="Q56" s="24">
        <f t="shared" ca="1" si="57"/>
        <v>0</v>
      </c>
      <c r="R56" s="24">
        <f t="shared" ca="1" si="57"/>
        <v>0</v>
      </c>
      <c r="S56" s="24">
        <f t="shared" ca="1" si="57"/>
        <v>0</v>
      </c>
      <c r="T56" s="24">
        <f t="shared" ca="1" si="57"/>
        <v>0</v>
      </c>
      <c r="U56" s="24">
        <f t="shared" ca="1" si="57"/>
        <v>0</v>
      </c>
      <c r="V56" s="24">
        <f t="shared" ca="1" si="57"/>
        <v>0</v>
      </c>
      <c r="W56" s="24">
        <f t="shared" ca="1" si="57"/>
        <v>0</v>
      </c>
      <c r="X56" s="24">
        <f t="shared" ca="1" si="57"/>
        <v>0</v>
      </c>
      <c r="Y56" s="24">
        <f t="shared" ca="1" si="57"/>
        <v>0</v>
      </c>
      <c r="Z56" s="24">
        <f t="shared" ca="1" si="57"/>
        <v>0</v>
      </c>
      <c r="AA56" s="24">
        <f t="shared" ca="1" si="57"/>
        <v>0</v>
      </c>
      <c r="AB56" s="24">
        <f t="shared" ca="1" si="57"/>
        <v>0</v>
      </c>
      <c r="AC56" s="24">
        <f t="shared" ca="1" si="57"/>
        <v>0</v>
      </c>
      <c r="AD56" s="24">
        <f t="shared" ca="1" si="57"/>
        <v>1289.0234954438065</v>
      </c>
      <c r="AE56" s="24">
        <f t="shared" ca="1" si="57"/>
        <v>0</v>
      </c>
      <c r="AF56" s="24">
        <f t="shared" ca="1" si="57"/>
        <v>0</v>
      </c>
      <c r="AG56" s="24">
        <f t="shared" ca="1" si="57"/>
        <v>0</v>
      </c>
      <c r="AH56" s="24">
        <f t="shared" ca="1" si="57"/>
        <v>0</v>
      </c>
      <c r="AI56" s="24">
        <f t="shared" ca="1" si="57"/>
        <v>0</v>
      </c>
      <c r="AJ56" s="24">
        <f t="shared" ca="1" si="57"/>
        <v>0</v>
      </c>
      <c r="AK56" s="24">
        <f t="shared" ca="1" si="57"/>
        <v>0</v>
      </c>
      <c r="AL56" s="24">
        <f t="shared" ca="1" si="57"/>
        <v>0</v>
      </c>
      <c r="AM56" s="24">
        <f t="shared" ca="1" si="57"/>
        <v>0</v>
      </c>
      <c r="AN56" s="24">
        <f t="shared" ca="1" si="57"/>
        <v>0</v>
      </c>
      <c r="AO56" s="24">
        <f t="shared" ca="1" si="57"/>
        <v>0</v>
      </c>
      <c r="AP56" s="24">
        <f t="shared" ca="1" si="57"/>
        <v>0</v>
      </c>
      <c r="AQ56" s="24">
        <f t="shared" ca="1" si="57"/>
        <v>0</v>
      </c>
      <c r="AR56" s="24">
        <f t="shared" ca="1" si="57"/>
        <v>0</v>
      </c>
      <c r="AS56" s="24">
        <f t="shared" ca="1" si="57"/>
        <v>0</v>
      </c>
      <c r="AT56" s="24">
        <f t="shared" ca="1" si="57"/>
        <v>0</v>
      </c>
      <c r="AU56" s="24">
        <f t="shared" ca="1" si="57"/>
        <v>0</v>
      </c>
      <c r="AV56" s="24">
        <f t="shared" ca="1" si="57"/>
        <v>0</v>
      </c>
      <c r="AW56" s="24">
        <f t="shared" ca="1" si="57"/>
        <v>0</v>
      </c>
      <c r="AX56" s="24">
        <f t="shared" ca="1" si="57"/>
        <v>0</v>
      </c>
      <c r="AY56" s="24">
        <f t="shared" ca="1" si="57"/>
        <v>0</v>
      </c>
      <c r="AZ56" s="24">
        <f t="shared" ca="1" si="57"/>
        <v>0</v>
      </c>
      <c r="BA56" s="24">
        <f t="shared" ca="1" si="57"/>
        <v>0</v>
      </c>
      <c r="BB56" s="24">
        <f t="shared" ca="1" si="57"/>
        <v>0</v>
      </c>
      <c r="BC56" s="24">
        <f t="shared" ca="1" si="57"/>
        <v>0</v>
      </c>
      <c r="BD56" s="24">
        <f t="shared" ca="1" si="57"/>
        <v>0</v>
      </c>
      <c r="BE56" s="24">
        <f t="shared" ca="1" si="57"/>
        <v>0</v>
      </c>
      <c r="BF56" s="24">
        <f t="shared" ca="1" si="57"/>
        <v>0</v>
      </c>
      <c r="BG56" s="24">
        <f t="shared" ca="1" si="57"/>
        <v>0</v>
      </c>
      <c r="BH56" s="24">
        <f t="shared" ca="1" si="57"/>
        <v>0</v>
      </c>
      <c r="BI56" s="24">
        <f t="shared" ca="1" si="57"/>
        <v>0</v>
      </c>
      <c r="BJ56" s="24">
        <f t="shared" ca="1" si="57"/>
        <v>0</v>
      </c>
      <c r="BK56" s="24">
        <f t="shared" ca="1" si="57"/>
        <v>0</v>
      </c>
      <c r="BL56" s="24">
        <f t="shared" ca="1" si="57"/>
        <v>0</v>
      </c>
      <c r="BM56" s="24">
        <f t="shared" ca="1" si="57"/>
        <v>0</v>
      </c>
      <c r="BN56" s="24">
        <f t="shared" ca="1" si="57"/>
        <v>0</v>
      </c>
      <c r="BO56" s="24">
        <f t="shared" ca="1" si="57"/>
        <v>0</v>
      </c>
      <c r="BP56" s="24">
        <f t="shared" ca="1" si="57"/>
        <v>0</v>
      </c>
      <c r="BQ56" s="24">
        <f t="shared" ca="1" si="57"/>
        <v>0</v>
      </c>
    </row>
    <row r="57" spans="1:69" s="14" customFormat="1" ht="13.5" customHeight="1">
      <c r="C57" s="76" t="s">
        <v>147</v>
      </c>
      <c r="F57" s="133">
        <v>70</v>
      </c>
      <c r="L57" s="48"/>
      <c r="M57" s="14">
        <f>SUM(N57:XFD57)</f>
        <v>70</v>
      </c>
      <c r="O57" s="14">
        <f>SUM(O58:O60)</f>
        <v>0</v>
      </c>
      <c r="P57" s="14">
        <f t="shared" ref="P57:BQ57" si="60">SUM(P58:P60)</f>
        <v>0</v>
      </c>
      <c r="Q57" s="14">
        <f t="shared" si="60"/>
        <v>0</v>
      </c>
      <c r="R57" s="14">
        <f t="shared" si="60"/>
        <v>35</v>
      </c>
      <c r="S57" s="14">
        <f t="shared" si="60"/>
        <v>0</v>
      </c>
      <c r="T57" s="14">
        <f t="shared" si="60"/>
        <v>0</v>
      </c>
      <c r="U57" s="14">
        <f t="shared" si="60"/>
        <v>0</v>
      </c>
      <c r="V57" s="14">
        <f t="shared" si="60"/>
        <v>0</v>
      </c>
      <c r="W57" s="14">
        <f t="shared" si="60"/>
        <v>0</v>
      </c>
      <c r="X57" s="14">
        <f t="shared" si="60"/>
        <v>0</v>
      </c>
      <c r="Y57" s="14">
        <f t="shared" si="60"/>
        <v>0</v>
      </c>
      <c r="Z57" s="14">
        <f t="shared" si="60"/>
        <v>0</v>
      </c>
      <c r="AA57" s="14">
        <f t="shared" si="60"/>
        <v>0</v>
      </c>
      <c r="AB57" s="14">
        <f t="shared" si="60"/>
        <v>0</v>
      </c>
      <c r="AC57" s="14">
        <f t="shared" si="60"/>
        <v>0</v>
      </c>
      <c r="AD57" s="14">
        <f t="shared" si="60"/>
        <v>35</v>
      </c>
      <c r="AE57" s="14">
        <f t="shared" si="60"/>
        <v>0</v>
      </c>
      <c r="AF57" s="14">
        <f t="shared" si="60"/>
        <v>0</v>
      </c>
      <c r="AG57" s="14">
        <f t="shared" si="60"/>
        <v>0</v>
      </c>
      <c r="AH57" s="14">
        <f t="shared" si="60"/>
        <v>0</v>
      </c>
      <c r="AI57" s="14">
        <f t="shared" si="60"/>
        <v>0</v>
      </c>
      <c r="AJ57" s="14">
        <f t="shared" si="60"/>
        <v>0</v>
      </c>
      <c r="AK57" s="14">
        <f t="shared" si="60"/>
        <v>0</v>
      </c>
      <c r="AL57" s="14">
        <f t="shared" si="60"/>
        <v>0</v>
      </c>
      <c r="AM57" s="14">
        <f t="shared" si="60"/>
        <v>0</v>
      </c>
      <c r="AN57" s="14">
        <f t="shared" si="60"/>
        <v>0</v>
      </c>
      <c r="AO57" s="14">
        <f t="shared" si="60"/>
        <v>0</v>
      </c>
      <c r="AP57" s="14">
        <f t="shared" si="60"/>
        <v>0</v>
      </c>
      <c r="AQ57" s="14">
        <f t="shared" si="60"/>
        <v>0</v>
      </c>
      <c r="AR57" s="14">
        <f t="shared" si="60"/>
        <v>0</v>
      </c>
      <c r="AS57" s="14">
        <f t="shared" si="60"/>
        <v>0</v>
      </c>
      <c r="AT57" s="14">
        <f t="shared" si="60"/>
        <v>0</v>
      </c>
      <c r="AU57" s="14">
        <f t="shared" si="60"/>
        <v>0</v>
      </c>
      <c r="AV57" s="14">
        <f t="shared" si="60"/>
        <v>0</v>
      </c>
      <c r="AW57" s="14">
        <f t="shared" si="60"/>
        <v>0</v>
      </c>
      <c r="AX57" s="14">
        <f t="shared" si="60"/>
        <v>0</v>
      </c>
      <c r="AY57" s="14">
        <f t="shared" si="60"/>
        <v>0</v>
      </c>
      <c r="AZ57" s="14">
        <f t="shared" si="60"/>
        <v>0</v>
      </c>
      <c r="BA57" s="14">
        <f t="shared" si="60"/>
        <v>0</v>
      </c>
      <c r="BB57" s="14">
        <f t="shared" si="60"/>
        <v>0</v>
      </c>
      <c r="BC57" s="14">
        <f t="shared" si="60"/>
        <v>0</v>
      </c>
      <c r="BD57" s="14">
        <f t="shared" si="60"/>
        <v>0</v>
      </c>
      <c r="BE57" s="14">
        <f t="shared" si="60"/>
        <v>0</v>
      </c>
      <c r="BF57" s="14">
        <f t="shared" si="60"/>
        <v>0</v>
      </c>
      <c r="BG57" s="14">
        <f t="shared" si="60"/>
        <v>0</v>
      </c>
      <c r="BH57" s="14">
        <f t="shared" si="60"/>
        <v>0</v>
      </c>
      <c r="BI57" s="14">
        <f t="shared" si="60"/>
        <v>0</v>
      </c>
      <c r="BJ57" s="14">
        <f t="shared" si="60"/>
        <v>0</v>
      </c>
      <c r="BK57" s="14">
        <f t="shared" si="60"/>
        <v>0</v>
      </c>
      <c r="BL57" s="14">
        <f t="shared" si="60"/>
        <v>0</v>
      </c>
      <c r="BM57" s="14">
        <f t="shared" si="60"/>
        <v>0</v>
      </c>
      <c r="BN57" s="14">
        <f t="shared" si="60"/>
        <v>0</v>
      </c>
      <c r="BO57" s="14">
        <f t="shared" si="60"/>
        <v>0</v>
      </c>
      <c r="BP57" s="14">
        <f t="shared" si="60"/>
        <v>0</v>
      </c>
      <c r="BQ57" s="14">
        <f t="shared" si="60"/>
        <v>0</v>
      </c>
    </row>
    <row r="58" spans="1:69" s="22" customFormat="1" ht="13.5" customHeight="1">
      <c r="A58" s="1"/>
      <c r="B58" s="1"/>
      <c r="C58" s="116"/>
      <c r="D58" s="30" t="s">
        <v>66</v>
      </c>
      <c r="F58" s="22">
        <f>$F$57*G58</f>
        <v>35</v>
      </c>
      <c r="G58" s="105">
        <v>0.5</v>
      </c>
      <c r="H58" s="39">
        <f>'A&amp;R'!D15</f>
        <v>44469</v>
      </c>
      <c r="L58" s="43"/>
      <c r="M58" s="22">
        <f>SUM(N58:XFD58)</f>
        <v>35</v>
      </c>
      <c r="O58" s="22">
        <f>(O$11=$H58)*$F58</f>
        <v>0</v>
      </c>
      <c r="P58" s="22">
        <f t="shared" ref="P58:BQ64" si="61">(P$11=$H58)*$F58</f>
        <v>0</v>
      </c>
      <c r="Q58" s="22">
        <f t="shared" si="61"/>
        <v>0</v>
      </c>
      <c r="R58" s="22">
        <f t="shared" si="61"/>
        <v>35</v>
      </c>
      <c r="S58" s="22">
        <f t="shared" si="61"/>
        <v>0</v>
      </c>
      <c r="T58" s="22">
        <f t="shared" si="61"/>
        <v>0</v>
      </c>
      <c r="U58" s="22">
        <f t="shared" si="61"/>
        <v>0</v>
      </c>
      <c r="V58" s="22">
        <f t="shared" si="61"/>
        <v>0</v>
      </c>
      <c r="W58" s="22">
        <f t="shared" si="61"/>
        <v>0</v>
      </c>
      <c r="X58" s="22">
        <f t="shared" si="61"/>
        <v>0</v>
      </c>
      <c r="Y58" s="22">
        <f t="shared" si="61"/>
        <v>0</v>
      </c>
      <c r="Z58" s="22">
        <f t="shared" si="61"/>
        <v>0</v>
      </c>
      <c r="AA58" s="22">
        <f t="shared" si="61"/>
        <v>0</v>
      </c>
      <c r="AB58" s="22">
        <f t="shared" si="61"/>
        <v>0</v>
      </c>
      <c r="AC58" s="22">
        <f t="shared" si="61"/>
        <v>0</v>
      </c>
      <c r="AD58" s="22">
        <f t="shared" si="61"/>
        <v>0</v>
      </c>
      <c r="AE58" s="22">
        <f t="shared" si="61"/>
        <v>0</v>
      </c>
      <c r="AF58" s="22">
        <f t="shared" si="61"/>
        <v>0</v>
      </c>
      <c r="AG58" s="22">
        <f t="shared" si="61"/>
        <v>0</v>
      </c>
      <c r="AH58" s="22">
        <f t="shared" si="61"/>
        <v>0</v>
      </c>
      <c r="AI58" s="22">
        <f t="shared" si="61"/>
        <v>0</v>
      </c>
      <c r="AJ58" s="22">
        <f t="shared" si="61"/>
        <v>0</v>
      </c>
      <c r="AK58" s="22">
        <f t="shared" si="61"/>
        <v>0</v>
      </c>
      <c r="AL58" s="22">
        <f t="shared" si="61"/>
        <v>0</v>
      </c>
      <c r="AM58" s="22">
        <f t="shared" si="61"/>
        <v>0</v>
      </c>
      <c r="AN58" s="22">
        <f t="shared" si="61"/>
        <v>0</v>
      </c>
      <c r="AO58" s="22">
        <f t="shared" si="61"/>
        <v>0</v>
      </c>
      <c r="AP58" s="22">
        <f t="shared" si="61"/>
        <v>0</v>
      </c>
      <c r="AQ58" s="22">
        <f t="shared" si="61"/>
        <v>0</v>
      </c>
      <c r="AR58" s="22">
        <f t="shared" si="61"/>
        <v>0</v>
      </c>
      <c r="AS58" s="22">
        <f t="shared" si="61"/>
        <v>0</v>
      </c>
      <c r="AT58" s="22">
        <f t="shared" si="61"/>
        <v>0</v>
      </c>
      <c r="AU58" s="22">
        <f t="shared" si="61"/>
        <v>0</v>
      </c>
      <c r="AV58" s="22">
        <f t="shared" si="61"/>
        <v>0</v>
      </c>
      <c r="AW58" s="22">
        <f t="shared" si="61"/>
        <v>0</v>
      </c>
      <c r="AX58" s="22">
        <f t="shared" si="61"/>
        <v>0</v>
      </c>
      <c r="AY58" s="22">
        <f t="shared" si="61"/>
        <v>0</v>
      </c>
      <c r="AZ58" s="22">
        <f t="shared" si="61"/>
        <v>0</v>
      </c>
      <c r="BA58" s="22">
        <f t="shared" si="61"/>
        <v>0</v>
      </c>
      <c r="BB58" s="22">
        <f t="shared" si="61"/>
        <v>0</v>
      </c>
      <c r="BC58" s="22">
        <f t="shared" si="61"/>
        <v>0</v>
      </c>
      <c r="BD58" s="22">
        <f t="shared" si="61"/>
        <v>0</v>
      </c>
      <c r="BE58" s="22">
        <f t="shared" si="61"/>
        <v>0</v>
      </c>
      <c r="BF58" s="22">
        <f t="shared" si="61"/>
        <v>0</v>
      </c>
      <c r="BG58" s="22">
        <f t="shared" si="61"/>
        <v>0</v>
      </c>
      <c r="BH58" s="22">
        <f t="shared" si="61"/>
        <v>0</v>
      </c>
      <c r="BI58" s="22">
        <f t="shared" si="61"/>
        <v>0</v>
      </c>
      <c r="BJ58" s="22">
        <f t="shared" si="61"/>
        <v>0</v>
      </c>
      <c r="BK58" s="22">
        <f t="shared" si="61"/>
        <v>0</v>
      </c>
      <c r="BL58" s="22">
        <f t="shared" si="61"/>
        <v>0</v>
      </c>
      <c r="BM58" s="22">
        <f t="shared" si="61"/>
        <v>0</v>
      </c>
      <c r="BN58" s="22">
        <f t="shared" si="61"/>
        <v>0</v>
      </c>
      <c r="BO58" s="22">
        <f t="shared" si="61"/>
        <v>0</v>
      </c>
      <c r="BP58" s="22">
        <f t="shared" si="61"/>
        <v>0</v>
      </c>
      <c r="BQ58" s="22">
        <f t="shared" si="61"/>
        <v>0</v>
      </c>
    </row>
    <row r="59" spans="1:69" s="32" customFormat="1" ht="13.5" customHeight="1">
      <c r="A59" s="1"/>
      <c r="B59" s="1"/>
      <c r="C59" s="31"/>
      <c r="D59" s="31" t="s">
        <v>67</v>
      </c>
      <c r="F59" s="32">
        <f t="shared" ref="F59:F60" si="62">$F$57*G59</f>
        <v>0</v>
      </c>
      <c r="G59" s="106"/>
      <c r="H59" s="40"/>
      <c r="L59" s="42"/>
      <c r="M59" s="32">
        <f t="shared" ref="M59:M60" si="63">SUM(N59:XFD59)</f>
        <v>0</v>
      </c>
      <c r="O59" s="32">
        <f t="shared" ref="O59:AD60" si="64">(O$11=$H59)*$F59</f>
        <v>0</v>
      </c>
      <c r="P59" s="32">
        <f t="shared" si="64"/>
        <v>0</v>
      </c>
      <c r="Q59" s="32">
        <f t="shared" si="64"/>
        <v>0</v>
      </c>
      <c r="R59" s="32">
        <f t="shared" si="64"/>
        <v>0</v>
      </c>
      <c r="S59" s="32">
        <f t="shared" si="64"/>
        <v>0</v>
      </c>
      <c r="T59" s="32">
        <f t="shared" si="64"/>
        <v>0</v>
      </c>
      <c r="U59" s="32">
        <f t="shared" si="64"/>
        <v>0</v>
      </c>
      <c r="V59" s="32">
        <f t="shared" si="64"/>
        <v>0</v>
      </c>
      <c r="W59" s="32">
        <f t="shared" si="64"/>
        <v>0</v>
      </c>
      <c r="X59" s="32">
        <f t="shared" si="64"/>
        <v>0</v>
      </c>
      <c r="Y59" s="32">
        <f t="shared" si="64"/>
        <v>0</v>
      </c>
      <c r="Z59" s="32">
        <f t="shared" si="64"/>
        <v>0</v>
      </c>
      <c r="AA59" s="32">
        <f t="shared" si="64"/>
        <v>0</v>
      </c>
      <c r="AB59" s="32">
        <f t="shared" si="64"/>
        <v>0</v>
      </c>
      <c r="AC59" s="32">
        <f t="shared" si="64"/>
        <v>0</v>
      </c>
      <c r="AD59" s="32">
        <f t="shared" si="64"/>
        <v>0</v>
      </c>
      <c r="AE59" s="32">
        <f t="shared" si="61"/>
        <v>0</v>
      </c>
      <c r="AF59" s="32">
        <f t="shared" si="61"/>
        <v>0</v>
      </c>
      <c r="AG59" s="32">
        <f t="shared" si="61"/>
        <v>0</v>
      </c>
      <c r="AH59" s="32">
        <f t="shared" si="61"/>
        <v>0</v>
      </c>
      <c r="AI59" s="32">
        <f t="shared" si="61"/>
        <v>0</v>
      </c>
      <c r="AJ59" s="32">
        <f t="shared" si="61"/>
        <v>0</v>
      </c>
      <c r="AK59" s="32">
        <f t="shared" si="61"/>
        <v>0</v>
      </c>
      <c r="AL59" s="32">
        <f t="shared" si="61"/>
        <v>0</v>
      </c>
      <c r="AM59" s="32">
        <f t="shared" si="61"/>
        <v>0</v>
      </c>
      <c r="AN59" s="32">
        <f t="shared" si="61"/>
        <v>0</v>
      </c>
      <c r="AO59" s="32">
        <f t="shared" si="61"/>
        <v>0</v>
      </c>
      <c r="AP59" s="32">
        <f t="shared" si="61"/>
        <v>0</v>
      </c>
      <c r="AQ59" s="32">
        <f t="shared" si="61"/>
        <v>0</v>
      </c>
      <c r="AR59" s="32">
        <f t="shared" si="61"/>
        <v>0</v>
      </c>
      <c r="AS59" s="32">
        <f t="shared" si="61"/>
        <v>0</v>
      </c>
      <c r="AT59" s="32">
        <f t="shared" si="61"/>
        <v>0</v>
      </c>
      <c r="AU59" s="32">
        <f t="shared" si="61"/>
        <v>0</v>
      </c>
      <c r="AV59" s="32">
        <f t="shared" si="61"/>
        <v>0</v>
      </c>
      <c r="AW59" s="32">
        <f t="shared" si="61"/>
        <v>0</v>
      </c>
      <c r="AX59" s="32">
        <f t="shared" si="61"/>
        <v>0</v>
      </c>
      <c r="AY59" s="32">
        <f t="shared" si="61"/>
        <v>0</v>
      </c>
      <c r="AZ59" s="32">
        <f t="shared" si="61"/>
        <v>0</v>
      </c>
      <c r="BA59" s="32">
        <f t="shared" si="61"/>
        <v>0</v>
      </c>
      <c r="BB59" s="32">
        <f t="shared" si="61"/>
        <v>0</v>
      </c>
      <c r="BC59" s="32">
        <f t="shared" si="61"/>
        <v>0</v>
      </c>
      <c r="BD59" s="32">
        <f t="shared" si="61"/>
        <v>0</v>
      </c>
      <c r="BE59" s="32">
        <f t="shared" si="61"/>
        <v>0</v>
      </c>
      <c r="BF59" s="32">
        <f t="shared" si="61"/>
        <v>0</v>
      </c>
      <c r="BG59" s="32">
        <f t="shared" si="61"/>
        <v>0</v>
      </c>
      <c r="BH59" s="32">
        <f t="shared" si="61"/>
        <v>0</v>
      </c>
      <c r="BI59" s="32">
        <f t="shared" si="61"/>
        <v>0</v>
      </c>
      <c r="BJ59" s="32">
        <f t="shared" si="61"/>
        <v>0</v>
      </c>
      <c r="BK59" s="32">
        <f t="shared" si="61"/>
        <v>0</v>
      </c>
      <c r="BL59" s="32">
        <f t="shared" si="61"/>
        <v>0</v>
      </c>
      <c r="BM59" s="32">
        <f t="shared" si="61"/>
        <v>0</v>
      </c>
      <c r="BN59" s="32">
        <f t="shared" si="61"/>
        <v>0</v>
      </c>
      <c r="BO59" s="32">
        <f t="shared" si="61"/>
        <v>0</v>
      </c>
      <c r="BP59" s="32">
        <f t="shared" si="61"/>
        <v>0</v>
      </c>
      <c r="BQ59" s="32">
        <f t="shared" si="61"/>
        <v>0</v>
      </c>
    </row>
    <row r="60" spans="1:69" s="24" customFormat="1" ht="13.5" customHeight="1">
      <c r="A60" s="1"/>
      <c r="B60" s="1"/>
      <c r="C60" s="54"/>
      <c r="D60" s="33" t="s">
        <v>68</v>
      </c>
      <c r="F60" s="24">
        <f t="shared" si="62"/>
        <v>35</v>
      </c>
      <c r="G60" s="107">
        <v>0.5</v>
      </c>
      <c r="H60" s="41">
        <f>착공일</f>
        <v>44834</v>
      </c>
      <c r="L60" s="44"/>
      <c r="M60" s="24">
        <f t="shared" si="63"/>
        <v>35</v>
      </c>
      <c r="O60" s="24">
        <f t="shared" si="64"/>
        <v>0</v>
      </c>
      <c r="P60" s="24">
        <f t="shared" si="61"/>
        <v>0</v>
      </c>
      <c r="Q60" s="24">
        <f t="shared" si="61"/>
        <v>0</v>
      </c>
      <c r="R60" s="24">
        <f t="shared" si="61"/>
        <v>0</v>
      </c>
      <c r="S60" s="24">
        <f t="shared" si="61"/>
        <v>0</v>
      </c>
      <c r="T60" s="24">
        <f t="shared" si="61"/>
        <v>0</v>
      </c>
      <c r="U60" s="24">
        <f t="shared" si="61"/>
        <v>0</v>
      </c>
      <c r="V60" s="24">
        <f t="shared" si="61"/>
        <v>0</v>
      </c>
      <c r="W60" s="24">
        <f t="shared" si="61"/>
        <v>0</v>
      </c>
      <c r="X60" s="24">
        <f t="shared" si="61"/>
        <v>0</v>
      </c>
      <c r="Y60" s="24">
        <f t="shared" si="61"/>
        <v>0</v>
      </c>
      <c r="Z60" s="24">
        <f t="shared" si="61"/>
        <v>0</v>
      </c>
      <c r="AA60" s="24">
        <f t="shared" si="61"/>
        <v>0</v>
      </c>
      <c r="AB60" s="24">
        <f t="shared" si="61"/>
        <v>0</v>
      </c>
      <c r="AC60" s="24">
        <f t="shared" si="61"/>
        <v>0</v>
      </c>
      <c r="AD60" s="24">
        <f t="shared" si="61"/>
        <v>35</v>
      </c>
      <c r="AE60" s="24">
        <f t="shared" si="61"/>
        <v>0</v>
      </c>
      <c r="AF60" s="24">
        <f t="shared" si="61"/>
        <v>0</v>
      </c>
      <c r="AG60" s="24">
        <f t="shared" si="61"/>
        <v>0</v>
      </c>
      <c r="AH60" s="24">
        <f t="shared" si="61"/>
        <v>0</v>
      </c>
      <c r="AI60" s="24">
        <f t="shared" si="61"/>
        <v>0</v>
      </c>
      <c r="AJ60" s="24">
        <f t="shared" si="61"/>
        <v>0</v>
      </c>
      <c r="AK60" s="24">
        <f t="shared" si="61"/>
        <v>0</v>
      </c>
      <c r="AL60" s="24">
        <f t="shared" si="61"/>
        <v>0</v>
      </c>
      <c r="AM60" s="24">
        <f t="shared" si="61"/>
        <v>0</v>
      </c>
      <c r="AN60" s="24">
        <f t="shared" si="61"/>
        <v>0</v>
      </c>
      <c r="AO60" s="24">
        <f t="shared" si="61"/>
        <v>0</v>
      </c>
      <c r="AP60" s="24">
        <f t="shared" si="61"/>
        <v>0</v>
      </c>
      <c r="AQ60" s="24">
        <f t="shared" si="61"/>
        <v>0</v>
      </c>
      <c r="AR60" s="24">
        <f t="shared" si="61"/>
        <v>0</v>
      </c>
      <c r="AS60" s="24">
        <f t="shared" si="61"/>
        <v>0</v>
      </c>
      <c r="AT60" s="24">
        <f t="shared" si="61"/>
        <v>0</v>
      </c>
      <c r="AU60" s="24">
        <f t="shared" si="61"/>
        <v>0</v>
      </c>
      <c r="AV60" s="24">
        <f t="shared" si="61"/>
        <v>0</v>
      </c>
      <c r="AW60" s="24">
        <f t="shared" si="61"/>
        <v>0</v>
      </c>
      <c r="AX60" s="24">
        <f t="shared" si="61"/>
        <v>0</v>
      </c>
      <c r="AY60" s="24">
        <f t="shared" si="61"/>
        <v>0</v>
      </c>
      <c r="AZ60" s="24">
        <f t="shared" si="61"/>
        <v>0</v>
      </c>
      <c r="BA60" s="24">
        <f t="shared" si="61"/>
        <v>0</v>
      </c>
      <c r="BB60" s="24">
        <f t="shared" si="61"/>
        <v>0</v>
      </c>
      <c r="BC60" s="24">
        <f t="shared" si="61"/>
        <v>0</v>
      </c>
      <c r="BD60" s="24">
        <f t="shared" si="61"/>
        <v>0</v>
      </c>
      <c r="BE60" s="24">
        <f t="shared" si="61"/>
        <v>0</v>
      </c>
      <c r="BF60" s="24">
        <f t="shared" si="61"/>
        <v>0</v>
      </c>
      <c r="BG60" s="24">
        <f t="shared" si="61"/>
        <v>0</v>
      </c>
      <c r="BH60" s="24">
        <f t="shared" si="61"/>
        <v>0</v>
      </c>
      <c r="BI60" s="24">
        <f t="shared" si="61"/>
        <v>0</v>
      </c>
      <c r="BJ60" s="24">
        <f t="shared" si="61"/>
        <v>0</v>
      </c>
      <c r="BK60" s="24">
        <f t="shared" si="61"/>
        <v>0</v>
      </c>
      <c r="BL60" s="24">
        <f t="shared" si="61"/>
        <v>0</v>
      </c>
      <c r="BM60" s="24">
        <f t="shared" si="61"/>
        <v>0</v>
      </c>
      <c r="BN60" s="24">
        <f t="shared" si="61"/>
        <v>0</v>
      </c>
      <c r="BO60" s="24">
        <f t="shared" si="61"/>
        <v>0</v>
      </c>
      <c r="BP60" s="24">
        <f t="shared" si="61"/>
        <v>0</v>
      </c>
      <c r="BQ60" s="24">
        <f t="shared" si="61"/>
        <v>0</v>
      </c>
    </row>
    <row r="61" spans="1:69" s="14" customFormat="1" ht="13.5" customHeight="1">
      <c r="C61" s="76" t="s">
        <v>148</v>
      </c>
      <c r="F61" s="133">
        <v>100</v>
      </c>
      <c r="L61" s="48"/>
      <c r="M61" s="14">
        <f>SUM(N61:XFD61)</f>
        <v>100</v>
      </c>
      <c r="O61" s="14">
        <f>SUM(O62:O64)</f>
        <v>50</v>
      </c>
      <c r="P61" s="14">
        <f t="shared" ref="P61" si="65">SUM(P62:P64)</f>
        <v>0</v>
      </c>
      <c r="Q61" s="14">
        <f t="shared" ref="Q61" si="66">SUM(Q62:Q64)</f>
        <v>0</v>
      </c>
      <c r="R61" s="14">
        <f t="shared" ref="R61" si="67">SUM(R62:R64)</f>
        <v>0</v>
      </c>
      <c r="S61" s="14">
        <f t="shared" ref="S61" si="68">SUM(S62:S64)</f>
        <v>0</v>
      </c>
      <c r="T61" s="14">
        <f t="shared" ref="T61" si="69">SUM(T62:T64)</f>
        <v>0</v>
      </c>
      <c r="U61" s="14">
        <f t="shared" ref="U61" si="70">SUM(U62:U64)</f>
        <v>0</v>
      </c>
      <c r="V61" s="14">
        <f t="shared" ref="V61" si="71">SUM(V62:V64)</f>
        <v>0</v>
      </c>
      <c r="W61" s="14">
        <f t="shared" ref="W61" si="72">SUM(W62:W64)</f>
        <v>0</v>
      </c>
      <c r="X61" s="14">
        <f t="shared" ref="X61" si="73">SUM(X62:X64)</f>
        <v>0</v>
      </c>
      <c r="Y61" s="14">
        <f t="shared" ref="Y61" si="74">SUM(Y62:Y64)</f>
        <v>0</v>
      </c>
      <c r="Z61" s="14">
        <f t="shared" ref="Z61" si="75">SUM(Z62:Z64)</f>
        <v>0</v>
      </c>
      <c r="AA61" s="14">
        <f t="shared" ref="AA61" si="76">SUM(AA62:AA64)</f>
        <v>0</v>
      </c>
      <c r="AB61" s="14">
        <f t="shared" ref="AB61" si="77">SUM(AB62:AB64)</f>
        <v>0</v>
      </c>
      <c r="AC61" s="14">
        <f t="shared" ref="AC61" si="78">SUM(AC62:AC64)</f>
        <v>0</v>
      </c>
      <c r="AD61" s="14">
        <f t="shared" ref="AD61" si="79">SUM(AD62:AD64)</f>
        <v>50</v>
      </c>
      <c r="AE61" s="14">
        <f t="shared" ref="AE61" si="80">SUM(AE62:AE64)</f>
        <v>0</v>
      </c>
      <c r="AF61" s="14">
        <f t="shared" ref="AF61" si="81">SUM(AF62:AF64)</f>
        <v>0</v>
      </c>
      <c r="AG61" s="14">
        <f t="shared" ref="AG61" si="82">SUM(AG62:AG64)</f>
        <v>0</v>
      </c>
      <c r="AH61" s="14">
        <f t="shared" ref="AH61" si="83">SUM(AH62:AH64)</f>
        <v>0</v>
      </c>
      <c r="AI61" s="14">
        <f t="shared" ref="AI61" si="84">SUM(AI62:AI64)</f>
        <v>0</v>
      </c>
      <c r="AJ61" s="14">
        <f t="shared" ref="AJ61" si="85">SUM(AJ62:AJ64)</f>
        <v>0</v>
      </c>
      <c r="AK61" s="14">
        <f t="shared" ref="AK61" si="86">SUM(AK62:AK64)</f>
        <v>0</v>
      </c>
      <c r="AL61" s="14">
        <f t="shared" ref="AL61" si="87">SUM(AL62:AL64)</f>
        <v>0</v>
      </c>
      <c r="AM61" s="14">
        <f t="shared" ref="AM61" si="88">SUM(AM62:AM64)</f>
        <v>0</v>
      </c>
      <c r="AN61" s="14">
        <f t="shared" ref="AN61" si="89">SUM(AN62:AN64)</f>
        <v>0</v>
      </c>
      <c r="AO61" s="14">
        <f t="shared" ref="AO61" si="90">SUM(AO62:AO64)</f>
        <v>0</v>
      </c>
      <c r="AP61" s="14">
        <f t="shared" ref="AP61" si="91">SUM(AP62:AP64)</f>
        <v>0</v>
      </c>
      <c r="AQ61" s="14">
        <f t="shared" ref="AQ61" si="92">SUM(AQ62:AQ64)</f>
        <v>0</v>
      </c>
      <c r="AR61" s="14">
        <f t="shared" ref="AR61" si="93">SUM(AR62:AR64)</f>
        <v>0</v>
      </c>
      <c r="AS61" s="14">
        <f t="shared" ref="AS61" si="94">SUM(AS62:AS64)</f>
        <v>0</v>
      </c>
      <c r="AT61" s="14">
        <f t="shared" ref="AT61" si="95">SUM(AT62:AT64)</f>
        <v>0</v>
      </c>
      <c r="AU61" s="14">
        <f t="shared" ref="AU61" si="96">SUM(AU62:AU64)</f>
        <v>0</v>
      </c>
      <c r="AV61" s="14">
        <f t="shared" ref="AV61" si="97">SUM(AV62:AV64)</f>
        <v>0</v>
      </c>
      <c r="AW61" s="14">
        <f t="shared" ref="AW61" si="98">SUM(AW62:AW64)</f>
        <v>0</v>
      </c>
      <c r="AX61" s="14">
        <f t="shared" ref="AX61" si="99">SUM(AX62:AX64)</f>
        <v>0</v>
      </c>
      <c r="AY61" s="14">
        <f t="shared" ref="AY61" si="100">SUM(AY62:AY64)</f>
        <v>0</v>
      </c>
      <c r="AZ61" s="14">
        <f t="shared" ref="AZ61" si="101">SUM(AZ62:AZ64)</f>
        <v>0</v>
      </c>
      <c r="BA61" s="14">
        <f t="shared" ref="BA61" si="102">SUM(BA62:BA64)</f>
        <v>0</v>
      </c>
      <c r="BB61" s="14">
        <f t="shared" ref="BB61" si="103">SUM(BB62:BB64)</f>
        <v>0</v>
      </c>
      <c r="BC61" s="14">
        <f t="shared" ref="BC61" si="104">SUM(BC62:BC64)</f>
        <v>0</v>
      </c>
      <c r="BD61" s="14">
        <f t="shared" ref="BD61" si="105">SUM(BD62:BD64)</f>
        <v>0</v>
      </c>
      <c r="BE61" s="14">
        <f t="shared" ref="BE61" si="106">SUM(BE62:BE64)</f>
        <v>0</v>
      </c>
      <c r="BF61" s="14">
        <f t="shared" ref="BF61" si="107">SUM(BF62:BF64)</f>
        <v>0</v>
      </c>
      <c r="BG61" s="14">
        <f t="shared" ref="BG61" si="108">SUM(BG62:BG64)</f>
        <v>0</v>
      </c>
      <c r="BH61" s="14">
        <f t="shared" ref="BH61" si="109">SUM(BH62:BH64)</f>
        <v>0</v>
      </c>
      <c r="BI61" s="14">
        <f t="shared" ref="BI61" si="110">SUM(BI62:BI64)</f>
        <v>0</v>
      </c>
      <c r="BJ61" s="14">
        <f t="shared" ref="BJ61" si="111">SUM(BJ62:BJ64)</f>
        <v>0</v>
      </c>
      <c r="BK61" s="14">
        <f t="shared" ref="BK61" si="112">SUM(BK62:BK64)</f>
        <v>0</v>
      </c>
      <c r="BL61" s="14">
        <f t="shared" ref="BL61" si="113">SUM(BL62:BL64)</f>
        <v>0</v>
      </c>
      <c r="BM61" s="14">
        <f t="shared" ref="BM61" si="114">SUM(BM62:BM64)</f>
        <v>0</v>
      </c>
      <c r="BN61" s="14">
        <f t="shared" ref="BN61" si="115">SUM(BN62:BN64)</f>
        <v>0</v>
      </c>
      <c r="BO61" s="14">
        <f t="shared" ref="BO61" si="116">SUM(BO62:BO64)</f>
        <v>0</v>
      </c>
      <c r="BP61" s="14">
        <f t="shared" ref="BP61" si="117">SUM(BP62:BP64)</f>
        <v>0</v>
      </c>
      <c r="BQ61" s="14">
        <f t="shared" ref="BQ61" si="118">SUM(BQ62:BQ64)</f>
        <v>0</v>
      </c>
    </row>
    <row r="62" spans="1:69" s="22" customFormat="1" ht="13.5" customHeight="1">
      <c r="A62" s="1"/>
      <c r="B62" s="1"/>
      <c r="C62" s="116"/>
      <c r="D62" s="30" t="s">
        <v>66</v>
      </c>
      <c r="F62" s="22">
        <f>$F$61*G62</f>
        <v>50</v>
      </c>
      <c r="G62" s="105">
        <v>0.5</v>
      </c>
      <c r="H62" s="39">
        <f>Est</f>
        <v>44377</v>
      </c>
      <c r="L62" s="43"/>
      <c r="M62" s="22">
        <f>SUM(N62:XFD62)</f>
        <v>50</v>
      </c>
      <c r="O62" s="22">
        <f>(O$11=$H62)*$F62</f>
        <v>50</v>
      </c>
      <c r="P62" s="22">
        <f t="shared" si="61"/>
        <v>0</v>
      </c>
      <c r="Q62" s="22">
        <f t="shared" si="61"/>
        <v>0</v>
      </c>
      <c r="R62" s="22">
        <f t="shared" si="61"/>
        <v>0</v>
      </c>
      <c r="S62" s="22">
        <f t="shared" si="61"/>
        <v>0</v>
      </c>
      <c r="T62" s="22">
        <f t="shared" si="61"/>
        <v>0</v>
      </c>
      <c r="U62" s="22">
        <f t="shared" si="61"/>
        <v>0</v>
      </c>
      <c r="V62" s="22">
        <f t="shared" si="61"/>
        <v>0</v>
      </c>
      <c r="W62" s="22">
        <f t="shared" si="61"/>
        <v>0</v>
      </c>
      <c r="X62" s="22">
        <f t="shared" si="61"/>
        <v>0</v>
      </c>
      <c r="Y62" s="22">
        <f t="shared" si="61"/>
        <v>0</v>
      </c>
      <c r="Z62" s="22">
        <f t="shared" si="61"/>
        <v>0</v>
      </c>
      <c r="AA62" s="22">
        <f t="shared" si="61"/>
        <v>0</v>
      </c>
      <c r="AB62" s="22">
        <f t="shared" si="61"/>
        <v>0</v>
      </c>
      <c r="AC62" s="22">
        <f t="shared" si="61"/>
        <v>0</v>
      </c>
      <c r="AD62" s="22">
        <f t="shared" si="61"/>
        <v>0</v>
      </c>
      <c r="AE62" s="22">
        <f t="shared" si="61"/>
        <v>0</v>
      </c>
      <c r="AF62" s="22">
        <f t="shared" si="61"/>
        <v>0</v>
      </c>
      <c r="AG62" s="22">
        <f t="shared" si="61"/>
        <v>0</v>
      </c>
      <c r="AH62" s="22">
        <f t="shared" si="61"/>
        <v>0</v>
      </c>
      <c r="AI62" s="22">
        <f t="shared" si="61"/>
        <v>0</v>
      </c>
      <c r="AJ62" s="22">
        <f t="shared" si="61"/>
        <v>0</v>
      </c>
      <c r="AK62" s="22">
        <f t="shared" si="61"/>
        <v>0</v>
      </c>
      <c r="AL62" s="22">
        <f t="shared" si="61"/>
        <v>0</v>
      </c>
      <c r="AM62" s="22">
        <f t="shared" si="61"/>
        <v>0</v>
      </c>
      <c r="AN62" s="22">
        <f t="shared" si="61"/>
        <v>0</v>
      </c>
      <c r="AO62" s="22">
        <f t="shared" si="61"/>
        <v>0</v>
      </c>
      <c r="AP62" s="22">
        <f t="shared" si="61"/>
        <v>0</v>
      </c>
      <c r="AQ62" s="22">
        <f t="shared" si="61"/>
        <v>0</v>
      </c>
      <c r="AR62" s="22">
        <f t="shared" si="61"/>
        <v>0</v>
      </c>
      <c r="AS62" s="22">
        <f t="shared" si="61"/>
        <v>0</v>
      </c>
      <c r="AT62" s="22">
        <f t="shared" si="61"/>
        <v>0</v>
      </c>
      <c r="AU62" s="22">
        <f t="shared" si="61"/>
        <v>0</v>
      </c>
      <c r="AV62" s="22">
        <f t="shared" si="61"/>
        <v>0</v>
      </c>
      <c r="AW62" s="22">
        <f t="shared" si="61"/>
        <v>0</v>
      </c>
      <c r="AX62" s="22">
        <f t="shared" si="61"/>
        <v>0</v>
      </c>
      <c r="AY62" s="22">
        <f t="shared" si="61"/>
        <v>0</v>
      </c>
      <c r="AZ62" s="22">
        <f t="shared" si="61"/>
        <v>0</v>
      </c>
      <c r="BA62" s="22">
        <f t="shared" si="61"/>
        <v>0</v>
      </c>
      <c r="BB62" s="22">
        <f t="shared" si="61"/>
        <v>0</v>
      </c>
      <c r="BC62" s="22">
        <f t="shared" si="61"/>
        <v>0</v>
      </c>
      <c r="BD62" s="22">
        <f t="shared" si="61"/>
        <v>0</v>
      </c>
      <c r="BE62" s="22">
        <f t="shared" si="61"/>
        <v>0</v>
      </c>
      <c r="BF62" s="22">
        <f t="shared" si="61"/>
        <v>0</v>
      </c>
      <c r="BG62" s="22">
        <f t="shared" si="61"/>
        <v>0</v>
      </c>
      <c r="BH62" s="22">
        <f t="shared" si="61"/>
        <v>0</v>
      </c>
      <c r="BI62" s="22">
        <f t="shared" si="61"/>
        <v>0</v>
      </c>
      <c r="BJ62" s="22">
        <f t="shared" si="61"/>
        <v>0</v>
      </c>
      <c r="BK62" s="22">
        <f t="shared" si="61"/>
        <v>0</v>
      </c>
      <c r="BL62" s="22">
        <f t="shared" si="61"/>
        <v>0</v>
      </c>
      <c r="BM62" s="22">
        <f t="shared" si="61"/>
        <v>0</v>
      </c>
      <c r="BN62" s="22">
        <f t="shared" si="61"/>
        <v>0</v>
      </c>
      <c r="BO62" s="22">
        <f t="shared" si="61"/>
        <v>0</v>
      </c>
      <c r="BP62" s="22">
        <f t="shared" si="61"/>
        <v>0</v>
      </c>
      <c r="BQ62" s="22">
        <f t="shared" si="61"/>
        <v>0</v>
      </c>
    </row>
    <row r="63" spans="1:69" s="32" customFormat="1" ht="13.5" customHeight="1">
      <c r="A63" s="1"/>
      <c r="B63" s="1"/>
      <c r="C63" s="31"/>
      <c r="D63" s="31" t="s">
        <v>67</v>
      </c>
      <c r="F63" s="32">
        <f t="shared" ref="F63:F64" si="119">$F$61*G63</f>
        <v>0</v>
      </c>
      <c r="G63" s="106"/>
      <c r="H63" s="40"/>
      <c r="L63" s="42"/>
      <c r="M63" s="32">
        <f t="shared" ref="M63:M64" si="120">SUM(N63:XFD63)</f>
        <v>0</v>
      </c>
      <c r="O63" s="32">
        <f t="shared" ref="O63:AD64" si="121">(O$11=$H63)*$F63</f>
        <v>0</v>
      </c>
      <c r="P63" s="32">
        <f t="shared" si="121"/>
        <v>0</v>
      </c>
      <c r="Q63" s="32">
        <f t="shared" si="121"/>
        <v>0</v>
      </c>
      <c r="R63" s="32">
        <f t="shared" si="121"/>
        <v>0</v>
      </c>
      <c r="S63" s="32">
        <f t="shared" si="121"/>
        <v>0</v>
      </c>
      <c r="T63" s="32">
        <f t="shared" si="121"/>
        <v>0</v>
      </c>
      <c r="U63" s="32">
        <f t="shared" si="121"/>
        <v>0</v>
      </c>
      <c r="V63" s="32">
        <f t="shared" si="121"/>
        <v>0</v>
      </c>
      <c r="W63" s="32">
        <f t="shared" si="121"/>
        <v>0</v>
      </c>
      <c r="X63" s="32">
        <f t="shared" si="121"/>
        <v>0</v>
      </c>
      <c r="Y63" s="32">
        <f t="shared" si="121"/>
        <v>0</v>
      </c>
      <c r="Z63" s="32">
        <f t="shared" si="121"/>
        <v>0</v>
      </c>
      <c r="AA63" s="32">
        <f t="shared" si="121"/>
        <v>0</v>
      </c>
      <c r="AB63" s="32">
        <f t="shared" si="121"/>
        <v>0</v>
      </c>
      <c r="AC63" s="32">
        <f t="shared" si="121"/>
        <v>0</v>
      </c>
      <c r="AD63" s="32">
        <f t="shared" si="121"/>
        <v>0</v>
      </c>
      <c r="AE63" s="32">
        <f t="shared" si="61"/>
        <v>0</v>
      </c>
      <c r="AF63" s="32">
        <f t="shared" si="61"/>
        <v>0</v>
      </c>
      <c r="AG63" s="32">
        <f t="shared" si="61"/>
        <v>0</v>
      </c>
      <c r="AH63" s="32">
        <f t="shared" si="61"/>
        <v>0</v>
      </c>
      <c r="AI63" s="32">
        <f t="shared" si="61"/>
        <v>0</v>
      </c>
      <c r="AJ63" s="32">
        <f t="shared" si="61"/>
        <v>0</v>
      </c>
      <c r="AK63" s="32">
        <f t="shared" si="61"/>
        <v>0</v>
      </c>
      <c r="AL63" s="32">
        <f t="shared" si="61"/>
        <v>0</v>
      </c>
      <c r="AM63" s="32">
        <f t="shared" si="61"/>
        <v>0</v>
      </c>
      <c r="AN63" s="32">
        <f t="shared" si="61"/>
        <v>0</v>
      </c>
      <c r="AO63" s="32">
        <f t="shared" si="61"/>
        <v>0</v>
      </c>
      <c r="AP63" s="32">
        <f t="shared" si="61"/>
        <v>0</v>
      </c>
      <c r="AQ63" s="32">
        <f t="shared" si="61"/>
        <v>0</v>
      </c>
      <c r="AR63" s="32">
        <f t="shared" si="61"/>
        <v>0</v>
      </c>
      <c r="AS63" s="32">
        <f t="shared" si="61"/>
        <v>0</v>
      </c>
      <c r="AT63" s="32">
        <f t="shared" si="61"/>
        <v>0</v>
      </c>
      <c r="AU63" s="32">
        <f t="shared" si="61"/>
        <v>0</v>
      </c>
      <c r="AV63" s="32">
        <f t="shared" si="61"/>
        <v>0</v>
      </c>
      <c r="AW63" s="32">
        <f t="shared" si="61"/>
        <v>0</v>
      </c>
      <c r="AX63" s="32">
        <f t="shared" si="61"/>
        <v>0</v>
      </c>
      <c r="AY63" s="32">
        <f t="shared" si="61"/>
        <v>0</v>
      </c>
      <c r="AZ63" s="32">
        <f t="shared" si="61"/>
        <v>0</v>
      </c>
      <c r="BA63" s="32">
        <f t="shared" si="61"/>
        <v>0</v>
      </c>
      <c r="BB63" s="32">
        <f t="shared" si="61"/>
        <v>0</v>
      </c>
      <c r="BC63" s="32">
        <f t="shared" si="61"/>
        <v>0</v>
      </c>
      <c r="BD63" s="32">
        <f t="shared" si="61"/>
        <v>0</v>
      </c>
      <c r="BE63" s="32">
        <f t="shared" si="61"/>
        <v>0</v>
      </c>
      <c r="BF63" s="32">
        <f t="shared" si="61"/>
        <v>0</v>
      </c>
      <c r="BG63" s="32">
        <f t="shared" si="61"/>
        <v>0</v>
      </c>
      <c r="BH63" s="32">
        <f t="shared" si="61"/>
        <v>0</v>
      </c>
      <c r="BI63" s="32">
        <f t="shared" si="61"/>
        <v>0</v>
      </c>
      <c r="BJ63" s="32">
        <f t="shared" si="61"/>
        <v>0</v>
      </c>
      <c r="BK63" s="32">
        <f t="shared" si="61"/>
        <v>0</v>
      </c>
      <c r="BL63" s="32">
        <f t="shared" si="61"/>
        <v>0</v>
      </c>
      <c r="BM63" s="32">
        <f t="shared" si="61"/>
        <v>0</v>
      </c>
      <c r="BN63" s="32">
        <f t="shared" si="61"/>
        <v>0</v>
      </c>
      <c r="BO63" s="32">
        <f t="shared" si="61"/>
        <v>0</v>
      </c>
      <c r="BP63" s="32">
        <f t="shared" si="61"/>
        <v>0</v>
      </c>
      <c r="BQ63" s="32">
        <f t="shared" si="61"/>
        <v>0</v>
      </c>
    </row>
    <row r="64" spans="1:69" s="24" customFormat="1" ht="13.5" customHeight="1">
      <c r="A64" s="1"/>
      <c r="B64" s="1"/>
      <c r="C64" s="54"/>
      <c r="D64" s="33" t="s">
        <v>68</v>
      </c>
      <c r="F64" s="24">
        <f t="shared" si="119"/>
        <v>50</v>
      </c>
      <c r="G64" s="107">
        <v>0.5</v>
      </c>
      <c r="H64" s="41">
        <f>착공일</f>
        <v>44834</v>
      </c>
      <c r="L64" s="44"/>
      <c r="M64" s="24">
        <f t="shared" si="120"/>
        <v>50</v>
      </c>
      <c r="O64" s="24">
        <f t="shared" si="121"/>
        <v>0</v>
      </c>
      <c r="P64" s="24">
        <f t="shared" si="61"/>
        <v>0</v>
      </c>
      <c r="Q64" s="24">
        <f t="shared" si="61"/>
        <v>0</v>
      </c>
      <c r="R64" s="24">
        <f t="shared" si="61"/>
        <v>0</v>
      </c>
      <c r="S64" s="24">
        <f t="shared" si="61"/>
        <v>0</v>
      </c>
      <c r="T64" s="24">
        <f t="shared" si="61"/>
        <v>0</v>
      </c>
      <c r="U64" s="24">
        <f t="shared" si="61"/>
        <v>0</v>
      </c>
      <c r="V64" s="24">
        <f t="shared" si="61"/>
        <v>0</v>
      </c>
      <c r="W64" s="24">
        <f t="shared" si="61"/>
        <v>0</v>
      </c>
      <c r="X64" s="24">
        <f t="shared" si="61"/>
        <v>0</v>
      </c>
      <c r="Y64" s="24">
        <f t="shared" si="61"/>
        <v>0</v>
      </c>
      <c r="Z64" s="24">
        <f t="shared" si="61"/>
        <v>0</v>
      </c>
      <c r="AA64" s="24">
        <f t="shared" si="61"/>
        <v>0</v>
      </c>
      <c r="AB64" s="24">
        <f t="shared" si="61"/>
        <v>0</v>
      </c>
      <c r="AC64" s="24">
        <f t="shared" si="61"/>
        <v>0</v>
      </c>
      <c r="AD64" s="24">
        <f t="shared" si="61"/>
        <v>50</v>
      </c>
      <c r="AE64" s="24">
        <f t="shared" ref="AE64:BQ64" si="122">(AE$11=$H64)*$F64</f>
        <v>0</v>
      </c>
      <c r="AF64" s="24">
        <f t="shared" si="122"/>
        <v>0</v>
      </c>
      <c r="AG64" s="24">
        <f t="shared" si="122"/>
        <v>0</v>
      </c>
      <c r="AH64" s="24">
        <f t="shared" si="122"/>
        <v>0</v>
      </c>
      <c r="AI64" s="24">
        <f t="shared" si="122"/>
        <v>0</v>
      </c>
      <c r="AJ64" s="24">
        <f t="shared" si="122"/>
        <v>0</v>
      </c>
      <c r="AK64" s="24">
        <f t="shared" si="122"/>
        <v>0</v>
      </c>
      <c r="AL64" s="24">
        <f t="shared" si="122"/>
        <v>0</v>
      </c>
      <c r="AM64" s="24">
        <f t="shared" si="122"/>
        <v>0</v>
      </c>
      <c r="AN64" s="24">
        <f t="shared" si="122"/>
        <v>0</v>
      </c>
      <c r="AO64" s="24">
        <f t="shared" si="122"/>
        <v>0</v>
      </c>
      <c r="AP64" s="24">
        <f t="shared" si="122"/>
        <v>0</v>
      </c>
      <c r="AQ64" s="24">
        <f t="shared" si="122"/>
        <v>0</v>
      </c>
      <c r="AR64" s="24">
        <f t="shared" si="122"/>
        <v>0</v>
      </c>
      <c r="AS64" s="24">
        <f t="shared" si="122"/>
        <v>0</v>
      </c>
      <c r="AT64" s="24">
        <f t="shared" si="122"/>
        <v>0</v>
      </c>
      <c r="AU64" s="24">
        <f t="shared" si="122"/>
        <v>0</v>
      </c>
      <c r="AV64" s="24">
        <f t="shared" si="122"/>
        <v>0</v>
      </c>
      <c r="AW64" s="24">
        <f t="shared" si="122"/>
        <v>0</v>
      </c>
      <c r="AX64" s="24">
        <f t="shared" si="122"/>
        <v>0</v>
      </c>
      <c r="AY64" s="24">
        <f t="shared" si="122"/>
        <v>0</v>
      </c>
      <c r="AZ64" s="24">
        <f t="shared" si="122"/>
        <v>0</v>
      </c>
      <c r="BA64" s="24">
        <f t="shared" si="122"/>
        <v>0</v>
      </c>
      <c r="BB64" s="24">
        <f t="shared" si="122"/>
        <v>0</v>
      </c>
      <c r="BC64" s="24">
        <f t="shared" si="122"/>
        <v>0</v>
      </c>
      <c r="BD64" s="24">
        <f t="shared" si="122"/>
        <v>0</v>
      </c>
      <c r="BE64" s="24">
        <f t="shared" si="122"/>
        <v>0</v>
      </c>
      <c r="BF64" s="24">
        <f t="shared" si="122"/>
        <v>0</v>
      </c>
      <c r="BG64" s="24">
        <f t="shared" si="122"/>
        <v>0</v>
      </c>
      <c r="BH64" s="24">
        <f t="shared" si="122"/>
        <v>0</v>
      </c>
      <c r="BI64" s="24">
        <f t="shared" si="122"/>
        <v>0</v>
      </c>
      <c r="BJ64" s="24">
        <f t="shared" si="122"/>
        <v>0</v>
      </c>
      <c r="BK64" s="24">
        <f t="shared" si="122"/>
        <v>0</v>
      </c>
      <c r="BL64" s="24">
        <f t="shared" si="122"/>
        <v>0</v>
      </c>
      <c r="BM64" s="24">
        <f t="shared" si="122"/>
        <v>0</v>
      </c>
      <c r="BN64" s="24">
        <f t="shared" si="122"/>
        <v>0</v>
      </c>
      <c r="BO64" s="24">
        <f t="shared" si="122"/>
        <v>0</v>
      </c>
      <c r="BP64" s="24">
        <f t="shared" si="122"/>
        <v>0</v>
      </c>
      <c r="BQ64" s="24">
        <f t="shared" si="122"/>
        <v>0</v>
      </c>
    </row>
    <row r="65" spans="1:69" s="14" customFormat="1" ht="13.5" customHeight="1">
      <c r="C65" s="76" t="s">
        <v>165</v>
      </c>
      <c r="F65" s="14">
        <f>F275+(K65-H275)*J275</f>
        <v>77.193749999999994</v>
      </c>
      <c r="G65" s="14" t="s">
        <v>149</v>
      </c>
      <c r="J65" s="97" t="s">
        <v>151</v>
      </c>
      <c r="K65" s="97">
        <f>F13</f>
        <v>150871.875</v>
      </c>
      <c r="L65" s="48"/>
      <c r="M65" s="14">
        <f>SUM(N65:XFD65)</f>
        <v>77.193749999999994</v>
      </c>
      <c r="O65" s="14">
        <f>SUM(O66:O68)</f>
        <v>77.193749999999994</v>
      </c>
      <c r="P65" s="14">
        <f t="shared" ref="P65" si="123">SUM(P66:P68)</f>
        <v>0</v>
      </c>
      <c r="Q65" s="14">
        <f t="shared" ref="Q65" si="124">SUM(Q66:Q68)</f>
        <v>0</v>
      </c>
      <c r="R65" s="14">
        <f t="shared" ref="R65" si="125">SUM(R66:R68)</f>
        <v>0</v>
      </c>
      <c r="S65" s="14">
        <f t="shared" ref="S65" si="126">SUM(S66:S68)</f>
        <v>0</v>
      </c>
      <c r="T65" s="14">
        <f t="shared" ref="T65" si="127">SUM(T66:T68)</f>
        <v>0</v>
      </c>
      <c r="U65" s="14">
        <f t="shared" ref="U65" si="128">SUM(U66:U68)</f>
        <v>0</v>
      </c>
      <c r="V65" s="14">
        <f t="shared" ref="V65" si="129">SUM(V66:V68)</f>
        <v>0</v>
      </c>
      <c r="W65" s="14">
        <f t="shared" ref="W65" si="130">SUM(W66:W68)</f>
        <v>0</v>
      </c>
      <c r="X65" s="14">
        <f t="shared" ref="X65" si="131">SUM(X66:X68)</f>
        <v>0</v>
      </c>
      <c r="Y65" s="14">
        <f t="shared" ref="Y65" si="132">SUM(Y66:Y68)</f>
        <v>0</v>
      </c>
      <c r="Z65" s="14">
        <f t="shared" ref="Z65" si="133">SUM(Z66:Z68)</f>
        <v>0</v>
      </c>
      <c r="AA65" s="14">
        <f t="shared" ref="AA65" si="134">SUM(AA66:AA68)</f>
        <v>0</v>
      </c>
      <c r="AB65" s="14">
        <f t="shared" ref="AB65" si="135">SUM(AB66:AB68)</f>
        <v>0</v>
      </c>
      <c r="AC65" s="14">
        <f t="shared" ref="AC65" si="136">SUM(AC66:AC68)</f>
        <v>0</v>
      </c>
      <c r="AD65" s="14">
        <f t="shared" ref="AD65" si="137">SUM(AD66:AD68)</f>
        <v>0</v>
      </c>
      <c r="AE65" s="14">
        <f t="shared" ref="AE65" si="138">SUM(AE66:AE68)</f>
        <v>0</v>
      </c>
      <c r="AF65" s="14">
        <f t="shared" ref="AF65" si="139">SUM(AF66:AF68)</f>
        <v>0</v>
      </c>
      <c r="AG65" s="14">
        <f t="shared" ref="AG65" si="140">SUM(AG66:AG68)</f>
        <v>0</v>
      </c>
      <c r="AH65" s="14">
        <f t="shared" ref="AH65" si="141">SUM(AH66:AH68)</f>
        <v>0</v>
      </c>
      <c r="AI65" s="14">
        <f t="shared" ref="AI65" si="142">SUM(AI66:AI68)</f>
        <v>0</v>
      </c>
      <c r="AJ65" s="14">
        <f t="shared" ref="AJ65" si="143">SUM(AJ66:AJ68)</f>
        <v>0</v>
      </c>
      <c r="AK65" s="14">
        <f t="shared" ref="AK65" si="144">SUM(AK66:AK68)</f>
        <v>0</v>
      </c>
      <c r="AL65" s="14">
        <f t="shared" ref="AL65" si="145">SUM(AL66:AL68)</f>
        <v>0</v>
      </c>
      <c r="AM65" s="14">
        <f t="shared" ref="AM65" si="146">SUM(AM66:AM68)</f>
        <v>0</v>
      </c>
      <c r="AN65" s="14">
        <f t="shared" ref="AN65" si="147">SUM(AN66:AN68)</f>
        <v>0</v>
      </c>
      <c r="AO65" s="14">
        <f t="shared" ref="AO65" si="148">SUM(AO66:AO68)</f>
        <v>0</v>
      </c>
      <c r="AP65" s="14">
        <f t="shared" ref="AP65" si="149">SUM(AP66:AP68)</f>
        <v>0</v>
      </c>
      <c r="AQ65" s="14">
        <f t="shared" ref="AQ65" si="150">SUM(AQ66:AQ68)</f>
        <v>0</v>
      </c>
      <c r="AR65" s="14">
        <f t="shared" ref="AR65" si="151">SUM(AR66:AR68)</f>
        <v>0</v>
      </c>
      <c r="AS65" s="14">
        <f t="shared" ref="AS65" si="152">SUM(AS66:AS68)</f>
        <v>0</v>
      </c>
      <c r="AT65" s="14">
        <f t="shared" ref="AT65" si="153">SUM(AT66:AT68)</f>
        <v>0</v>
      </c>
      <c r="AU65" s="14">
        <f t="shared" ref="AU65" si="154">SUM(AU66:AU68)</f>
        <v>0</v>
      </c>
      <c r="AV65" s="14">
        <f t="shared" ref="AV65" si="155">SUM(AV66:AV68)</f>
        <v>0</v>
      </c>
      <c r="AW65" s="14">
        <f t="shared" ref="AW65" si="156">SUM(AW66:AW68)</f>
        <v>0</v>
      </c>
      <c r="AX65" s="14">
        <f t="shared" ref="AX65" si="157">SUM(AX66:AX68)</f>
        <v>0</v>
      </c>
      <c r="AY65" s="14">
        <f t="shared" ref="AY65" si="158">SUM(AY66:AY68)</f>
        <v>0</v>
      </c>
      <c r="AZ65" s="14">
        <f t="shared" ref="AZ65" si="159">SUM(AZ66:AZ68)</f>
        <v>0</v>
      </c>
      <c r="BA65" s="14">
        <f t="shared" ref="BA65" si="160">SUM(BA66:BA68)</f>
        <v>0</v>
      </c>
      <c r="BB65" s="14">
        <f t="shared" ref="BB65" si="161">SUM(BB66:BB68)</f>
        <v>0</v>
      </c>
      <c r="BC65" s="14">
        <f t="shared" ref="BC65" si="162">SUM(BC66:BC68)</f>
        <v>0</v>
      </c>
      <c r="BD65" s="14">
        <f t="shared" ref="BD65" si="163">SUM(BD66:BD68)</f>
        <v>0</v>
      </c>
      <c r="BE65" s="14">
        <f t="shared" ref="BE65" si="164">SUM(BE66:BE68)</f>
        <v>0</v>
      </c>
      <c r="BF65" s="14">
        <f t="shared" ref="BF65" si="165">SUM(BF66:BF68)</f>
        <v>0</v>
      </c>
      <c r="BG65" s="14">
        <f t="shared" ref="BG65" si="166">SUM(BG66:BG68)</f>
        <v>0</v>
      </c>
      <c r="BH65" s="14">
        <f t="shared" ref="BH65" si="167">SUM(BH66:BH68)</f>
        <v>0</v>
      </c>
      <c r="BI65" s="14">
        <f t="shared" ref="BI65" si="168">SUM(BI66:BI68)</f>
        <v>0</v>
      </c>
      <c r="BJ65" s="14">
        <f t="shared" ref="BJ65" si="169">SUM(BJ66:BJ68)</f>
        <v>0</v>
      </c>
      <c r="BK65" s="14">
        <f t="shared" ref="BK65" si="170">SUM(BK66:BK68)</f>
        <v>0</v>
      </c>
      <c r="BL65" s="14">
        <f t="shared" ref="BL65" si="171">SUM(BL66:BL68)</f>
        <v>0</v>
      </c>
      <c r="BM65" s="14">
        <f t="shared" ref="BM65" si="172">SUM(BM66:BM68)</f>
        <v>0</v>
      </c>
      <c r="BN65" s="14">
        <f t="shared" ref="BN65" si="173">SUM(BN66:BN68)</f>
        <v>0</v>
      </c>
      <c r="BO65" s="14">
        <f t="shared" ref="BO65" si="174">SUM(BO66:BO68)</f>
        <v>0</v>
      </c>
      <c r="BP65" s="14">
        <f t="shared" ref="BP65" si="175">SUM(BP66:BP68)</f>
        <v>0</v>
      </c>
      <c r="BQ65" s="14">
        <f t="shared" ref="BQ65" si="176">SUM(BQ66:BQ68)</f>
        <v>0</v>
      </c>
    </row>
    <row r="66" spans="1:69" s="22" customFormat="1" ht="13.5" customHeight="1">
      <c r="A66" s="1"/>
      <c r="B66" s="1"/>
      <c r="C66" s="116"/>
      <c r="D66" s="30" t="s">
        <v>66</v>
      </c>
      <c r="F66" s="22">
        <f>$F$65*G66</f>
        <v>0</v>
      </c>
      <c r="G66" s="105"/>
      <c r="H66" s="39"/>
      <c r="L66" s="43"/>
      <c r="M66" s="22">
        <f>SUM(N66:XFD66)</f>
        <v>0</v>
      </c>
      <c r="O66" s="22">
        <f>(O$11=$H66)*$F66</f>
        <v>0</v>
      </c>
      <c r="P66" s="22">
        <f t="shared" ref="P66:BQ68" si="177">(P$11=$H66)*$F66</f>
        <v>0</v>
      </c>
      <c r="Q66" s="22">
        <f t="shared" si="177"/>
        <v>0</v>
      </c>
      <c r="R66" s="22">
        <f t="shared" si="177"/>
        <v>0</v>
      </c>
      <c r="S66" s="22">
        <f t="shared" si="177"/>
        <v>0</v>
      </c>
      <c r="T66" s="22">
        <f t="shared" si="177"/>
        <v>0</v>
      </c>
      <c r="U66" s="22">
        <f t="shared" si="177"/>
        <v>0</v>
      </c>
      <c r="V66" s="22">
        <f t="shared" si="177"/>
        <v>0</v>
      </c>
      <c r="W66" s="22">
        <f t="shared" si="177"/>
        <v>0</v>
      </c>
      <c r="X66" s="22">
        <f t="shared" si="177"/>
        <v>0</v>
      </c>
      <c r="Y66" s="22">
        <f t="shared" si="177"/>
        <v>0</v>
      </c>
      <c r="Z66" s="22">
        <f t="shared" si="177"/>
        <v>0</v>
      </c>
      <c r="AA66" s="22">
        <f t="shared" si="177"/>
        <v>0</v>
      </c>
      <c r="AB66" s="22">
        <f t="shared" si="177"/>
        <v>0</v>
      </c>
      <c r="AC66" s="22">
        <f t="shared" si="177"/>
        <v>0</v>
      </c>
      <c r="AD66" s="22">
        <f t="shared" si="177"/>
        <v>0</v>
      </c>
      <c r="AE66" s="22">
        <f t="shared" si="177"/>
        <v>0</v>
      </c>
      <c r="AF66" s="22">
        <f t="shared" si="177"/>
        <v>0</v>
      </c>
      <c r="AG66" s="22">
        <f t="shared" si="177"/>
        <v>0</v>
      </c>
      <c r="AH66" s="22">
        <f t="shared" si="177"/>
        <v>0</v>
      </c>
      <c r="AI66" s="22">
        <f t="shared" si="177"/>
        <v>0</v>
      </c>
      <c r="AJ66" s="22">
        <f t="shared" si="177"/>
        <v>0</v>
      </c>
      <c r="AK66" s="22">
        <f t="shared" si="177"/>
        <v>0</v>
      </c>
      <c r="AL66" s="22">
        <f t="shared" si="177"/>
        <v>0</v>
      </c>
      <c r="AM66" s="22">
        <f t="shared" si="177"/>
        <v>0</v>
      </c>
      <c r="AN66" s="22">
        <f t="shared" si="177"/>
        <v>0</v>
      </c>
      <c r="AO66" s="22">
        <f t="shared" si="177"/>
        <v>0</v>
      </c>
      <c r="AP66" s="22">
        <f t="shared" si="177"/>
        <v>0</v>
      </c>
      <c r="AQ66" s="22">
        <f t="shared" si="177"/>
        <v>0</v>
      </c>
      <c r="AR66" s="22">
        <f t="shared" si="177"/>
        <v>0</v>
      </c>
      <c r="AS66" s="22">
        <f t="shared" si="177"/>
        <v>0</v>
      </c>
      <c r="AT66" s="22">
        <f t="shared" si="177"/>
        <v>0</v>
      </c>
      <c r="AU66" s="22">
        <f t="shared" si="177"/>
        <v>0</v>
      </c>
      <c r="AV66" s="22">
        <f t="shared" si="177"/>
        <v>0</v>
      </c>
      <c r="AW66" s="22">
        <f t="shared" si="177"/>
        <v>0</v>
      </c>
      <c r="AX66" s="22">
        <f t="shared" si="177"/>
        <v>0</v>
      </c>
      <c r="AY66" s="22">
        <f t="shared" si="177"/>
        <v>0</v>
      </c>
      <c r="AZ66" s="22">
        <f t="shared" si="177"/>
        <v>0</v>
      </c>
      <c r="BA66" s="22">
        <f t="shared" si="177"/>
        <v>0</v>
      </c>
      <c r="BB66" s="22">
        <f t="shared" si="177"/>
        <v>0</v>
      </c>
      <c r="BC66" s="22">
        <f t="shared" si="177"/>
        <v>0</v>
      </c>
      <c r="BD66" s="22">
        <f t="shared" si="177"/>
        <v>0</v>
      </c>
      <c r="BE66" s="22">
        <f t="shared" si="177"/>
        <v>0</v>
      </c>
      <c r="BF66" s="22">
        <f t="shared" si="177"/>
        <v>0</v>
      </c>
      <c r="BG66" s="22">
        <f t="shared" si="177"/>
        <v>0</v>
      </c>
      <c r="BH66" s="22">
        <f t="shared" si="177"/>
        <v>0</v>
      </c>
      <c r="BI66" s="22">
        <f t="shared" si="177"/>
        <v>0</v>
      </c>
      <c r="BJ66" s="22">
        <f t="shared" si="177"/>
        <v>0</v>
      </c>
      <c r="BK66" s="22">
        <f t="shared" si="177"/>
        <v>0</v>
      </c>
      <c r="BL66" s="22">
        <f t="shared" si="177"/>
        <v>0</v>
      </c>
      <c r="BM66" s="22">
        <f t="shared" si="177"/>
        <v>0</v>
      </c>
      <c r="BN66" s="22">
        <f t="shared" si="177"/>
        <v>0</v>
      </c>
      <c r="BO66" s="22">
        <f t="shared" si="177"/>
        <v>0</v>
      </c>
      <c r="BP66" s="22">
        <f t="shared" si="177"/>
        <v>0</v>
      </c>
      <c r="BQ66" s="22">
        <f t="shared" si="177"/>
        <v>0</v>
      </c>
    </row>
    <row r="67" spans="1:69" s="32" customFormat="1" ht="13.5" customHeight="1">
      <c r="A67" s="1"/>
      <c r="B67" s="1"/>
      <c r="C67" s="31"/>
      <c r="D67" s="31" t="s">
        <v>67</v>
      </c>
      <c r="F67" s="32">
        <f t="shared" ref="F67:F68" si="178">$F$65*G67</f>
        <v>0</v>
      </c>
      <c r="G67" s="106"/>
      <c r="H67" s="40"/>
      <c r="L67" s="42"/>
      <c r="M67" s="32">
        <f t="shared" ref="M67:M68" si="179">SUM(N67:XFD67)</f>
        <v>0</v>
      </c>
      <c r="O67" s="32">
        <f t="shared" ref="O67:AD68" si="180">(O$11=$H67)*$F67</f>
        <v>0</v>
      </c>
      <c r="P67" s="32">
        <f t="shared" si="180"/>
        <v>0</v>
      </c>
      <c r="Q67" s="32">
        <f t="shared" si="180"/>
        <v>0</v>
      </c>
      <c r="R67" s="32">
        <f t="shared" si="180"/>
        <v>0</v>
      </c>
      <c r="S67" s="32">
        <f t="shared" si="180"/>
        <v>0</v>
      </c>
      <c r="T67" s="32">
        <f t="shared" si="180"/>
        <v>0</v>
      </c>
      <c r="U67" s="32">
        <f t="shared" si="180"/>
        <v>0</v>
      </c>
      <c r="V67" s="32">
        <f t="shared" si="180"/>
        <v>0</v>
      </c>
      <c r="W67" s="32">
        <f t="shared" si="180"/>
        <v>0</v>
      </c>
      <c r="X67" s="32">
        <f t="shared" si="180"/>
        <v>0</v>
      </c>
      <c r="Y67" s="32">
        <f t="shared" si="180"/>
        <v>0</v>
      </c>
      <c r="Z67" s="32">
        <f t="shared" si="180"/>
        <v>0</v>
      </c>
      <c r="AA67" s="32">
        <f t="shared" si="180"/>
        <v>0</v>
      </c>
      <c r="AB67" s="32">
        <f t="shared" si="180"/>
        <v>0</v>
      </c>
      <c r="AC67" s="32">
        <f t="shared" si="180"/>
        <v>0</v>
      </c>
      <c r="AD67" s="32">
        <f t="shared" si="180"/>
        <v>0</v>
      </c>
      <c r="AE67" s="32">
        <f t="shared" si="177"/>
        <v>0</v>
      </c>
      <c r="AF67" s="32">
        <f t="shared" si="177"/>
        <v>0</v>
      </c>
      <c r="AG67" s="32">
        <f t="shared" si="177"/>
        <v>0</v>
      </c>
      <c r="AH67" s="32">
        <f t="shared" si="177"/>
        <v>0</v>
      </c>
      <c r="AI67" s="32">
        <f t="shared" si="177"/>
        <v>0</v>
      </c>
      <c r="AJ67" s="32">
        <f t="shared" si="177"/>
        <v>0</v>
      </c>
      <c r="AK67" s="32">
        <f t="shared" si="177"/>
        <v>0</v>
      </c>
      <c r="AL67" s="32">
        <f t="shared" si="177"/>
        <v>0</v>
      </c>
      <c r="AM67" s="32">
        <f t="shared" si="177"/>
        <v>0</v>
      </c>
      <c r="AN67" s="32">
        <f t="shared" si="177"/>
        <v>0</v>
      </c>
      <c r="AO67" s="32">
        <f t="shared" si="177"/>
        <v>0</v>
      </c>
      <c r="AP67" s="32">
        <f t="shared" si="177"/>
        <v>0</v>
      </c>
      <c r="AQ67" s="32">
        <f t="shared" si="177"/>
        <v>0</v>
      </c>
      <c r="AR67" s="32">
        <f t="shared" si="177"/>
        <v>0</v>
      </c>
      <c r="AS67" s="32">
        <f t="shared" si="177"/>
        <v>0</v>
      </c>
      <c r="AT67" s="32">
        <f t="shared" si="177"/>
        <v>0</v>
      </c>
      <c r="AU67" s="32">
        <f t="shared" si="177"/>
        <v>0</v>
      </c>
      <c r="AV67" s="32">
        <f t="shared" si="177"/>
        <v>0</v>
      </c>
      <c r="AW67" s="32">
        <f t="shared" si="177"/>
        <v>0</v>
      </c>
      <c r="AX67" s="32">
        <f t="shared" si="177"/>
        <v>0</v>
      </c>
      <c r="AY67" s="32">
        <f t="shared" si="177"/>
        <v>0</v>
      </c>
      <c r="AZ67" s="32">
        <f t="shared" si="177"/>
        <v>0</v>
      </c>
      <c r="BA67" s="32">
        <f t="shared" si="177"/>
        <v>0</v>
      </c>
      <c r="BB67" s="32">
        <f t="shared" si="177"/>
        <v>0</v>
      </c>
      <c r="BC67" s="32">
        <f t="shared" si="177"/>
        <v>0</v>
      </c>
      <c r="BD67" s="32">
        <f t="shared" si="177"/>
        <v>0</v>
      </c>
      <c r="BE67" s="32">
        <f t="shared" si="177"/>
        <v>0</v>
      </c>
      <c r="BF67" s="32">
        <f t="shared" si="177"/>
        <v>0</v>
      </c>
      <c r="BG67" s="32">
        <f t="shared" si="177"/>
        <v>0</v>
      </c>
      <c r="BH67" s="32">
        <f t="shared" si="177"/>
        <v>0</v>
      </c>
      <c r="BI67" s="32">
        <f t="shared" si="177"/>
        <v>0</v>
      </c>
      <c r="BJ67" s="32">
        <f t="shared" si="177"/>
        <v>0</v>
      </c>
      <c r="BK67" s="32">
        <f t="shared" si="177"/>
        <v>0</v>
      </c>
      <c r="BL67" s="32">
        <f t="shared" si="177"/>
        <v>0</v>
      </c>
      <c r="BM67" s="32">
        <f t="shared" si="177"/>
        <v>0</v>
      </c>
      <c r="BN67" s="32">
        <f t="shared" si="177"/>
        <v>0</v>
      </c>
      <c r="BO67" s="32">
        <f t="shared" si="177"/>
        <v>0</v>
      </c>
      <c r="BP67" s="32">
        <f t="shared" si="177"/>
        <v>0</v>
      </c>
      <c r="BQ67" s="32">
        <f t="shared" si="177"/>
        <v>0</v>
      </c>
    </row>
    <row r="68" spans="1:69" s="24" customFormat="1" ht="13.5" customHeight="1">
      <c r="A68" s="1"/>
      <c r="B68" s="1"/>
      <c r="C68" s="54"/>
      <c r="D68" s="33" t="s">
        <v>68</v>
      </c>
      <c r="F68" s="24">
        <f t="shared" si="178"/>
        <v>77.193749999999994</v>
      </c>
      <c r="G68" s="107">
        <v>1</v>
      </c>
      <c r="H68" s="41">
        <f>'A&amp;R'!D14</f>
        <v>44377</v>
      </c>
      <c r="L68" s="44"/>
      <c r="M68" s="24">
        <f t="shared" si="179"/>
        <v>77.193749999999994</v>
      </c>
      <c r="O68" s="24">
        <f t="shared" si="180"/>
        <v>77.193749999999994</v>
      </c>
      <c r="P68" s="24">
        <f t="shared" si="177"/>
        <v>0</v>
      </c>
      <c r="Q68" s="24">
        <f t="shared" si="177"/>
        <v>0</v>
      </c>
      <c r="R68" s="24">
        <f t="shared" si="177"/>
        <v>0</v>
      </c>
      <c r="S68" s="24">
        <f t="shared" si="177"/>
        <v>0</v>
      </c>
      <c r="T68" s="24">
        <f t="shared" si="177"/>
        <v>0</v>
      </c>
      <c r="U68" s="24">
        <f t="shared" si="177"/>
        <v>0</v>
      </c>
      <c r="V68" s="24">
        <f t="shared" si="177"/>
        <v>0</v>
      </c>
      <c r="W68" s="24">
        <f t="shared" si="177"/>
        <v>0</v>
      </c>
      <c r="X68" s="24">
        <f t="shared" si="177"/>
        <v>0</v>
      </c>
      <c r="Y68" s="24">
        <f t="shared" si="177"/>
        <v>0</v>
      </c>
      <c r="Z68" s="24">
        <f t="shared" si="177"/>
        <v>0</v>
      </c>
      <c r="AA68" s="24">
        <f t="shared" si="177"/>
        <v>0</v>
      </c>
      <c r="AB68" s="24">
        <f t="shared" si="177"/>
        <v>0</v>
      </c>
      <c r="AC68" s="24">
        <f t="shared" si="177"/>
        <v>0</v>
      </c>
      <c r="AD68" s="24">
        <f t="shared" si="177"/>
        <v>0</v>
      </c>
      <c r="AE68" s="24">
        <f t="shared" si="177"/>
        <v>0</v>
      </c>
      <c r="AF68" s="24">
        <f t="shared" si="177"/>
        <v>0</v>
      </c>
      <c r="AG68" s="24">
        <f t="shared" si="177"/>
        <v>0</v>
      </c>
      <c r="AH68" s="24">
        <f t="shared" si="177"/>
        <v>0</v>
      </c>
      <c r="AI68" s="24">
        <f t="shared" si="177"/>
        <v>0</v>
      </c>
      <c r="AJ68" s="24">
        <f t="shared" si="177"/>
        <v>0</v>
      </c>
      <c r="AK68" s="24">
        <f t="shared" si="177"/>
        <v>0</v>
      </c>
      <c r="AL68" s="24">
        <f t="shared" si="177"/>
        <v>0</v>
      </c>
      <c r="AM68" s="24">
        <f t="shared" si="177"/>
        <v>0</v>
      </c>
      <c r="AN68" s="24">
        <f t="shared" si="177"/>
        <v>0</v>
      </c>
      <c r="AO68" s="24">
        <f t="shared" si="177"/>
        <v>0</v>
      </c>
      <c r="AP68" s="24">
        <f t="shared" si="177"/>
        <v>0</v>
      </c>
      <c r="AQ68" s="24">
        <f t="shared" si="177"/>
        <v>0</v>
      </c>
      <c r="AR68" s="24">
        <f t="shared" si="177"/>
        <v>0</v>
      </c>
      <c r="AS68" s="24">
        <f t="shared" si="177"/>
        <v>0</v>
      </c>
      <c r="AT68" s="24">
        <f t="shared" si="177"/>
        <v>0</v>
      </c>
      <c r="AU68" s="24">
        <f t="shared" si="177"/>
        <v>0</v>
      </c>
      <c r="AV68" s="24">
        <f t="shared" si="177"/>
        <v>0</v>
      </c>
      <c r="AW68" s="24">
        <f t="shared" si="177"/>
        <v>0</v>
      </c>
      <c r="AX68" s="24">
        <f t="shared" si="177"/>
        <v>0</v>
      </c>
      <c r="AY68" s="24">
        <f t="shared" si="177"/>
        <v>0</v>
      </c>
      <c r="AZ68" s="24">
        <f t="shared" si="177"/>
        <v>0</v>
      </c>
      <c r="BA68" s="24">
        <f t="shared" si="177"/>
        <v>0</v>
      </c>
      <c r="BB68" s="24">
        <f t="shared" si="177"/>
        <v>0</v>
      </c>
      <c r="BC68" s="24">
        <f t="shared" si="177"/>
        <v>0</v>
      </c>
      <c r="BD68" s="24">
        <f t="shared" si="177"/>
        <v>0</v>
      </c>
      <c r="BE68" s="24">
        <f t="shared" si="177"/>
        <v>0</v>
      </c>
      <c r="BF68" s="24">
        <f t="shared" si="177"/>
        <v>0</v>
      </c>
      <c r="BG68" s="24">
        <f t="shared" si="177"/>
        <v>0</v>
      </c>
      <c r="BH68" s="24">
        <f t="shared" si="177"/>
        <v>0</v>
      </c>
      <c r="BI68" s="24">
        <f t="shared" si="177"/>
        <v>0</v>
      </c>
      <c r="BJ68" s="24">
        <f t="shared" si="177"/>
        <v>0</v>
      </c>
      <c r="BK68" s="24">
        <f t="shared" si="177"/>
        <v>0</v>
      </c>
      <c r="BL68" s="24">
        <f t="shared" si="177"/>
        <v>0</v>
      </c>
      <c r="BM68" s="24">
        <f t="shared" si="177"/>
        <v>0</v>
      </c>
      <c r="BN68" s="24">
        <f t="shared" si="177"/>
        <v>0</v>
      </c>
      <c r="BO68" s="24">
        <f t="shared" si="177"/>
        <v>0</v>
      </c>
      <c r="BP68" s="24">
        <f t="shared" si="177"/>
        <v>0</v>
      </c>
      <c r="BQ68" s="24">
        <f t="shared" si="177"/>
        <v>0</v>
      </c>
    </row>
    <row r="69" spans="1:69" s="14" customFormat="1" ht="13.5" customHeight="1">
      <c r="C69" s="71" t="s">
        <v>152</v>
      </c>
      <c r="D69" s="72"/>
      <c r="E69" s="72"/>
      <c r="F69" s="72">
        <f>J71*J72*J73</f>
        <v>2161.4903296000002</v>
      </c>
      <c r="G69" s="72" t="s">
        <v>153</v>
      </c>
      <c r="H69" s="72"/>
      <c r="I69" s="72"/>
      <c r="J69" s="72"/>
      <c r="K69" s="72"/>
      <c r="L69" s="75"/>
      <c r="M69" s="72">
        <f>SUM(N69:XFD69)</f>
        <v>2161.4903296000002</v>
      </c>
      <c r="N69" s="72"/>
      <c r="O69" s="72">
        <f>(O$11=$K$74)*$F$69</f>
        <v>0</v>
      </c>
      <c r="P69" s="72">
        <f t="shared" ref="P69:BQ69" si="181">(P$11=$K$74)*$F$69</f>
        <v>0</v>
      </c>
      <c r="Q69" s="72">
        <f t="shared" si="181"/>
        <v>0</v>
      </c>
      <c r="R69" s="72">
        <f t="shared" si="181"/>
        <v>0</v>
      </c>
      <c r="S69" s="72">
        <f t="shared" si="181"/>
        <v>0</v>
      </c>
      <c r="T69" s="72">
        <f t="shared" si="181"/>
        <v>0</v>
      </c>
      <c r="U69" s="72">
        <f t="shared" si="181"/>
        <v>0</v>
      </c>
      <c r="V69" s="72">
        <f t="shared" si="181"/>
        <v>0</v>
      </c>
      <c r="W69" s="72">
        <f t="shared" si="181"/>
        <v>0</v>
      </c>
      <c r="X69" s="72">
        <f t="shared" si="181"/>
        <v>0</v>
      </c>
      <c r="Y69" s="72">
        <f t="shared" si="181"/>
        <v>0</v>
      </c>
      <c r="Z69" s="72">
        <f t="shared" si="181"/>
        <v>0</v>
      </c>
      <c r="AA69" s="72">
        <f t="shared" si="181"/>
        <v>0</v>
      </c>
      <c r="AB69" s="72">
        <f t="shared" si="181"/>
        <v>0</v>
      </c>
      <c r="AC69" s="72">
        <f t="shared" si="181"/>
        <v>0</v>
      </c>
      <c r="AD69" s="72">
        <f t="shared" si="181"/>
        <v>0</v>
      </c>
      <c r="AE69" s="72">
        <f t="shared" si="181"/>
        <v>0</v>
      </c>
      <c r="AF69" s="72">
        <f t="shared" si="181"/>
        <v>0</v>
      </c>
      <c r="AG69" s="72">
        <f t="shared" si="181"/>
        <v>0</v>
      </c>
      <c r="AH69" s="72">
        <f t="shared" si="181"/>
        <v>0</v>
      </c>
      <c r="AI69" s="72">
        <f t="shared" si="181"/>
        <v>0</v>
      </c>
      <c r="AJ69" s="72">
        <f t="shared" si="181"/>
        <v>0</v>
      </c>
      <c r="AK69" s="72">
        <f t="shared" si="181"/>
        <v>0</v>
      </c>
      <c r="AL69" s="72">
        <f t="shared" si="181"/>
        <v>0</v>
      </c>
      <c r="AM69" s="72">
        <f t="shared" si="181"/>
        <v>0</v>
      </c>
      <c r="AN69" s="72">
        <f t="shared" si="181"/>
        <v>0</v>
      </c>
      <c r="AO69" s="72">
        <f t="shared" si="181"/>
        <v>0</v>
      </c>
      <c r="AP69" s="72">
        <f t="shared" si="181"/>
        <v>0</v>
      </c>
      <c r="AQ69" s="72">
        <f t="shared" si="181"/>
        <v>0</v>
      </c>
      <c r="AR69" s="72">
        <f t="shared" si="181"/>
        <v>0</v>
      </c>
      <c r="AS69" s="72">
        <f t="shared" si="181"/>
        <v>0</v>
      </c>
      <c r="AT69" s="72">
        <f t="shared" si="181"/>
        <v>0</v>
      </c>
      <c r="AU69" s="72">
        <f t="shared" si="181"/>
        <v>0</v>
      </c>
      <c r="AV69" s="72">
        <f t="shared" si="181"/>
        <v>0</v>
      </c>
      <c r="AW69" s="72">
        <f t="shared" si="181"/>
        <v>0</v>
      </c>
      <c r="AX69" s="72">
        <f t="shared" si="181"/>
        <v>0</v>
      </c>
      <c r="AY69" s="72">
        <f t="shared" si="181"/>
        <v>0</v>
      </c>
      <c r="AZ69" s="72">
        <f t="shared" si="181"/>
        <v>0</v>
      </c>
      <c r="BA69" s="72">
        <f t="shared" si="181"/>
        <v>0</v>
      </c>
      <c r="BB69" s="72">
        <f t="shared" si="181"/>
        <v>0</v>
      </c>
      <c r="BC69" s="72">
        <f t="shared" si="181"/>
        <v>0</v>
      </c>
      <c r="BD69" s="72">
        <f t="shared" si="181"/>
        <v>0</v>
      </c>
      <c r="BE69" s="72">
        <f t="shared" si="181"/>
        <v>0</v>
      </c>
      <c r="BF69" s="72">
        <f t="shared" si="181"/>
        <v>0</v>
      </c>
      <c r="BG69" s="72">
        <f t="shared" si="181"/>
        <v>0</v>
      </c>
      <c r="BH69" s="72">
        <f t="shared" si="181"/>
        <v>0</v>
      </c>
      <c r="BI69" s="72">
        <f t="shared" si="181"/>
        <v>0</v>
      </c>
      <c r="BJ69" s="72">
        <f t="shared" si="181"/>
        <v>2161.4903296000002</v>
      </c>
      <c r="BK69" s="72">
        <f t="shared" si="181"/>
        <v>0</v>
      </c>
      <c r="BL69" s="72">
        <f t="shared" si="181"/>
        <v>0</v>
      </c>
      <c r="BM69" s="72">
        <f t="shared" si="181"/>
        <v>0</v>
      </c>
      <c r="BN69" s="72">
        <f t="shared" si="181"/>
        <v>0</v>
      </c>
      <c r="BO69" s="72">
        <f t="shared" si="181"/>
        <v>0</v>
      </c>
      <c r="BP69" s="72">
        <f t="shared" si="181"/>
        <v>0</v>
      </c>
      <c r="BQ69" s="72">
        <f t="shared" si="181"/>
        <v>0</v>
      </c>
    </row>
    <row r="70" spans="1:69" ht="13.5" customHeight="1">
      <c r="C70" s="31"/>
      <c r="D70" s="32"/>
      <c r="E70" s="32"/>
      <c r="F70" s="32"/>
      <c r="G70" s="32" t="s">
        <v>154</v>
      </c>
      <c r="H70" s="32"/>
      <c r="I70" s="32"/>
      <c r="J70" s="32"/>
      <c r="K70" s="32"/>
      <c r="L70" s="4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</row>
    <row r="71" spans="1:69" ht="13.5" customHeight="1">
      <c r="C71" s="31"/>
      <c r="D71" s="32"/>
      <c r="E71" s="32"/>
      <c r="F71" s="32"/>
      <c r="G71" s="32" t="s">
        <v>155</v>
      </c>
      <c r="H71" s="32"/>
      <c r="I71" s="32"/>
      <c r="J71" s="125">
        <v>2.048</v>
      </c>
      <c r="K71" s="32" t="s">
        <v>156</v>
      </c>
      <c r="L71" s="4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</row>
    <row r="72" spans="1:69" ht="13.5" customHeight="1">
      <c r="C72" s="31"/>
      <c r="D72" s="32"/>
      <c r="E72" s="32"/>
      <c r="F72" s="32"/>
      <c r="G72" s="32" t="s">
        <v>157</v>
      </c>
      <c r="H72" s="32"/>
      <c r="I72" s="32"/>
      <c r="J72" s="32">
        <f>'A&amp;R'!F38*80%</f>
        <v>150773.6</v>
      </c>
      <c r="K72" s="126" t="s">
        <v>47</v>
      </c>
      <c r="L72" s="4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</row>
    <row r="73" spans="1:69" ht="13.5" customHeight="1">
      <c r="C73" s="31"/>
      <c r="D73" s="32"/>
      <c r="E73" s="32"/>
      <c r="F73" s="32"/>
      <c r="G73" s="32" t="s">
        <v>158</v>
      </c>
      <c r="H73" s="32"/>
      <c r="I73" s="32"/>
      <c r="J73" s="127">
        <v>7.0000000000000001E-3</v>
      </c>
      <c r="K73" s="32"/>
      <c r="L73" s="4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</row>
    <row r="74" spans="1:69" ht="13.5" customHeight="1">
      <c r="C74" s="33"/>
      <c r="D74" s="24"/>
      <c r="E74" s="24"/>
      <c r="F74" s="24"/>
      <c r="G74" s="24" t="s">
        <v>159</v>
      </c>
      <c r="H74" s="24"/>
      <c r="I74" s="24" t="s">
        <v>160</v>
      </c>
      <c r="J74" s="128">
        <v>3</v>
      </c>
      <c r="K74" s="129">
        <f>EOMONTH(준공일,-J74)</f>
        <v>45808</v>
      </c>
      <c r="L74" s="4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</row>
    <row r="75" spans="1:69" s="14" customFormat="1" ht="13.5" customHeight="1">
      <c r="C75" s="71" t="s">
        <v>161</v>
      </c>
      <c r="D75" s="72"/>
      <c r="E75" s="72"/>
      <c r="F75" s="322">
        <f>'A&amp;R'!F60</f>
        <v>300</v>
      </c>
      <c r="G75" s="72" t="s">
        <v>162</v>
      </c>
      <c r="H75" s="72"/>
      <c r="I75" s="72"/>
      <c r="J75" s="72"/>
      <c r="K75" s="72"/>
      <c r="L75" s="75"/>
      <c r="M75" s="72">
        <f>SUM(N75:XFD75)</f>
        <v>300</v>
      </c>
      <c r="N75" s="72"/>
      <c r="O75" s="72">
        <f>(O11&gt;=$I$76)*(O11&lt;=$I$77)*($F$75/$K$76)</f>
        <v>0</v>
      </c>
      <c r="P75" s="72">
        <f t="shared" ref="P75:BQ75" si="182">(P11&gt;=$I$76)*(P11&lt;=$I$77)*($F$75/$K$76)</f>
        <v>0</v>
      </c>
      <c r="Q75" s="72">
        <f t="shared" si="182"/>
        <v>0</v>
      </c>
      <c r="R75" s="72">
        <f t="shared" si="182"/>
        <v>25</v>
      </c>
      <c r="S75" s="72">
        <f t="shared" si="182"/>
        <v>25</v>
      </c>
      <c r="T75" s="72">
        <f t="shared" si="182"/>
        <v>25</v>
      </c>
      <c r="U75" s="72">
        <f t="shared" si="182"/>
        <v>25</v>
      </c>
      <c r="V75" s="72">
        <f t="shared" si="182"/>
        <v>25</v>
      </c>
      <c r="W75" s="72">
        <f t="shared" si="182"/>
        <v>25</v>
      </c>
      <c r="X75" s="72">
        <f t="shared" si="182"/>
        <v>25</v>
      </c>
      <c r="Y75" s="72">
        <f t="shared" si="182"/>
        <v>25</v>
      </c>
      <c r="Z75" s="72">
        <f t="shared" si="182"/>
        <v>25</v>
      </c>
      <c r="AA75" s="72">
        <f t="shared" si="182"/>
        <v>25</v>
      </c>
      <c r="AB75" s="72">
        <f t="shared" si="182"/>
        <v>25</v>
      </c>
      <c r="AC75" s="72">
        <f t="shared" si="182"/>
        <v>25</v>
      </c>
      <c r="AD75" s="72">
        <f t="shared" si="182"/>
        <v>0</v>
      </c>
      <c r="AE75" s="72">
        <f t="shared" si="182"/>
        <v>0</v>
      </c>
      <c r="AF75" s="72">
        <f t="shared" si="182"/>
        <v>0</v>
      </c>
      <c r="AG75" s="72">
        <f t="shared" si="182"/>
        <v>0</v>
      </c>
      <c r="AH75" s="72">
        <f t="shared" si="182"/>
        <v>0</v>
      </c>
      <c r="AI75" s="72">
        <f t="shared" si="182"/>
        <v>0</v>
      </c>
      <c r="AJ75" s="72">
        <f t="shared" si="182"/>
        <v>0</v>
      </c>
      <c r="AK75" s="72">
        <f t="shared" si="182"/>
        <v>0</v>
      </c>
      <c r="AL75" s="72">
        <f t="shared" si="182"/>
        <v>0</v>
      </c>
      <c r="AM75" s="72">
        <f t="shared" si="182"/>
        <v>0</v>
      </c>
      <c r="AN75" s="72">
        <f t="shared" si="182"/>
        <v>0</v>
      </c>
      <c r="AO75" s="72">
        <f t="shared" si="182"/>
        <v>0</v>
      </c>
      <c r="AP75" s="72">
        <f t="shared" si="182"/>
        <v>0</v>
      </c>
      <c r="AQ75" s="72">
        <f t="shared" si="182"/>
        <v>0</v>
      </c>
      <c r="AR75" s="72">
        <f t="shared" si="182"/>
        <v>0</v>
      </c>
      <c r="AS75" s="72">
        <f t="shared" si="182"/>
        <v>0</v>
      </c>
      <c r="AT75" s="72">
        <f t="shared" si="182"/>
        <v>0</v>
      </c>
      <c r="AU75" s="72">
        <f t="shared" si="182"/>
        <v>0</v>
      </c>
      <c r="AV75" s="72">
        <f t="shared" si="182"/>
        <v>0</v>
      </c>
      <c r="AW75" s="72">
        <f t="shared" si="182"/>
        <v>0</v>
      </c>
      <c r="AX75" s="72">
        <f t="shared" si="182"/>
        <v>0</v>
      </c>
      <c r="AY75" s="72">
        <f t="shared" si="182"/>
        <v>0</v>
      </c>
      <c r="AZ75" s="72">
        <f t="shared" si="182"/>
        <v>0</v>
      </c>
      <c r="BA75" s="72">
        <f t="shared" si="182"/>
        <v>0</v>
      </c>
      <c r="BB75" s="72">
        <f t="shared" si="182"/>
        <v>0</v>
      </c>
      <c r="BC75" s="72">
        <f t="shared" si="182"/>
        <v>0</v>
      </c>
      <c r="BD75" s="72">
        <f t="shared" si="182"/>
        <v>0</v>
      </c>
      <c r="BE75" s="72">
        <f t="shared" si="182"/>
        <v>0</v>
      </c>
      <c r="BF75" s="72">
        <f t="shared" si="182"/>
        <v>0</v>
      </c>
      <c r="BG75" s="72">
        <f t="shared" si="182"/>
        <v>0</v>
      </c>
      <c r="BH75" s="72">
        <f t="shared" si="182"/>
        <v>0</v>
      </c>
      <c r="BI75" s="72">
        <f t="shared" si="182"/>
        <v>0</v>
      </c>
      <c r="BJ75" s="72">
        <f t="shared" si="182"/>
        <v>0</v>
      </c>
      <c r="BK75" s="72">
        <f t="shared" si="182"/>
        <v>0</v>
      </c>
      <c r="BL75" s="72">
        <f t="shared" si="182"/>
        <v>0</v>
      </c>
      <c r="BM75" s="72">
        <f t="shared" si="182"/>
        <v>0</v>
      </c>
      <c r="BN75" s="72">
        <f t="shared" si="182"/>
        <v>0</v>
      </c>
      <c r="BO75" s="72">
        <f t="shared" si="182"/>
        <v>0</v>
      </c>
      <c r="BP75" s="72">
        <f t="shared" si="182"/>
        <v>0</v>
      </c>
      <c r="BQ75" s="72">
        <f t="shared" si="182"/>
        <v>0</v>
      </c>
    </row>
    <row r="76" spans="1:69" ht="13.5" customHeight="1">
      <c r="C76" s="31"/>
      <c r="D76" s="32"/>
      <c r="E76" s="32"/>
      <c r="F76" s="32"/>
      <c r="G76" s="32" t="s">
        <v>163</v>
      </c>
      <c r="H76" s="32"/>
      <c r="I76" s="130">
        <f>'A&amp;R'!D15</f>
        <v>44469</v>
      </c>
      <c r="J76" s="32"/>
      <c r="K76" s="131">
        <f>DATEDIF(I76,I77,"m")+1</f>
        <v>12</v>
      </c>
      <c r="L76" s="4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</row>
    <row r="77" spans="1:69" ht="13.5" customHeight="1">
      <c r="C77" s="33"/>
      <c r="D77" s="24"/>
      <c r="E77" s="24"/>
      <c r="F77" s="24"/>
      <c r="G77" s="24" t="s">
        <v>164</v>
      </c>
      <c r="H77" s="24"/>
      <c r="I77" s="132">
        <f>'A&amp;R'!D16</f>
        <v>44804</v>
      </c>
      <c r="J77" s="24"/>
      <c r="K77" s="24"/>
      <c r="L77" s="4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</row>
    <row r="78" spans="1:69" ht="13.5" customHeight="1">
      <c r="B78" s="80" t="s">
        <v>166</v>
      </c>
      <c r="C78" s="80"/>
      <c r="D78" s="80"/>
      <c r="E78" s="80"/>
      <c r="F78" s="80">
        <f ca="1">F79+F93+F104</f>
        <v>30553.282674803875</v>
      </c>
      <c r="G78" s="80"/>
      <c r="H78" s="80"/>
      <c r="I78" s="80"/>
      <c r="J78" s="80"/>
      <c r="K78" s="80"/>
      <c r="L78" s="81" t="b">
        <f ca="1">ABS(M78-F78)&lt;0.001</f>
        <v>1</v>
      </c>
      <c r="M78" s="80">
        <f ca="1">SUM(N78:XFD78)</f>
        <v>30553.282675983595</v>
      </c>
      <c r="N78" s="80"/>
      <c r="O78" s="80">
        <f ca="1">O79+O93+O104</f>
        <v>127.22958332721983</v>
      </c>
      <c r="P78" s="80">
        <f t="shared" ref="P78:BQ78" ca="1" si="183">P79+P93+P104</f>
        <v>9.0829168915192913</v>
      </c>
      <c r="Q78" s="80">
        <f t="shared" ca="1" si="183"/>
        <v>9.0829168915192913</v>
      </c>
      <c r="R78" s="80">
        <f t="shared" ca="1" si="183"/>
        <v>118.05860982360429</v>
      </c>
      <c r="S78" s="80">
        <f t="shared" ca="1" si="183"/>
        <v>11.110353697661992</v>
      </c>
      <c r="T78" s="80">
        <f t="shared" ca="1" si="183"/>
        <v>11.110353697661992</v>
      </c>
      <c r="U78" s="80">
        <f t="shared" ca="1" si="183"/>
        <v>11.110353697661992</v>
      </c>
      <c r="V78" s="80">
        <f t="shared" ca="1" si="183"/>
        <v>11.110353697661992</v>
      </c>
      <c r="W78" s="80">
        <f t="shared" ca="1" si="183"/>
        <v>11.110353697661992</v>
      </c>
      <c r="X78" s="80">
        <f t="shared" ca="1" si="183"/>
        <v>11.110353697661992</v>
      </c>
      <c r="Y78" s="80">
        <f t="shared" ca="1" si="183"/>
        <v>11.110353697661992</v>
      </c>
      <c r="Z78" s="80">
        <f t="shared" ca="1" si="183"/>
        <v>11.110353697661992</v>
      </c>
      <c r="AA78" s="80">
        <f t="shared" ca="1" si="183"/>
        <v>11.110353697661992</v>
      </c>
      <c r="AB78" s="80">
        <f t="shared" ca="1" si="183"/>
        <v>198.44551458524751</v>
      </c>
      <c r="AC78" s="80">
        <f t="shared" ca="1" si="183"/>
        <v>45.386932674332506</v>
      </c>
      <c r="AD78" s="80">
        <f t="shared" ca="1" si="183"/>
        <v>7295.7172419355238</v>
      </c>
      <c r="AE78" s="80">
        <f t="shared" ca="1" si="183"/>
        <v>723.41160854279883</v>
      </c>
      <c r="AF78" s="80">
        <f t="shared" ca="1" si="183"/>
        <v>527.58617211756541</v>
      </c>
      <c r="AG78" s="80">
        <f t="shared" ca="1" si="183"/>
        <v>929.86797231756543</v>
      </c>
      <c r="AH78" s="80">
        <f t="shared" ca="1" si="183"/>
        <v>537.07234374585425</v>
      </c>
      <c r="AI78" s="80">
        <f t="shared" ca="1" si="183"/>
        <v>529.95771502463765</v>
      </c>
      <c r="AJ78" s="80">
        <f t="shared" ca="1" si="183"/>
        <v>529.95771502463765</v>
      </c>
      <c r="AK78" s="80">
        <f t="shared" ca="1" si="183"/>
        <v>546.5585153741431</v>
      </c>
      <c r="AL78" s="80">
        <f t="shared" ca="1" si="183"/>
        <v>532.32925793170978</v>
      </c>
      <c r="AM78" s="80">
        <f t="shared" ca="1" si="183"/>
        <v>532.32925793170978</v>
      </c>
      <c r="AN78" s="80">
        <f t="shared" ca="1" si="183"/>
        <v>556.04468700243194</v>
      </c>
      <c r="AO78" s="80">
        <f t="shared" ca="1" si="183"/>
        <v>534.70080083878202</v>
      </c>
      <c r="AP78" s="80">
        <f t="shared" ca="1" si="183"/>
        <v>813.66125722528204</v>
      </c>
      <c r="AQ78" s="80">
        <f t="shared" ca="1" si="183"/>
        <v>37.94691913761438</v>
      </c>
      <c r="AR78" s="80">
        <f t="shared" ca="1" si="183"/>
        <v>9.4884042527478307</v>
      </c>
      <c r="AS78" s="80">
        <f t="shared" ca="1" si="183"/>
        <v>9.4884042527478307</v>
      </c>
      <c r="AT78" s="80">
        <f t="shared" ca="1" si="183"/>
        <v>37.94691913761438</v>
      </c>
      <c r="AU78" s="80">
        <f t="shared" ca="1" si="183"/>
        <v>9.4884042527478307</v>
      </c>
      <c r="AV78" s="80">
        <f t="shared" ca="1" si="183"/>
        <v>9.4884042527478307</v>
      </c>
      <c r="AW78" s="80">
        <f t="shared" ca="1" si="183"/>
        <v>37.94691913761438</v>
      </c>
      <c r="AX78" s="80">
        <f t="shared" ca="1" si="183"/>
        <v>9.4884042527478307</v>
      </c>
      <c r="AY78" s="80">
        <f t="shared" ca="1" si="183"/>
        <v>9.4884042527478307</v>
      </c>
      <c r="AZ78" s="80">
        <f t="shared" ca="1" si="183"/>
        <v>9.4884042527478307</v>
      </c>
      <c r="BA78" s="80">
        <f t="shared" ca="1" si="183"/>
        <v>9.4884042527478307</v>
      </c>
      <c r="BB78" s="80">
        <f t="shared" ca="1" si="183"/>
        <v>296.81767433084292</v>
      </c>
      <c r="BC78" s="80">
        <f t="shared" ca="1" si="183"/>
        <v>9.4884042527478307</v>
      </c>
      <c r="BD78" s="80">
        <f t="shared" ca="1" si="183"/>
        <v>9.4884042527478307</v>
      </c>
      <c r="BE78" s="80">
        <f t="shared" ca="1" si="183"/>
        <v>9.4884042527478307</v>
      </c>
      <c r="BF78" s="80">
        <f t="shared" ca="1" si="183"/>
        <v>9.4884042527478307</v>
      </c>
      <c r="BG78" s="80">
        <f t="shared" ca="1" si="183"/>
        <v>9.4884042527478307</v>
      </c>
      <c r="BH78" s="80">
        <f t="shared" ca="1" si="183"/>
        <v>9.4884042527478307</v>
      </c>
      <c r="BI78" s="80">
        <f t="shared" ca="1" si="183"/>
        <v>55.000975744903585</v>
      </c>
      <c r="BJ78" s="80">
        <f t="shared" ca="1" si="183"/>
        <v>3345.396722680136</v>
      </c>
      <c r="BK78" s="80">
        <f t="shared" ca="1" si="183"/>
        <v>56.787394918405653</v>
      </c>
      <c r="BL78" s="80">
        <f t="shared" ca="1" si="183"/>
        <v>10.422731271645841</v>
      </c>
      <c r="BM78" s="80">
        <f t="shared" ca="1" si="183"/>
        <v>11022.5066575808</v>
      </c>
      <c r="BN78" s="80">
        <f t="shared" ca="1" si="183"/>
        <v>305.03206507195728</v>
      </c>
      <c r="BO78" s="80">
        <f t="shared" ca="1" si="183"/>
        <v>9.0829168915192913</v>
      </c>
      <c r="BP78" s="80">
        <f t="shared" ca="1" si="183"/>
        <v>9.0829168915192913</v>
      </c>
      <c r="BQ78" s="80">
        <f t="shared" ca="1" si="183"/>
        <v>0</v>
      </c>
    </row>
    <row r="79" spans="1:69" s="72" customFormat="1" ht="13.5" customHeight="1">
      <c r="A79" s="14"/>
      <c r="B79" s="14"/>
      <c r="C79" s="71" t="s">
        <v>167</v>
      </c>
      <c r="F79" s="72">
        <f ca="1">F80+F82+F89+F92</f>
        <v>17931.610903808978</v>
      </c>
      <c r="L79" s="75"/>
      <c r="M79" s="72">
        <f ca="1">SUM(N79:XFD79)</f>
        <v>17931.610903826604</v>
      </c>
      <c r="O79" s="72">
        <f t="shared" ref="O79" ca="1" si="184">O80+O82+O89+O92</f>
        <v>127.22958332295705</v>
      </c>
      <c r="P79" s="72">
        <f ca="1">P80+P82+P89+P92</f>
        <v>9.0829168915192913</v>
      </c>
      <c r="Q79" s="72">
        <f t="shared" ref="Q79:BQ79" ca="1" si="185">Q80+Q82+Q89+Q92</f>
        <v>9.0829168915192913</v>
      </c>
      <c r="R79" s="72">
        <f t="shared" ca="1" si="185"/>
        <v>118.05860981934153</v>
      </c>
      <c r="S79" s="72">
        <f t="shared" ca="1" si="185"/>
        <v>11.110353697661992</v>
      </c>
      <c r="T79" s="72">
        <f t="shared" ca="1" si="185"/>
        <v>11.110353697661992</v>
      </c>
      <c r="U79" s="72">
        <f t="shared" ca="1" si="185"/>
        <v>11.110353697661992</v>
      </c>
      <c r="V79" s="72">
        <f t="shared" ca="1" si="185"/>
        <v>11.110353697661992</v>
      </c>
      <c r="W79" s="72">
        <f t="shared" ca="1" si="185"/>
        <v>11.110353697661992</v>
      </c>
      <c r="X79" s="72">
        <f t="shared" ca="1" si="185"/>
        <v>11.110353697661992</v>
      </c>
      <c r="Y79" s="72">
        <f t="shared" ca="1" si="185"/>
        <v>11.110353697661992</v>
      </c>
      <c r="Z79" s="72">
        <f t="shared" ca="1" si="185"/>
        <v>11.110353697661992</v>
      </c>
      <c r="AA79" s="72">
        <f t="shared" ca="1" si="185"/>
        <v>11.110353697661992</v>
      </c>
      <c r="AB79" s="72">
        <f t="shared" ca="1" si="185"/>
        <v>198.44551458524751</v>
      </c>
      <c r="AC79" s="72">
        <f t="shared" ca="1" si="185"/>
        <v>45.386932674332506</v>
      </c>
      <c r="AD79" s="72">
        <f t="shared" ca="1" si="185"/>
        <v>6855.2679139798402</v>
      </c>
      <c r="AE79" s="72">
        <f t="shared" ca="1" si="185"/>
        <v>723.41160854279883</v>
      </c>
      <c r="AF79" s="72">
        <f t="shared" ca="1" si="185"/>
        <v>527.58617211756541</v>
      </c>
      <c r="AG79" s="72">
        <f t="shared" ca="1" si="185"/>
        <v>527.58617211756541</v>
      </c>
      <c r="AH79" s="72">
        <f t="shared" ca="1" si="185"/>
        <v>537.07234374585425</v>
      </c>
      <c r="AI79" s="72">
        <f t="shared" ca="1" si="185"/>
        <v>529.95771502463765</v>
      </c>
      <c r="AJ79" s="72">
        <f t="shared" ca="1" si="185"/>
        <v>529.95771502463765</v>
      </c>
      <c r="AK79" s="72">
        <f t="shared" ca="1" si="185"/>
        <v>546.5585153741431</v>
      </c>
      <c r="AL79" s="72">
        <f t="shared" ca="1" si="185"/>
        <v>532.32925793170978</v>
      </c>
      <c r="AM79" s="72">
        <f t="shared" ca="1" si="185"/>
        <v>532.32925793170978</v>
      </c>
      <c r="AN79" s="72">
        <f t="shared" ca="1" si="185"/>
        <v>556.04468700243194</v>
      </c>
      <c r="AO79" s="72">
        <f t="shared" ca="1" si="185"/>
        <v>534.70080083878202</v>
      </c>
      <c r="AP79" s="72">
        <f t="shared" ca="1" si="185"/>
        <v>534.70080083878202</v>
      </c>
      <c r="AQ79" s="72">
        <f t="shared" ca="1" si="185"/>
        <v>37.94691913761438</v>
      </c>
      <c r="AR79" s="72">
        <f t="shared" ca="1" si="185"/>
        <v>9.4884042527478307</v>
      </c>
      <c r="AS79" s="72">
        <f t="shared" ca="1" si="185"/>
        <v>9.4884042527478307</v>
      </c>
      <c r="AT79" s="72">
        <f t="shared" ca="1" si="185"/>
        <v>37.94691913761438</v>
      </c>
      <c r="AU79" s="72">
        <f t="shared" ca="1" si="185"/>
        <v>9.4884042527478307</v>
      </c>
      <c r="AV79" s="72">
        <f t="shared" ca="1" si="185"/>
        <v>9.4884042527478307</v>
      </c>
      <c r="AW79" s="72">
        <f t="shared" ca="1" si="185"/>
        <v>37.94691913761438</v>
      </c>
      <c r="AX79" s="72">
        <f t="shared" ca="1" si="185"/>
        <v>9.4884042527478307</v>
      </c>
      <c r="AY79" s="72">
        <f t="shared" ca="1" si="185"/>
        <v>9.4884042527478307</v>
      </c>
      <c r="AZ79" s="72">
        <f t="shared" ca="1" si="185"/>
        <v>9.4884042527478307</v>
      </c>
      <c r="BA79" s="72">
        <f t="shared" ca="1" si="185"/>
        <v>9.4884042527478307</v>
      </c>
      <c r="BB79" s="72">
        <f t="shared" ca="1" si="185"/>
        <v>9.4884042527478307</v>
      </c>
      <c r="BC79" s="72">
        <f t="shared" ca="1" si="185"/>
        <v>9.4884042527478307</v>
      </c>
      <c r="BD79" s="72">
        <f t="shared" ca="1" si="185"/>
        <v>9.4884042527478307</v>
      </c>
      <c r="BE79" s="72">
        <f t="shared" ca="1" si="185"/>
        <v>9.4884042527478307</v>
      </c>
      <c r="BF79" s="72">
        <f t="shared" ca="1" si="185"/>
        <v>9.4884042527478307</v>
      </c>
      <c r="BG79" s="72">
        <f t="shared" ca="1" si="185"/>
        <v>9.4884042527478307</v>
      </c>
      <c r="BH79" s="72">
        <f t="shared" ca="1" si="185"/>
        <v>9.4884042527478307</v>
      </c>
      <c r="BI79" s="72">
        <f t="shared" ca="1" si="185"/>
        <v>55.000975744903585</v>
      </c>
      <c r="BJ79" s="72">
        <f t="shared" ca="1" si="185"/>
        <v>3345.396722680136</v>
      </c>
      <c r="BK79" s="72">
        <f t="shared" ca="1" si="185"/>
        <v>56.787394918405653</v>
      </c>
      <c r="BL79" s="72">
        <f t="shared" ca="1" si="185"/>
        <v>10.422731271645841</v>
      </c>
      <c r="BM79" s="72">
        <f t="shared" ca="1" si="185"/>
        <v>105.80488938402672</v>
      </c>
      <c r="BN79" s="72">
        <f t="shared" ca="1" si="185"/>
        <v>9.0829168915192913</v>
      </c>
      <c r="BO79" s="72">
        <f t="shared" ca="1" si="185"/>
        <v>9.0829168915192913</v>
      </c>
      <c r="BP79" s="72">
        <f t="shared" ca="1" si="185"/>
        <v>9.0829168915192913</v>
      </c>
      <c r="BQ79" s="72">
        <f t="shared" ca="1" si="185"/>
        <v>0</v>
      </c>
    </row>
    <row r="80" spans="1:69" s="32" customFormat="1" ht="13.5" customHeight="1">
      <c r="A80" s="1"/>
      <c r="B80" s="1"/>
      <c r="C80" s="31"/>
      <c r="D80" s="30" t="s">
        <v>168</v>
      </c>
      <c r="E80" s="22"/>
      <c r="F80" s="22">
        <f>H80*J80</f>
        <v>2880.6016250000002</v>
      </c>
      <c r="G80" s="22" t="s">
        <v>96</v>
      </c>
      <c r="H80" s="134">
        <f>'A&amp;R'!F30</f>
        <v>57612.032500000001</v>
      </c>
      <c r="I80" s="22" t="s">
        <v>97</v>
      </c>
      <c r="J80" s="135">
        <f>50000/unit</f>
        <v>0.05</v>
      </c>
      <c r="K80" s="22" t="s">
        <v>74</v>
      </c>
      <c r="L80" s="43"/>
      <c r="M80" s="22">
        <f t="shared" si="7"/>
        <v>2880.6016250000002</v>
      </c>
      <c r="N80" s="22"/>
      <c r="O80" s="22">
        <f>(O11=$K$81)*$F$80</f>
        <v>0</v>
      </c>
      <c r="P80" s="22">
        <f t="shared" ref="P80:BQ80" si="186">(P11=$K$81)*$F$80</f>
        <v>0</v>
      </c>
      <c r="Q80" s="22">
        <f t="shared" si="186"/>
        <v>0</v>
      </c>
      <c r="R80" s="22">
        <f t="shared" si="186"/>
        <v>0</v>
      </c>
      <c r="S80" s="22">
        <f t="shared" si="186"/>
        <v>0</v>
      </c>
      <c r="T80" s="22">
        <f t="shared" si="186"/>
        <v>0</v>
      </c>
      <c r="U80" s="22">
        <f t="shared" si="186"/>
        <v>0</v>
      </c>
      <c r="V80" s="22">
        <f t="shared" si="186"/>
        <v>0</v>
      </c>
      <c r="W80" s="22">
        <f t="shared" si="186"/>
        <v>0</v>
      </c>
      <c r="X80" s="22">
        <f t="shared" si="186"/>
        <v>0</v>
      </c>
      <c r="Y80" s="22">
        <f t="shared" si="186"/>
        <v>0</v>
      </c>
      <c r="Z80" s="22">
        <f t="shared" si="186"/>
        <v>0</v>
      </c>
      <c r="AA80" s="22">
        <f t="shared" si="186"/>
        <v>0</v>
      </c>
      <c r="AB80" s="22">
        <f t="shared" si="186"/>
        <v>0</v>
      </c>
      <c r="AC80" s="22">
        <f t="shared" si="186"/>
        <v>0</v>
      </c>
      <c r="AD80" s="22">
        <f t="shared" si="186"/>
        <v>0</v>
      </c>
      <c r="AE80" s="22">
        <f t="shared" si="186"/>
        <v>0</v>
      </c>
      <c r="AF80" s="22">
        <f t="shared" si="186"/>
        <v>0</v>
      </c>
      <c r="AG80" s="22">
        <f t="shared" si="186"/>
        <v>0</v>
      </c>
      <c r="AH80" s="22">
        <f t="shared" si="186"/>
        <v>0</v>
      </c>
      <c r="AI80" s="22">
        <f t="shared" si="186"/>
        <v>0</v>
      </c>
      <c r="AJ80" s="22">
        <f t="shared" si="186"/>
        <v>0</v>
      </c>
      <c r="AK80" s="22">
        <f t="shared" si="186"/>
        <v>0</v>
      </c>
      <c r="AL80" s="22">
        <f t="shared" si="186"/>
        <v>0</v>
      </c>
      <c r="AM80" s="22">
        <f t="shared" si="186"/>
        <v>0</v>
      </c>
      <c r="AN80" s="22">
        <f t="shared" si="186"/>
        <v>0</v>
      </c>
      <c r="AO80" s="22">
        <f t="shared" si="186"/>
        <v>0</v>
      </c>
      <c r="AP80" s="22">
        <f t="shared" si="186"/>
        <v>0</v>
      </c>
      <c r="AQ80" s="22">
        <f t="shared" si="186"/>
        <v>0</v>
      </c>
      <c r="AR80" s="22">
        <f t="shared" si="186"/>
        <v>0</v>
      </c>
      <c r="AS80" s="22">
        <f t="shared" si="186"/>
        <v>0</v>
      </c>
      <c r="AT80" s="22">
        <f t="shared" si="186"/>
        <v>0</v>
      </c>
      <c r="AU80" s="22">
        <f t="shared" si="186"/>
        <v>0</v>
      </c>
      <c r="AV80" s="22">
        <f t="shared" si="186"/>
        <v>0</v>
      </c>
      <c r="AW80" s="22">
        <f t="shared" si="186"/>
        <v>0</v>
      </c>
      <c r="AX80" s="22">
        <f t="shared" si="186"/>
        <v>0</v>
      </c>
      <c r="AY80" s="22">
        <f t="shared" si="186"/>
        <v>0</v>
      </c>
      <c r="AZ80" s="22">
        <f t="shared" si="186"/>
        <v>0</v>
      </c>
      <c r="BA80" s="22">
        <f t="shared" si="186"/>
        <v>0</v>
      </c>
      <c r="BB80" s="22">
        <f t="shared" si="186"/>
        <v>0</v>
      </c>
      <c r="BC80" s="22">
        <f t="shared" si="186"/>
        <v>0</v>
      </c>
      <c r="BD80" s="22">
        <f t="shared" si="186"/>
        <v>0</v>
      </c>
      <c r="BE80" s="22">
        <f t="shared" si="186"/>
        <v>0</v>
      </c>
      <c r="BF80" s="22">
        <f t="shared" si="186"/>
        <v>0</v>
      </c>
      <c r="BG80" s="22">
        <f t="shared" si="186"/>
        <v>0</v>
      </c>
      <c r="BH80" s="22">
        <f t="shared" si="186"/>
        <v>0</v>
      </c>
      <c r="BI80" s="22">
        <f t="shared" si="186"/>
        <v>0</v>
      </c>
      <c r="BJ80" s="22">
        <f t="shared" si="186"/>
        <v>2880.6016250000002</v>
      </c>
      <c r="BK80" s="22">
        <f t="shared" si="186"/>
        <v>0</v>
      </c>
      <c r="BL80" s="22">
        <f t="shared" si="186"/>
        <v>0</v>
      </c>
      <c r="BM80" s="22">
        <f t="shared" si="186"/>
        <v>0</v>
      </c>
      <c r="BN80" s="22">
        <f t="shared" si="186"/>
        <v>0</v>
      </c>
      <c r="BO80" s="22">
        <f t="shared" si="186"/>
        <v>0</v>
      </c>
      <c r="BP80" s="22">
        <f t="shared" si="186"/>
        <v>0</v>
      </c>
      <c r="BQ80" s="22">
        <f t="shared" si="186"/>
        <v>0</v>
      </c>
    </row>
    <row r="81" spans="1:69 16373:16373" s="32" customFormat="1" ht="13.5" customHeight="1">
      <c r="A81" s="1"/>
      <c r="B81" s="1"/>
      <c r="C81" s="31"/>
      <c r="D81" s="33"/>
      <c r="E81" s="24"/>
      <c r="F81" s="24"/>
      <c r="G81" s="24" t="s">
        <v>174</v>
      </c>
      <c r="H81" s="24"/>
      <c r="I81" s="24" t="s">
        <v>160</v>
      </c>
      <c r="J81" s="128">
        <v>3</v>
      </c>
      <c r="K81" s="129">
        <f>EOMONTH(준공일,-J81)</f>
        <v>45808</v>
      </c>
      <c r="L81" s="44"/>
      <c r="M81" s="24">
        <f t="shared" si="7"/>
        <v>0</v>
      </c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</row>
    <row r="82" spans="1:69 16373:16373" s="32" customFormat="1" ht="13.5" customHeight="1">
      <c r="A82" s="1"/>
      <c r="B82" s="1"/>
      <c r="C82" s="31"/>
      <c r="D82" s="30" t="s">
        <v>169</v>
      </c>
      <c r="E82" s="22"/>
      <c r="F82" s="22">
        <f>J84*J85*J86-J87</f>
        <v>6734.7551647999999</v>
      </c>
      <c r="G82" s="22" t="s">
        <v>175</v>
      </c>
      <c r="H82" s="22"/>
      <c r="I82" s="22"/>
      <c r="J82" s="22"/>
      <c r="K82" s="22"/>
      <c r="L82" s="43"/>
      <c r="M82" s="22">
        <f t="shared" si="7"/>
        <v>6734.7551647999999</v>
      </c>
      <c r="N82" s="22"/>
      <c r="O82" s="22">
        <f>(O11=$J$88)*$F$82</f>
        <v>0</v>
      </c>
      <c r="P82" s="22">
        <f t="shared" ref="P82:BQ82" si="187">(P11=$J$88)*$F$82</f>
        <v>0</v>
      </c>
      <c r="Q82" s="22">
        <f t="shared" si="187"/>
        <v>0</v>
      </c>
      <c r="R82" s="22">
        <f t="shared" si="187"/>
        <v>0</v>
      </c>
      <c r="S82" s="22">
        <f t="shared" si="187"/>
        <v>0</v>
      </c>
      <c r="T82" s="22">
        <f t="shared" si="187"/>
        <v>0</v>
      </c>
      <c r="U82" s="22">
        <f t="shared" si="187"/>
        <v>0</v>
      </c>
      <c r="V82" s="22">
        <f t="shared" si="187"/>
        <v>0</v>
      </c>
      <c r="W82" s="22">
        <f t="shared" si="187"/>
        <v>0</v>
      </c>
      <c r="X82" s="22">
        <f t="shared" si="187"/>
        <v>0</v>
      </c>
      <c r="Y82" s="22">
        <f t="shared" si="187"/>
        <v>0</v>
      </c>
      <c r="Z82" s="22">
        <f t="shared" si="187"/>
        <v>0</v>
      </c>
      <c r="AA82" s="22">
        <f t="shared" si="187"/>
        <v>0</v>
      </c>
      <c r="AB82" s="22">
        <f t="shared" si="187"/>
        <v>0</v>
      </c>
      <c r="AC82" s="22">
        <f t="shared" si="187"/>
        <v>0</v>
      </c>
      <c r="AD82" s="22">
        <f t="shared" si="187"/>
        <v>6734.7551647999999</v>
      </c>
      <c r="AE82" s="22">
        <f t="shared" si="187"/>
        <v>0</v>
      </c>
      <c r="AF82" s="22">
        <f t="shared" si="187"/>
        <v>0</v>
      </c>
      <c r="AG82" s="22">
        <f t="shared" si="187"/>
        <v>0</v>
      </c>
      <c r="AH82" s="22">
        <f t="shared" si="187"/>
        <v>0</v>
      </c>
      <c r="AI82" s="22">
        <f t="shared" si="187"/>
        <v>0</v>
      </c>
      <c r="AJ82" s="22">
        <f t="shared" si="187"/>
        <v>0</v>
      </c>
      <c r="AK82" s="22">
        <f t="shared" si="187"/>
        <v>0</v>
      </c>
      <c r="AL82" s="22">
        <f t="shared" si="187"/>
        <v>0</v>
      </c>
      <c r="AM82" s="22">
        <f t="shared" si="187"/>
        <v>0</v>
      </c>
      <c r="AN82" s="22">
        <f t="shared" si="187"/>
        <v>0</v>
      </c>
      <c r="AO82" s="22">
        <f t="shared" si="187"/>
        <v>0</v>
      </c>
      <c r="AP82" s="22">
        <f t="shared" si="187"/>
        <v>0</v>
      </c>
      <c r="AQ82" s="22">
        <f t="shared" si="187"/>
        <v>0</v>
      </c>
      <c r="AR82" s="22">
        <f t="shared" si="187"/>
        <v>0</v>
      </c>
      <c r="AS82" s="22">
        <f t="shared" si="187"/>
        <v>0</v>
      </c>
      <c r="AT82" s="22">
        <f t="shared" si="187"/>
        <v>0</v>
      </c>
      <c r="AU82" s="22">
        <f t="shared" si="187"/>
        <v>0</v>
      </c>
      <c r="AV82" s="22">
        <f t="shared" si="187"/>
        <v>0</v>
      </c>
      <c r="AW82" s="22">
        <f t="shared" si="187"/>
        <v>0</v>
      </c>
      <c r="AX82" s="22">
        <f t="shared" si="187"/>
        <v>0</v>
      </c>
      <c r="AY82" s="22">
        <f t="shared" si="187"/>
        <v>0</v>
      </c>
      <c r="AZ82" s="22">
        <f t="shared" si="187"/>
        <v>0</v>
      </c>
      <c r="BA82" s="22">
        <f t="shared" si="187"/>
        <v>0</v>
      </c>
      <c r="BB82" s="22">
        <f t="shared" si="187"/>
        <v>0</v>
      </c>
      <c r="BC82" s="22">
        <f t="shared" si="187"/>
        <v>0</v>
      </c>
      <c r="BD82" s="22">
        <f t="shared" si="187"/>
        <v>0</v>
      </c>
      <c r="BE82" s="22">
        <f t="shared" si="187"/>
        <v>0</v>
      </c>
      <c r="BF82" s="22">
        <f t="shared" si="187"/>
        <v>0</v>
      </c>
      <c r="BG82" s="22">
        <f t="shared" si="187"/>
        <v>0</v>
      </c>
      <c r="BH82" s="22">
        <f t="shared" si="187"/>
        <v>0</v>
      </c>
      <c r="BI82" s="22">
        <f t="shared" si="187"/>
        <v>0</v>
      </c>
      <c r="BJ82" s="22">
        <f t="shared" si="187"/>
        <v>0</v>
      </c>
      <c r="BK82" s="22">
        <f t="shared" si="187"/>
        <v>0</v>
      </c>
      <c r="BL82" s="22">
        <f t="shared" si="187"/>
        <v>0</v>
      </c>
      <c r="BM82" s="22">
        <f t="shared" si="187"/>
        <v>0</v>
      </c>
      <c r="BN82" s="22">
        <f t="shared" si="187"/>
        <v>0</v>
      </c>
      <c r="BO82" s="22">
        <f t="shared" si="187"/>
        <v>0</v>
      </c>
      <c r="BP82" s="22">
        <f t="shared" si="187"/>
        <v>0</v>
      </c>
      <c r="BQ82" s="22">
        <f t="shared" si="187"/>
        <v>0</v>
      </c>
    </row>
    <row r="83" spans="1:69 16373:16373" s="32" customFormat="1" ht="13.5" customHeight="1">
      <c r="A83" s="1"/>
      <c r="B83" s="1"/>
      <c r="C83" s="31"/>
      <c r="D83" s="31"/>
      <c r="G83" s="32" t="s">
        <v>176</v>
      </c>
      <c r="L83" s="42"/>
    </row>
    <row r="84" spans="1:69 16373:16373" s="32" customFormat="1" ht="13.5" customHeight="1">
      <c r="A84" s="1"/>
      <c r="B84" s="1"/>
      <c r="C84" s="31"/>
      <c r="D84" s="31"/>
      <c r="G84" s="32" t="s">
        <v>155</v>
      </c>
      <c r="J84" s="125">
        <v>1.1167</v>
      </c>
      <c r="K84" s="32" t="s">
        <v>156</v>
      </c>
      <c r="L84" s="42"/>
    </row>
    <row r="85" spans="1:69 16373:16373" s="32" customFormat="1" ht="13.5" customHeight="1">
      <c r="A85" s="1"/>
      <c r="B85" s="1"/>
      <c r="C85" s="31"/>
      <c r="D85" s="31"/>
      <c r="G85" s="32" t="s">
        <v>177</v>
      </c>
      <c r="J85" s="104">
        <f>J72</f>
        <v>150773.6</v>
      </c>
      <c r="K85" s="126" t="s">
        <v>47</v>
      </c>
      <c r="L85" s="42"/>
    </row>
    <row r="86" spans="1:69 16373:16373" s="32" customFormat="1" ht="13.5" customHeight="1">
      <c r="A86" s="1"/>
      <c r="B86" s="1"/>
      <c r="C86" s="31"/>
      <c r="D86" s="31"/>
      <c r="G86" s="32" t="s">
        <v>178</v>
      </c>
      <c r="J86" s="127">
        <v>0.04</v>
      </c>
      <c r="L86" s="42"/>
    </row>
    <row r="87" spans="1:69 16373:16373" s="32" customFormat="1" ht="13.5" customHeight="1">
      <c r="A87" s="1"/>
      <c r="B87" s="1"/>
      <c r="C87" s="31"/>
      <c r="D87" s="31"/>
      <c r="G87" s="32" t="s">
        <v>179</v>
      </c>
      <c r="J87" s="104">
        <v>0</v>
      </c>
      <c r="L87" s="42"/>
    </row>
    <row r="88" spans="1:69 16373:16373" s="32" customFormat="1" ht="13.5" customHeight="1">
      <c r="A88" s="1"/>
      <c r="B88" s="1"/>
      <c r="C88" s="31"/>
      <c r="D88" s="33"/>
      <c r="E88" s="24"/>
      <c r="F88" s="24"/>
      <c r="G88" s="24" t="s">
        <v>180</v>
      </c>
      <c r="H88" s="24"/>
      <c r="I88" s="24"/>
      <c r="J88" s="41">
        <f>착공일</f>
        <v>44834</v>
      </c>
      <c r="K88" s="24"/>
      <c r="L88" s="4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</row>
    <row r="89" spans="1:69 16373:16373" s="32" customFormat="1" ht="13.5" customHeight="1">
      <c r="A89" s="1"/>
      <c r="B89" s="1"/>
      <c r="C89" s="31"/>
      <c r="D89" s="31" t="s">
        <v>170</v>
      </c>
      <c r="F89" s="32">
        <f ca="1">J89*(8/1000)</f>
        <v>5614.6785534608707</v>
      </c>
      <c r="G89" s="32" t="s">
        <v>181</v>
      </c>
      <c r="J89" s="163">
        <f ca="1">'A&amp;R'!W17</f>
        <v>701834.81918260886</v>
      </c>
      <c r="L89" s="42"/>
      <c r="M89" s="32">
        <f ca="1">SUM(N89:XFD89)</f>
        <v>5614.6785534608689</v>
      </c>
      <c r="O89" s="32">
        <f ca="1">$F$89*분양매출!I10</f>
        <v>0</v>
      </c>
      <c r="P89" s="32">
        <f ca="1">$F$89*분양매출!J10</f>
        <v>0</v>
      </c>
      <c r="Q89" s="32">
        <f ca="1">$F$89*분양매출!K10</f>
        <v>0</v>
      </c>
      <c r="R89" s="32">
        <f ca="1">$F$89*분양매출!L10</f>
        <v>0</v>
      </c>
      <c r="S89" s="32">
        <f ca="1">$F$89*분양매출!M10</f>
        <v>0</v>
      </c>
      <c r="T89" s="32">
        <f ca="1">$F$89*분양매출!N10</f>
        <v>0</v>
      </c>
      <c r="U89" s="32">
        <f ca="1">$F$89*분양매출!O10</f>
        <v>0</v>
      </c>
      <c r="V89" s="32">
        <f ca="1">$F$89*분양매출!P10</f>
        <v>0</v>
      </c>
      <c r="W89" s="32">
        <f ca="1">$F$89*분양매출!Q10</f>
        <v>0</v>
      </c>
      <c r="X89" s="32">
        <f ca="1">$F$89*분양매출!R10</f>
        <v>0</v>
      </c>
      <c r="Y89" s="32">
        <f ca="1">$F$89*분양매출!S10</f>
        <v>0</v>
      </c>
      <c r="Z89" s="32">
        <f ca="1">$F$89*분양매출!T10</f>
        <v>0</v>
      </c>
      <c r="AA89" s="32">
        <f ca="1">$F$89*분양매출!U10</f>
        <v>0</v>
      </c>
      <c r="AB89" s="32">
        <f ca="1">$F$89*분양매출!V10</f>
        <v>0</v>
      </c>
      <c r="AC89" s="32">
        <f ca="1">$F$89*분양매출!W10</f>
        <v>0</v>
      </c>
      <c r="AD89" s="32">
        <f ca="1">$F$89*분양매출!X10</f>
        <v>0</v>
      </c>
      <c r="AE89" s="32">
        <f ca="1">$F$89*분양매출!Y10</f>
        <v>467.88987945507256</v>
      </c>
      <c r="AF89" s="32">
        <f ca="1">$F$89*분양매출!Z10</f>
        <v>467.88987945507256</v>
      </c>
      <c r="AG89" s="32">
        <f ca="1">$F$89*분양매출!AA10</f>
        <v>467.88987945507256</v>
      </c>
      <c r="AH89" s="32">
        <f ca="1">$F$89*분양매출!AB10</f>
        <v>467.88987945507256</v>
      </c>
      <c r="AI89" s="32">
        <f ca="1">$F$89*분양매출!AC10</f>
        <v>467.88987945507256</v>
      </c>
      <c r="AJ89" s="32">
        <f ca="1">$F$89*분양매출!AD10</f>
        <v>467.88987945507256</v>
      </c>
      <c r="AK89" s="32">
        <f ca="1">$F$89*분양매출!AE10</f>
        <v>467.88987945507256</v>
      </c>
      <c r="AL89" s="32">
        <f ca="1">$F$89*분양매출!AF10</f>
        <v>467.88987945507256</v>
      </c>
      <c r="AM89" s="32">
        <f ca="1">$F$89*분양매출!AG10</f>
        <v>467.88987945507256</v>
      </c>
      <c r="AN89" s="32">
        <f ca="1">$F$89*분양매출!AH10</f>
        <v>467.88987945507256</v>
      </c>
      <c r="AO89" s="32">
        <f ca="1">$F$89*분양매출!AI10</f>
        <v>467.88987945507256</v>
      </c>
      <c r="AP89" s="32">
        <f ca="1">$F$89*분양매출!AJ10</f>
        <v>467.88987945507256</v>
      </c>
      <c r="AQ89" s="32">
        <f ca="1">$F$89*분양매출!AK10</f>
        <v>0</v>
      </c>
      <c r="AR89" s="32">
        <f ca="1">$F$89*분양매출!AL10</f>
        <v>0</v>
      </c>
      <c r="AS89" s="32">
        <f ca="1">$F$89*분양매출!AM10</f>
        <v>0</v>
      </c>
      <c r="AT89" s="32">
        <f ca="1">$F$89*분양매출!AN10</f>
        <v>0</v>
      </c>
      <c r="AU89" s="32">
        <f ca="1">$F$89*분양매출!AO10</f>
        <v>0</v>
      </c>
      <c r="AV89" s="32">
        <f ca="1">$F$89*분양매출!AP10</f>
        <v>0</v>
      </c>
      <c r="AW89" s="32">
        <f ca="1">$F$89*분양매출!AQ10</f>
        <v>0</v>
      </c>
      <c r="AX89" s="32">
        <f ca="1">$F$89*분양매출!AR10</f>
        <v>0</v>
      </c>
      <c r="AY89" s="32">
        <f ca="1">$F$89*분양매출!AS10</f>
        <v>0</v>
      </c>
      <c r="AZ89" s="32">
        <f ca="1">$F$89*분양매출!AT10</f>
        <v>0</v>
      </c>
      <c r="BA89" s="32">
        <f ca="1">$F$89*분양매출!AU10</f>
        <v>0</v>
      </c>
      <c r="BB89" s="32">
        <f ca="1">$F$89*분양매출!AV10</f>
        <v>0</v>
      </c>
      <c r="BC89" s="32">
        <f ca="1">$F$89*분양매출!AW10</f>
        <v>0</v>
      </c>
      <c r="BD89" s="32">
        <f ca="1">$F$89*분양매출!AX10</f>
        <v>0</v>
      </c>
      <c r="BE89" s="32">
        <f ca="1">$F$89*분양매출!AY10</f>
        <v>0</v>
      </c>
      <c r="BF89" s="32">
        <f ca="1">$F$89*분양매출!AZ10</f>
        <v>0</v>
      </c>
      <c r="BG89" s="32">
        <f ca="1">$F$89*분양매출!BA10</f>
        <v>0</v>
      </c>
      <c r="BH89" s="32">
        <f ca="1">$F$89*분양매출!BB10</f>
        <v>0</v>
      </c>
      <c r="BI89" s="32">
        <f ca="1">$F$89*분양매출!BC10</f>
        <v>0</v>
      </c>
      <c r="BJ89" s="32">
        <f ca="1">$F$89*분양매출!BD10</f>
        <v>0</v>
      </c>
      <c r="BK89" s="32">
        <f ca="1">$F$89*분양매출!BE10</f>
        <v>0</v>
      </c>
      <c r="BL89" s="32">
        <f ca="1">$F$89*분양매출!BF10</f>
        <v>0</v>
      </c>
      <c r="BM89" s="32">
        <f ca="1">$F$89*분양매출!BG10</f>
        <v>0</v>
      </c>
      <c r="BN89" s="32">
        <f ca="1">$F$89*분양매출!BH10</f>
        <v>0</v>
      </c>
      <c r="BO89" s="32">
        <f ca="1">$F$89*분양매출!BI10</f>
        <v>0</v>
      </c>
      <c r="BP89" s="32">
        <f ca="1">$F$89*분양매출!BJ10</f>
        <v>0</v>
      </c>
      <c r="BQ89" s="32">
        <f ca="1">$F$89*분양매출!BK10</f>
        <v>0</v>
      </c>
    </row>
    <row r="90" spans="1:69 16373:16373" s="32" customFormat="1" ht="13.5" customHeight="1">
      <c r="A90" s="1"/>
      <c r="B90" s="1"/>
      <c r="C90" s="31"/>
      <c r="D90" s="31"/>
      <c r="G90" s="32" t="s">
        <v>182</v>
      </c>
      <c r="L90" s="42"/>
      <c r="M90" s="32">
        <f>SUM(N90:XFD90)</f>
        <v>0</v>
      </c>
    </row>
    <row r="91" spans="1:69 16373:16373" s="24" customFormat="1" ht="13.5" customHeight="1">
      <c r="A91" s="1"/>
      <c r="B91" s="1"/>
      <c r="C91" s="31"/>
      <c r="D91" s="33"/>
      <c r="G91" s="24" t="s">
        <v>183</v>
      </c>
      <c r="L91" s="44"/>
      <c r="M91" s="24">
        <f>SUM(N91:XFD91)</f>
        <v>0</v>
      </c>
    </row>
    <row r="92" spans="1:69 16373:16373" s="102" customFormat="1" ht="13.5" customHeight="1">
      <c r="A92" s="1"/>
      <c r="B92" s="1"/>
      <c r="C92" s="54"/>
      <c r="D92" s="101" t="s">
        <v>357</v>
      </c>
      <c r="F92" s="102">
        <f ca="1">IF(Cir=1,'취득원가 및 VAT'!M74,0)</f>
        <v>2701.575560547376</v>
      </c>
      <c r="L92" s="103"/>
      <c r="M92" s="102">
        <f ca="1">SUM(N92:XFD92)</f>
        <v>2701.575560551199</v>
      </c>
      <c r="O92" s="102">
        <f ca="1">IF(Cir=1,O352,0)</f>
        <v>127.22958332202892</v>
      </c>
      <c r="P92" s="102">
        <f ca="1">IF(Cir=1,P352,0)</f>
        <v>9.0829168915192913</v>
      </c>
      <c r="Q92" s="102">
        <f ca="1">IF(Cir=1,Q352,0)</f>
        <v>9.0829168915192913</v>
      </c>
      <c r="R92" s="102">
        <f ca="1">IF(Cir=1,R352,0)</f>
        <v>118.05860981841339</v>
      </c>
      <c r="S92" s="102">
        <f ca="1">IF(Cir=1,S352,0)</f>
        <v>11.110353697661992</v>
      </c>
      <c r="T92" s="102">
        <f ca="1">IF(Cir=1,T352,0)</f>
        <v>11.110353697661992</v>
      </c>
      <c r="U92" s="102">
        <f ca="1">IF(Cir=1,U352,0)</f>
        <v>11.110353697661992</v>
      </c>
      <c r="V92" s="102">
        <f ca="1">IF(Cir=1,V352,0)</f>
        <v>11.110353697661992</v>
      </c>
      <c r="W92" s="102">
        <f ca="1">IF(Cir=1,W352,0)</f>
        <v>11.110353697661992</v>
      </c>
      <c r="X92" s="102">
        <f ca="1">IF(Cir=1,X352,0)</f>
        <v>11.110353697661992</v>
      </c>
      <c r="Y92" s="102">
        <f ca="1">IF(Cir=1,Y352,0)</f>
        <v>11.110353697661992</v>
      </c>
      <c r="Z92" s="102">
        <f ca="1">IF(Cir=1,Z352,0)</f>
        <v>11.110353697661992</v>
      </c>
      <c r="AA92" s="102">
        <f ca="1">IF(Cir=1,AA352,0)</f>
        <v>11.110353697661992</v>
      </c>
      <c r="AB92" s="102">
        <f ca="1">IF(Cir=1,AB352,0)</f>
        <v>198.44551458524751</v>
      </c>
      <c r="AC92" s="102">
        <f ca="1">IF(Cir=1,AC352,0)</f>
        <v>45.386932674332506</v>
      </c>
      <c r="AD92" s="102">
        <f ca="1">IF(Cir=1,AD352,0)</f>
        <v>120.51274917860279</v>
      </c>
      <c r="AE92" s="102">
        <f ca="1">IF(Cir=1,AE352,0)</f>
        <v>255.52172908772633</v>
      </c>
      <c r="AF92" s="102">
        <f ca="1">IF(Cir=1,AF352,0)</f>
        <v>59.696292662492837</v>
      </c>
      <c r="AG92" s="102">
        <f ca="1">IF(Cir=1,AG352,0)</f>
        <v>59.696292662492837</v>
      </c>
      <c r="AH92" s="102">
        <f ca="1">IF(Cir=1,AH352,0)</f>
        <v>69.182464290781681</v>
      </c>
      <c r="AI92" s="102">
        <f ca="1">IF(Cir=1,AI352,0)</f>
        <v>62.067835569565048</v>
      </c>
      <c r="AJ92" s="102">
        <f ca="1">IF(Cir=1,AJ352,0)</f>
        <v>62.067835569565048</v>
      </c>
      <c r="AK92" s="102">
        <f ca="1">IF(Cir=1,AK352,0)</f>
        <v>78.668635919070525</v>
      </c>
      <c r="AL92" s="102">
        <f ca="1">IF(Cir=1,AL352,0)</f>
        <v>64.439378476637259</v>
      </c>
      <c r="AM92" s="102">
        <f ca="1">IF(Cir=1,AM352,0)</f>
        <v>64.439378476637259</v>
      </c>
      <c r="AN92" s="102">
        <f ca="1">IF(Cir=1,AN352,0)</f>
        <v>88.154807547359383</v>
      </c>
      <c r="AO92" s="102">
        <f ca="1">IF(Cir=1,AO352,0)</f>
        <v>66.810921383709456</v>
      </c>
      <c r="AP92" s="102">
        <f ca="1">IF(Cir=1,AP352,0)</f>
        <v>66.810921383709456</v>
      </c>
      <c r="AQ92" s="102">
        <f ca="1">IF(Cir=1,AQ352,0)</f>
        <v>37.94691913761438</v>
      </c>
      <c r="AR92" s="102">
        <f ca="1">IF(Cir=1,AR352,0)</f>
        <v>9.4884042527478307</v>
      </c>
      <c r="AS92" s="102">
        <f ca="1">IF(Cir=1,AS352,0)</f>
        <v>9.4884042527478307</v>
      </c>
      <c r="AT92" s="102">
        <f ca="1">IF(Cir=1,AT352,0)</f>
        <v>37.94691913761438</v>
      </c>
      <c r="AU92" s="102">
        <f ca="1">IF(Cir=1,AU352,0)</f>
        <v>9.4884042527478307</v>
      </c>
      <c r="AV92" s="102">
        <f ca="1">IF(Cir=1,AV352,0)</f>
        <v>9.4884042527478307</v>
      </c>
      <c r="AW92" s="102">
        <f ca="1">IF(Cir=1,AW352,0)</f>
        <v>37.94691913761438</v>
      </c>
      <c r="AX92" s="102">
        <f ca="1">IF(Cir=1,AX352,0)</f>
        <v>9.4884042527478307</v>
      </c>
      <c r="AY92" s="102">
        <f ca="1">IF(Cir=1,AY352,0)</f>
        <v>9.4884042527478307</v>
      </c>
      <c r="AZ92" s="102">
        <f ca="1">IF(Cir=1,AZ352,0)</f>
        <v>9.4884042527478307</v>
      </c>
      <c r="BA92" s="102">
        <f ca="1">IF(Cir=1,BA352,0)</f>
        <v>9.4884042527478307</v>
      </c>
      <c r="BB92" s="102">
        <f ca="1">IF(Cir=1,BB352,0)</f>
        <v>9.4884042527478307</v>
      </c>
      <c r="BC92" s="102">
        <f ca="1">IF(Cir=1,BC352,0)</f>
        <v>9.4884042527478307</v>
      </c>
      <c r="BD92" s="102">
        <f ca="1">IF(Cir=1,BD352,0)</f>
        <v>9.4884042527478307</v>
      </c>
      <c r="BE92" s="102">
        <f ca="1">IF(Cir=1,BE352,0)</f>
        <v>9.4884042527478307</v>
      </c>
      <c r="BF92" s="102">
        <f ca="1">IF(Cir=1,BF352,0)</f>
        <v>9.4884042527478307</v>
      </c>
      <c r="BG92" s="102">
        <f ca="1">IF(Cir=1,BG352,0)</f>
        <v>9.4884042527478307</v>
      </c>
      <c r="BH92" s="102">
        <f ca="1">IF(Cir=1,BH352,0)</f>
        <v>9.4884042527478307</v>
      </c>
      <c r="BI92" s="102">
        <f ca="1">IF(Cir=1,BI352,0)</f>
        <v>55.000975744903585</v>
      </c>
      <c r="BJ92" s="102">
        <f ca="1">IF(Cir=1,BJ352,0)</f>
        <v>464.79509768013577</v>
      </c>
      <c r="BK92" s="102">
        <f ca="1">IF(Cir=1,BK352,0)</f>
        <v>56.787394918405653</v>
      </c>
      <c r="BL92" s="102">
        <f ca="1">IF(Cir=1,BL352,0)</f>
        <v>10.422731271645841</v>
      </c>
      <c r="BM92" s="102">
        <f ca="1">IF(Cir=1,BM352,0)</f>
        <v>105.80488938369358</v>
      </c>
      <c r="BN92" s="102">
        <f ca="1">IF(Cir=1,BN352,0)</f>
        <v>9.0829168915192913</v>
      </c>
      <c r="BO92" s="102">
        <f ca="1">IF(Cir=1,BO352,0)</f>
        <v>9.0829168915192913</v>
      </c>
      <c r="BP92" s="102">
        <f ca="1">IF(Cir=1,BP352,0)</f>
        <v>9.0829168915192913</v>
      </c>
      <c r="BQ92" s="102">
        <f ca="1">IF(Cir=1,BQ352,0)</f>
        <v>0</v>
      </c>
    </row>
    <row r="93" spans="1:69 16373:16373" s="77" customFormat="1" ht="13.5" customHeight="1">
      <c r="A93" s="14"/>
      <c r="B93" s="14"/>
      <c r="C93" s="76" t="s">
        <v>171</v>
      </c>
      <c r="F93" s="77">
        <f>F100+F103</f>
        <v>1704.970002795033</v>
      </c>
      <c r="L93" s="48"/>
      <c r="M93" s="77">
        <f>SUM(N93:XFD93)</f>
        <v>1704.9700027950332</v>
      </c>
      <c r="O93" s="77">
        <f>O100+O103</f>
        <v>0</v>
      </c>
      <c r="P93" s="77">
        <f t="shared" ref="P93:BQ93" si="188">P100+P103</f>
        <v>0</v>
      </c>
      <c r="Q93" s="77">
        <f t="shared" si="188"/>
        <v>0</v>
      </c>
      <c r="R93" s="77">
        <f t="shared" si="188"/>
        <v>0</v>
      </c>
      <c r="S93" s="77">
        <f t="shared" si="188"/>
        <v>0</v>
      </c>
      <c r="T93" s="77">
        <f t="shared" si="188"/>
        <v>0</v>
      </c>
      <c r="U93" s="77">
        <f t="shared" si="188"/>
        <v>0</v>
      </c>
      <c r="V93" s="77">
        <f t="shared" si="188"/>
        <v>0</v>
      </c>
      <c r="W93" s="77">
        <f t="shared" si="188"/>
        <v>0</v>
      </c>
      <c r="X93" s="77">
        <f t="shared" si="188"/>
        <v>0</v>
      </c>
      <c r="Y93" s="77">
        <f t="shared" si="188"/>
        <v>0</v>
      </c>
      <c r="Z93" s="77">
        <f t="shared" si="188"/>
        <v>0</v>
      </c>
      <c r="AA93" s="77">
        <f t="shared" si="188"/>
        <v>0</v>
      </c>
      <c r="AB93" s="77">
        <f t="shared" si="188"/>
        <v>0</v>
      </c>
      <c r="AC93" s="77">
        <f t="shared" si="188"/>
        <v>0</v>
      </c>
      <c r="AD93" s="77">
        <f t="shared" si="188"/>
        <v>440.44932795</v>
      </c>
      <c r="AE93" s="77">
        <f t="shared" si="188"/>
        <v>0</v>
      </c>
      <c r="AF93" s="77">
        <f t="shared" si="188"/>
        <v>0</v>
      </c>
      <c r="AG93" s="77">
        <f t="shared" si="188"/>
        <v>402.28180020000002</v>
      </c>
      <c r="AH93" s="77">
        <f t="shared" si="188"/>
        <v>0</v>
      </c>
      <c r="AI93" s="77">
        <f t="shared" si="188"/>
        <v>0</v>
      </c>
      <c r="AJ93" s="77">
        <f t="shared" si="188"/>
        <v>0</v>
      </c>
      <c r="AK93" s="77">
        <f t="shared" si="188"/>
        <v>0</v>
      </c>
      <c r="AL93" s="77">
        <f t="shared" si="188"/>
        <v>0</v>
      </c>
      <c r="AM93" s="77">
        <f t="shared" si="188"/>
        <v>0</v>
      </c>
      <c r="AN93" s="77">
        <f t="shared" si="188"/>
        <v>0</v>
      </c>
      <c r="AO93" s="77">
        <f t="shared" si="188"/>
        <v>0</v>
      </c>
      <c r="AP93" s="77">
        <f t="shared" si="188"/>
        <v>278.96045638650003</v>
      </c>
      <c r="AQ93" s="77">
        <f t="shared" si="188"/>
        <v>0</v>
      </c>
      <c r="AR93" s="77">
        <f t="shared" si="188"/>
        <v>0</v>
      </c>
      <c r="AS93" s="77">
        <f t="shared" si="188"/>
        <v>0</v>
      </c>
      <c r="AT93" s="77">
        <f t="shared" si="188"/>
        <v>0</v>
      </c>
      <c r="AU93" s="77">
        <f t="shared" si="188"/>
        <v>0</v>
      </c>
      <c r="AV93" s="77">
        <f t="shared" si="188"/>
        <v>0</v>
      </c>
      <c r="AW93" s="77">
        <f t="shared" si="188"/>
        <v>0</v>
      </c>
      <c r="AX93" s="77">
        <f t="shared" si="188"/>
        <v>0</v>
      </c>
      <c r="AY93" s="77">
        <f t="shared" si="188"/>
        <v>0</v>
      </c>
      <c r="AZ93" s="77">
        <f t="shared" si="188"/>
        <v>0</v>
      </c>
      <c r="BA93" s="77">
        <f t="shared" si="188"/>
        <v>0</v>
      </c>
      <c r="BB93" s="77">
        <f t="shared" si="188"/>
        <v>287.32927007809508</v>
      </c>
      <c r="BC93" s="77">
        <f t="shared" si="188"/>
        <v>0</v>
      </c>
      <c r="BD93" s="77">
        <f t="shared" si="188"/>
        <v>0</v>
      </c>
      <c r="BE93" s="77">
        <f t="shared" si="188"/>
        <v>0</v>
      </c>
      <c r="BF93" s="77">
        <f t="shared" si="188"/>
        <v>0</v>
      </c>
      <c r="BG93" s="77">
        <f t="shared" si="188"/>
        <v>0</v>
      </c>
      <c r="BH93" s="77">
        <f t="shared" si="188"/>
        <v>0</v>
      </c>
      <c r="BI93" s="77">
        <f t="shared" si="188"/>
        <v>0</v>
      </c>
      <c r="BJ93" s="77">
        <f t="shared" si="188"/>
        <v>0</v>
      </c>
      <c r="BK93" s="77">
        <f t="shared" si="188"/>
        <v>0</v>
      </c>
      <c r="BL93" s="77">
        <f t="shared" si="188"/>
        <v>0</v>
      </c>
      <c r="BM93" s="77">
        <f t="shared" si="188"/>
        <v>0</v>
      </c>
      <c r="BN93" s="77">
        <f t="shared" si="188"/>
        <v>295.94914818043799</v>
      </c>
      <c r="BO93" s="77">
        <f t="shared" si="188"/>
        <v>0</v>
      </c>
      <c r="BP93" s="77">
        <f t="shared" si="188"/>
        <v>0</v>
      </c>
      <c r="BQ93" s="77">
        <f t="shared" si="188"/>
        <v>0</v>
      </c>
    </row>
    <row r="94" spans="1:69 16373:16373" s="22" customFormat="1" ht="13.5" customHeight="1">
      <c r="A94" s="1"/>
      <c r="B94" s="1"/>
      <c r="C94" s="31"/>
      <c r="D94" s="30"/>
      <c r="G94" s="55" t="s">
        <v>254</v>
      </c>
      <c r="H94" s="21"/>
      <c r="I94" s="21">
        <v>2</v>
      </c>
      <c r="J94" s="55" t="s">
        <v>255</v>
      </c>
      <c r="K94" s="21"/>
      <c r="L94" s="56">
        <v>1</v>
      </c>
    </row>
    <row r="95" spans="1:69 16373:16373" s="32" customFormat="1" ht="13.5" customHeight="1">
      <c r="A95" s="1"/>
      <c r="B95" s="1"/>
      <c r="C95" s="31"/>
      <c r="D95" s="31"/>
      <c r="G95" s="31"/>
      <c r="J95" s="31"/>
      <c r="L95" s="63"/>
      <c r="XES95" s="163" t="str">
        <f>보유세!C18</f>
        <v>Case1. 분리과세 기준</v>
      </c>
    </row>
    <row r="96" spans="1:69 16373:16373" s="32" customFormat="1" ht="13.5" customHeight="1">
      <c r="A96" s="1"/>
      <c r="B96" s="1"/>
      <c r="C96" s="31"/>
      <c r="D96" s="31"/>
      <c r="G96" s="33"/>
      <c r="H96" s="24"/>
      <c r="I96" s="24"/>
      <c r="J96" s="33"/>
      <c r="K96" s="24"/>
      <c r="L96" s="34"/>
      <c r="XES96" s="163" t="str">
        <f>보유세!C36</f>
        <v>Case2. 별도합산과세 기준</v>
      </c>
    </row>
    <row r="97" spans="1:69" s="32" customFormat="1" ht="13.5" customHeight="1">
      <c r="A97" s="1"/>
      <c r="B97" s="1"/>
      <c r="C97" s="31"/>
      <c r="D97" s="31"/>
      <c r="L97" s="42"/>
    </row>
    <row r="98" spans="1:69" s="32" customFormat="1" ht="13.5" customHeight="1">
      <c r="A98" s="1"/>
      <c r="B98" s="1"/>
      <c r="C98" s="31"/>
      <c r="D98" s="31" t="s">
        <v>172</v>
      </c>
      <c r="L98" s="42"/>
    </row>
    <row r="99" spans="1:69" s="163" customFormat="1" ht="13.5" customHeight="1">
      <c r="A99" s="11"/>
      <c r="B99" s="11"/>
      <c r="C99" s="164"/>
      <c r="D99" s="164"/>
      <c r="E99" s="157" t="s">
        <v>259</v>
      </c>
      <c r="F99" s="158"/>
      <c r="G99" s="158"/>
      <c r="H99" s="158"/>
      <c r="I99" s="158"/>
      <c r="J99" s="158"/>
      <c r="K99" s="158"/>
      <c r="L99" s="159"/>
      <c r="M99" s="158">
        <f>SUM(N99:XFD99)</f>
        <v>1302.6882025950331</v>
      </c>
      <c r="N99" s="158"/>
      <c r="O99" s="160"/>
      <c r="P99" s="158">
        <f>SUMIF(보유세!$62:$62,총투자비!P$11,보유세!$63:$63)*(P11&lt;Exit)</f>
        <v>0</v>
      </c>
      <c r="Q99" s="158">
        <f>SUMIF(보유세!$62:$62,총투자비!Q$11,보유세!$63:$63)*(Q11&lt;Exit)</f>
        <v>0</v>
      </c>
      <c r="R99" s="158">
        <f>SUMIF(보유세!$62:$62,총투자비!R$11,보유세!$63:$63)*(R11&lt;Exit)</f>
        <v>0</v>
      </c>
      <c r="S99" s="158">
        <f>SUMIF(보유세!$62:$62,총투자비!S$11,보유세!$63:$63)*(S11&lt;Exit)</f>
        <v>0</v>
      </c>
      <c r="T99" s="158">
        <f>SUMIF(보유세!$62:$62,총투자비!T$11,보유세!$63:$63)*(T11&lt;Exit)</f>
        <v>0</v>
      </c>
      <c r="U99" s="158">
        <f>SUMIF(보유세!$62:$62,총투자비!U$11,보유세!$63:$63)*(U11&lt;Exit)</f>
        <v>0</v>
      </c>
      <c r="V99" s="158">
        <f>SUMIF(보유세!$62:$62,총투자비!V$11,보유세!$63:$63)*(V11&lt;Exit)</f>
        <v>0</v>
      </c>
      <c r="W99" s="158">
        <f>SUMIF(보유세!$62:$62,총투자비!W$11,보유세!$63:$63)*(W11&lt;Exit)</f>
        <v>0</v>
      </c>
      <c r="X99" s="158">
        <f>SUMIF(보유세!$62:$62,총투자비!X$11,보유세!$63:$63)*(X11&lt;Exit)</f>
        <v>0</v>
      </c>
      <c r="Y99" s="158">
        <f>SUMIF(보유세!$62:$62,총투자비!Y$11,보유세!$63:$63)*(Y11&lt;Exit)</f>
        <v>0</v>
      </c>
      <c r="Z99" s="158">
        <f>SUMIF(보유세!$62:$62,총투자비!Z$11,보유세!$63:$63)*(Z11&lt;Exit)</f>
        <v>0</v>
      </c>
      <c r="AA99" s="158">
        <f>SUMIF(보유세!$62:$62,총투자비!AA$11,보유세!$63:$63)*(AA11&lt;Exit)</f>
        <v>440.44932795</v>
      </c>
      <c r="AB99" s="158">
        <f>SUMIF(보유세!$62:$62,총투자비!AB$11,보유세!$63:$63)*(AB11&lt;Exit)</f>
        <v>0</v>
      </c>
      <c r="AC99" s="158">
        <f>SUMIF(보유세!$62:$62,총투자비!AC$11,보유세!$63:$63)*(AC11&lt;Exit)</f>
        <v>0</v>
      </c>
      <c r="AD99" s="158">
        <f>SUMIF(보유세!$62:$62,총투자비!AD$11,보유세!$63:$63)*(AD11&lt;Exit)</f>
        <v>0</v>
      </c>
      <c r="AE99" s="158">
        <f>SUMIF(보유세!$62:$62,총투자비!AE$11,보유세!$63:$63)*(AE11&lt;Exit)</f>
        <v>0</v>
      </c>
      <c r="AF99" s="158">
        <f>SUMIF(보유세!$62:$62,총투자비!AF$11,보유세!$63:$63)*(AF11&lt;Exit)</f>
        <v>0</v>
      </c>
      <c r="AG99" s="158">
        <f>SUMIF(보유세!$62:$62,총투자비!AG$11,보유세!$63:$63)*(AG11&lt;Exit)</f>
        <v>0</v>
      </c>
      <c r="AH99" s="158">
        <f>SUMIF(보유세!$62:$62,총투자비!AH$11,보유세!$63:$63)*(AH11&lt;Exit)</f>
        <v>0</v>
      </c>
      <c r="AI99" s="158">
        <f>SUMIF(보유세!$62:$62,총투자비!AI$11,보유세!$63:$63)*(AI11&lt;Exit)</f>
        <v>0</v>
      </c>
      <c r="AJ99" s="158">
        <f>SUMIF(보유세!$62:$62,총투자비!AJ$11,보유세!$63:$63)*(AJ11&lt;Exit)</f>
        <v>0</v>
      </c>
      <c r="AK99" s="158">
        <f>SUMIF(보유세!$62:$62,총투자비!AK$11,보유세!$63:$63)*(AK11&lt;Exit)</f>
        <v>0</v>
      </c>
      <c r="AL99" s="158">
        <f>SUMIF(보유세!$62:$62,총투자비!AL$11,보유세!$63:$63)*(AL11&lt;Exit)</f>
        <v>0</v>
      </c>
      <c r="AM99" s="158">
        <f>SUMIF(보유세!$62:$62,총투자비!AM$11,보유세!$63:$63)*(AM11&lt;Exit)</f>
        <v>278.96045638650003</v>
      </c>
      <c r="AN99" s="158">
        <f>SUMIF(보유세!$62:$62,총투자비!AN$11,보유세!$63:$63)*(AN11&lt;Exit)</f>
        <v>0</v>
      </c>
      <c r="AO99" s="158">
        <f>SUMIF(보유세!$62:$62,총투자비!AO$11,보유세!$63:$63)*(AO11&lt;Exit)</f>
        <v>0</v>
      </c>
      <c r="AP99" s="158">
        <f>SUMIF(보유세!$62:$62,총투자비!AP$11,보유세!$63:$63)*(AP11&lt;Exit)</f>
        <v>0</v>
      </c>
      <c r="AQ99" s="158">
        <f>SUMIF(보유세!$62:$62,총투자비!AQ$11,보유세!$63:$63)*(AQ11&lt;Exit)</f>
        <v>0</v>
      </c>
      <c r="AR99" s="158">
        <f>SUMIF(보유세!$62:$62,총투자비!AR$11,보유세!$63:$63)*(AR11&lt;Exit)</f>
        <v>0</v>
      </c>
      <c r="AS99" s="158">
        <f>SUMIF(보유세!$62:$62,총투자비!AS$11,보유세!$63:$63)*(AS11&lt;Exit)</f>
        <v>0</v>
      </c>
      <c r="AT99" s="158">
        <f>SUMIF(보유세!$62:$62,총투자비!AT$11,보유세!$63:$63)*(AT11&lt;Exit)</f>
        <v>0</v>
      </c>
      <c r="AU99" s="158">
        <f>SUMIF(보유세!$62:$62,총투자비!AU$11,보유세!$63:$63)*(AU11&lt;Exit)</f>
        <v>0</v>
      </c>
      <c r="AV99" s="158">
        <f>SUMIF(보유세!$62:$62,총투자비!AV$11,보유세!$63:$63)*(AV11&lt;Exit)</f>
        <v>0</v>
      </c>
      <c r="AW99" s="158">
        <f>SUMIF(보유세!$62:$62,총투자비!AW$11,보유세!$63:$63)*(AW11&lt;Exit)</f>
        <v>0</v>
      </c>
      <c r="AX99" s="158">
        <f>SUMIF(보유세!$62:$62,총투자비!AX$11,보유세!$63:$63)*(AX11&lt;Exit)</f>
        <v>0</v>
      </c>
      <c r="AY99" s="158">
        <f>SUMIF(보유세!$62:$62,총투자비!AY$11,보유세!$63:$63)*(AY11&lt;Exit)</f>
        <v>287.32927007809508</v>
      </c>
      <c r="AZ99" s="158">
        <f>SUMIF(보유세!$62:$62,총투자비!AZ$11,보유세!$63:$63)*(AZ11&lt;Exit)</f>
        <v>0</v>
      </c>
      <c r="BA99" s="158">
        <f>SUMIF(보유세!$62:$62,총투자비!BA$11,보유세!$63:$63)*(BA11&lt;Exit)</f>
        <v>0</v>
      </c>
      <c r="BB99" s="158">
        <f>SUMIF(보유세!$62:$62,총투자비!BB$11,보유세!$63:$63)*(BB11&lt;Exit)</f>
        <v>0</v>
      </c>
      <c r="BC99" s="158">
        <f>SUMIF(보유세!$62:$62,총투자비!BC$11,보유세!$63:$63)*(BC11&lt;Exit)</f>
        <v>0</v>
      </c>
      <c r="BD99" s="158">
        <f>SUMIF(보유세!$62:$62,총투자비!BD$11,보유세!$63:$63)*(BD11&lt;Exit)</f>
        <v>0</v>
      </c>
      <c r="BE99" s="158">
        <f>SUMIF(보유세!$62:$62,총투자비!BE$11,보유세!$63:$63)*(BE11&lt;Exit)</f>
        <v>0</v>
      </c>
      <c r="BF99" s="158">
        <f>SUMIF(보유세!$62:$62,총투자비!BF$11,보유세!$63:$63)*(BF11&lt;Exit)</f>
        <v>0</v>
      </c>
      <c r="BG99" s="158">
        <f>SUMIF(보유세!$62:$62,총투자비!BG$11,보유세!$63:$63)*(BG11&lt;Exit)</f>
        <v>0</v>
      </c>
      <c r="BH99" s="158">
        <f>SUMIF(보유세!$62:$62,총투자비!BH$11,보유세!$63:$63)*(BH11&lt;Exit)</f>
        <v>0</v>
      </c>
      <c r="BI99" s="158">
        <f>SUMIF(보유세!$62:$62,총투자비!BI$11,보유세!$63:$63)*(BI11&lt;Exit)</f>
        <v>0</v>
      </c>
      <c r="BJ99" s="158">
        <f>SUMIF(보유세!$62:$62,총투자비!BJ$11,보유세!$63:$63)*(BJ11&lt;Exit)</f>
        <v>0</v>
      </c>
      <c r="BK99" s="158">
        <f>SUMIF(보유세!$62:$62,총투자비!BK$11,보유세!$63:$63)*(BK11&lt;Exit)</f>
        <v>295.94914818043793</v>
      </c>
      <c r="BL99" s="158">
        <f>SUMIF(보유세!$62:$62,총투자비!BL$11,보유세!$63:$63)*(BL11&lt;Exit)</f>
        <v>0</v>
      </c>
      <c r="BM99" s="158">
        <f>SUMIF(보유세!$62:$62,총투자비!BM$11,보유세!$63:$63)*(BM11&lt;Exit)</f>
        <v>0</v>
      </c>
      <c r="BN99" s="158">
        <f>SUMIF(보유세!$62:$62,총투자비!BN$11,보유세!$63:$63)*(BN11&lt;Exit)</f>
        <v>0</v>
      </c>
      <c r="BO99" s="158">
        <f>SUMIF(보유세!$62:$62,총투자비!BO$11,보유세!$63:$63)*(BO11&lt;Exit)</f>
        <v>0</v>
      </c>
      <c r="BP99" s="158">
        <f>SUMIF(보유세!$62:$62,총투자비!BP$11,보유세!$63:$63)*(BP11&lt;Exit)</f>
        <v>0</v>
      </c>
      <c r="BQ99" s="158">
        <f>SUMIF(보유세!$62:$62,총투자비!BQ$11,보유세!$63:$63)*(BQ11&lt;Exit)</f>
        <v>0</v>
      </c>
    </row>
    <row r="100" spans="1:69" s="32" customFormat="1" ht="13.5" customHeight="1">
      <c r="A100" s="1"/>
      <c r="B100" s="1"/>
      <c r="C100" s="31"/>
      <c r="D100" s="54"/>
      <c r="E100" s="33" t="s">
        <v>260</v>
      </c>
      <c r="F100" s="24">
        <f>M100</f>
        <v>1302.6882025950331</v>
      </c>
      <c r="G100" s="161">
        <f>보유세!F12</f>
        <v>9</v>
      </c>
      <c r="H100" s="24"/>
      <c r="I100" s="24"/>
      <c r="J100" s="24"/>
      <c r="K100" s="24"/>
      <c r="L100" s="162" t="b">
        <f>ABS(M99-M100)&lt;0.001</f>
        <v>1</v>
      </c>
      <c r="M100" s="24">
        <f t="shared" ref="M100" si="189">SUM(N100:XFD100)</f>
        <v>1302.6882025950331</v>
      </c>
      <c r="N100" s="24"/>
      <c r="O100" s="24">
        <f>(SUM($O99:O99)-SUM($N100:N100))*(MONTH(O11)=$G$100)</f>
        <v>0</v>
      </c>
      <c r="P100" s="24">
        <f>(SUM($O99:P99)-SUM($N100:O100))*(MONTH(P11)=$G$100)</f>
        <v>0</v>
      </c>
      <c r="Q100" s="24">
        <f>(SUM($O99:Q99)-SUM($N100:P100))*(MONTH(Q11)=$G$100)</f>
        <v>0</v>
      </c>
      <c r="R100" s="24">
        <f>(SUM($O99:R99)-SUM($N100:Q100))*(MONTH(R11)=$G$100)</f>
        <v>0</v>
      </c>
      <c r="S100" s="24">
        <f>(SUM($O99:S99)-SUM($N100:R100))*(MONTH(S11)=$G$100)</f>
        <v>0</v>
      </c>
      <c r="T100" s="24">
        <f>(SUM($O99:T99)-SUM($N100:S100))*(MONTH(T11)=$G$100)</f>
        <v>0</v>
      </c>
      <c r="U100" s="24">
        <f>(SUM($O99:U99)-SUM($N100:T100))*(MONTH(U11)=$G$100)</f>
        <v>0</v>
      </c>
      <c r="V100" s="24">
        <f>(SUM($O99:V99)-SUM($N100:U100))*(MONTH(V11)=$G$100)</f>
        <v>0</v>
      </c>
      <c r="W100" s="24">
        <f>(SUM($O99:W99)-SUM($N100:V100))*(MONTH(W11)=$G$100)</f>
        <v>0</v>
      </c>
      <c r="X100" s="24">
        <f>(SUM($O99:X99)-SUM($N100:W100))*(MONTH(X11)=$G$100)</f>
        <v>0</v>
      </c>
      <c r="Y100" s="24">
        <f>(SUM($O99:Y99)-SUM($N100:X100))*(MONTH(Y11)=$G$100)</f>
        <v>0</v>
      </c>
      <c r="Z100" s="24">
        <f>(SUM($O99:Z99)-SUM($N100:Y100))*(MONTH(Z11)=$G$100)</f>
        <v>0</v>
      </c>
      <c r="AA100" s="24">
        <f>(SUM($O99:AA99)-SUM($N100:Z100))*(MONTH(AA11)=$G$100)</f>
        <v>0</v>
      </c>
      <c r="AB100" s="24">
        <f>(SUM($O99:AB99)-SUM($N100:AA100))*(MONTH(AB11)=$G$100)</f>
        <v>0</v>
      </c>
      <c r="AC100" s="24">
        <f>(SUM($O99:AC99)-SUM($N100:AB100))*(MONTH(AC11)=$G$100)</f>
        <v>0</v>
      </c>
      <c r="AD100" s="24">
        <f>(SUM($O99:AD99)-SUM($N100:AC100))*(MONTH(AD11)=$G$100)</f>
        <v>440.44932795</v>
      </c>
      <c r="AE100" s="24">
        <f>(SUM($O99:AE99)-SUM($N100:AD100))*(MONTH(AE11)=$G$100)</f>
        <v>0</v>
      </c>
      <c r="AF100" s="24">
        <f>(SUM($O99:AF99)-SUM($N100:AE100))*(MONTH(AF11)=$G$100)</f>
        <v>0</v>
      </c>
      <c r="AG100" s="24">
        <f>(SUM($O99:AG99)-SUM($N100:AF100))*(MONTH(AG11)=$G$100)</f>
        <v>0</v>
      </c>
      <c r="AH100" s="24">
        <f>(SUM($O99:AH99)-SUM($N100:AG100))*(MONTH(AH11)=$G$100)</f>
        <v>0</v>
      </c>
      <c r="AI100" s="24">
        <f>(SUM($O99:AI99)-SUM($N100:AH100))*(MONTH(AI11)=$G$100)</f>
        <v>0</v>
      </c>
      <c r="AJ100" s="24">
        <f>(SUM($O99:AJ99)-SUM($N100:AI100))*(MONTH(AJ11)=$G$100)</f>
        <v>0</v>
      </c>
      <c r="AK100" s="24">
        <f>(SUM($O99:AK99)-SUM($N100:AJ100))*(MONTH(AK11)=$G$100)</f>
        <v>0</v>
      </c>
      <c r="AL100" s="24">
        <f>(SUM($O99:AL99)-SUM($N100:AK100))*(MONTH(AL11)=$G$100)</f>
        <v>0</v>
      </c>
      <c r="AM100" s="24">
        <f>(SUM($O99:AM99)-SUM($N100:AL100))*(MONTH(AM11)=$G$100)</f>
        <v>0</v>
      </c>
      <c r="AN100" s="24">
        <f>(SUM($O99:AN99)-SUM($N100:AM100))*(MONTH(AN11)=$G$100)</f>
        <v>0</v>
      </c>
      <c r="AO100" s="24">
        <f>(SUM($O99:AO99)-SUM($N100:AN100))*(MONTH(AO11)=$G$100)</f>
        <v>0</v>
      </c>
      <c r="AP100" s="24">
        <f>(SUM($O99:AP99)-SUM($N100:AO100))*(MONTH(AP11)=$G$100)</f>
        <v>278.96045638650003</v>
      </c>
      <c r="AQ100" s="24">
        <f>(SUM($O99:AQ99)-SUM($N100:AP100))*(MONTH(AQ11)=$G$100)</f>
        <v>0</v>
      </c>
      <c r="AR100" s="24">
        <f>(SUM($O99:AR99)-SUM($N100:AQ100))*(MONTH(AR11)=$G$100)</f>
        <v>0</v>
      </c>
      <c r="AS100" s="24">
        <f>(SUM($O99:AS99)-SUM($N100:AR100))*(MONTH(AS11)=$G$100)</f>
        <v>0</v>
      </c>
      <c r="AT100" s="24">
        <f>(SUM($O99:AT99)-SUM($N100:AS100))*(MONTH(AT11)=$G$100)</f>
        <v>0</v>
      </c>
      <c r="AU100" s="24">
        <f>(SUM($O99:AU99)-SUM($N100:AT100))*(MONTH(AU11)=$G$100)</f>
        <v>0</v>
      </c>
      <c r="AV100" s="24">
        <f>(SUM($O99:AV99)-SUM($N100:AU100))*(MONTH(AV11)=$G$100)</f>
        <v>0</v>
      </c>
      <c r="AW100" s="24">
        <f>(SUM($O99:AW99)-SUM($N100:AV100))*(MONTH(AW11)=$G$100)</f>
        <v>0</v>
      </c>
      <c r="AX100" s="24">
        <f>(SUM($O99:AX99)-SUM($N100:AW100))*(MONTH(AX11)=$G$100)</f>
        <v>0</v>
      </c>
      <c r="AY100" s="24">
        <f>(SUM($O99:AY99)-SUM($N100:AX100))*(MONTH(AY11)=$G$100)</f>
        <v>0</v>
      </c>
      <c r="AZ100" s="24">
        <f>(SUM($O99:AZ99)-SUM($N100:AY100))*(MONTH(AZ11)=$G$100)</f>
        <v>0</v>
      </c>
      <c r="BA100" s="24">
        <f>(SUM($O99:BA99)-SUM($N100:AZ100))*(MONTH(BA11)=$G$100)</f>
        <v>0</v>
      </c>
      <c r="BB100" s="24">
        <f>(SUM($O99:BB99)-SUM($N100:BA100))*(MONTH(BB11)=$G$100)</f>
        <v>287.32927007809508</v>
      </c>
      <c r="BC100" s="24">
        <f>(SUM($O99:BC99)-SUM($N100:BB100))*(MONTH(BC11)=$G$100)</f>
        <v>0</v>
      </c>
      <c r="BD100" s="24">
        <f>(SUM($O99:BD99)-SUM($N100:BC100))*(MONTH(BD11)=$G$100)</f>
        <v>0</v>
      </c>
      <c r="BE100" s="24">
        <f>(SUM($O99:BE99)-SUM($N100:BD100))*(MONTH(BE11)=$G$100)</f>
        <v>0</v>
      </c>
      <c r="BF100" s="24">
        <f>(SUM($O99:BF99)-SUM($N100:BE100))*(MONTH(BF11)=$G$100)</f>
        <v>0</v>
      </c>
      <c r="BG100" s="24">
        <f>(SUM($O99:BG99)-SUM($N100:BF100))*(MONTH(BG11)=$G$100)</f>
        <v>0</v>
      </c>
      <c r="BH100" s="24">
        <f>(SUM($O99:BH99)-SUM($N100:BG100))*(MONTH(BH11)=$G$100)</f>
        <v>0</v>
      </c>
      <c r="BI100" s="24">
        <f>(SUM($O99:BI99)-SUM($N100:BH100))*(MONTH(BI11)=$G$100)</f>
        <v>0</v>
      </c>
      <c r="BJ100" s="24">
        <f>(SUM($O99:BJ99)-SUM($N100:BI100))*(MONTH(BJ11)=$G$100)</f>
        <v>0</v>
      </c>
      <c r="BK100" s="24">
        <f>(SUM($O99:BK99)-SUM($N100:BJ100))*(MONTH(BK11)=$G$100)</f>
        <v>0</v>
      </c>
      <c r="BL100" s="24">
        <f>(SUM($O99:BL99)-SUM($N100:BK100))*(MONTH(BL11)=$G$100)</f>
        <v>0</v>
      </c>
      <c r="BM100" s="24">
        <f>(SUM($O99:BM99)-SUM($N100:BL100))*(MONTH(BM11)=$G$100)</f>
        <v>0</v>
      </c>
      <c r="BN100" s="24">
        <f>(SUM($O99:BN99)-SUM($N100:BM100))*(MONTH(BN11)=$G$100)</f>
        <v>295.94914818043799</v>
      </c>
      <c r="BO100" s="24">
        <f>(SUM($O99:BO99)-SUM($N100:BN100))*(MONTH(BO11)=$G$100)</f>
        <v>0</v>
      </c>
      <c r="BP100" s="24">
        <f>(SUM($O99:BP99)-SUM($N100:BO100))*(MONTH(BP11)=$G$100)</f>
        <v>0</v>
      </c>
      <c r="BQ100" s="24">
        <f>(SUM($O99:BQ99)-SUM($N100:BP100))*(MONTH(BQ11)=$G$100)</f>
        <v>0</v>
      </c>
    </row>
    <row r="101" spans="1:69" s="32" customFormat="1" ht="13.5" customHeight="1">
      <c r="A101" s="1"/>
      <c r="B101" s="1"/>
      <c r="C101" s="31"/>
      <c r="D101" s="31" t="s">
        <v>173</v>
      </c>
      <c r="L101" s="42"/>
    </row>
    <row r="102" spans="1:69" s="163" customFormat="1" ht="13.5" customHeight="1">
      <c r="A102" s="11"/>
      <c r="B102" s="11"/>
      <c r="C102" s="164"/>
      <c r="D102" s="164"/>
      <c r="E102" s="157" t="s">
        <v>259</v>
      </c>
      <c r="F102" s="158"/>
      <c r="G102" s="158"/>
      <c r="H102" s="158"/>
      <c r="I102" s="158"/>
      <c r="J102" s="158"/>
      <c r="K102" s="158"/>
      <c r="L102" s="159"/>
      <c r="M102" s="158">
        <f>SUM(N102:XFD102)</f>
        <v>402.28180020000002</v>
      </c>
      <c r="N102" s="158"/>
      <c r="O102" s="160"/>
      <c r="P102" s="158">
        <f>SUMIF(보유세!$97:$97,총투자비!P$11,보유세!$98:$98)*(P11&lt;Exit)</f>
        <v>0</v>
      </c>
      <c r="Q102" s="158">
        <f>SUMIF(보유세!$97:$97,총투자비!Q$11,보유세!$98:$98)*(Q11&lt;Exit)</f>
        <v>0</v>
      </c>
      <c r="R102" s="158">
        <f>SUMIF(보유세!$97:$97,총투자비!R$11,보유세!$98:$98)*(R11&lt;Exit)</f>
        <v>0</v>
      </c>
      <c r="S102" s="158">
        <f>SUMIF(보유세!$97:$97,총투자비!S$11,보유세!$98:$98)*(S11&lt;Exit)</f>
        <v>0</v>
      </c>
      <c r="T102" s="158">
        <f>SUMIF(보유세!$97:$97,총투자비!T$11,보유세!$98:$98)*(T11&lt;Exit)</f>
        <v>0</v>
      </c>
      <c r="U102" s="158">
        <f>SUMIF(보유세!$97:$97,총투자비!U$11,보유세!$98:$98)*(U11&lt;Exit)</f>
        <v>0</v>
      </c>
      <c r="V102" s="158">
        <f>SUMIF(보유세!$97:$97,총투자비!V$11,보유세!$98:$98)*(V11&lt;Exit)</f>
        <v>0</v>
      </c>
      <c r="W102" s="158">
        <f>SUMIF(보유세!$97:$97,총투자비!W$11,보유세!$98:$98)*(W11&lt;Exit)</f>
        <v>0</v>
      </c>
      <c r="X102" s="158">
        <f>SUMIF(보유세!$97:$97,총투자비!X$11,보유세!$98:$98)*(X11&lt;Exit)</f>
        <v>0</v>
      </c>
      <c r="Y102" s="158">
        <f>SUMIF(보유세!$97:$97,총투자비!Y$11,보유세!$98:$98)*(Y11&lt;Exit)</f>
        <v>0</v>
      </c>
      <c r="Z102" s="158">
        <f>SUMIF(보유세!$97:$97,총투자비!Z$11,보유세!$98:$98)*(Z11&lt;Exit)</f>
        <v>0</v>
      </c>
      <c r="AA102" s="158">
        <f>SUMIF(보유세!$97:$97,총투자비!AA$11,보유세!$98:$98)*(AA11&lt;Exit)</f>
        <v>402.28180020000002</v>
      </c>
      <c r="AB102" s="158">
        <f>SUMIF(보유세!$97:$97,총투자비!AB$11,보유세!$98:$98)*(AB11&lt;Exit)</f>
        <v>0</v>
      </c>
      <c r="AC102" s="158">
        <f>SUMIF(보유세!$97:$97,총투자비!AC$11,보유세!$98:$98)*(AC11&lt;Exit)</f>
        <v>0</v>
      </c>
      <c r="AD102" s="158">
        <f>SUMIF(보유세!$97:$97,총투자비!AD$11,보유세!$98:$98)*(AD11&lt;Exit)</f>
        <v>0</v>
      </c>
      <c r="AE102" s="158">
        <f>SUMIF(보유세!$97:$97,총투자비!AE$11,보유세!$98:$98)*(AE11&lt;Exit)</f>
        <v>0</v>
      </c>
      <c r="AF102" s="158">
        <f>SUMIF(보유세!$97:$97,총투자비!AF$11,보유세!$98:$98)*(AF11&lt;Exit)</f>
        <v>0</v>
      </c>
      <c r="AG102" s="158">
        <f>SUMIF(보유세!$97:$97,총투자비!AG$11,보유세!$98:$98)*(AG11&lt;Exit)</f>
        <v>0</v>
      </c>
      <c r="AH102" s="158">
        <f>SUMIF(보유세!$97:$97,총투자비!AH$11,보유세!$98:$98)*(AH11&lt;Exit)</f>
        <v>0</v>
      </c>
      <c r="AI102" s="158">
        <f>SUMIF(보유세!$97:$97,총투자비!AI$11,보유세!$98:$98)*(AI11&lt;Exit)</f>
        <v>0</v>
      </c>
      <c r="AJ102" s="158">
        <f>SUMIF(보유세!$97:$97,총투자비!AJ$11,보유세!$98:$98)*(AJ11&lt;Exit)</f>
        <v>0</v>
      </c>
      <c r="AK102" s="158">
        <f>SUMIF(보유세!$97:$97,총투자비!AK$11,보유세!$98:$98)*(AK11&lt;Exit)</f>
        <v>0</v>
      </c>
      <c r="AL102" s="158">
        <f>SUMIF(보유세!$97:$97,총투자비!AL$11,보유세!$98:$98)*(AL11&lt;Exit)</f>
        <v>0</v>
      </c>
      <c r="AM102" s="158">
        <f>SUMIF(보유세!$97:$97,총투자비!AM$11,보유세!$98:$98)*(AM11&lt;Exit)</f>
        <v>0</v>
      </c>
      <c r="AN102" s="158">
        <f>SUMIF(보유세!$97:$97,총투자비!AN$11,보유세!$98:$98)*(AN11&lt;Exit)</f>
        <v>0</v>
      </c>
      <c r="AO102" s="158">
        <f>SUMIF(보유세!$97:$97,총투자비!AO$11,보유세!$98:$98)*(AO11&lt;Exit)</f>
        <v>0</v>
      </c>
      <c r="AP102" s="158">
        <f>SUMIF(보유세!$97:$97,총투자비!AP$11,보유세!$98:$98)*(AP11&lt;Exit)</f>
        <v>0</v>
      </c>
      <c r="AQ102" s="158">
        <f>SUMIF(보유세!$97:$97,총투자비!AQ$11,보유세!$98:$98)*(AQ11&lt;Exit)</f>
        <v>0</v>
      </c>
      <c r="AR102" s="158">
        <f>SUMIF(보유세!$97:$97,총투자비!AR$11,보유세!$98:$98)*(AR11&lt;Exit)</f>
        <v>0</v>
      </c>
      <c r="AS102" s="158">
        <f>SUMIF(보유세!$97:$97,총투자비!AS$11,보유세!$98:$98)*(AS11&lt;Exit)</f>
        <v>0</v>
      </c>
      <c r="AT102" s="158">
        <f>SUMIF(보유세!$97:$97,총투자비!AT$11,보유세!$98:$98)*(AT11&lt;Exit)</f>
        <v>0</v>
      </c>
      <c r="AU102" s="158">
        <f>SUMIF(보유세!$97:$97,총투자비!AU$11,보유세!$98:$98)*(AU11&lt;Exit)</f>
        <v>0</v>
      </c>
      <c r="AV102" s="158">
        <f>SUMIF(보유세!$97:$97,총투자비!AV$11,보유세!$98:$98)*(AV11&lt;Exit)</f>
        <v>0</v>
      </c>
      <c r="AW102" s="158">
        <f>SUMIF(보유세!$97:$97,총투자비!AW$11,보유세!$98:$98)*(AW11&lt;Exit)</f>
        <v>0</v>
      </c>
      <c r="AX102" s="158">
        <f>SUMIF(보유세!$97:$97,총투자비!AX$11,보유세!$98:$98)*(AX11&lt;Exit)</f>
        <v>0</v>
      </c>
      <c r="AY102" s="158">
        <f>SUMIF(보유세!$97:$97,총투자비!AY$11,보유세!$98:$98)*(AY11&lt;Exit)</f>
        <v>0</v>
      </c>
      <c r="AZ102" s="158">
        <f>SUMIF(보유세!$97:$97,총투자비!AZ$11,보유세!$98:$98)*(AZ11&lt;Exit)</f>
        <v>0</v>
      </c>
      <c r="BA102" s="158">
        <f>SUMIF(보유세!$97:$97,총투자비!BA$11,보유세!$98:$98)*(BA11&lt;Exit)</f>
        <v>0</v>
      </c>
      <c r="BB102" s="158">
        <f>SUMIF(보유세!$97:$97,총투자비!BB$11,보유세!$98:$98)*(BB11&lt;Exit)</f>
        <v>0</v>
      </c>
      <c r="BC102" s="158">
        <f>SUMIF(보유세!$97:$97,총투자비!BC$11,보유세!$98:$98)*(BC11&lt;Exit)</f>
        <v>0</v>
      </c>
      <c r="BD102" s="158">
        <f>SUMIF(보유세!$97:$97,총투자비!BD$11,보유세!$98:$98)*(BD11&lt;Exit)</f>
        <v>0</v>
      </c>
      <c r="BE102" s="158">
        <f>SUMIF(보유세!$97:$97,총투자비!BE$11,보유세!$98:$98)*(BE11&lt;Exit)</f>
        <v>0</v>
      </c>
      <c r="BF102" s="158">
        <f>SUMIF(보유세!$97:$97,총투자비!BF$11,보유세!$98:$98)*(BF11&lt;Exit)</f>
        <v>0</v>
      </c>
      <c r="BG102" s="158">
        <f>SUMIF(보유세!$97:$97,총투자비!BG$11,보유세!$98:$98)*(BG11&lt;Exit)</f>
        <v>0</v>
      </c>
      <c r="BH102" s="158">
        <f>SUMIF(보유세!$97:$97,총투자비!BH$11,보유세!$98:$98)*(BH11&lt;Exit)</f>
        <v>0</v>
      </c>
      <c r="BI102" s="158">
        <f>SUMIF(보유세!$97:$97,총투자비!BI$11,보유세!$98:$98)*(BI11&lt;Exit)</f>
        <v>0</v>
      </c>
      <c r="BJ102" s="158">
        <f>SUMIF(보유세!$97:$97,총투자비!BJ$11,보유세!$98:$98)*(BJ11&lt;Exit)</f>
        <v>0</v>
      </c>
      <c r="BK102" s="158">
        <f>SUMIF(보유세!$97:$97,총투자비!BK$11,보유세!$98:$98)*(BK11&lt;Exit)</f>
        <v>0</v>
      </c>
      <c r="BL102" s="158">
        <f>SUMIF(보유세!$97:$97,총투자비!BL$11,보유세!$98:$98)*(BL11&lt;Exit)</f>
        <v>0</v>
      </c>
      <c r="BM102" s="158">
        <f>SUMIF(보유세!$97:$97,총투자비!BM$11,보유세!$98:$98)*(BM11&lt;Exit)</f>
        <v>0</v>
      </c>
      <c r="BN102" s="158">
        <f>SUMIF(보유세!$97:$97,총투자비!BN$11,보유세!$98:$98)*(BN11&lt;Exit)</f>
        <v>0</v>
      </c>
      <c r="BO102" s="158">
        <f>SUMIF(보유세!$97:$97,총투자비!BO$11,보유세!$98:$98)*(BO11&lt;Exit)</f>
        <v>0</v>
      </c>
      <c r="BP102" s="158">
        <f>SUMIF(보유세!$97:$97,총투자비!BP$11,보유세!$98:$98)*(BP11&lt;Exit)</f>
        <v>0</v>
      </c>
      <c r="BQ102" s="158">
        <f>SUMIF(보유세!$97:$97,총투자비!BQ$11,보유세!$98:$98)*(BQ11&lt;Exit)</f>
        <v>0</v>
      </c>
    </row>
    <row r="103" spans="1:69" s="24" customFormat="1" ht="13.5" customHeight="1">
      <c r="A103" s="1"/>
      <c r="B103" s="1"/>
      <c r="C103" s="54"/>
      <c r="D103" s="54"/>
      <c r="E103" s="33" t="s">
        <v>260</v>
      </c>
      <c r="F103" s="24">
        <f>M103</f>
        <v>402.28180020000002</v>
      </c>
      <c r="G103" s="161">
        <f>보유세!F69</f>
        <v>12</v>
      </c>
      <c r="L103" s="162" t="b">
        <f>ABS(M102-M103)&lt;0.001</f>
        <v>1</v>
      </c>
      <c r="M103" s="24">
        <f t="shared" ref="M103" si="190">SUM(N103:XFD103)</f>
        <v>402.28180020000002</v>
      </c>
      <c r="O103" s="24">
        <f>(SUM($O102:O102)-SUM($N103:N103))*(MONTH(O11)=$G$103)</f>
        <v>0</v>
      </c>
      <c r="P103" s="24">
        <f>(SUM($O102:P102)-SUM($N103:O103))*(MONTH(P11)=$G$103)</f>
        <v>0</v>
      </c>
      <c r="Q103" s="24">
        <f>(SUM($O102:Q102)-SUM($N103:P103))*(MONTH(Q11)=$G$103)</f>
        <v>0</v>
      </c>
      <c r="R103" s="24">
        <f>(SUM($O102:R102)-SUM($N103:Q103))*(MONTH(R11)=$G$103)</f>
        <v>0</v>
      </c>
      <c r="S103" s="24">
        <f>(SUM($O102:S102)-SUM($N103:R103))*(MONTH(S11)=$G$103)</f>
        <v>0</v>
      </c>
      <c r="T103" s="24">
        <f>(SUM($O102:T102)-SUM($N103:S103))*(MONTH(T11)=$G$103)</f>
        <v>0</v>
      </c>
      <c r="U103" s="24">
        <f>(SUM($O102:U102)-SUM($N103:T103))*(MONTH(U11)=$G$103)</f>
        <v>0</v>
      </c>
      <c r="V103" s="24">
        <f>(SUM($O102:V102)-SUM($N103:U103))*(MONTH(V11)=$G$103)</f>
        <v>0</v>
      </c>
      <c r="W103" s="24">
        <f>(SUM($O102:W102)-SUM($N103:V103))*(MONTH(W11)=$G$103)</f>
        <v>0</v>
      </c>
      <c r="X103" s="24">
        <f>(SUM($O102:X102)-SUM($N103:W103))*(MONTH(X11)=$G$103)</f>
        <v>0</v>
      </c>
      <c r="Y103" s="24">
        <f>(SUM($O102:Y102)-SUM($N103:X103))*(MONTH(Y11)=$G$103)</f>
        <v>0</v>
      </c>
      <c r="Z103" s="24">
        <f>(SUM($O102:Z102)-SUM($N103:Y103))*(MONTH(Z11)=$G$103)</f>
        <v>0</v>
      </c>
      <c r="AA103" s="24">
        <f>(SUM($O102:AA102)-SUM($N103:Z103))*(MONTH(AA11)=$G$103)</f>
        <v>0</v>
      </c>
      <c r="AB103" s="24">
        <f>(SUM($O102:AB102)-SUM($N103:AA103))*(MONTH(AB11)=$G$103)</f>
        <v>0</v>
      </c>
      <c r="AC103" s="24">
        <f>(SUM($O102:AC102)-SUM($N103:AB103))*(MONTH(AC11)=$G$103)</f>
        <v>0</v>
      </c>
      <c r="AD103" s="24">
        <f>(SUM($O102:AD102)-SUM($N103:AC103))*(MONTH(AD11)=$G$103)</f>
        <v>0</v>
      </c>
      <c r="AE103" s="24">
        <f>(SUM($O102:AE102)-SUM($N103:AD103))*(MONTH(AE11)=$G$103)</f>
        <v>0</v>
      </c>
      <c r="AF103" s="24">
        <f>(SUM($O102:AF102)-SUM($N103:AE103))*(MONTH(AF11)=$G$103)</f>
        <v>0</v>
      </c>
      <c r="AG103" s="24">
        <f>(SUM($O102:AG102)-SUM($N103:AF103))*(MONTH(AG11)=$G$103)</f>
        <v>402.28180020000002</v>
      </c>
      <c r="AH103" s="24">
        <f>(SUM($O102:AH102)-SUM($N103:AG103))*(MONTH(AH11)=$G$103)</f>
        <v>0</v>
      </c>
      <c r="AI103" s="24">
        <f>(SUM($O102:AI102)-SUM($N103:AH103))*(MONTH(AI11)=$G$103)</f>
        <v>0</v>
      </c>
      <c r="AJ103" s="24">
        <f>(SUM($O102:AJ102)-SUM($N103:AI103))*(MONTH(AJ11)=$G$103)</f>
        <v>0</v>
      </c>
      <c r="AK103" s="24">
        <f>(SUM($O102:AK102)-SUM($N103:AJ103))*(MONTH(AK11)=$G$103)</f>
        <v>0</v>
      </c>
      <c r="AL103" s="24">
        <f>(SUM($O102:AL102)-SUM($N103:AK103))*(MONTH(AL11)=$G$103)</f>
        <v>0</v>
      </c>
      <c r="AM103" s="24">
        <f>(SUM($O102:AM102)-SUM($N103:AL103))*(MONTH(AM11)=$G$103)</f>
        <v>0</v>
      </c>
      <c r="AN103" s="24">
        <f>(SUM($O102:AN102)-SUM($N103:AM103))*(MONTH(AN11)=$G$103)</f>
        <v>0</v>
      </c>
      <c r="AO103" s="24">
        <f>(SUM($O102:AO102)-SUM($N103:AN103))*(MONTH(AO11)=$G$103)</f>
        <v>0</v>
      </c>
      <c r="AP103" s="24">
        <f>(SUM($O102:AP102)-SUM($N103:AO103))*(MONTH(AP11)=$G$103)</f>
        <v>0</v>
      </c>
      <c r="AQ103" s="24">
        <f>(SUM($O102:AQ102)-SUM($N103:AP103))*(MONTH(AQ11)=$G$103)</f>
        <v>0</v>
      </c>
      <c r="AR103" s="24">
        <f>(SUM($O102:AR102)-SUM($N103:AQ103))*(MONTH(AR11)=$G$103)</f>
        <v>0</v>
      </c>
      <c r="AS103" s="24">
        <f>(SUM($O102:AS102)-SUM($N103:AR103))*(MONTH(AS11)=$G$103)</f>
        <v>0</v>
      </c>
      <c r="AT103" s="24">
        <f>(SUM($O102:AT102)-SUM($N103:AS103))*(MONTH(AT11)=$G$103)</f>
        <v>0</v>
      </c>
      <c r="AU103" s="24">
        <f>(SUM($O102:AU102)-SUM($N103:AT103))*(MONTH(AU11)=$G$103)</f>
        <v>0</v>
      </c>
      <c r="AV103" s="24">
        <f>(SUM($O102:AV102)-SUM($N103:AU103))*(MONTH(AV11)=$G$103)</f>
        <v>0</v>
      </c>
      <c r="AW103" s="24">
        <f>(SUM($O102:AW102)-SUM($N103:AV103))*(MONTH(AW11)=$G$103)</f>
        <v>0</v>
      </c>
      <c r="AX103" s="24">
        <f>(SUM($O102:AX102)-SUM($N103:AW103))*(MONTH(AX11)=$G$103)</f>
        <v>0</v>
      </c>
      <c r="AY103" s="24">
        <f>(SUM($O102:AY102)-SUM($N103:AX103))*(MONTH(AY11)=$G$103)</f>
        <v>0</v>
      </c>
      <c r="AZ103" s="24">
        <f>(SUM($O102:AZ102)-SUM($N103:AY103))*(MONTH(AZ11)=$G$103)</f>
        <v>0</v>
      </c>
      <c r="BA103" s="24">
        <f>(SUM($O102:BA102)-SUM($N103:AZ103))*(MONTH(BA11)=$G$103)</f>
        <v>0</v>
      </c>
      <c r="BB103" s="24">
        <f>(SUM($O102:BB102)-SUM($N103:BA103))*(MONTH(BB11)=$G$103)</f>
        <v>0</v>
      </c>
      <c r="BC103" s="24">
        <f>(SUM($O102:BC102)-SUM($N103:BB103))*(MONTH(BC11)=$G$103)</f>
        <v>0</v>
      </c>
      <c r="BD103" s="24">
        <f>(SUM($O102:BD102)-SUM($N103:BC103))*(MONTH(BD11)=$G$103)</f>
        <v>0</v>
      </c>
      <c r="BE103" s="24">
        <f>(SUM($O102:BE102)-SUM($N103:BD103))*(MONTH(BE11)=$G$103)</f>
        <v>0</v>
      </c>
      <c r="BF103" s="24">
        <f>(SUM($O102:BF102)-SUM($N103:BE103))*(MONTH(BF11)=$G$103)</f>
        <v>0</v>
      </c>
      <c r="BG103" s="24">
        <f>(SUM($O102:BG102)-SUM($N103:BF103))*(MONTH(BG11)=$G$103)</f>
        <v>0</v>
      </c>
      <c r="BH103" s="24">
        <f>(SUM($O102:BH102)-SUM($N103:BG103))*(MONTH(BH11)=$G$103)</f>
        <v>0</v>
      </c>
      <c r="BI103" s="24">
        <f>(SUM($O102:BI102)-SUM($N103:BH103))*(MONTH(BI11)=$G$103)</f>
        <v>0</v>
      </c>
      <c r="BJ103" s="24">
        <f>(SUM($O102:BJ102)-SUM($N103:BI103))*(MONTH(BJ11)=$G$103)</f>
        <v>0</v>
      </c>
      <c r="BK103" s="24">
        <f>(SUM($O102:BK102)-SUM($N103:BJ103))*(MONTH(BK11)=$G$103)</f>
        <v>0</v>
      </c>
      <c r="BL103" s="24">
        <f>(SUM($O102:BL102)-SUM($N103:BK103))*(MONTH(BL11)=$G$103)</f>
        <v>0</v>
      </c>
      <c r="BM103" s="24">
        <f>(SUM($O102:BM102)-SUM($N103:BL103))*(MONTH(BM11)=$G$103)</f>
        <v>0</v>
      </c>
      <c r="BN103" s="24">
        <f>(SUM($O102:BN102)-SUM($N103:BM103))*(MONTH(BN11)=$G$103)</f>
        <v>0</v>
      </c>
      <c r="BO103" s="24">
        <f>(SUM($O102:BO102)-SUM($N103:BN103))*(MONTH(BO11)=$G$103)</f>
        <v>0</v>
      </c>
      <c r="BP103" s="24">
        <f>(SUM($O102:BP102)-SUM($N103:BO103))*(MONTH(BP11)=$G$103)</f>
        <v>0</v>
      </c>
      <c r="BQ103" s="24">
        <f>(SUM($O102:BQ102)-SUM($N103:BP103))*(MONTH(BQ11)=$G$103)</f>
        <v>0</v>
      </c>
    </row>
    <row r="104" spans="1:69" s="77" customFormat="1" ht="13.5" customHeight="1">
      <c r="A104" s="14"/>
      <c r="B104" s="14"/>
      <c r="C104" s="76" t="s">
        <v>261</v>
      </c>
      <c r="F104" s="77">
        <f t="shared" ref="F104" ca="1" si="191">SUM(F106:F108)</f>
        <v>10916.701766937003</v>
      </c>
      <c r="L104" s="48"/>
      <c r="M104" s="77">
        <f ca="1">SUM(N104:XFD104)</f>
        <v>10916.701768196453</v>
      </c>
      <c r="O104" s="77">
        <f ca="1">SUM(O106:O108)</f>
        <v>0</v>
      </c>
      <c r="P104" s="77">
        <f t="shared" ref="P104:BQ104" ca="1" si="192">SUM(P106:P108)</f>
        <v>0</v>
      </c>
      <c r="Q104" s="77">
        <f t="shared" ca="1" si="192"/>
        <v>0</v>
      </c>
      <c r="R104" s="77">
        <f t="shared" ca="1" si="192"/>
        <v>0</v>
      </c>
      <c r="S104" s="77">
        <f t="shared" ca="1" si="192"/>
        <v>0</v>
      </c>
      <c r="T104" s="77">
        <f t="shared" ca="1" si="192"/>
        <v>0</v>
      </c>
      <c r="U104" s="77">
        <f t="shared" ca="1" si="192"/>
        <v>0</v>
      </c>
      <c r="V104" s="77">
        <f t="shared" ca="1" si="192"/>
        <v>0</v>
      </c>
      <c r="W104" s="77">
        <f t="shared" ca="1" si="192"/>
        <v>0</v>
      </c>
      <c r="X104" s="77">
        <f t="shared" ca="1" si="192"/>
        <v>0</v>
      </c>
      <c r="Y104" s="77">
        <f t="shared" ca="1" si="192"/>
        <v>0</v>
      </c>
      <c r="Z104" s="77">
        <f t="shared" ca="1" si="192"/>
        <v>0</v>
      </c>
      <c r="AA104" s="77">
        <f t="shared" ca="1" si="192"/>
        <v>0</v>
      </c>
      <c r="AB104" s="77">
        <f t="shared" ca="1" si="192"/>
        <v>0</v>
      </c>
      <c r="AC104" s="77">
        <f t="shared" ca="1" si="192"/>
        <v>0</v>
      </c>
      <c r="AD104" s="77">
        <f t="shared" ca="1" si="192"/>
        <v>0</v>
      </c>
      <c r="AE104" s="77">
        <f t="shared" ca="1" si="192"/>
        <v>0</v>
      </c>
      <c r="AF104" s="77">
        <f t="shared" ca="1" si="192"/>
        <v>0</v>
      </c>
      <c r="AG104" s="77">
        <f t="shared" ca="1" si="192"/>
        <v>0</v>
      </c>
      <c r="AH104" s="77">
        <f t="shared" ca="1" si="192"/>
        <v>0</v>
      </c>
      <c r="AI104" s="77">
        <f t="shared" ca="1" si="192"/>
        <v>0</v>
      </c>
      <c r="AJ104" s="77">
        <f t="shared" ca="1" si="192"/>
        <v>0</v>
      </c>
      <c r="AK104" s="77">
        <f t="shared" ca="1" si="192"/>
        <v>0</v>
      </c>
      <c r="AL104" s="77">
        <f t="shared" ca="1" si="192"/>
        <v>0</v>
      </c>
      <c r="AM104" s="77">
        <f t="shared" ca="1" si="192"/>
        <v>0</v>
      </c>
      <c r="AN104" s="77">
        <f t="shared" ca="1" si="192"/>
        <v>0</v>
      </c>
      <c r="AO104" s="77">
        <f t="shared" ca="1" si="192"/>
        <v>0</v>
      </c>
      <c r="AP104" s="77">
        <f t="shared" ca="1" si="192"/>
        <v>0</v>
      </c>
      <c r="AQ104" s="77">
        <f t="shared" ca="1" si="192"/>
        <v>0</v>
      </c>
      <c r="AR104" s="77">
        <f t="shared" ca="1" si="192"/>
        <v>0</v>
      </c>
      <c r="AS104" s="77">
        <f t="shared" ca="1" si="192"/>
        <v>0</v>
      </c>
      <c r="AT104" s="77">
        <f t="shared" ca="1" si="192"/>
        <v>0</v>
      </c>
      <c r="AU104" s="77">
        <f t="shared" ca="1" si="192"/>
        <v>0</v>
      </c>
      <c r="AV104" s="77">
        <f t="shared" ca="1" si="192"/>
        <v>0</v>
      </c>
      <c r="AW104" s="77">
        <f t="shared" ca="1" si="192"/>
        <v>0</v>
      </c>
      <c r="AX104" s="77">
        <f t="shared" ca="1" si="192"/>
        <v>0</v>
      </c>
      <c r="AY104" s="77">
        <f t="shared" ca="1" si="192"/>
        <v>0</v>
      </c>
      <c r="AZ104" s="77">
        <f t="shared" ca="1" si="192"/>
        <v>0</v>
      </c>
      <c r="BA104" s="77">
        <f t="shared" ca="1" si="192"/>
        <v>0</v>
      </c>
      <c r="BB104" s="77">
        <f t="shared" ca="1" si="192"/>
        <v>0</v>
      </c>
      <c r="BC104" s="77">
        <f t="shared" ca="1" si="192"/>
        <v>0</v>
      </c>
      <c r="BD104" s="77">
        <f t="shared" ca="1" si="192"/>
        <v>0</v>
      </c>
      <c r="BE104" s="77">
        <f t="shared" ca="1" si="192"/>
        <v>0</v>
      </c>
      <c r="BF104" s="77">
        <f t="shared" ca="1" si="192"/>
        <v>0</v>
      </c>
      <c r="BG104" s="77">
        <f t="shared" ca="1" si="192"/>
        <v>0</v>
      </c>
      <c r="BH104" s="77">
        <f t="shared" ca="1" si="192"/>
        <v>0</v>
      </c>
      <c r="BI104" s="77">
        <f t="shared" ca="1" si="192"/>
        <v>0</v>
      </c>
      <c r="BJ104" s="77">
        <f t="shared" ca="1" si="192"/>
        <v>0</v>
      </c>
      <c r="BK104" s="77">
        <f t="shared" ca="1" si="192"/>
        <v>0</v>
      </c>
      <c r="BL104" s="77">
        <f t="shared" ca="1" si="192"/>
        <v>0</v>
      </c>
      <c r="BM104" s="77">
        <f t="shared" ca="1" si="192"/>
        <v>10916.701766937003</v>
      </c>
      <c r="BN104" s="77">
        <f t="shared" ca="1" si="192"/>
        <v>0</v>
      </c>
      <c r="BO104" s="77">
        <f t="shared" ca="1" si="192"/>
        <v>0</v>
      </c>
      <c r="BP104" s="77">
        <f t="shared" ca="1" si="192"/>
        <v>0</v>
      </c>
      <c r="BQ104" s="77">
        <f t="shared" ca="1" si="192"/>
        <v>0</v>
      </c>
    </row>
    <row r="105" spans="1:69" s="22" customFormat="1" ht="13.5" customHeight="1">
      <c r="A105" s="1"/>
      <c r="B105" s="1"/>
      <c r="C105" s="31"/>
      <c r="D105" s="30" t="s">
        <v>262</v>
      </c>
      <c r="G105" s="22" t="s">
        <v>438</v>
      </c>
      <c r="I105" s="158">
        <f ca="1">IF(Cir=1,'취득원가 및 VAT'!N91,0)</f>
        <v>342007.67575084418</v>
      </c>
      <c r="L105" s="43"/>
    </row>
    <row r="106" spans="1:69" s="32" customFormat="1" ht="13.5" customHeight="1">
      <c r="A106" s="1"/>
      <c r="B106" s="1"/>
      <c r="C106" s="31"/>
      <c r="D106" s="31"/>
      <c r="F106" s="32">
        <f ca="1">I106*K106</f>
        <v>10694.745034356212</v>
      </c>
      <c r="G106" s="32" t="s">
        <v>439</v>
      </c>
      <c r="H106" s="308">
        <f>'A&amp;R'!F38/'A&amp;R'!D30</f>
        <v>0.98957223041905351</v>
      </c>
      <c r="I106" s="32">
        <f ca="1">$I$105*H106</f>
        <v>338441.29851319932</v>
      </c>
      <c r="J106" s="32" t="s">
        <v>97</v>
      </c>
      <c r="K106" s="127">
        <v>3.1600000000000003E-2</v>
      </c>
      <c r="L106" s="42"/>
      <c r="M106" s="32">
        <f ca="1">SUM(N106:XFD106)</f>
        <v>10694.74503564083</v>
      </c>
      <c r="O106" s="32">
        <f t="shared" ref="O106:X108" ca="1" si="193">(O$11=준공일)*$F106</f>
        <v>0</v>
      </c>
      <c r="P106" s="32">
        <f t="shared" ca="1" si="193"/>
        <v>0</v>
      </c>
      <c r="Q106" s="32">
        <f t="shared" ca="1" si="193"/>
        <v>0</v>
      </c>
      <c r="R106" s="32">
        <f t="shared" ca="1" si="193"/>
        <v>0</v>
      </c>
      <c r="S106" s="32">
        <f t="shared" ca="1" si="193"/>
        <v>0</v>
      </c>
      <c r="T106" s="32">
        <f t="shared" ca="1" si="193"/>
        <v>0</v>
      </c>
      <c r="U106" s="32">
        <f t="shared" ca="1" si="193"/>
        <v>0</v>
      </c>
      <c r="V106" s="32">
        <f t="shared" ca="1" si="193"/>
        <v>0</v>
      </c>
      <c r="W106" s="32">
        <f t="shared" ca="1" si="193"/>
        <v>0</v>
      </c>
      <c r="X106" s="32">
        <f t="shared" ca="1" si="193"/>
        <v>0</v>
      </c>
      <c r="Y106" s="32">
        <f t="shared" ref="Y106:AH108" ca="1" si="194">(Y$11=준공일)*$F106</f>
        <v>0</v>
      </c>
      <c r="Z106" s="32">
        <f t="shared" ca="1" si="194"/>
        <v>0</v>
      </c>
      <c r="AA106" s="32">
        <f t="shared" ca="1" si="194"/>
        <v>0</v>
      </c>
      <c r="AB106" s="32">
        <f t="shared" ca="1" si="194"/>
        <v>0</v>
      </c>
      <c r="AC106" s="32">
        <f t="shared" ca="1" si="194"/>
        <v>0</v>
      </c>
      <c r="AD106" s="32">
        <f t="shared" ca="1" si="194"/>
        <v>0</v>
      </c>
      <c r="AE106" s="32">
        <f t="shared" ca="1" si="194"/>
        <v>0</v>
      </c>
      <c r="AF106" s="32">
        <f t="shared" ca="1" si="194"/>
        <v>0</v>
      </c>
      <c r="AG106" s="32">
        <f t="shared" ca="1" si="194"/>
        <v>0</v>
      </c>
      <c r="AH106" s="32">
        <f t="shared" ca="1" si="194"/>
        <v>0</v>
      </c>
      <c r="AI106" s="32">
        <f t="shared" ref="AI106:AR108" ca="1" si="195">(AI$11=준공일)*$F106</f>
        <v>0</v>
      </c>
      <c r="AJ106" s="32">
        <f t="shared" ca="1" si="195"/>
        <v>0</v>
      </c>
      <c r="AK106" s="32">
        <f t="shared" ca="1" si="195"/>
        <v>0</v>
      </c>
      <c r="AL106" s="32">
        <f t="shared" ca="1" si="195"/>
        <v>0</v>
      </c>
      <c r="AM106" s="32">
        <f t="shared" ca="1" si="195"/>
        <v>0</v>
      </c>
      <c r="AN106" s="32">
        <f t="shared" ca="1" si="195"/>
        <v>0</v>
      </c>
      <c r="AO106" s="32">
        <f t="shared" ca="1" si="195"/>
        <v>0</v>
      </c>
      <c r="AP106" s="32">
        <f t="shared" ca="1" si="195"/>
        <v>0</v>
      </c>
      <c r="AQ106" s="32">
        <f t="shared" ca="1" si="195"/>
        <v>0</v>
      </c>
      <c r="AR106" s="32">
        <f t="shared" ca="1" si="195"/>
        <v>0</v>
      </c>
      <c r="AS106" s="32">
        <f t="shared" ref="AS106:BB108" ca="1" si="196">(AS$11=준공일)*$F106</f>
        <v>0</v>
      </c>
      <c r="AT106" s="32">
        <f t="shared" ca="1" si="196"/>
        <v>0</v>
      </c>
      <c r="AU106" s="32">
        <f t="shared" ca="1" si="196"/>
        <v>0</v>
      </c>
      <c r="AV106" s="32">
        <f t="shared" ca="1" si="196"/>
        <v>0</v>
      </c>
      <c r="AW106" s="32">
        <f t="shared" ca="1" si="196"/>
        <v>0</v>
      </c>
      <c r="AX106" s="32">
        <f t="shared" ca="1" si="196"/>
        <v>0</v>
      </c>
      <c r="AY106" s="32">
        <f t="shared" ca="1" si="196"/>
        <v>0</v>
      </c>
      <c r="AZ106" s="32">
        <f t="shared" ca="1" si="196"/>
        <v>0</v>
      </c>
      <c r="BA106" s="32">
        <f t="shared" ca="1" si="196"/>
        <v>0</v>
      </c>
      <c r="BB106" s="32">
        <f t="shared" ca="1" si="196"/>
        <v>0</v>
      </c>
      <c r="BC106" s="32">
        <f t="shared" ref="BC106:BQ108" ca="1" si="197">(BC$11=준공일)*$F106</f>
        <v>0</v>
      </c>
      <c r="BD106" s="32">
        <f t="shared" ca="1" si="197"/>
        <v>0</v>
      </c>
      <c r="BE106" s="32">
        <f t="shared" ca="1" si="197"/>
        <v>0</v>
      </c>
      <c r="BF106" s="32">
        <f t="shared" ca="1" si="197"/>
        <v>0</v>
      </c>
      <c r="BG106" s="32">
        <f t="shared" ca="1" si="197"/>
        <v>0</v>
      </c>
      <c r="BH106" s="32">
        <f t="shared" ca="1" si="197"/>
        <v>0</v>
      </c>
      <c r="BI106" s="32">
        <f t="shared" ca="1" si="197"/>
        <v>0</v>
      </c>
      <c r="BJ106" s="32">
        <f t="shared" ca="1" si="197"/>
        <v>0</v>
      </c>
      <c r="BK106" s="32">
        <f t="shared" ca="1" si="197"/>
        <v>0</v>
      </c>
      <c r="BL106" s="32">
        <f t="shared" ca="1" si="197"/>
        <v>0</v>
      </c>
      <c r="BM106" s="32">
        <f t="shared" ca="1" si="197"/>
        <v>10694.745034356212</v>
      </c>
      <c r="BN106" s="32">
        <f t="shared" ca="1" si="197"/>
        <v>0</v>
      </c>
      <c r="BO106" s="32">
        <f t="shared" ca="1" si="197"/>
        <v>0</v>
      </c>
      <c r="BP106" s="32">
        <f t="shared" ca="1" si="197"/>
        <v>0</v>
      </c>
      <c r="BQ106" s="32">
        <f t="shared" ca="1" si="197"/>
        <v>0</v>
      </c>
    </row>
    <row r="107" spans="1:69" s="32" customFormat="1" ht="13.5" customHeight="1">
      <c r="A107" s="1"/>
      <c r="B107" s="1"/>
      <c r="C107" s="31"/>
      <c r="D107" s="31"/>
      <c r="F107" s="32">
        <f ca="1">I107*K107</f>
        <v>181.17196369504398</v>
      </c>
      <c r="G107" s="32" t="s">
        <v>440</v>
      </c>
      <c r="H107" s="308">
        <f>1-H106</f>
        <v>1.0427769580946489E-2</v>
      </c>
      <c r="I107" s="32">
        <f t="shared" ref="I107" ca="1" si="198">$I$105*H107</f>
        <v>3566.3772376448628</v>
      </c>
      <c r="J107" s="32" t="s">
        <v>97</v>
      </c>
      <c r="K107" s="127">
        <v>5.0799999999999998E-2</v>
      </c>
      <c r="L107" s="42"/>
      <c r="M107" s="32">
        <f t="shared" ref="M107:M108" ca="1" si="199">SUM(N107:XFD107)</f>
        <v>181.17196371680575</v>
      </c>
      <c r="O107" s="32">
        <f t="shared" ca="1" si="193"/>
        <v>0</v>
      </c>
      <c r="P107" s="32">
        <f t="shared" ca="1" si="193"/>
        <v>0</v>
      </c>
      <c r="Q107" s="32">
        <f t="shared" ca="1" si="193"/>
        <v>0</v>
      </c>
      <c r="R107" s="32">
        <f t="shared" ca="1" si="193"/>
        <v>0</v>
      </c>
      <c r="S107" s="32">
        <f t="shared" ca="1" si="193"/>
        <v>0</v>
      </c>
      <c r="T107" s="32">
        <f t="shared" ca="1" si="193"/>
        <v>0</v>
      </c>
      <c r="U107" s="32">
        <f t="shared" ca="1" si="193"/>
        <v>0</v>
      </c>
      <c r="V107" s="32">
        <f t="shared" ca="1" si="193"/>
        <v>0</v>
      </c>
      <c r="W107" s="32">
        <f t="shared" ca="1" si="193"/>
        <v>0</v>
      </c>
      <c r="X107" s="32">
        <f t="shared" ca="1" si="193"/>
        <v>0</v>
      </c>
      <c r="Y107" s="32">
        <f t="shared" ca="1" si="194"/>
        <v>0</v>
      </c>
      <c r="Z107" s="32">
        <f t="shared" ca="1" si="194"/>
        <v>0</v>
      </c>
      <c r="AA107" s="32">
        <f t="shared" ca="1" si="194"/>
        <v>0</v>
      </c>
      <c r="AB107" s="32">
        <f t="shared" ca="1" si="194"/>
        <v>0</v>
      </c>
      <c r="AC107" s="32">
        <f t="shared" ca="1" si="194"/>
        <v>0</v>
      </c>
      <c r="AD107" s="32">
        <f t="shared" ca="1" si="194"/>
        <v>0</v>
      </c>
      <c r="AE107" s="32">
        <f t="shared" ca="1" si="194"/>
        <v>0</v>
      </c>
      <c r="AF107" s="32">
        <f t="shared" ca="1" si="194"/>
        <v>0</v>
      </c>
      <c r="AG107" s="32">
        <f t="shared" ca="1" si="194"/>
        <v>0</v>
      </c>
      <c r="AH107" s="32">
        <f t="shared" ca="1" si="194"/>
        <v>0</v>
      </c>
      <c r="AI107" s="32">
        <f t="shared" ca="1" si="195"/>
        <v>0</v>
      </c>
      <c r="AJ107" s="32">
        <f t="shared" ca="1" si="195"/>
        <v>0</v>
      </c>
      <c r="AK107" s="32">
        <f t="shared" ca="1" si="195"/>
        <v>0</v>
      </c>
      <c r="AL107" s="32">
        <f t="shared" ca="1" si="195"/>
        <v>0</v>
      </c>
      <c r="AM107" s="32">
        <f t="shared" ca="1" si="195"/>
        <v>0</v>
      </c>
      <c r="AN107" s="32">
        <f t="shared" ca="1" si="195"/>
        <v>0</v>
      </c>
      <c r="AO107" s="32">
        <f t="shared" ca="1" si="195"/>
        <v>0</v>
      </c>
      <c r="AP107" s="32">
        <f t="shared" ca="1" si="195"/>
        <v>0</v>
      </c>
      <c r="AQ107" s="32">
        <f t="shared" ca="1" si="195"/>
        <v>0</v>
      </c>
      <c r="AR107" s="32">
        <f t="shared" ca="1" si="195"/>
        <v>0</v>
      </c>
      <c r="AS107" s="32">
        <f t="shared" ca="1" si="196"/>
        <v>0</v>
      </c>
      <c r="AT107" s="32">
        <f t="shared" ca="1" si="196"/>
        <v>0</v>
      </c>
      <c r="AU107" s="32">
        <f t="shared" ca="1" si="196"/>
        <v>0</v>
      </c>
      <c r="AV107" s="32">
        <f t="shared" ca="1" si="196"/>
        <v>0</v>
      </c>
      <c r="AW107" s="32">
        <f t="shared" ca="1" si="196"/>
        <v>0</v>
      </c>
      <c r="AX107" s="32">
        <f t="shared" ca="1" si="196"/>
        <v>0</v>
      </c>
      <c r="AY107" s="32">
        <f t="shared" ca="1" si="196"/>
        <v>0</v>
      </c>
      <c r="AZ107" s="32">
        <f t="shared" ca="1" si="196"/>
        <v>0</v>
      </c>
      <c r="BA107" s="32">
        <f t="shared" ca="1" si="196"/>
        <v>0</v>
      </c>
      <c r="BB107" s="32">
        <f t="shared" ca="1" si="196"/>
        <v>0</v>
      </c>
      <c r="BC107" s="32">
        <f t="shared" ca="1" si="197"/>
        <v>0</v>
      </c>
      <c r="BD107" s="32">
        <f t="shared" ca="1" si="197"/>
        <v>0</v>
      </c>
      <c r="BE107" s="32">
        <f t="shared" ca="1" si="197"/>
        <v>0</v>
      </c>
      <c r="BF107" s="32">
        <f t="shared" ca="1" si="197"/>
        <v>0</v>
      </c>
      <c r="BG107" s="32">
        <f t="shared" ca="1" si="197"/>
        <v>0</v>
      </c>
      <c r="BH107" s="32">
        <f t="shared" ca="1" si="197"/>
        <v>0</v>
      </c>
      <c r="BI107" s="32">
        <f t="shared" ca="1" si="197"/>
        <v>0</v>
      </c>
      <c r="BJ107" s="32">
        <f t="shared" ca="1" si="197"/>
        <v>0</v>
      </c>
      <c r="BK107" s="32">
        <f t="shared" ca="1" si="197"/>
        <v>0</v>
      </c>
      <c r="BL107" s="32">
        <f t="shared" ca="1" si="197"/>
        <v>0</v>
      </c>
      <c r="BM107" s="32">
        <f t="shared" ca="1" si="197"/>
        <v>181.17196369504398</v>
      </c>
      <c r="BN107" s="32">
        <f t="shared" ca="1" si="197"/>
        <v>0</v>
      </c>
      <c r="BO107" s="32">
        <f t="shared" ca="1" si="197"/>
        <v>0</v>
      </c>
      <c r="BP107" s="32">
        <f t="shared" ca="1" si="197"/>
        <v>0</v>
      </c>
      <c r="BQ107" s="32">
        <f t="shared" ca="1" si="197"/>
        <v>0</v>
      </c>
    </row>
    <row r="108" spans="1:69" s="24" customFormat="1" ht="13.5" customHeight="1">
      <c r="A108" s="1"/>
      <c r="B108" s="1"/>
      <c r="C108" s="54"/>
      <c r="D108" s="33" t="s">
        <v>263</v>
      </c>
      <c r="F108" s="24">
        <f ca="1">F170+(I105-H170)*J170</f>
        <v>40.784767575084416</v>
      </c>
      <c r="L108" s="44"/>
      <c r="M108" s="24">
        <f t="shared" ca="1" si="199"/>
        <v>40.784767579366772</v>
      </c>
      <c r="O108" s="24">
        <f t="shared" ca="1" si="193"/>
        <v>0</v>
      </c>
      <c r="P108" s="24">
        <f t="shared" ca="1" si="193"/>
        <v>0</v>
      </c>
      <c r="Q108" s="24">
        <f t="shared" ca="1" si="193"/>
        <v>0</v>
      </c>
      <c r="R108" s="24">
        <f t="shared" ca="1" si="193"/>
        <v>0</v>
      </c>
      <c r="S108" s="24">
        <f t="shared" ca="1" si="193"/>
        <v>0</v>
      </c>
      <c r="T108" s="24">
        <f t="shared" ca="1" si="193"/>
        <v>0</v>
      </c>
      <c r="U108" s="24">
        <f t="shared" ca="1" si="193"/>
        <v>0</v>
      </c>
      <c r="V108" s="24">
        <f t="shared" ca="1" si="193"/>
        <v>0</v>
      </c>
      <c r="W108" s="24">
        <f t="shared" ca="1" si="193"/>
        <v>0</v>
      </c>
      <c r="X108" s="24">
        <f t="shared" ca="1" si="193"/>
        <v>0</v>
      </c>
      <c r="Y108" s="24">
        <f t="shared" ca="1" si="194"/>
        <v>0</v>
      </c>
      <c r="Z108" s="24">
        <f t="shared" ca="1" si="194"/>
        <v>0</v>
      </c>
      <c r="AA108" s="24">
        <f t="shared" ca="1" si="194"/>
        <v>0</v>
      </c>
      <c r="AB108" s="24">
        <f t="shared" ca="1" si="194"/>
        <v>0</v>
      </c>
      <c r="AC108" s="24">
        <f t="shared" ca="1" si="194"/>
        <v>0</v>
      </c>
      <c r="AD108" s="24">
        <f t="shared" ca="1" si="194"/>
        <v>0</v>
      </c>
      <c r="AE108" s="24">
        <f t="shared" ca="1" si="194"/>
        <v>0</v>
      </c>
      <c r="AF108" s="24">
        <f t="shared" ca="1" si="194"/>
        <v>0</v>
      </c>
      <c r="AG108" s="24">
        <f t="shared" ca="1" si="194"/>
        <v>0</v>
      </c>
      <c r="AH108" s="24">
        <f t="shared" ca="1" si="194"/>
        <v>0</v>
      </c>
      <c r="AI108" s="24">
        <f t="shared" ca="1" si="195"/>
        <v>0</v>
      </c>
      <c r="AJ108" s="24">
        <f t="shared" ca="1" si="195"/>
        <v>0</v>
      </c>
      <c r="AK108" s="24">
        <f t="shared" ca="1" si="195"/>
        <v>0</v>
      </c>
      <c r="AL108" s="24">
        <f t="shared" ca="1" si="195"/>
        <v>0</v>
      </c>
      <c r="AM108" s="24">
        <f t="shared" ca="1" si="195"/>
        <v>0</v>
      </c>
      <c r="AN108" s="24">
        <f t="shared" ca="1" si="195"/>
        <v>0</v>
      </c>
      <c r="AO108" s="24">
        <f t="shared" ca="1" si="195"/>
        <v>0</v>
      </c>
      <c r="AP108" s="24">
        <f t="shared" ca="1" si="195"/>
        <v>0</v>
      </c>
      <c r="AQ108" s="24">
        <f t="shared" ca="1" si="195"/>
        <v>0</v>
      </c>
      <c r="AR108" s="24">
        <f t="shared" ca="1" si="195"/>
        <v>0</v>
      </c>
      <c r="AS108" s="24">
        <f t="shared" ca="1" si="196"/>
        <v>0</v>
      </c>
      <c r="AT108" s="24">
        <f t="shared" ca="1" si="196"/>
        <v>0</v>
      </c>
      <c r="AU108" s="24">
        <f t="shared" ca="1" si="196"/>
        <v>0</v>
      </c>
      <c r="AV108" s="24">
        <f t="shared" ca="1" si="196"/>
        <v>0</v>
      </c>
      <c r="AW108" s="24">
        <f t="shared" ca="1" si="196"/>
        <v>0</v>
      </c>
      <c r="AX108" s="24">
        <f t="shared" ca="1" si="196"/>
        <v>0</v>
      </c>
      <c r="AY108" s="24">
        <f t="shared" ca="1" si="196"/>
        <v>0</v>
      </c>
      <c r="AZ108" s="24">
        <f t="shared" ca="1" si="196"/>
        <v>0</v>
      </c>
      <c r="BA108" s="24">
        <f t="shared" ca="1" si="196"/>
        <v>0</v>
      </c>
      <c r="BB108" s="24">
        <f t="shared" ca="1" si="196"/>
        <v>0</v>
      </c>
      <c r="BC108" s="24">
        <f t="shared" ca="1" si="197"/>
        <v>0</v>
      </c>
      <c r="BD108" s="24">
        <f t="shared" ca="1" si="197"/>
        <v>0</v>
      </c>
      <c r="BE108" s="24">
        <f t="shared" ca="1" si="197"/>
        <v>0</v>
      </c>
      <c r="BF108" s="24">
        <f t="shared" ca="1" si="197"/>
        <v>0</v>
      </c>
      <c r="BG108" s="24">
        <f t="shared" ca="1" si="197"/>
        <v>0</v>
      </c>
      <c r="BH108" s="24">
        <f t="shared" ca="1" si="197"/>
        <v>0</v>
      </c>
      <c r="BI108" s="24">
        <f t="shared" ca="1" si="197"/>
        <v>0</v>
      </c>
      <c r="BJ108" s="24">
        <f t="shared" ca="1" si="197"/>
        <v>0</v>
      </c>
      <c r="BK108" s="24">
        <f t="shared" ca="1" si="197"/>
        <v>0</v>
      </c>
      <c r="BL108" s="24">
        <f t="shared" ca="1" si="197"/>
        <v>0</v>
      </c>
      <c r="BM108" s="24">
        <f t="shared" ca="1" si="197"/>
        <v>40.784767575084416</v>
      </c>
      <c r="BN108" s="24">
        <f t="shared" ca="1" si="197"/>
        <v>0</v>
      </c>
      <c r="BO108" s="24">
        <f t="shared" ca="1" si="197"/>
        <v>0</v>
      </c>
      <c r="BP108" s="24">
        <f t="shared" ca="1" si="197"/>
        <v>0</v>
      </c>
      <c r="BQ108" s="24">
        <f t="shared" ca="1" si="197"/>
        <v>0</v>
      </c>
    </row>
    <row r="109" spans="1:69" ht="13.5" customHeight="1">
      <c r="B109" s="80" t="s">
        <v>264</v>
      </c>
      <c r="C109" s="80"/>
      <c r="D109" s="80"/>
      <c r="E109" s="80"/>
      <c r="F109" s="80">
        <f ca="1">F110+F132</f>
        <v>56071.781584520504</v>
      </c>
      <c r="G109" s="80"/>
      <c r="H109" s="80"/>
      <c r="I109" s="80"/>
      <c r="J109" s="80"/>
      <c r="K109" s="80"/>
      <c r="L109" s="81" t="b">
        <f ca="1">ABS(M109-F109)&lt;0.001</f>
        <v>1</v>
      </c>
      <c r="M109" s="80">
        <f t="shared" ref="M109:M114" ca="1" si="200">SUM(N109:XFD109)</f>
        <v>56071.781584520511</v>
      </c>
      <c r="N109" s="80"/>
      <c r="O109" s="80">
        <f t="shared" ref="O109:AT109" ca="1" si="201">O110+O132</f>
        <v>112</v>
      </c>
      <c r="P109" s="80">
        <f t="shared" ca="1" si="201"/>
        <v>112</v>
      </c>
      <c r="Q109" s="80">
        <f t="shared" ca="1" si="201"/>
        <v>112</v>
      </c>
      <c r="R109" s="80">
        <f t="shared" ca="1" si="201"/>
        <v>112</v>
      </c>
      <c r="S109" s="80">
        <f t="shared" ca="1" si="201"/>
        <v>112</v>
      </c>
      <c r="T109" s="80">
        <f t="shared" ca="1" si="201"/>
        <v>112</v>
      </c>
      <c r="U109" s="80">
        <f t="shared" ca="1" si="201"/>
        <v>112</v>
      </c>
      <c r="V109" s="80">
        <f t="shared" ca="1" si="201"/>
        <v>112</v>
      </c>
      <c r="W109" s="80">
        <f t="shared" ca="1" si="201"/>
        <v>112</v>
      </c>
      <c r="X109" s="80">
        <f t="shared" ca="1" si="201"/>
        <v>112</v>
      </c>
      <c r="Y109" s="80">
        <f t="shared" ca="1" si="201"/>
        <v>112</v>
      </c>
      <c r="Z109" s="80">
        <f t="shared" ca="1" si="201"/>
        <v>112</v>
      </c>
      <c r="AA109" s="80">
        <f t="shared" ca="1" si="201"/>
        <v>112</v>
      </c>
      <c r="AB109" s="80">
        <f t="shared" ca="1" si="201"/>
        <v>2422</v>
      </c>
      <c r="AC109" s="80">
        <f t="shared" ca="1" si="201"/>
        <v>112</v>
      </c>
      <c r="AD109" s="80">
        <f t="shared" ca="1" si="201"/>
        <v>112</v>
      </c>
      <c r="AE109" s="80">
        <f t="shared" ca="1" si="201"/>
        <v>3150.7977007415238</v>
      </c>
      <c r="AF109" s="80">
        <f t="shared" ca="1" si="201"/>
        <v>736.10546678478272</v>
      </c>
      <c r="AG109" s="80">
        <f t="shared" ca="1" si="201"/>
        <v>736.10546678478272</v>
      </c>
      <c r="AH109" s="80">
        <f t="shared" ca="1" si="201"/>
        <v>892.0687599364735</v>
      </c>
      <c r="AI109" s="80">
        <f t="shared" ca="1" si="201"/>
        <v>853.0779366485508</v>
      </c>
      <c r="AJ109" s="80">
        <f t="shared" ca="1" si="201"/>
        <v>872.57334829251215</v>
      </c>
      <c r="AK109" s="80">
        <f t="shared" ca="1" si="201"/>
        <v>1165.0045229519324</v>
      </c>
      <c r="AL109" s="80">
        <f t="shared" ca="1" si="201"/>
        <v>1087.0228763760872</v>
      </c>
      <c r="AM109" s="80">
        <f t="shared" ca="1" si="201"/>
        <v>1126.0136996640099</v>
      </c>
      <c r="AN109" s="80">
        <f t="shared" ca="1" si="201"/>
        <v>1554.9127558311595</v>
      </c>
      <c r="AO109" s="80">
        <f t="shared" ca="1" si="201"/>
        <v>1437.9402859673914</v>
      </c>
      <c r="AP109" s="80">
        <f t="shared" ca="1" si="201"/>
        <v>1496.4265208992756</v>
      </c>
      <c r="AQ109" s="80">
        <f t="shared" ca="1" si="201"/>
        <v>1286.7246986376815</v>
      </c>
      <c r="AR109" s="80">
        <f t="shared" ca="1" si="201"/>
        <v>1052.7797589101451</v>
      </c>
      <c r="AS109" s="80">
        <f t="shared" ca="1" si="201"/>
        <v>1052.7797589101451</v>
      </c>
      <c r="AT109" s="80">
        <f t="shared" ca="1" si="201"/>
        <v>1520.6696383652179</v>
      </c>
      <c r="AU109" s="80">
        <f t="shared" ref="AU109:BQ109" ca="1" si="202">AU110+AU132</f>
        <v>1286.7246986376815</v>
      </c>
      <c r="AV109" s="80">
        <f t="shared" ca="1" si="202"/>
        <v>1286.7246986376815</v>
      </c>
      <c r="AW109" s="80">
        <f t="shared" ca="1" si="202"/>
        <v>1754.6145780927541</v>
      </c>
      <c r="AX109" s="80">
        <f t="shared" ca="1" si="202"/>
        <v>1520.6696383652179</v>
      </c>
      <c r="AY109" s="80">
        <f t="shared" ca="1" si="202"/>
        <v>1520.6696383652179</v>
      </c>
      <c r="AZ109" s="80">
        <f t="shared" ca="1" si="202"/>
        <v>1520.6696383652179</v>
      </c>
      <c r="BA109" s="80">
        <f t="shared" ca="1" si="202"/>
        <v>1520.6696383652179</v>
      </c>
      <c r="BB109" s="80">
        <f t="shared" ca="1" si="202"/>
        <v>1520.6696383652179</v>
      </c>
      <c r="BC109" s="80">
        <f t="shared" ca="1" si="202"/>
        <v>1520.6696383652179</v>
      </c>
      <c r="BD109" s="80">
        <f t="shared" ca="1" si="202"/>
        <v>1520.6696383652179</v>
      </c>
      <c r="BE109" s="80">
        <f t="shared" ca="1" si="202"/>
        <v>1520.6696383652179</v>
      </c>
      <c r="BF109" s="80">
        <f t="shared" ca="1" si="202"/>
        <v>1520.6696383652179</v>
      </c>
      <c r="BG109" s="80">
        <f t="shared" ca="1" si="202"/>
        <v>1520.6696383652179</v>
      </c>
      <c r="BH109" s="80">
        <f t="shared" ca="1" si="202"/>
        <v>1520.6696383652179</v>
      </c>
      <c r="BI109" s="80">
        <f t="shared" ca="1" si="202"/>
        <v>2081.8779008652177</v>
      </c>
      <c r="BJ109" s="80">
        <f t="shared" ca="1" si="202"/>
        <v>2096.5632675318848</v>
      </c>
      <c r="BK109" s="80">
        <f t="shared" ca="1" si="202"/>
        <v>2118.5913175318847</v>
      </c>
      <c r="BL109" s="80">
        <f t="shared" ca="1" si="202"/>
        <v>1559.7257383652179</v>
      </c>
      <c r="BM109" s="80">
        <f t="shared" ca="1" si="202"/>
        <v>2700.5901671391312</v>
      </c>
      <c r="BN109" s="80">
        <f t="shared" ca="1" si="202"/>
        <v>112</v>
      </c>
      <c r="BO109" s="80">
        <f t="shared" ca="1" si="202"/>
        <v>112</v>
      </c>
      <c r="BP109" s="80">
        <f t="shared" ca="1" si="202"/>
        <v>112</v>
      </c>
      <c r="BQ109" s="80">
        <f t="shared" ca="1" si="202"/>
        <v>0</v>
      </c>
    </row>
    <row r="110" spans="1:69" s="72" customFormat="1" ht="13.5" customHeight="1">
      <c r="A110" s="14"/>
      <c r="B110" s="14"/>
      <c r="C110" s="71" t="s">
        <v>265</v>
      </c>
      <c r="F110" s="72">
        <f t="shared" ref="F110" ca="1" si="203">F111+F112+F113+F116+F117+F120+F131</f>
        <v>50023.781584520504</v>
      </c>
      <c r="L110" s="75"/>
      <c r="M110" s="72">
        <f t="shared" ca="1" si="200"/>
        <v>50023.781584520511</v>
      </c>
      <c r="O110" s="72">
        <f ca="1">O111+O112+O113+O116+O117+O120+O131</f>
        <v>0</v>
      </c>
      <c r="P110" s="72">
        <f t="shared" ref="P110:BQ110" ca="1" si="204">P111+P112+P113+P116+P117+P120+P131</f>
        <v>0</v>
      </c>
      <c r="Q110" s="72">
        <f t="shared" ca="1" si="204"/>
        <v>0</v>
      </c>
      <c r="R110" s="72">
        <f t="shared" ca="1" si="204"/>
        <v>0</v>
      </c>
      <c r="S110" s="72">
        <f t="shared" ca="1" si="204"/>
        <v>0</v>
      </c>
      <c r="T110" s="72">
        <f t="shared" ca="1" si="204"/>
        <v>0</v>
      </c>
      <c r="U110" s="72">
        <f t="shared" ca="1" si="204"/>
        <v>0</v>
      </c>
      <c r="V110" s="72">
        <f t="shared" ca="1" si="204"/>
        <v>0</v>
      </c>
      <c r="W110" s="72">
        <f t="shared" ca="1" si="204"/>
        <v>0</v>
      </c>
      <c r="X110" s="72">
        <f t="shared" ca="1" si="204"/>
        <v>0</v>
      </c>
      <c r="Y110" s="72">
        <f t="shared" ca="1" si="204"/>
        <v>0</v>
      </c>
      <c r="Z110" s="72">
        <f t="shared" ca="1" si="204"/>
        <v>0</v>
      </c>
      <c r="AA110" s="72">
        <f t="shared" ca="1" si="204"/>
        <v>0</v>
      </c>
      <c r="AB110" s="72">
        <f t="shared" ca="1" si="204"/>
        <v>2310</v>
      </c>
      <c r="AC110" s="72">
        <f t="shared" ca="1" si="204"/>
        <v>0</v>
      </c>
      <c r="AD110" s="72">
        <f t="shared" ca="1" si="204"/>
        <v>0</v>
      </c>
      <c r="AE110" s="72">
        <f t="shared" ca="1" si="204"/>
        <v>3038.7977007415238</v>
      </c>
      <c r="AF110" s="72">
        <f t="shared" ca="1" si="204"/>
        <v>624.10546678478272</v>
      </c>
      <c r="AG110" s="72">
        <f t="shared" ca="1" si="204"/>
        <v>624.10546678478272</v>
      </c>
      <c r="AH110" s="72">
        <f t="shared" ca="1" si="204"/>
        <v>780.0687599364735</v>
      </c>
      <c r="AI110" s="72">
        <f t="shared" ca="1" si="204"/>
        <v>741.0779366485508</v>
      </c>
      <c r="AJ110" s="72">
        <f t="shared" ca="1" si="204"/>
        <v>760.57334829251215</v>
      </c>
      <c r="AK110" s="72">
        <f t="shared" ca="1" si="204"/>
        <v>1053.0045229519324</v>
      </c>
      <c r="AL110" s="72">
        <f t="shared" ca="1" si="204"/>
        <v>975.0228763760872</v>
      </c>
      <c r="AM110" s="72">
        <f t="shared" ca="1" si="204"/>
        <v>1014.0136996640099</v>
      </c>
      <c r="AN110" s="72">
        <f t="shared" ca="1" si="204"/>
        <v>1442.9127558311595</v>
      </c>
      <c r="AO110" s="72">
        <f t="shared" ca="1" si="204"/>
        <v>1325.9402859673914</v>
      </c>
      <c r="AP110" s="72">
        <f t="shared" ca="1" si="204"/>
        <v>1384.4265208992756</v>
      </c>
      <c r="AQ110" s="72">
        <f t="shared" ca="1" si="204"/>
        <v>1174.7246986376815</v>
      </c>
      <c r="AR110" s="72">
        <f t="shared" ca="1" si="204"/>
        <v>940.77975891014523</v>
      </c>
      <c r="AS110" s="72">
        <f t="shared" ca="1" si="204"/>
        <v>940.77975891014523</v>
      </c>
      <c r="AT110" s="72">
        <f t="shared" ca="1" si="204"/>
        <v>1408.6696383652179</v>
      </c>
      <c r="AU110" s="72">
        <f t="shared" ca="1" si="204"/>
        <v>1174.7246986376815</v>
      </c>
      <c r="AV110" s="72">
        <f t="shared" ca="1" si="204"/>
        <v>1174.7246986376815</v>
      </c>
      <c r="AW110" s="72">
        <f t="shared" ca="1" si="204"/>
        <v>1642.6145780927541</v>
      </c>
      <c r="AX110" s="72">
        <f t="shared" ca="1" si="204"/>
        <v>1408.6696383652179</v>
      </c>
      <c r="AY110" s="72">
        <f t="shared" ca="1" si="204"/>
        <v>1408.6696383652179</v>
      </c>
      <c r="AZ110" s="72">
        <f t="shared" ca="1" si="204"/>
        <v>1408.6696383652179</v>
      </c>
      <c r="BA110" s="72">
        <f t="shared" ca="1" si="204"/>
        <v>1408.6696383652179</v>
      </c>
      <c r="BB110" s="72">
        <f t="shared" ca="1" si="204"/>
        <v>1408.6696383652179</v>
      </c>
      <c r="BC110" s="72">
        <f t="shared" ca="1" si="204"/>
        <v>1408.6696383652179</v>
      </c>
      <c r="BD110" s="72">
        <f t="shared" ca="1" si="204"/>
        <v>1408.6696383652179</v>
      </c>
      <c r="BE110" s="72">
        <f t="shared" ca="1" si="204"/>
        <v>1408.6696383652179</v>
      </c>
      <c r="BF110" s="72">
        <f t="shared" ca="1" si="204"/>
        <v>1408.6696383652179</v>
      </c>
      <c r="BG110" s="72">
        <f t="shared" ca="1" si="204"/>
        <v>1408.6696383652179</v>
      </c>
      <c r="BH110" s="72">
        <f t="shared" ca="1" si="204"/>
        <v>1408.6696383652179</v>
      </c>
      <c r="BI110" s="72">
        <f t="shared" ca="1" si="204"/>
        <v>1969.8779008652177</v>
      </c>
      <c r="BJ110" s="72">
        <f t="shared" ca="1" si="204"/>
        <v>1984.5632675318845</v>
      </c>
      <c r="BK110" s="72">
        <f t="shared" ca="1" si="204"/>
        <v>2006.5913175318844</v>
      </c>
      <c r="BL110" s="72">
        <f t="shared" ca="1" si="204"/>
        <v>1447.7257383652179</v>
      </c>
      <c r="BM110" s="72">
        <f t="shared" ca="1" si="204"/>
        <v>2588.5901671391312</v>
      </c>
      <c r="BN110" s="72">
        <f t="shared" ca="1" si="204"/>
        <v>0</v>
      </c>
      <c r="BO110" s="72">
        <f t="shared" ca="1" si="204"/>
        <v>0</v>
      </c>
      <c r="BP110" s="72">
        <f t="shared" ca="1" si="204"/>
        <v>0</v>
      </c>
      <c r="BQ110" s="72">
        <f t="shared" ca="1" si="204"/>
        <v>0</v>
      </c>
    </row>
    <row r="111" spans="1:69" s="22" customFormat="1" ht="13.5" customHeight="1">
      <c r="A111" s="1"/>
      <c r="B111" s="1"/>
      <c r="C111" s="31"/>
      <c r="D111" s="101" t="s">
        <v>266</v>
      </c>
      <c r="E111" s="102"/>
      <c r="F111" s="102">
        <f>M111</f>
        <v>165</v>
      </c>
      <c r="G111" s="189">
        <v>5</v>
      </c>
      <c r="H111" s="102" t="s">
        <v>281</v>
      </c>
      <c r="I111" s="260">
        <f>MIN('A&amp;R'!AA12,'A&amp;R'!AD12)</f>
        <v>44865</v>
      </c>
      <c r="J111" s="260">
        <f>MAX('A&amp;R'!AA14,'A&amp;R'!AD14)</f>
        <v>45838</v>
      </c>
      <c r="K111" s="102"/>
      <c r="L111" s="103"/>
      <c r="M111" s="102">
        <f t="shared" si="200"/>
        <v>165</v>
      </c>
      <c r="N111" s="102"/>
      <c r="O111" s="102">
        <f t="shared" ref="O111:AT111" si="205">(O$11&gt;=$I$111)*(O$11&lt;=$J$111)*$G$111</f>
        <v>0</v>
      </c>
      <c r="P111" s="102">
        <f t="shared" si="205"/>
        <v>0</v>
      </c>
      <c r="Q111" s="102">
        <f t="shared" si="205"/>
        <v>0</v>
      </c>
      <c r="R111" s="102">
        <f t="shared" si="205"/>
        <v>0</v>
      </c>
      <c r="S111" s="102">
        <f t="shared" si="205"/>
        <v>0</v>
      </c>
      <c r="T111" s="102">
        <f t="shared" si="205"/>
        <v>0</v>
      </c>
      <c r="U111" s="102">
        <f t="shared" si="205"/>
        <v>0</v>
      </c>
      <c r="V111" s="102">
        <f t="shared" si="205"/>
        <v>0</v>
      </c>
      <c r="W111" s="102">
        <f t="shared" si="205"/>
        <v>0</v>
      </c>
      <c r="X111" s="102">
        <f t="shared" si="205"/>
        <v>0</v>
      </c>
      <c r="Y111" s="102">
        <f t="shared" si="205"/>
        <v>0</v>
      </c>
      <c r="Z111" s="102">
        <f t="shared" si="205"/>
        <v>0</v>
      </c>
      <c r="AA111" s="102">
        <f t="shared" si="205"/>
        <v>0</v>
      </c>
      <c r="AB111" s="102">
        <f t="shared" si="205"/>
        <v>0</v>
      </c>
      <c r="AC111" s="102">
        <f t="shared" si="205"/>
        <v>0</v>
      </c>
      <c r="AD111" s="102">
        <f t="shared" si="205"/>
        <v>0</v>
      </c>
      <c r="AE111" s="102">
        <f t="shared" si="205"/>
        <v>5</v>
      </c>
      <c r="AF111" s="102">
        <f t="shared" si="205"/>
        <v>5</v>
      </c>
      <c r="AG111" s="102">
        <f t="shared" si="205"/>
        <v>5</v>
      </c>
      <c r="AH111" s="102">
        <f t="shared" si="205"/>
        <v>5</v>
      </c>
      <c r="AI111" s="102">
        <f t="shared" si="205"/>
        <v>5</v>
      </c>
      <c r="AJ111" s="102">
        <f t="shared" si="205"/>
        <v>5</v>
      </c>
      <c r="AK111" s="102">
        <f t="shared" si="205"/>
        <v>5</v>
      </c>
      <c r="AL111" s="102">
        <f t="shared" si="205"/>
        <v>5</v>
      </c>
      <c r="AM111" s="102">
        <f t="shared" si="205"/>
        <v>5</v>
      </c>
      <c r="AN111" s="102">
        <f t="shared" si="205"/>
        <v>5</v>
      </c>
      <c r="AO111" s="102">
        <f t="shared" si="205"/>
        <v>5</v>
      </c>
      <c r="AP111" s="102">
        <f t="shared" si="205"/>
        <v>5</v>
      </c>
      <c r="AQ111" s="102">
        <f t="shared" si="205"/>
        <v>5</v>
      </c>
      <c r="AR111" s="102">
        <f t="shared" si="205"/>
        <v>5</v>
      </c>
      <c r="AS111" s="102">
        <f t="shared" si="205"/>
        <v>5</v>
      </c>
      <c r="AT111" s="102">
        <f t="shared" si="205"/>
        <v>5</v>
      </c>
      <c r="AU111" s="102">
        <f t="shared" ref="AU111:BQ111" si="206">(AU$11&gt;=$I$111)*(AU$11&lt;=$J$111)*$G$111</f>
        <v>5</v>
      </c>
      <c r="AV111" s="102">
        <f t="shared" si="206"/>
        <v>5</v>
      </c>
      <c r="AW111" s="102">
        <f t="shared" si="206"/>
        <v>5</v>
      </c>
      <c r="AX111" s="102">
        <f t="shared" si="206"/>
        <v>5</v>
      </c>
      <c r="AY111" s="102">
        <f t="shared" si="206"/>
        <v>5</v>
      </c>
      <c r="AZ111" s="102">
        <f t="shared" si="206"/>
        <v>5</v>
      </c>
      <c r="BA111" s="102">
        <f t="shared" si="206"/>
        <v>5</v>
      </c>
      <c r="BB111" s="102">
        <f t="shared" si="206"/>
        <v>5</v>
      </c>
      <c r="BC111" s="102">
        <f t="shared" si="206"/>
        <v>5</v>
      </c>
      <c r="BD111" s="102">
        <f t="shared" si="206"/>
        <v>5</v>
      </c>
      <c r="BE111" s="102">
        <f t="shared" si="206"/>
        <v>5</v>
      </c>
      <c r="BF111" s="102">
        <f t="shared" si="206"/>
        <v>5</v>
      </c>
      <c r="BG111" s="102">
        <f t="shared" si="206"/>
        <v>5</v>
      </c>
      <c r="BH111" s="102">
        <f t="shared" si="206"/>
        <v>5</v>
      </c>
      <c r="BI111" s="102">
        <f t="shared" si="206"/>
        <v>5</v>
      </c>
      <c r="BJ111" s="102">
        <f t="shared" si="206"/>
        <v>5</v>
      </c>
      <c r="BK111" s="102">
        <f t="shared" si="206"/>
        <v>5</v>
      </c>
      <c r="BL111" s="102">
        <f t="shared" si="206"/>
        <v>0</v>
      </c>
      <c r="BM111" s="102">
        <f t="shared" si="206"/>
        <v>0</v>
      </c>
      <c r="BN111" s="102">
        <f t="shared" si="206"/>
        <v>0</v>
      </c>
      <c r="BO111" s="102">
        <f t="shared" si="206"/>
        <v>0</v>
      </c>
      <c r="BP111" s="102">
        <f t="shared" si="206"/>
        <v>0</v>
      </c>
      <c r="BQ111" s="102">
        <f t="shared" si="206"/>
        <v>0</v>
      </c>
    </row>
    <row r="112" spans="1:69" s="32" customFormat="1" ht="13.5" customHeight="1">
      <c r="A112" s="1"/>
      <c r="B112" s="1"/>
      <c r="C112" s="31"/>
      <c r="D112" s="101" t="s">
        <v>267</v>
      </c>
      <c r="E112" s="102"/>
      <c r="F112" s="102">
        <f>H112*J112</f>
        <v>2310</v>
      </c>
      <c r="G112" s="102" t="s">
        <v>332</v>
      </c>
      <c r="H112" s="189">
        <v>700</v>
      </c>
      <c r="I112" s="102" t="s">
        <v>333</v>
      </c>
      <c r="J112" s="261">
        <v>3.3</v>
      </c>
      <c r="K112" s="102" t="s">
        <v>74</v>
      </c>
      <c r="L112" s="262">
        <f>EOMONTH(I111,-3)</f>
        <v>44773</v>
      </c>
      <c r="M112" s="102">
        <f t="shared" si="200"/>
        <v>2310</v>
      </c>
      <c r="N112" s="102"/>
      <c r="O112" s="102">
        <f t="shared" ref="O112:AT112" si="207">(O$11=$L$112)*$F$112</f>
        <v>0</v>
      </c>
      <c r="P112" s="102">
        <f t="shared" si="207"/>
        <v>0</v>
      </c>
      <c r="Q112" s="102">
        <f t="shared" si="207"/>
        <v>0</v>
      </c>
      <c r="R112" s="102">
        <f t="shared" si="207"/>
        <v>0</v>
      </c>
      <c r="S112" s="102">
        <f t="shared" si="207"/>
        <v>0</v>
      </c>
      <c r="T112" s="102">
        <f t="shared" si="207"/>
        <v>0</v>
      </c>
      <c r="U112" s="102">
        <f t="shared" si="207"/>
        <v>0</v>
      </c>
      <c r="V112" s="102">
        <f t="shared" si="207"/>
        <v>0</v>
      </c>
      <c r="W112" s="102">
        <f t="shared" si="207"/>
        <v>0</v>
      </c>
      <c r="X112" s="102">
        <f t="shared" si="207"/>
        <v>0</v>
      </c>
      <c r="Y112" s="102">
        <f t="shared" si="207"/>
        <v>0</v>
      </c>
      <c r="Z112" s="102">
        <f t="shared" si="207"/>
        <v>0</v>
      </c>
      <c r="AA112" s="102">
        <f t="shared" si="207"/>
        <v>0</v>
      </c>
      <c r="AB112" s="102">
        <f t="shared" si="207"/>
        <v>2310</v>
      </c>
      <c r="AC112" s="102">
        <f t="shared" si="207"/>
        <v>0</v>
      </c>
      <c r="AD112" s="102">
        <f t="shared" si="207"/>
        <v>0</v>
      </c>
      <c r="AE112" s="102">
        <f t="shared" si="207"/>
        <v>0</v>
      </c>
      <c r="AF112" s="102">
        <f t="shared" si="207"/>
        <v>0</v>
      </c>
      <c r="AG112" s="102">
        <f t="shared" si="207"/>
        <v>0</v>
      </c>
      <c r="AH112" s="102">
        <f t="shared" si="207"/>
        <v>0</v>
      </c>
      <c r="AI112" s="102">
        <f t="shared" si="207"/>
        <v>0</v>
      </c>
      <c r="AJ112" s="102">
        <f t="shared" si="207"/>
        <v>0</v>
      </c>
      <c r="AK112" s="102">
        <f t="shared" si="207"/>
        <v>0</v>
      </c>
      <c r="AL112" s="102">
        <f t="shared" si="207"/>
        <v>0</v>
      </c>
      <c r="AM112" s="102">
        <f t="shared" si="207"/>
        <v>0</v>
      </c>
      <c r="AN112" s="102">
        <f t="shared" si="207"/>
        <v>0</v>
      </c>
      <c r="AO112" s="102">
        <f t="shared" si="207"/>
        <v>0</v>
      </c>
      <c r="AP112" s="102">
        <f t="shared" si="207"/>
        <v>0</v>
      </c>
      <c r="AQ112" s="102">
        <f t="shared" si="207"/>
        <v>0</v>
      </c>
      <c r="AR112" s="102">
        <f t="shared" si="207"/>
        <v>0</v>
      </c>
      <c r="AS112" s="102">
        <f t="shared" si="207"/>
        <v>0</v>
      </c>
      <c r="AT112" s="102">
        <f t="shared" si="207"/>
        <v>0</v>
      </c>
      <c r="AU112" s="102">
        <f t="shared" ref="AU112:BQ112" si="208">(AU$11=$L$112)*$F$112</f>
        <v>0</v>
      </c>
      <c r="AV112" s="102">
        <f t="shared" si="208"/>
        <v>0</v>
      </c>
      <c r="AW112" s="102">
        <f t="shared" si="208"/>
        <v>0</v>
      </c>
      <c r="AX112" s="102">
        <f t="shared" si="208"/>
        <v>0</v>
      </c>
      <c r="AY112" s="102">
        <f t="shared" si="208"/>
        <v>0</v>
      </c>
      <c r="AZ112" s="102">
        <f t="shared" si="208"/>
        <v>0</v>
      </c>
      <c r="BA112" s="102">
        <f t="shared" si="208"/>
        <v>0</v>
      </c>
      <c r="BB112" s="102">
        <f t="shared" si="208"/>
        <v>0</v>
      </c>
      <c r="BC112" s="102">
        <f t="shared" si="208"/>
        <v>0</v>
      </c>
      <c r="BD112" s="102">
        <f t="shared" si="208"/>
        <v>0</v>
      </c>
      <c r="BE112" s="102">
        <f t="shared" si="208"/>
        <v>0</v>
      </c>
      <c r="BF112" s="102">
        <f t="shared" si="208"/>
        <v>0</v>
      </c>
      <c r="BG112" s="102">
        <f t="shared" si="208"/>
        <v>0</v>
      </c>
      <c r="BH112" s="102">
        <f t="shared" si="208"/>
        <v>0</v>
      </c>
      <c r="BI112" s="102">
        <f t="shared" si="208"/>
        <v>0</v>
      </c>
      <c r="BJ112" s="102">
        <f t="shared" si="208"/>
        <v>0</v>
      </c>
      <c r="BK112" s="102">
        <f t="shared" si="208"/>
        <v>0</v>
      </c>
      <c r="BL112" s="102">
        <f t="shared" si="208"/>
        <v>0</v>
      </c>
      <c r="BM112" s="102">
        <f t="shared" si="208"/>
        <v>0</v>
      </c>
      <c r="BN112" s="102">
        <f t="shared" si="208"/>
        <v>0</v>
      </c>
      <c r="BO112" s="102">
        <f t="shared" si="208"/>
        <v>0</v>
      </c>
      <c r="BP112" s="102">
        <f t="shared" si="208"/>
        <v>0</v>
      </c>
      <c r="BQ112" s="102">
        <f t="shared" si="208"/>
        <v>0</v>
      </c>
    </row>
    <row r="113" spans="1:69" s="32" customFormat="1" ht="13.5" customHeight="1">
      <c r="A113" s="1"/>
      <c r="B113" s="1"/>
      <c r="C113" s="31"/>
      <c r="D113" s="31" t="s">
        <v>268</v>
      </c>
      <c r="F113" s="32">
        <f>F114+F115</f>
        <v>75</v>
      </c>
      <c r="L113" s="42"/>
      <c r="M113" s="32">
        <f t="shared" si="200"/>
        <v>75</v>
      </c>
      <c r="O113" s="32">
        <f>SUM(O114:O115)</f>
        <v>0</v>
      </c>
      <c r="P113" s="32">
        <f t="shared" ref="P113:BQ113" si="209">SUM(P114:P115)</f>
        <v>0</v>
      </c>
      <c r="Q113" s="32">
        <f t="shared" si="209"/>
        <v>0</v>
      </c>
      <c r="R113" s="32">
        <f t="shared" si="209"/>
        <v>0</v>
      </c>
      <c r="S113" s="32">
        <f t="shared" si="209"/>
        <v>0</v>
      </c>
      <c r="T113" s="32">
        <f t="shared" si="209"/>
        <v>0</v>
      </c>
      <c r="U113" s="32">
        <f t="shared" si="209"/>
        <v>0</v>
      </c>
      <c r="V113" s="32">
        <f t="shared" si="209"/>
        <v>0</v>
      </c>
      <c r="W113" s="32">
        <f t="shared" si="209"/>
        <v>0</v>
      </c>
      <c r="X113" s="32">
        <f t="shared" si="209"/>
        <v>0</v>
      </c>
      <c r="Y113" s="32">
        <f t="shared" si="209"/>
        <v>0</v>
      </c>
      <c r="Z113" s="32">
        <f t="shared" si="209"/>
        <v>0</v>
      </c>
      <c r="AA113" s="32">
        <f t="shared" si="209"/>
        <v>0</v>
      </c>
      <c r="AB113" s="32">
        <f t="shared" si="209"/>
        <v>0</v>
      </c>
      <c r="AC113" s="32">
        <f t="shared" si="209"/>
        <v>0</v>
      </c>
      <c r="AD113" s="32">
        <f t="shared" si="209"/>
        <v>0</v>
      </c>
      <c r="AE113" s="32">
        <f t="shared" si="209"/>
        <v>5</v>
      </c>
      <c r="AF113" s="32">
        <f t="shared" si="209"/>
        <v>5</v>
      </c>
      <c r="AG113" s="32">
        <f t="shared" si="209"/>
        <v>5</v>
      </c>
      <c r="AH113" s="32">
        <f t="shared" si="209"/>
        <v>5</v>
      </c>
      <c r="AI113" s="32">
        <f t="shared" si="209"/>
        <v>5</v>
      </c>
      <c r="AJ113" s="32">
        <f t="shared" si="209"/>
        <v>5</v>
      </c>
      <c r="AK113" s="32">
        <f t="shared" si="209"/>
        <v>5</v>
      </c>
      <c r="AL113" s="32">
        <f t="shared" si="209"/>
        <v>5</v>
      </c>
      <c r="AM113" s="32">
        <f t="shared" si="209"/>
        <v>5</v>
      </c>
      <c r="AN113" s="32">
        <f t="shared" si="209"/>
        <v>5</v>
      </c>
      <c r="AO113" s="32">
        <f t="shared" si="209"/>
        <v>5</v>
      </c>
      <c r="AP113" s="32">
        <f t="shared" si="209"/>
        <v>5</v>
      </c>
      <c r="AQ113" s="32">
        <f t="shared" si="209"/>
        <v>0</v>
      </c>
      <c r="AR113" s="32">
        <f t="shared" si="209"/>
        <v>0</v>
      </c>
      <c r="AS113" s="32">
        <f t="shared" si="209"/>
        <v>0</v>
      </c>
      <c r="AT113" s="32">
        <f t="shared" si="209"/>
        <v>0</v>
      </c>
      <c r="AU113" s="32">
        <f t="shared" si="209"/>
        <v>0</v>
      </c>
      <c r="AV113" s="32">
        <f t="shared" si="209"/>
        <v>0</v>
      </c>
      <c r="AW113" s="32">
        <f t="shared" si="209"/>
        <v>0</v>
      </c>
      <c r="AX113" s="32">
        <f t="shared" si="209"/>
        <v>0</v>
      </c>
      <c r="AY113" s="32">
        <f t="shared" si="209"/>
        <v>0</v>
      </c>
      <c r="AZ113" s="32">
        <f t="shared" si="209"/>
        <v>0</v>
      </c>
      <c r="BA113" s="32">
        <f t="shared" si="209"/>
        <v>0</v>
      </c>
      <c r="BB113" s="32">
        <f t="shared" si="209"/>
        <v>0</v>
      </c>
      <c r="BC113" s="32">
        <f t="shared" si="209"/>
        <v>0</v>
      </c>
      <c r="BD113" s="32">
        <f t="shared" si="209"/>
        <v>0</v>
      </c>
      <c r="BE113" s="32">
        <f t="shared" si="209"/>
        <v>0</v>
      </c>
      <c r="BF113" s="32">
        <f t="shared" si="209"/>
        <v>0</v>
      </c>
      <c r="BG113" s="32">
        <f t="shared" si="209"/>
        <v>0</v>
      </c>
      <c r="BH113" s="32">
        <f t="shared" si="209"/>
        <v>0</v>
      </c>
      <c r="BI113" s="32">
        <f t="shared" si="209"/>
        <v>5</v>
      </c>
      <c r="BJ113" s="32">
        <f t="shared" si="209"/>
        <v>5</v>
      </c>
      <c r="BK113" s="32">
        <f t="shared" si="209"/>
        <v>5</v>
      </c>
      <c r="BL113" s="32">
        <f t="shared" si="209"/>
        <v>0</v>
      </c>
      <c r="BM113" s="32">
        <f t="shared" si="209"/>
        <v>0</v>
      </c>
      <c r="BN113" s="32">
        <f t="shared" si="209"/>
        <v>0</v>
      </c>
      <c r="BO113" s="32">
        <f t="shared" si="209"/>
        <v>0</v>
      </c>
      <c r="BP113" s="32">
        <f t="shared" si="209"/>
        <v>0</v>
      </c>
      <c r="BQ113" s="32">
        <f t="shared" si="209"/>
        <v>0</v>
      </c>
    </row>
    <row r="114" spans="1:69" s="22" customFormat="1" ht="13.5" customHeight="1">
      <c r="A114" s="1"/>
      <c r="B114" s="1"/>
      <c r="C114" s="31"/>
      <c r="D114" s="31"/>
      <c r="E114" s="30" t="s">
        <v>53</v>
      </c>
      <c r="F114" s="22">
        <f>M114</f>
        <v>60</v>
      </c>
      <c r="G114" s="35">
        <v>5</v>
      </c>
      <c r="H114" s="22" t="s">
        <v>281</v>
      </c>
      <c r="I114" s="259">
        <f>'A&amp;R'!AA12</f>
        <v>44865</v>
      </c>
      <c r="J114" s="259">
        <f>'A&amp;R'!AA14</f>
        <v>45199</v>
      </c>
      <c r="L114" s="43"/>
      <c r="M114" s="22">
        <f t="shared" si="200"/>
        <v>60</v>
      </c>
      <c r="O114" s="22">
        <f>(O$11&gt;=$I114)*(O$11&lt;=$J114)*$G114</f>
        <v>0</v>
      </c>
      <c r="P114" s="22">
        <f t="shared" ref="P114:BQ114" si="210">(P$11&gt;=$I114)*(P$11&lt;=$J114)*$G114</f>
        <v>0</v>
      </c>
      <c r="Q114" s="22">
        <f t="shared" si="210"/>
        <v>0</v>
      </c>
      <c r="R114" s="22">
        <f t="shared" si="210"/>
        <v>0</v>
      </c>
      <c r="S114" s="22">
        <f t="shared" si="210"/>
        <v>0</v>
      </c>
      <c r="T114" s="22">
        <f t="shared" si="210"/>
        <v>0</v>
      </c>
      <c r="U114" s="22">
        <f t="shared" si="210"/>
        <v>0</v>
      </c>
      <c r="V114" s="22">
        <f t="shared" si="210"/>
        <v>0</v>
      </c>
      <c r="W114" s="22">
        <f t="shared" si="210"/>
        <v>0</v>
      </c>
      <c r="X114" s="22">
        <f t="shared" si="210"/>
        <v>0</v>
      </c>
      <c r="Y114" s="22">
        <f t="shared" si="210"/>
        <v>0</v>
      </c>
      <c r="Z114" s="22">
        <f t="shared" si="210"/>
        <v>0</v>
      </c>
      <c r="AA114" s="22">
        <f t="shared" si="210"/>
        <v>0</v>
      </c>
      <c r="AB114" s="22">
        <f t="shared" si="210"/>
        <v>0</v>
      </c>
      <c r="AC114" s="22">
        <f t="shared" si="210"/>
        <v>0</v>
      </c>
      <c r="AD114" s="22">
        <f t="shared" si="210"/>
        <v>0</v>
      </c>
      <c r="AE114" s="22">
        <f t="shared" si="210"/>
        <v>5</v>
      </c>
      <c r="AF114" s="22">
        <f t="shared" si="210"/>
        <v>5</v>
      </c>
      <c r="AG114" s="22">
        <f t="shared" si="210"/>
        <v>5</v>
      </c>
      <c r="AH114" s="22">
        <f t="shared" si="210"/>
        <v>5</v>
      </c>
      <c r="AI114" s="22">
        <f t="shared" si="210"/>
        <v>5</v>
      </c>
      <c r="AJ114" s="22">
        <f t="shared" si="210"/>
        <v>5</v>
      </c>
      <c r="AK114" s="22">
        <f t="shared" si="210"/>
        <v>5</v>
      </c>
      <c r="AL114" s="22">
        <f t="shared" si="210"/>
        <v>5</v>
      </c>
      <c r="AM114" s="22">
        <f t="shared" si="210"/>
        <v>5</v>
      </c>
      <c r="AN114" s="22">
        <f t="shared" si="210"/>
        <v>5</v>
      </c>
      <c r="AO114" s="22">
        <f t="shared" si="210"/>
        <v>5</v>
      </c>
      <c r="AP114" s="22">
        <f t="shared" si="210"/>
        <v>5</v>
      </c>
      <c r="AQ114" s="22">
        <f t="shared" si="210"/>
        <v>0</v>
      </c>
      <c r="AR114" s="22">
        <f t="shared" si="210"/>
        <v>0</v>
      </c>
      <c r="AS114" s="22">
        <f t="shared" si="210"/>
        <v>0</v>
      </c>
      <c r="AT114" s="22">
        <f t="shared" si="210"/>
        <v>0</v>
      </c>
      <c r="AU114" s="22">
        <f t="shared" si="210"/>
        <v>0</v>
      </c>
      <c r="AV114" s="22">
        <f t="shared" si="210"/>
        <v>0</v>
      </c>
      <c r="AW114" s="22">
        <f t="shared" si="210"/>
        <v>0</v>
      </c>
      <c r="AX114" s="22">
        <f t="shared" si="210"/>
        <v>0</v>
      </c>
      <c r="AY114" s="22">
        <f t="shared" si="210"/>
        <v>0</v>
      </c>
      <c r="AZ114" s="22">
        <f t="shared" si="210"/>
        <v>0</v>
      </c>
      <c r="BA114" s="22">
        <f t="shared" si="210"/>
        <v>0</v>
      </c>
      <c r="BB114" s="22">
        <f t="shared" si="210"/>
        <v>0</v>
      </c>
      <c r="BC114" s="22">
        <f t="shared" si="210"/>
        <v>0</v>
      </c>
      <c r="BD114" s="22">
        <f t="shared" si="210"/>
        <v>0</v>
      </c>
      <c r="BE114" s="22">
        <f t="shared" si="210"/>
        <v>0</v>
      </c>
      <c r="BF114" s="22">
        <f t="shared" si="210"/>
        <v>0</v>
      </c>
      <c r="BG114" s="22">
        <f t="shared" si="210"/>
        <v>0</v>
      </c>
      <c r="BH114" s="22">
        <f t="shared" si="210"/>
        <v>0</v>
      </c>
      <c r="BI114" s="22">
        <f t="shared" si="210"/>
        <v>0</v>
      </c>
      <c r="BJ114" s="22">
        <f t="shared" si="210"/>
        <v>0</v>
      </c>
      <c r="BK114" s="22">
        <f t="shared" si="210"/>
        <v>0</v>
      </c>
      <c r="BL114" s="22">
        <f t="shared" si="210"/>
        <v>0</v>
      </c>
      <c r="BM114" s="22">
        <f t="shared" si="210"/>
        <v>0</v>
      </c>
      <c r="BN114" s="22">
        <f t="shared" si="210"/>
        <v>0</v>
      </c>
      <c r="BO114" s="22">
        <f t="shared" si="210"/>
        <v>0</v>
      </c>
      <c r="BP114" s="22">
        <f t="shared" si="210"/>
        <v>0</v>
      </c>
      <c r="BQ114" s="22">
        <f t="shared" si="210"/>
        <v>0</v>
      </c>
    </row>
    <row r="115" spans="1:69" s="24" customFormat="1" ht="13.5" customHeight="1">
      <c r="A115" s="1"/>
      <c r="B115" s="1"/>
      <c r="C115" s="31"/>
      <c r="D115" s="54"/>
      <c r="E115" s="33" t="s">
        <v>54</v>
      </c>
      <c r="F115" s="24">
        <f t="shared" ref="F115" si="211">M115</f>
        <v>15</v>
      </c>
      <c r="G115" s="165">
        <v>5</v>
      </c>
      <c r="H115" s="24" t="s">
        <v>281</v>
      </c>
      <c r="I115" s="129">
        <f>'A&amp;R'!AD12</f>
        <v>45777</v>
      </c>
      <c r="J115" s="129">
        <f>'A&amp;R'!AD14</f>
        <v>45838</v>
      </c>
      <c r="L115" s="44"/>
      <c r="M115" s="24">
        <f t="shared" ref="M115" si="212">SUM(N115:XFD115)</f>
        <v>15</v>
      </c>
      <c r="O115" s="24">
        <f t="shared" ref="O115:BQ115" si="213">(O$11&gt;=$I115)*(O$11&lt;=$J115)*$G115</f>
        <v>0</v>
      </c>
      <c r="P115" s="24">
        <f t="shared" si="213"/>
        <v>0</v>
      </c>
      <c r="Q115" s="24">
        <f t="shared" si="213"/>
        <v>0</v>
      </c>
      <c r="R115" s="24">
        <f t="shared" si="213"/>
        <v>0</v>
      </c>
      <c r="S115" s="24">
        <f t="shared" si="213"/>
        <v>0</v>
      </c>
      <c r="T115" s="24">
        <f t="shared" si="213"/>
        <v>0</v>
      </c>
      <c r="U115" s="24">
        <f t="shared" si="213"/>
        <v>0</v>
      </c>
      <c r="V115" s="24">
        <f t="shared" si="213"/>
        <v>0</v>
      </c>
      <c r="W115" s="24">
        <f t="shared" si="213"/>
        <v>0</v>
      </c>
      <c r="X115" s="24">
        <f t="shared" si="213"/>
        <v>0</v>
      </c>
      <c r="Y115" s="24">
        <f t="shared" si="213"/>
        <v>0</v>
      </c>
      <c r="Z115" s="24">
        <f t="shared" si="213"/>
        <v>0</v>
      </c>
      <c r="AA115" s="24">
        <f t="shared" si="213"/>
        <v>0</v>
      </c>
      <c r="AB115" s="24">
        <f t="shared" si="213"/>
        <v>0</v>
      </c>
      <c r="AC115" s="24">
        <f t="shared" si="213"/>
        <v>0</v>
      </c>
      <c r="AD115" s="24">
        <f t="shared" si="213"/>
        <v>0</v>
      </c>
      <c r="AE115" s="24">
        <f t="shared" si="213"/>
        <v>0</v>
      </c>
      <c r="AF115" s="24">
        <f t="shared" si="213"/>
        <v>0</v>
      </c>
      <c r="AG115" s="24">
        <f t="shared" si="213"/>
        <v>0</v>
      </c>
      <c r="AH115" s="24">
        <f t="shared" si="213"/>
        <v>0</v>
      </c>
      <c r="AI115" s="24">
        <f t="shared" si="213"/>
        <v>0</v>
      </c>
      <c r="AJ115" s="24">
        <f t="shared" si="213"/>
        <v>0</v>
      </c>
      <c r="AK115" s="24">
        <f t="shared" si="213"/>
        <v>0</v>
      </c>
      <c r="AL115" s="24">
        <f t="shared" si="213"/>
        <v>0</v>
      </c>
      <c r="AM115" s="24">
        <f t="shared" si="213"/>
        <v>0</v>
      </c>
      <c r="AN115" s="24">
        <f t="shared" si="213"/>
        <v>0</v>
      </c>
      <c r="AO115" s="24">
        <f t="shared" si="213"/>
        <v>0</v>
      </c>
      <c r="AP115" s="24">
        <f t="shared" si="213"/>
        <v>0</v>
      </c>
      <c r="AQ115" s="24">
        <f t="shared" si="213"/>
        <v>0</v>
      </c>
      <c r="AR115" s="24">
        <f t="shared" si="213"/>
        <v>0</v>
      </c>
      <c r="AS115" s="24">
        <f t="shared" si="213"/>
        <v>0</v>
      </c>
      <c r="AT115" s="24">
        <f t="shared" si="213"/>
        <v>0</v>
      </c>
      <c r="AU115" s="24">
        <f t="shared" si="213"/>
        <v>0</v>
      </c>
      <c r="AV115" s="24">
        <f t="shared" si="213"/>
        <v>0</v>
      </c>
      <c r="AW115" s="24">
        <f t="shared" si="213"/>
        <v>0</v>
      </c>
      <c r="AX115" s="24">
        <f t="shared" si="213"/>
        <v>0</v>
      </c>
      <c r="AY115" s="24">
        <f t="shared" si="213"/>
        <v>0</v>
      </c>
      <c r="AZ115" s="24">
        <f t="shared" si="213"/>
        <v>0</v>
      </c>
      <c r="BA115" s="24">
        <f t="shared" si="213"/>
        <v>0</v>
      </c>
      <c r="BB115" s="24">
        <f t="shared" si="213"/>
        <v>0</v>
      </c>
      <c r="BC115" s="24">
        <f t="shared" si="213"/>
        <v>0</v>
      </c>
      <c r="BD115" s="24">
        <f t="shared" si="213"/>
        <v>0</v>
      </c>
      <c r="BE115" s="24">
        <f t="shared" si="213"/>
        <v>0</v>
      </c>
      <c r="BF115" s="24">
        <f t="shared" si="213"/>
        <v>0</v>
      </c>
      <c r="BG115" s="24">
        <f t="shared" si="213"/>
        <v>0</v>
      </c>
      <c r="BH115" s="24">
        <f t="shared" si="213"/>
        <v>0</v>
      </c>
      <c r="BI115" s="24">
        <f t="shared" si="213"/>
        <v>5</v>
      </c>
      <c r="BJ115" s="24">
        <f t="shared" si="213"/>
        <v>5</v>
      </c>
      <c r="BK115" s="24">
        <f t="shared" si="213"/>
        <v>5</v>
      </c>
      <c r="BL115" s="24">
        <f t="shared" si="213"/>
        <v>0</v>
      </c>
      <c r="BM115" s="24">
        <f t="shared" si="213"/>
        <v>0</v>
      </c>
      <c r="BN115" s="24">
        <f t="shared" si="213"/>
        <v>0</v>
      </c>
      <c r="BO115" s="24">
        <f t="shared" si="213"/>
        <v>0</v>
      </c>
      <c r="BP115" s="24">
        <f t="shared" si="213"/>
        <v>0</v>
      </c>
      <c r="BQ115" s="24">
        <f t="shared" si="213"/>
        <v>0</v>
      </c>
    </row>
    <row r="116" spans="1:69" s="32" customFormat="1" ht="13.5" customHeight="1">
      <c r="A116" s="1"/>
      <c r="B116" s="1"/>
      <c r="C116" s="31"/>
      <c r="D116" s="101" t="s">
        <v>269</v>
      </c>
      <c r="E116" s="102"/>
      <c r="F116" s="102">
        <f ca="1">I116*H116</f>
        <v>3674.384470913044</v>
      </c>
      <c r="G116" s="102" t="s">
        <v>334</v>
      </c>
      <c r="H116" s="263">
        <v>5.0000000000000001E-3</v>
      </c>
      <c r="I116" s="264">
        <f ca="1">'A&amp;R'!W24</f>
        <v>734876.89418260881</v>
      </c>
      <c r="J116" s="102" t="s">
        <v>335</v>
      </c>
      <c r="K116" s="102"/>
      <c r="L116" s="103"/>
      <c r="M116" s="102">
        <f ca="1">SUM(N116:XFD116)</f>
        <v>3674.384470913044</v>
      </c>
      <c r="N116" s="102"/>
      <c r="O116" s="102">
        <f ca="1">$F$116*분양매출!I34</f>
        <v>0</v>
      </c>
      <c r="P116" s="102">
        <f ca="1">$F$116*분양매출!J34</f>
        <v>0</v>
      </c>
      <c r="Q116" s="102">
        <f ca="1">$F$116*분양매출!K34</f>
        <v>0</v>
      </c>
      <c r="R116" s="102">
        <f ca="1">$F$116*분양매출!L34</f>
        <v>0</v>
      </c>
      <c r="S116" s="102">
        <f ca="1">$F$116*분양매출!M34</f>
        <v>0</v>
      </c>
      <c r="T116" s="102">
        <f ca="1">$F$116*분양매출!N34</f>
        <v>0</v>
      </c>
      <c r="U116" s="102">
        <f ca="1">$F$116*분양매출!O34</f>
        <v>0</v>
      </c>
      <c r="V116" s="102">
        <f ca="1">$F$116*분양매출!P34</f>
        <v>0</v>
      </c>
      <c r="W116" s="102">
        <f ca="1">$F$116*분양매출!Q34</f>
        <v>0</v>
      </c>
      <c r="X116" s="102">
        <f ca="1">$F$116*분양매출!R34</f>
        <v>0</v>
      </c>
      <c r="Y116" s="102">
        <f ca="1">$F$116*분양매출!S34</f>
        <v>0</v>
      </c>
      <c r="Z116" s="102">
        <f ca="1">$F$116*분양매출!T34</f>
        <v>0</v>
      </c>
      <c r="AA116" s="102">
        <f ca="1">$F$116*분양매출!U34</f>
        <v>0</v>
      </c>
      <c r="AB116" s="102">
        <f ca="1">$F$116*분양매출!V34</f>
        <v>0</v>
      </c>
      <c r="AC116" s="102">
        <f ca="1">$F$116*분양매출!W34</f>
        <v>0</v>
      </c>
      <c r="AD116" s="102">
        <f ca="1">$F$116*분양매출!X34</f>
        <v>0</v>
      </c>
      <c r="AE116" s="102">
        <f ca="1">$F$116*분양매출!Y34</f>
        <v>29.243117465942028</v>
      </c>
      <c r="AF116" s="102">
        <f ca="1">$F$116*분양매출!Z34</f>
        <v>29.243117465942028</v>
      </c>
      <c r="AG116" s="102">
        <f ca="1">$F$116*분양매출!AA34</f>
        <v>29.243117465942028</v>
      </c>
      <c r="AH116" s="102">
        <f ca="1">$F$116*분양매출!AB34</f>
        <v>146.21558732971013</v>
      </c>
      <c r="AI116" s="102">
        <f ca="1">$F$116*분양매출!AC34</f>
        <v>58.486234931884056</v>
      </c>
      <c r="AJ116" s="102">
        <f ca="1">$F$116*분양매출!AD34</f>
        <v>58.486234931884056</v>
      </c>
      <c r="AK116" s="102">
        <f ca="1">$F$116*분양매출!AE34</f>
        <v>263.18805719347819</v>
      </c>
      <c r="AL116" s="102">
        <f ca="1">$F$116*분양매출!AF34</f>
        <v>87.729352397826091</v>
      </c>
      <c r="AM116" s="102">
        <f ca="1">$F$116*분양매출!AG34</f>
        <v>87.729352397826091</v>
      </c>
      <c r="AN116" s="102">
        <f ca="1">$F$116*분양매출!AH34</f>
        <v>380.16052705724638</v>
      </c>
      <c r="AO116" s="102">
        <f ca="1">$F$116*분양매출!AI34</f>
        <v>116.97246986376811</v>
      </c>
      <c r="AP116" s="102">
        <f ca="1">$F$116*분양매출!AJ34</f>
        <v>116.97246986376811</v>
      </c>
      <c r="AQ116" s="102">
        <f ca="1">$F$116*분양매출!AK34</f>
        <v>350.91740959130436</v>
      </c>
      <c r="AR116" s="102">
        <f ca="1">$F$116*분양매출!AL34</f>
        <v>0</v>
      </c>
      <c r="AS116" s="102">
        <f ca="1">$F$116*분양매출!AM34</f>
        <v>0</v>
      </c>
      <c r="AT116" s="102">
        <f ca="1">$F$116*분양매출!AN34</f>
        <v>350.91740959130436</v>
      </c>
      <c r="AU116" s="102">
        <f ca="1">$F$116*분양매출!AO34</f>
        <v>0</v>
      </c>
      <c r="AV116" s="102">
        <f ca="1">$F$116*분양매출!AP34</f>
        <v>0</v>
      </c>
      <c r="AW116" s="102">
        <f ca="1">$F$116*분양매출!AQ34</f>
        <v>350.91740959130436</v>
      </c>
      <c r="AX116" s="102">
        <f ca="1">$F$116*분양매출!AR34</f>
        <v>0</v>
      </c>
      <c r="AY116" s="102">
        <f ca="1">$F$116*분양매출!AS34</f>
        <v>0</v>
      </c>
      <c r="AZ116" s="102">
        <f ca="1">$F$116*분양매출!AT34</f>
        <v>0</v>
      </c>
      <c r="BA116" s="102">
        <f ca="1">$F$116*분양매출!AU34</f>
        <v>0</v>
      </c>
      <c r="BB116" s="102">
        <f ca="1">$F$116*분양매출!AV34</f>
        <v>0</v>
      </c>
      <c r="BC116" s="102">
        <f ca="1">$F$116*분양매출!AW34</f>
        <v>0</v>
      </c>
      <c r="BD116" s="102">
        <f ca="1">$F$116*분양매출!AX34</f>
        <v>0</v>
      </c>
      <c r="BE116" s="102">
        <f ca="1">$F$116*분양매출!AY34</f>
        <v>0</v>
      </c>
      <c r="BF116" s="102">
        <f ca="1">$F$116*분양매출!AZ34</f>
        <v>0</v>
      </c>
      <c r="BG116" s="102">
        <f ca="1">$F$116*분양매출!BA34</f>
        <v>0</v>
      </c>
      <c r="BH116" s="102">
        <f ca="1">$F$116*분양매출!BB34</f>
        <v>0</v>
      </c>
      <c r="BI116" s="102">
        <f ca="1">$F$116*분양매출!BC34</f>
        <v>5.5070124999999974</v>
      </c>
      <c r="BJ116" s="102">
        <f ca="1">$F$116*분양매출!BD34</f>
        <v>16.521037499999991</v>
      </c>
      <c r="BK116" s="102">
        <f ca="1">$F$116*분양매출!BE34</f>
        <v>27.535062499999992</v>
      </c>
      <c r="BL116" s="102">
        <f ca="1">$F$116*분양매출!BF34</f>
        <v>16.521037499999995</v>
      </c>
      <c r="BM116" s="102">
        <f ca="1">$F$116*분양매출!BG34</f>
        <v>1151.878453773913</v>
      </c>
      <c r="BN116" s="102">
        <f ca="1">$F$116*분양매출!BH34</f>
        <v>0</v>
      </c>
      <c r="BO116" s="102">
        <f ca="1">$F$116*분양매출!BI34</f>
        <v>0</v>
      </c>
      <c r="BP116" s="102">
        <f ca="1">$F$116*분양매출!BJ34</f>
        <v>0</v>
      </c>
      <c r="BQ116" s="102">
        <f ca="1">$F$116*분양매출!BK34</f>
        <v>0</v>
      </c>
    </row>
    <row r="117" spans="1:69" s="32" customFormat="1" ht="13.5" customHeight="1">
      <c r="A117" s="1"/>
      <c r="B117" s="1"/>
      <c r="C117" s="31"/>
      <c r="D117" s="31" t="s">
        <v>270</v>
      </c>
      <c r="F117" s="32">
        <f ca="1">F118+F119</f>
        <v>8670.4519418260879</v>
      </c>
      <c r="L117" s="42"/>
      <c r="M117" s="32">
        <f ca="1">SUM(N117:XFD117)</f>
        <v>8670.4519418260879</v>
      </c>
      <c r="O117" s="32">
        <f ca="1">SUM(O118:O119)</f>
        <v>0</v>
      </c>
      <c r="P117" s="32">
        <f t="shared" ref="P117:BQ117" ca="1" si="214">SUM(P118:P119)</f>
        <v>0</v>
      </c>
      <c r="Q117" s="32">
        <f t="shared" ca="1" si="214"/>
        <v>0</v>
      </c>
      <c r="R117" s="32">
        <f t="shared" ca="1" si="214"/>
        <v>0</v>
      </c>
      <c r="S117" s="32">
        <f t="shared" ca="1" si="214"/>
        <v>0</v>
      </c>
      <c r="T117" s="32">
        <f t="shared" ca="1" si="214"/>
        <v>0</v>
      </c>
      <c r="U117" s="32">
        <f t="shared" ca="1" si="214"/>
        <v>0</v>
      </c>
      <c r="V117" s="32">
        <f t="shared" ca="1" si="214"/>
        <v>0</v>
      </c>
      <c r="W117" s="32">
        <f t="shared" ca="1" si="214"/>
        <v>0</v>
      </c>
      <c r="X117" s="32">
        <f t="shared" ca="1" si="214"/>
        <v>0</v>
      </c>
      <c r="Y117" s="32">
        <f t="shared" ca="1" si="214"/>
        <v>0</v>
      </c>
      <c r="Z117" s="32">
        <f t="shared" ca="1" si="214"/>
        <v>0</v>
      </c>
      <c r="AA117" s="32">
        <f t="shared" ca="1" si="214"/>
        <v>0</v>
      </c>
      <c r="AB117" s="32">
        <f t="shared" ca="1" si="214"/>
        <v>0</v>
      </c>
      <c r="AC117" s="32">
        <f t="shared" ca="1" si="214"/>
        <v>0</v>
      </c>
      <c r="AD117" s="32">
        <f t="shared" ca="1" si="214"/>
        <v>0</v>
      </c>
      <c r="AE117" s="32">
        <f t="shared" ca="1" si="214"/>
        <v>584.86234931884064</v>
      </c>
      <c r="AF117" s="32">
        <f t="shared" ca="1" si="214"/>
        <v>584.86234931884064</v>
      </c>
      <c r="AG117" s="32">
        <f t="shared" ca="1" si="214"/>
        <v>584.86234931884064</v>
      </c>
      <c r="AH117" s="32">
        <f t="shared" ca="1" si="214"/>
        <v>584.86234931884064</v>
      </c>
      <c r="AI117" s="32">
        <f t="shared" ca="1" si="214"/>
        <v>584.86234931884064</v>
      </c>
      <c r="AJ117" s="32">
        <f t="shared" ca="1" si="214"/>
        <v>584.86234931884064</v>
      </c>
      <c r="AK117" s="32">
        <f t="shared" ca="1" si="214"/>
        <v>584.86234931884064</v>
      </c>
      <c r="AL117" s="32">
        <f t="shared" ca="1" si="214"/>
        <v>584.86234931884064</v>
      </c>
      <c r="AM117" s="32">
        <f t="shared" ca="1" si="214"/>
        <v>584.86234931884064</v>
      </c>
      <c r="AN117" s="32">
        <f t="shared" ca="1" si="214"/>
        <v>584.86234931884064</v>
      </c>
      <c r="AO117" s="32">
        <f t="shared" ca="1" si="214"/>
        <v>584.86234931884064</v>
      </c>
      <c r="AP117" s="32">
        <f t="shared" ca="1" si="214"/>
        <v>584.86234931884064</v>
      </c>
      <c r="AQ117" s="32">
        <f t="shared" ca="1" si="214"/>
        <v>0</v>
      </c>
      <c r="AR117" s="32">
        <f t="shared" ca="1" si="214"/>
        <v>0</v>
      </c>
      <c r="AS117" s="32">
        <f t="shared" ca="1" si="214"/>
        <v>0</v>
      </c>
      <c r="AT117" s="32">
        <f t="shared" ca="1" si="214"/>
        <v>0</v>
      </c>
      <c r="AU117" s="32">
        <f t="shared" ca="1" si="214"/>
        <v>0</v>
      </c>
      <c r="AV117" s="32">
        <f t="shared" ca="1" si="214"/>
        <v>0</v>
      </c>
      <c r="AW117" s="32">
        <f t="shared" ca="1" si="214"/>
        <v>0</v>
      </c>
      <c r="AX117" s="32">
        <f t="shared" ca="1" si="214"/>
        <v>0</v>
      </c>
      <c r="AY117" s="32">
        <f t="shared" ca="1" si="214"/>
        <v>0</v>
      </c>
      <c r="AZ117" s="32">
        <f t="shared" ca="1" si="214"/>
        <v>0</v>
      </c>
      <c r="BA117" s="32">
        <f t="shared" ca="1" si="214"/>
        <v>0</v>
      </c>
      <c r="BB117" s="32">
        <f t="shared" ca="1" si="214"/>
        <v>0</v>
      </c>
      <c r="BC117" s="32">
        <f t="shared" ca="1" si="214"/>
        <v>0</v>
      </c>
      <c r="BD117" s="32">
        <f t="shared" ca="1" si="214"/>
        <v>0</v>
      </c>
      <c r="BE117" s="32">
        <f t="shared" ca="1" si="214"/>
        <v>0</v>
      </c>
      <c r="BF117" s="32">
        <f t="shared" ca="1" si="214"/>
        <v>0</v>
      </c>
      <c r="BG117" s="32">
        <f t="shared" ca="1" si="214"/>
        <v>0</v>
      </c>
      <c r="BH117" s="32">
        <f t="shared" ca="1" si="214"/>
        <v>0</v>
      </c>
      <c r="BI117" s="32">
        <f t="shared" ca="1" si="214"/>
        <v>550.70124999999996</v>
      </c>
      <c r="BJ117" s="32">
        <f t="shared" ca="1" si="214"/>
        <v>550.70124999999996</v>
      </c>
      <c r="BK117" s="32">
        <f t="shared" ca="1" si="214"/>
        <v>550.70124999999996</v>
      </c>
      <c r="BL117" s="32">
        <f t="shared" ca="1" si="214"/>
        <v>0</v>
      </c>
      <c r="BM117" s="32">
        <f t="shared" ca="1" si="214"/>
        <v>0</v>
      </c>
      <c r="BN117" s="32">
        <f t="shared" ca="1" si="214"/>
        <v>0</v>
      </c>
      <c r="BO117" s="32">
        <f t="shared" ca="1" si="214"/>
        <v>0</v>
      </c>
      <c r="BP117" s="32">
        <f t="shared" ca="1" si="214"/>
        <v>0</v>
      </c>
      <c r="BQ117" s="32">
        <f t="shared" ca="1" si="214"/>
        <v>0</v>
      </c>
    </row>
    <row r="118" spans="1:69" s="22" customFormat="1" ht="13.5" customHeight="1">
      <c r="A118" s="1"/>
      <c r="B118" s="1"/>
      <c r="C118" s="31"/>
      <c r="D118" s="31"/>
      <c r="E118" s="30" t="str">
        <f>E114</f>
        <v>공동주택</v>
      </c>
      <c r="F118" s="22">
        <f ca="1">I118*J118</f>
        <v>7018.3481918260886</v>
      </c>
      <c r="G118" s="22" t="s">
        <v>336</v>
      </c>
      <c r="I118" s="105">
        <v>0.01</v>
      </c>
      <c r="J118" s="158">
        <f ca="1">'A&amp;R'!W17</f>
        <v>701834.81918260886</v>
      </c>
      <c r="K118" s="22" t="s">
        <v>338</v>
      </c>
      <c r="L118" s="43"/>
      <c r="M118" s="22">
        <f ca="1">SUM(N118:XFD118)</f>
        <v>7018.3481918260877</v>
      </c>
      <c r="O118" s="22">
        <f ca="1">$F$118*분양매출!I10</f>
        <v>0</v>
      </c>
      <c r="P118" s="22">
        <f ca="1">$F$118*분양매출!J10</f>
        <v>0</v>
      </c>
      <c r="Q118" s="22">
        <f ca="1">$F$118*분양매출!K10</f>
        <v>0</v>
      </c>
      <c r="R118" s="22">
        <f ca="1">$F$118*분양매출!L10</f>
        <v>0</v>
      </c>
      <c r="S118" s="22">
        <f ca="1">$F$118*분양매출!M10</f>
        <v>0</v>
      </c>
      <c r="T118" s="22">
        <f ca="1">$F$118*분양매출!N10</f>
        <v>0</v>
      </c>
      <c r="U118" s="22">
        <f ca="1">$F$118*분양매출!O10</f>
        <v>0</v>
      </c>
      <c r="V118" s="22">
        <f ca="1">$F$118*분양매출!P10</f>
        <v>0</v>
      </c>
      <c r="W118" s="22">
        <f ca="1">$F$118*분양매출!Q10</f>
        <v>0</v>
      </c>
      <c r="X118" s="22">
        <f ca="1">$F$118*분양매출!R10</f>
        <v>0</v>
      </c>
      <c r="Y118" s="22">
        <f ca="1">$F$118*분양매출!S10</f>
        <v>0</v>
      </c>
      <c r="Z118" s="22">
        <f ca="1">$F$118*분양매출!T10</f>
        <v>0</v>
      </c>
      <c r="AA118" s="22">
        <f ca="1">$F$118*분양매출!U10</f>
        <v>0</v>
      </c>
      <c r="AB118" s="22">
        <f ca="1">$F$118*분양매출!V10</f>
        <v>0</v>
      </c>
      <c r="AC118" s="22">
        <f ca="1">$F$118*분양매출!W10</f>
        <v>0</v>
      </c>
      <c r="AD118" s="22">
        <f ca="1">$F$118*분양매출!X10</f>
        <v>0</v>
      </c>
      <c r="AE118" s="22">
        <f ca="1">$F$118*분양매출!Y10</f>
        <v>584.86234931884064</v>
      </c>
      <c r="AF118" s="22">
        <f ca="1">$F$118*분양매출!Z10</f>
        <v>584.86234931884064</v>
      </c>
      <c r="AG118" s="22">
        <f ca="1">$F$118*분양매출!AA10</f>
        <v>584.86234931884064</v>
      </c>
      <c r="AH118" s="22">
        <f ca="1">$F$118*분양매출!AB10</f>
        <v>584.86234931884064</v>
      </c>
      <c r="AI118" s="22">
        <f ca="1">$F$118*분양매출!AC10</f>
        <v>584.86234931884064</v>
      </c>
      <c r="AJ118" s="22">
        <f ca="1">$F$118*분양매출!AD10</f>
        <v>584.86234931884064</v>
      </c>
      <c r="AK118" s="22">
        <f ca="1">$F$118*분양매출!AE10</f>
        <v>584.86234931884064</v>
      </c>
      <c r="AL118" s="22">
        <f ca="1">$F$118*분양매출!AF10</f>
        <v>584.86234931884064</v>
      </c>
      <c r="AM118" s="22">
        <f ca="1">$F$118*분양매출!AG10</f>
        <v>584.86234931884064</v>
      </c>
      <c r="AN118" s="22">
        <f ca="1">$F$118*분양매출!AH10</f>
        <v>584.86234931884064</v>
      </c>
      <c r="AO118" s="22">
        <f ca="1">$F$118*분양매출!AI10</f>
        <v>584.86234931884064</v>
      </c>
      <c r="AP118" s="22">
        <f ca="1">$F$118*분양매출!AJ10</f>
        <v>584.86234931884064</v>
      </c>
      <c r="AQ118" s="22">
        <f ca="1">$F$118*분양매출!AK10</f>
        <v>0</v>
      </c>
      <c r="AR118" s="22">
        <f ca="1">$F$118*분양매출!AL10</f>
        <v>0</v>
      </c>
      <c r="AS118" s="22">
        <f ca="1">$F$118*분양매출!AM10</f>
        <v>0</v>
      </c>
      <c r="AT118" s="22">
        <f ca="1">$F$118*분양매출!AN10</f>
        <v>0</v>
      </c>
      <c r="AU118" s="22">
        <f ca="1">$F$118*분양매출!AO10</f>
        <v>0</v>
      </c>
      <c r="AV118" s="22">
        <f ca="1">$F$118*분양매출!AP10</f>
        <v>0</v>
      </c>
      <c r="AW118" s="22">
        <f ca="1">$F$118*분양매출!AQ10</f>
        <v>0</v>
      </c>
      <c r="AX118" s="22">
        <f ca="1">$F$118*분양매출!AR10</f>
        <v>0</v>
      </c>
      <c r="AY118" s="22">
        <f ca="1">$F$118*분양매출!AS10</f>
        <v>0</v>
      </c>
      <c r="AZ118" s="22">
        <f ca="1">$F$118*분양매출!AT10</f>
        <v>0</v>
      </c>
      <c r="BA118" s="22">
        <f ca="1">$F$118*분양매출!AU10</f>
        <v>0</v>
      </c>
      <c r="BB118" s="22">
        <f ca="1">$F$118*분양매출!AV10</f>
        <v>0</v>
      </c>
      <c r="BC118" s="22">
        <f ca="1">$F$118*분양매출!AW10</f>
        <v>0</v>
      </c>
      <c r="BD118" s="22">
        <f ca="1">$F$118*분양매출!AX10</f>
        <v>0</v>
      </c>
      <c r="BE118" s="22">
        <f ca="1">$F$118*분양매출!AY10</f>
        <v>0</v>
      </c>
      <c r="BF118" s="22">
        <f ca="1">$F$118*분양매출!AZ10</f>
        <v>0</v>
      </c>
      <c r="BG118" s="22">
        <f ca="1">$F$118*분양매출!BA10</f>
        <v>0</v>
      </c>
      <c r="BH118" s="22">
        <f ca="1">$F$118*분양매출!BB10</f>
        <v>0</v>
      </c>
      <c r="BI118" s="22">
        <f ca="1">$F$118*분양매출!BC10</f>
        <v>0</v>
      </c>
      <c r="BJ118" s="22">
        <f ca="1">$F$118*분양매출!BD10</f>
        <v>0</v>
      </c>
      <c r="BK118" s="22">
        <f ca="1">$F$118*분양매출!BE10</f>
        <v>0</v>
      </c>
      <c r="BL118" s="22">
        <f ca="1">$F$118*분양매출!BF10</f>
        <v>0</v>
      </c>
      <c r="BM118" s="22">
        <f ca="1">$F$118*분양매출!BG10</f>
        <v>0</v>
      </c>
      <c r="BN118" s="22">
        <f ca="1">$F$118*분양매출!BH10</f>
        <v>0</v>
      </c>
      <c r="BO118" s="22">
        <f ca="1">$F$118*분양매출!BI10</f>
        <v>0</v>
      </c>
      <c r="BP118" s="22">
        <f ca="1">$F$118*분양매출!BJ10</f>
        <v>0</v>
      </c>
      <c r="BQ118" s="22">
        <f ca="1">$F$118*분양매출!BK10</f>
        <v>0</v>
      </c>
    </row>
    <row r="119" spans="1:69" s="24" customFormat="1" ht="13.5" customHeight="1">
      <c r="A119" s="1"/>
      <c r="B119" s="1"/>
      <c r="C119" s="31"/>
      <c r="D119" s="54"/>
      <c r="E119" s="33" t="str">
        <f t="shared" ref="E119" si="215">E115</f>
        <v>근린생활시설</v>
      </c>
      <c r="F119" s="24">
        <f t="shared" ref="F119" si="216">I119*J119</f>
        <v>1652.10375</v>
      </c>
      <c r="G119" s="24" t="s">
        <v>337</v>
      </c>
      <c r="I119" s="107">
        <v>0.05</v>
      </c>
      <c r="J119" s="150">
        <f>'A&amp;R'!W23</f>
        <v>33042.074999999997</v>
      </c>
      <c r="K119" s="24" t="s">
        <v>338</v>
      </c>
      <c r="L119" s="44"/>
      <c r="M119" s="24">
        <f t="shared" ref="M119" si="217">SUM(N119:XFD119)</f>
        <v>1652.1037499999998</v>
      </c>
      <c r="O119" s="24">
        <f>$F$119*분양매출!I22</f>
        <v>0</v>
      </c>
      <c r="P119" s="24">
        <f>$F$119*분양매출!J22</f>
        <v>0</v>
      </c>
      <c r="Q119" s="24">
        <f>$F$119*분양매출!K22</f>
        <v>0</v>
      </c>
      <c r="R119" s="24">
        <f>$F$119*분양매출!L22</f>
        <v>0</v>
      </c>
      <c r="S119" s="24">
        <f>$F$119*분양매출!M22</f>
        <v>0</v>
      </c>
      <c r="T119" s="24">
        <f>$F$119*분양매출!N22</f>
        <v>0</v>
      </c>
      <c r="U119" s="24">
        <f>$F$119*분양매출!O22</f>
        <v>0</v>
      </c>
      <c r="V119" s="24">
        <f>$F$119*분양매출!P22</f>
        <v>0</v>
      </c>
      <c r="W119" s="24">
        <f>$F$119*분양매출!Q22</f>
        <v>0</v>
      </c>
      <c r="X119" s="24">
        <f>$F$119*분양매출!R22</f>
        <v>0</v>
      </c>
      <c r="Y119" s="24">
        <f>$F$119*분양매출!S22</f>
        <v>0</v>
      </c>
      <c r="Z119" s="24">
        <f>$F$119*분양매출!T22</f>
        <v>0</v>
      </c>
      <c r="AA119" s="24">
        <f>$F$119*분양매출!U22</f>
        <v>0</v>
      </c>
      <c r="AB119" s="24">
        <f>$F$119*분양매출!V22</f>
        <v>0</v>
      </c>
      <c r="AC119" s="24">
        <f>$F$119*분양매출!W22</f>
        <v>0</v>
      </c>
      <c r="AD119" s="24">
        <f>$F$119*분양매출!X22</f>
        <v>0</v>
      </c>
      <c r="AE119" s="24">
        <f>$F$119*분양매출!Y22</f>
        <v>0</v>
      </c>
      <c r="AF119" s="24">
        <f>$F$119*분양매출!Z22</f>
        <v>0</v>
      </c>
      <c r="AG119" s="24">
        <f>$F$119*분양매출!AA22</f>
        <v>0</v>
      </c>
      <c r="AH119" s="24">
        <f>$F$119*분양매출!AB22</f>
        <v>0</v>
      </c>
      <c r="AI119" s="24">
        <f>$F$119*분양매출!AC22</f>
        <v>0</v>
      </c>
      <c r="AJ119" s="24">
        <f>$F$119*분양매출!AD22</f>
        <v>0</v>
      </c>
      <c r="AK119" s="24">
        <f>$F$119*분양매출!AE22</f>
        <v>0</v>
      </c>
      <c r="AL119" s="24">
        <f>$F$119*분양매출!AF22</f>
        <v>0</v>
      </c>
      <c r="AM119" s="24">
        <f>$F$119*분양매출!AG22</f>
        <v>0</v>
      </c>
      <c r="AN119" s="24">
        <f>$F$119*분양매출!AH22</f>
        <v>0</v>
      </c>
      <c r="AO119" s="24">
        <f>$F$119*분양매출!AI22</f>
        <v>0</v>
      </c>
      <c r="AP119" s="24">
        <f>$F$119*분양매출!AJ22</f>
        <v>0</v>
      </c>
      <c r="AQ119" s="24">
        <f>$F$119*분양매출!AK22</f>
        <v>0</v>
      </c>
      <c r="AR119" s="24">
        <f>$F$119*분양매출!AL22</f>
        <v>0</v>
      </c>
      <c r="AS119" s="24">
        <f>$F$119*분양매출!AM22</f>
        <v>0</v>
      </c>
      <c r="AT119" s="24">
        <f>$F$119*분양매출!AN22</f>
        <v>0</v>
      </c>
      <c r="AU119" s="24">
        <f>$F$119*분양매출!AO22</f>
        <v>0</v>
      </c>
      <c r="AV119" s="24">
        <f>$F$119*분양매출!AP22</f>
        <v>0</v>
      </c>
      <c r="AW119" s="24">
        <f>$F$119*분양매출!AQ22</f>
        <v>0</v>
      </c>
      <c r="AX119" s="24">
        <f>$F$119*분양매출!AR22</f>
        <v>0</v>
      </c>
      <c r="AY119" s="24">
        <f>$F$119*분양매출!AS22</f>
        <v>0</v>
      </c>
      <c r="AZ119" s="24">
        <f>$F$119*분양매출!AT22</f>
        <v>0</v>
      </c>
      <c r="BA119" s="24">
        <f>$F$119*분양매출!AU22</f>
        <v>0</v>
      </c>
      <c r="BB119" s="24">
        <f>$F$119*분양매출!AV22</f>
        <v>0</v>
      </c>
      <c r="BC119" s="24">
        <f>$F$119*분양매출!AW22</f>
        <v>0</v>
      </c>
      <c r="BD119" s="24">
        <f>$F$119*분양매출!AX22</f>
        <v>0</v>
      </c>
      <c r="BE119" s="24">
        <f>$F$119*분양매출!AY22</f>
        <v>0</v>
      </c>
      <c r="BF119" s="24">
        <f>$F$119*분양매출!AZ22</f>
        <v>0</v>
      </c>
      <c r="BG119" s="24">
        <f>$F$119*분양매출!BA22</f>
        <v>0</v>
      </c>
      <c r="BH119" s="24">
        <f>$F$119*분양매출!BB22</f>
        <v>0</v>
      </c>
      <c r="BI119" s="24">
        <f>$F$119*분양매출!BC22</f>
        <v>550.70124999999996</v>
      </c>
      <c r="BJ119" s="24">
        <f>$F$119*분양매출!BD22</f>
        <v>550.70124999999996</v>
      </c>
      <c r="BK119" s="24">
        <f>$F$119*분양매출!BE22</f>
        <v>550.70124999999996</v>
      </c>
      <c r="BL119" s="24">
        <f>$F$119*분양매출!BF22</f>
        <v>0</v>
      </c>
      <c r="BM119" s="24">
        <f>$F$119*분양매출!BG22</f>
        <v>0</v>
      </c>
      <c r="BN119" s="24">
        <f>$F$119*분양매출!BH22</f>
        <v>0</v>
      </c>
      <c r="BO119" s="24">
        <f>$F$119*분양매출!BI22</f>
        <v>0</v>
      </c>
      <c r="BP119" s="24">
        <f>$F$119*분양매출!BJ22</f>
        <v>0</v>
      </c>
      <c r="BQ119" s="24">
        <f>$F$119*분양매출!BK22</f>
        <v>0</v>
      </c>
    </row>
    <row r="120" spans="1:69" s="32" customFormat="1" ht="13.5" customHeight="1">
      <c r="A120" s="1"/>
      <c r="B120" s="1"/>
      <c r="C120" s="31"/>
      <c r="D120" s="31" t="s">
        <v>271</v>
      </c>
      <c r="F120" s="32">
        <f ca="1">F127+F129</f>
        <v>2414.6922339567409</v>
      </c>
      <c r="L120" s="42"/>
      <c r="M120" s="32">
        <f ca="1">SUM(N120:XFD120)</f>
        <v>2414.6922339567409</v>
      </c>
      <c r="O120" s="32">
        <f ca="1">O127+O129</f>
        <v>0</v>
      </c>
      <c r="P120" s="32">
        <f t="shared" ref="P120:BQ120" ca="1" si="218">P127+P129</f>
        <v>0</v>
      </c>
      <c r="Q120" s="32">
        <f t="shared" ca="1" si="218"/>
        <v>0</v>
      </c>
      <c r="R120" s="32">
        <f t="shared" ca="1" si="218"/>
        <v>0</v>
      </c>
      <c r="S120" s="32">
        <f t="shared" ca="1" si="218"/>
        <v>0</v>
      </c>
      <c r="T120" s="32">
        <f t="shared" ca="1" si="218"/>
        <v>0</v>
      </c>
      <c r="U120" s="32">
        <f t="shared" ca="1" si="218"/>
        <v>0</v>
      </c>
      <c r="V120" s="32">
        <f t="shared" ca="1" si="218"/>
        <v>0</v>
      </c>
      <c r="W120" s="32">
        <f t="shared" ca="1" si="218"/>
        <v>0</v>
      </c>
      <c r="X120" s="32">
        <f t="shared" ca="1" si="218"/>
        <v>0</v>
      </c>
      <c r="Y120" s="32">
        <f t="shared" ca="1" si="218"/>
        <v>0</v>
      </c>
      <c r="Z120" s="32">
        <f t="shared" ca="1" si="218"/>
        <v>0</v>
      </c>
      <c r="AA120" s="32">
        <f t="shared" ca="1" si="218"/>
        <v>0</v>
      </c>
      <c r="AB120" s="32">
        <f t="shared" ca="1" si="218"/>
        <v>0</v>
      </c>
      <c r="AC120" s="32">
        <f t="shared" ca="1" si="218"/>
        <v>0</v>
      </c>
      <c r="AD120" s="32">
        <f t="shared" ca="1" si="218"/>
        <v>0</v>
      </c>
      <c r="AE120" s="32">
        <f t="shared" ca="1" si="218"/>
        <v>2414.6922339567409</v>
      </c>
      <c r="AF120" s="32">
        <f t="shared" ca="1" si="218"/>
        <v>0</v>
      </c>
      <c r="AG120" s="32">
        <f t="shared" ca="1" si="218"/>
        <v>0</v>
      </c>
      <c r="AH120" s="32">
        <f t="shared" ca="1" si="218"/>
        <v>0</v>
      </c>
      <c r="AI120" s="32">
        <f t="shared" ca="1" si="218"/>
        <v>0</v>
      </c>
      <c r="AJ120" s="32">
        <f t="shared" ca="1" si="218"/>
        <v>0</v>
      </c>
      <c r="AK120" s="32">
        <f t="shared" ca="1" si="218"/>
        <v>0</v>
      </c>
      <c r="AL120" s="32">
        <f t="shared" ca="1" si="218"/>
        <v>0</v>
      </c>
      <c r="AM120" s="32">
        <f t="shared" ca="1" si="218"/>
        <v>0</v>
      </c>
      <c r="AN120" s="32">
        <f t="shared" ca="1" si="218"/>
        <v>0</v>
      </c>
      <c r="AO120" s="32">
        <f t="shared" ca="1" si="218"/>
        <v>0</v>
      </c>
      <c r="AP120" s="32">
        <f t="shared" ca="1" si="218"/>
        <v>0</v>
      </c>
      <c r="AQ120" s="32">
        <f t="shared" ca="1" si="218"/>
        <v>0</v>
      </c>
      <c r="AR120" s="32">
        <f t="shared" ca="1" si="218"/>
        <v>0</v>
      </c>
      <c r="AS120" s="32">
        <f t="shared" ca="1" si="218"/>
        <v>0</v>
      </c>
      <c r="AT120" s="32">
        <f t="shared" ca="1" si="218"/>
        <v>0</v>
      </c>
      <c r="AU120" s="32">
        <f t="shared" ca="1" si="218"/>
        <v>0</v>
      </c>
      <c r="AV120" s="32">
        <f t="shared" ca="1" si="218"/>
        <v>0</v>
      </c>
      <c r="AW120" s="32">
        <f t="shared" ca="1" si="218"/>
        <v>0</v>
      </c>
      <c r="AX120" s="32">
        <f t="shared" ca="1" si="218"/>
        <v>0</v>
      </c>
      <c r="AY120" s="32">
        <f t="shared" ca="1" si="218"/>
        <v>0</v>
      </c>
      <c r="AZ120" s="32">
        <f t="shared" ca="1" si="218"/>
        <v>0</v>
      </c>
      <c r="BA120" s="32">
        <f t="shared" ca="1" si="218"/>
        <v>0</v>
      </c>
      <c r="BB120" s="32">
        <f t="shared" ca="1" si="218"/>
        <v>0</v>
      </c>
      <c r="BC120" s="32">
        <f t="shared" ca="1" si="218"/>
        <v>0</v>
      </c>
      <c r="BD120" s="32">
        <f t="shared" ca="1" si="218"/>
        <v>0</v>
      </c>
      <c r="BE120" s="32">
        <f t="shared" ca="1" si="218"/>
        <v>0</v>
      </c>
      <c r="BF120" s="32">
        <f t="shared" ca="1" si="218"/>
        <v>0</v>
      </c>
      <c r="BG120" s="32">
        <f t="shared" ca="1" si="218"/>
        <v>0</v>
      </c>
      <c r="BH120" s="32">
        <f t="shared" ca="1" si="218"/>
        <v>0</v>
      </c>
      <c r="BI120" s="32">
        <f t="shared" ca="1" si="218"/>
        <v>0</v>
      </c>
      <c r="BJ120" s="32">
        <f t="shared" ca="1" si="218"/>
        <v>0</v>
      </c>
      <c r="BK120" s="32">
        <f t="shared" ca="1" si="218"/>
        <v>0</v>
      </c>
      <c r="BL120" s="32">
        <f t="shared" ca="1" si="218"/>
        <v>0</v>
      </c>
      <c r="BM120" s="32">
        <f t="shared" ca="1" si="218"/>
        <v>0</v>
      </c>
      <c r="BN120" s="32">
        <f t="shared" ca="1" si="218"/>
        <v>0</v>
      </c>
      <c r="BO120" s="32">
        <f t="shared" ca="1" si="218"/>
        <v>0</v>
      </c>
      <c r="BP120" s="32">
        <f t="shared" ca="1" si="218"/>
        <v>0</v>
      </c>
      <c r="BQ120" s="32">
        <f t="shared" ca="1" si="218"/>
        <v>0</v>
      </c>
    </row>
    <row r="121" spans="1:69" s="158" customFormat="1" ht="13.5" customHeight="1">
      <c r="A121" s="11"/>
      <c r="B121" s="11"/>
      <c r="C121" s="164"/>
      <c r="D121" s="164"/>
      <c r="E121" s="157"/>
      <c r="G121" s="158" t="s">
        <v>343</v>
      </c>
      <c r="K121" s="158">
        <f ca="1">SUM(분양매출!G12:G18)</f>
        <v>491284.37342782633</v>
      </c>
      <c r="L121" s="159"/>
    </row>
    <row r="122" spans="1:69" s="163" customFormat="1" ht="13.5" customHeight="1">
      <c r="A122" s="11"/>
      <c r="B122" s="11"/>
      <c r="C122" s="164"/>
      <c r="D122" s="164"/>
      <c r="E122" s="164"/>
      <c r="G122" s="163" t="s">
        <v>344</v>
      </c>
      <c r="I122" s="266">
        <f>'A&amp;R'!AA12</f>
        <v>44865</v>
      </c>
      <c r="L122" s="265"/>
    </row>
    <row r="123" spans="1:69" s="163" customFormat="1" ht="13.5" customHeight="1">
      <c r="A123" s="11"/>
      <c r="B123" s="11"/>
      <c r="C123" s="164"/>
      <c r="D123" s="164"/>
      <c r="E123" s="164"/>
      <c r="G123" s="163" t="s">
        <v>345</v>
      </c>
      <c r="I123" s="266">
        <f>EOMONTH(준공일,1)</f>
        <v>45930</v>
      </c>
      <c r="L123" s="265"/>
    </row>
    <row r="124" spans="1:69" s="163" customFormat="1" ht="13.5" customHeight="1">
      <c r="A124" s="11"/>
      <c r="B124" s="11"/>
      <c r="C124" s="164"/>
      <c r="D124" s="164"/>
      <c r="E124" s="164"/>
      <c r="G124" s="163" t="s">
        <v>346</v>
      </c>
      <c r="I124" s="267">
        <f>DATEDIF(I122,I123,"d")</f>
        <v>1065</v>
      </c>
      <c r="L124" s="265"/>
    </row>
    <row r="125" spans="1:69" s="163" customFormat="1" ht="13.5" customHeight="1">
      <c r="A125" s="11"/>
      <c r="B125" s="11"/>
      <c r="C125" s="164"/>
      <c r="D125" s="164"/>
      <c r="E125" s="164"/>
      <c r="G125" s="163" t="s">
        <v>294</v>
      </c>
      <c r="I125" s="268">
        <f>AVERAGE('취득원가 및 VAT'!O12:O13)</f>
        <v>0.63304316849247155</v>
      </c>
      <c r="L125" s="265"/>
    </row>
    <row r="126" spans="1:69" s="163" customFormat="1" ht="13.5" customHeight="1">
      <c r="A126" s="11"/>
      <c r="B126" s="11"/>
      <c r="C126" s="164"/>
      <c r="D126" s="164"/>
      <c r="E126" s="164"/>
      <c r="G126" s="163" t="s">
        <v>347</v>
      </c>
      <c r="I126" s="268">
        <f>1-I125</f>
        <v>0.36695683150752845</v>
      </c>
      <c r="L126" s="265"/>
    </row>
    <row r="127" spans="1:69" s="32" customFormat="1" ht="13.5" customHeight="1">
      <c r="A127" s="1"/>
      <c r="B127" s="1"/>
      <c r="C127" s="31"/>
      <c r="D127" s="31"/>
      <c r="E127" s="30" t="s">
        <v>339</v>
      </c>
      <c r="F127" s="22">
        <f ca="1">G128*I128*K128</f>
        <v>699.61048888349592</v>
      </c>
      <c r="G127" s="22" t="s">
        <v>341</v>
      </c>
      <c r="H127" s="22"/>
      <c r="I127" s="22"/>
      <c r="J127" s="22"/>
      <c r="K127" s="22"/>
      <c r="L127" s="43"/>
      <c r="M127" s="22">
        <f ca="1">SUM(N127:XFD127)</f>
        <v>699.61048888349592</v>
      </c>
      <c r="N127" s="22"/>
      <c r="O127" s="22">
        <f t="shared" ref="O127:AT127" ca="1" si="219">(O$11=$I$122)*$F127</f>
        <v>0</v>
      </c>
      <c r="P127" s="22">
        <f t="shared" ca="1" si="219"/>
        <v>0</v>
      </c>
      <c r="Q127" s="22">
        <f t="shared" ca="1" si="219"/>
        <v>0</v>
      </c>
      <c r="R127" s="22">
        <f t="shared" ca="1" si="219"/>
        <v>0</v>
      </c>
      <c r="S127" s="22">
        <f t="shared" ca="1" si="219"/>
        <v>0</v>
      </c>
      <c r="T127" s="22">
        <f t="shared" ca="1" si="219"/>
        <v>0</v>
      </c>
      <c r="U127" s="22">
        <f t="shared" ca="1" si="219"/>
        <v>0</v>
      </c>
      <c r="V127" s="22">
        <f t="shared" ca="1" si="219"/>
        <v>0</v>
      </c>
      <c r="W127" s="22">
        <f t="shared" ca="1" si="219"/>
        <v>0</v>
      </c>
      <c r="X127" s="22">
        <f t="shared" ca="1" si="219"/>
        <v>0</v>
      </c>
      <c r="Y127" s="22">
        <f t="shared" ca="1" si="219"/>
        <v>0</v>
      </c>
      <c r="Z127" s="22">
        <f t="shared" ca="1" si="219"/>
        <v>0</v>
      </c>
      <c r="AA127" s="22">
        <f t="shared" ca="1" si="219"/>
        <v>0</v>
      </c>
      <c r="AB127" s="22">
        <f t="shared" ca="1" si="219"/>
        <v>0</v>
      </c>
      <c r="AC127" s="22">
        <f t="shared" ca="1" si="219"/>
        <v>0</v>
      </c>
      <c r="AD127" s="22">
        <f t="shared" ca="1" si="219"/>
        <v>0</v>
      </c>
      <c r="AE127" s="22">
        <f t="shared" ca="1" si="219"/>
        <v>699.61048888349592</v>
      </c>
      <c r="AF127" s="22">
        <f t="shared" ca="1" si="219"/>
        <v>0</v>
      </c>
      <c r="AG127" s="22">
        <f t="shared" ca="1" si="219"/>
        <v>0</v>
      </c>
      <c r="AH127" s="22">
        <f t="shared" ca="1" si="219"/>
        <v>0</v>
      </c>
      <c r="AI127" s="22">
        <f t="shared" ca="1" si="219"/>
        <v>0</v>
      </c>
      <c r="AJ127" s="22">
        <f t="shared" ca="1" si="219"/>
        <v>0</v>
      </c>
      <c r="AK127" s="22">
        <f t="shared" ca="1" si="219"/>
        <v>0</v>
      </c>
      <c r="AL127" s="22">
        <f t="shared" ca="1" si="219"/>
        <v>0</v>
      </c>
      <c r="AM127" s="22">
        <f t="shared" ca="1" si="219"/>
        <v>0</v>
      </c>
      <c r="AN127" s="22">
        <f t="shared" ca="1" si="219"/>
        <v>0</v>
      </c>
      <c r="AO127" s="22">
        <f t="shared" ca="1" si="219"/>
        <v>0</v>
      </c>
      <c r="AP127" s="22">
        <f t="shared" ca="1" si="219"/>
        <v>0</v>
      </c>
      <c r="AQ127" s="22">
        <f t="shared" ca="1" si="219"/>
        <v>0</v>
      </c>
      <c r="AR127" s="22">
        <f t="shared" ca="1" si="219"/>
        <v>0</v>
      </c>
      <c r="AS127" s="22">
        <f t="shared" ca="1" si="219"/>
        <v>0</v>
      </c>
      <c r="AT127" s="22">
        <f t="shared" ca="1" si="219"/>
        <v>0</v>
      </c>
      <c r="AU127" s="22">
        <f t="shared" ref="AU127:BQ127" ca="1" si="220">(AU$11=$I$122)*$F127</f>
        <v>0</v>
      </c>
      <c r="AV127" s="22">
        <f t="shared" ca="1" si="220"/>
        <v>0</v>
      </c>
      <c r="AW127" s="22">
        <f t="shared" ca="1" si="220"/>
        <v>0</v>
      </c>
      <c r="AX127" s="22">
        <f t="shared" ca="1" si="220"/>
        <v>0</v>
      </c>
      <c r="AY127" s="22">
        <f t="shared" ca="1" si="220"/>
        <v>0</v>
      </c>
      <c r="AZ127" s="22">
        <f t="shared" ca="1" si="220"/>
        <v>0</v>
      </c>
      <c r="BA127" s="22">
        <f t="shared" ca="1" si="220"/>
        <v>0</v>
      </c>
      <c r="BB127" s="22">
        <f t="shared" ca="1" si="220"/>
        <v>0</v>
      </c>
      <c r="BC127" s="22">
        <f t="shared" ca="1" si="220"/>
        <v>0</v>
      </c>
      <c r="BD127" s="22">
        <f t="shared" ca="1" si="220"/>
        <v>0</v>
      </c>
      <c r="BE127" s="22">
        <f t="shared" ca="1" si="220"/>
        <v>0</v>
      </c>
      <c r="BF127" s="22">
        <f t="shared" ca="1" si="220"/>
        <v>0</v>
      </c>
      <c r="BG127" s="22">
        <f t="shared" ca="1" si="220"/>
        <v>0</v>
      </c>
      <c r="BH127" s="22">
        <f t="shared" ca="1" si="220"/>
        <v>0</v>
      </c>
      <c r="BI127" s="22">
        <f t="shared" ca="1" si="220"/>
        <v>0</v>
      </c>
      <c r="BJ127" s="22">
        <f t="shared" ca="1" si="220"/>
        <v>0</v>
      </c>
      <c r="BK127" s="22">
        <f t="shared" ca="1" si="220"/>
        <v>0</v>
      </c>
      <c r="BL127" s="22">
        <f t="shared" ca="1" si="220"/>
        <v>0</v>
      </c>
      <c r="BM127" s="22">
        <f t="shared" ca="1" si="220"/>
        <v>0</v>
      </c>
      <c r="BN127" s="22">
        <f t="shared" ca="1" si="220"/>
        <v>0</v>
      </c>
      <c r="BO127" s="22">
        <f t="shared" ca="1" si="220"/>
        <v>0</v>
      </c>
      <c r="BP127" s="22">
        <f t="shared" ca="1" si="220"/>
        <v>0</v>
      </c>
      <c r="BQ127" s="22">
        <f t="shared" ca="1" si="220"/>
        <v>0</v>
      </c>
    </row>
    <row r="128" spans="1:69" s="32" customFormat="1" ht="13.5" customHeight="1">
      <c r="A128" s="1"/>
      <c r="B128" s="1"/>
      <c r="C128" s="31"/>
      <c r="D128" s="31"/>
      <c r="E128" s="33"/>
      <c r="F128" s="24"/>
      <c r="G128" s="24">
        <f ca="1">K121*I126</f>
        <v>180280.15704223656</v>
      </c>
      <c r="H128" s="24" t="s">
        <v>97</v>
      </c>
      <c r="I128" s="269">
        <v>1.33E-3</v>
      </c>
      <c r="J128" s="24" t="s">
        <v>97</v>
      </c>
      <c r="K128" s="24">
        <f>I124/365</f>
        <v>2.9178082191780823</v>
      </c>
      <c r="L128" s="4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/>
      <c r="AK128" s="24"/>
      <c r="AL128" s="24"/>
      <c r="AM128" s="24"/>
      <c r="AN128" s="24"/>
      <c r="AO128" s="24"/>
      <c r="AP128" s="24"/>
      <c r="AQ128" s="24"/>
      <c r="AR128" s="24"/>
      <c r="AS128" s="24"/>
      <c r="AT128" s="24"/>
      <c r="AU128" s="24"/>
      <c r="AV128" s="24"/>
      <c r="AW128" s="24"/>
      <c r="AX128" s="24"/>
      <c r="AY128" s="24"/>
      <c r="AZ128" s="24"/>
      <c r="BA128" s="24"/>
      <c r="BB128" s="24"/>
      <c r="BC128" s="24"/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</row>
    <row r="129" spans="1:69" s="32" customFormat="1" ht="13.5" customHeight="1">
      <c r="A129" s="1"/>
      <c r="B129" s="1"/>
      <c r="C129" s="31"/>
      <c r="D129" s="31"/>
      <c r="E129" s="31" t="s">
        <v>340</v>
      </c>
      <c r="F129" s="32">
        <f ca="1">G130*I130*K130</f>
        <v>1715.0817450732452</v>
      </c>
      <c r="G129" s="32" t="s">
        <v>342</v>
      </c>
      <c r="L129" s="42"/>
      <c r="M129" s="32">
        <f ca="1">SUM(N129:XFD129)</f>
        <v>1715.0817450732452</v>
      </c>
      <c r="O129" s="32">
        <f t="shared" ref="O129:AT129" ca="1" si="221">(O$11=$I$122)*$F129</f>
        <v>0</v>
      </c>
      <c r="P129" s="32">
        <f t="shared" ca="1" si="221"/>
        <v>0</v>
      </c>
      <c r="Q129" s="32">
        <f t="shared" ca="1" si="221"/>
        <v>0</v>
      </c>
      <c r="R129" s="32">
        <f t="shared" ca="1" si="221"/>
        <v>0</v>
      </c>
      <c r="S129" s="32">
        <f t="shared" ca="1" si="221"/>
        <v>0</v>
      </c>
      <c r="T129" s="32">
        <f t="shared" ca="1" si="221"/>
        <v>0</v>
      </c>
      <c r="U129" s="32">
        <f t="shared" ca="1" si="221"/>
        <v>0</v>
      </c>
      <c r="V129" s="32">
        <f t="shared" ca="1" si="221"/>
        <v>0</v>
      </c>
      <c r="W129" s="32">
        <f t="shared" ca="1" si="221"/>
        <v>0</v>
      </c>
      <c r="X129" s="32">
        <f t="shared" ca="1" si="221"/>
        <v>0</v>
      </c>
      <c r="Y129" s="32">
        <f t="shared" ca="1" si="221"/>
        <v>0</v>
      </c>
      <c r="Z129" s="32">
        <f t="shared" ca="1" si="221"/>
        <v>0</v>
      </c>
      <c r="AA129" s="32">
        <f t="shared" ca="1" si="221"/>
        <v>0</v>
      </c>
      <c r="AB129" s="32">
        <f t="shared" ca="1" si="221"/>
        <v>0</v>
      </c>
      <c r="AC129" s="32">
        <f t="shared" ca="1" si="221"/>
        <v>0</v>
      </c>
      <c r="AD129" s="32">
        <f t="shared" ca="1" si="221"/>
        <v>0</v>
      </c>
      <c r="AE129" s="32">
        <f t="shared" ca="1" si="221"/>
        <v>1715.0817450732452</v>
      </c>
      <c r="AF129" s="32">
        <f t="shared" ca="1" si="221"/>
        <v>0</v>
      </c>
      <c r="AG129" s="32">
        <f t="shared" ca="1" si="221"/>
        <v>0</v>
      </c>
      <c r="AH129" s="32">
        <f t="shared" ca="1" si="221"/>
        <v>0</v>
      </c>
      <c r="AI129" s="32">
        <f t="shared" ca="1" si="221"/>
        <v>0</v>
      </c>
      <c r="AJ129" s="32">
        <f t="shared" ca="1" si="221"/>
        <v>0</v>
      </c>
      <c r="AK129" s="32">
        <f t="shared" ca="1" si="221"/>
        <v>0</v>
      </c>
      <c r="AL129" s="32">
        <f t="shared" ca="1" si="221"/>
        <v>0</v>
      </c>
      <c r="AM129" s="32">
        <f t="shared" ca="1" si="221"/>
        <v>0</v>
      </c>
      <c r="AN129" s="32">
        <f t="shared" ca="1" si="221"/>
        <v>0</v>
      </c>
      <c r="AO129" s="32">
        <f t="shared" ca="1" si="221"/>
        <v>0</v>
      </c>
      <c r="AP129" s="32">
        <f t="shared" ca="1" si="221"/>
        <v>0</v>
      </c>
      <c r="AQ129" s="32">
        <f t="shared" ca="1" si="221"/>
        <v>0</v>
      </c>
      <c r="AR129" s="32">
        <f t="shared" ca="1" si="221"/>
        <v>0</v>
      </c>
      <c r="AS129" s="32">
        <f t="shared" ca="1" si="221"/>
        <v>0</v>
      </c>
      <c r="AT129" s="32">
        <f t="shared" ca="1" si="221"/>
        <v>0</v>
      </c>
      <c r="AU129" s="32">
        <f t="shared" ref="AU129:BQ129" ca="1" si="222">(AU$11=$I$122)*$F129</f>
        <v>0</v>
      </c>
      <c r="AV129" s="32">
        <f t="shared" ca="1" si="222"/>
        <v>0</v>
      </c>
      <c r="AW129" s="32">
        <f t="shared" ca="1" si="222"/>
        <v>0</v>
      </c>
      <c r="AX129" s="32">
        <f t="shared" ca="1" si="222"/>
        <v>0</v>
      </c>
      <c r="AY129" s="32">
        <f t="shared" ca="1" si="222"/>
        <v>0</v>
      </c>
      <c r="AZ129" s="32">
        <f t="shared" ca="1" si="222"/>
        <v>0</v>
      </c>
      <c r="BA129" s="32">
        <f t="shared" ca="1" si="222"/>
        <v>0</v>
      </c>
      <c r="BB129" s="32">
        <f t="shared" ca="1" si="222"/>
        <v>0</v>
      </c>
      <c r="BC129" s="32">
        <f t="shared" ca="1" si="222"/>
        <v>0</v>
      </c>
      <c r="BD129" s="32">
        <f t="shared" ca="1" si="222"/>
        <v>0</v>
      </c>
      <c r="BE129" s="32">
        <f t="shared" ca="1" si="222"/>
        <v>0</v>
      </c>
      <c r="BF129" s="32">
        <f t="shared" ca="1" si="222"/>
        <v>0</v>
      </c>
      <c r="BG129" s="32">
        <f t="shared" ca="1" si="222"/>
        <v>0</v>
      </c>
      <c r="BH129" s="32">
        <f t="shared" ca="1" si="222"/>
        <v>0</v>
      </c>
      <c r="BI129" s="32">
        <f t="shared" ca="1" si="222"/>
        <v>0</v>
      </c>
      <c r="BJ129" s="32">
        <f t="shared" ca="1" si="222"/>
        <v>0</v>
      </c>
      <c r="BK129" s="32">
        <f t="shared" ca="1" si="222"/>
        <v>0</v>
      </c>
      <c r="BL129" s="32">
        <f t="shared" ca="1" si="222"/>
        <v>0</v>
      </c>
      <c r="BM129" s="32">
        <f t="shared" ca="1" si="222"/>
        <v>0</v>
      </c>
      <c r="BN129" s="32">
        <f t="shared" ca="1" si="222"/>
        <v>0</v>
      </c>
      <c r="BO129" s="32">
        <f t="shared" ca="1" si="222"/>
        <v>0</v>
      </c>
      <c r="BP129" s="32">
        <f t="shared" ca="1" si="222"/>
        <v>0</v>
      </c>
      <c r="BQ129" s="32">
        <f t="shared" ca="1" si="222"/>
        <v>0</v>
      </c>
    </row>
    <row r="130" spans="1:69" s="24" customFormat="1" ht="13.5" customHeight="1">
      <c r="A130" s="1"/>
      <c r="B130" s="1"/>
      <c r="C130" s="31"/>
      <c r="D130" s="54"/>
      <c r="E130" s="33"/>
      <c r="G130" s="24">
        <f ca="1">K121-G128</f>
        <v>311004.2163855898</v>
      </c>
      <c r="H130" s="24" t="s">
        <v>97</v>
      </c>
      <c r="I130" s="269">
        <v>1.89E-3</v>
      </c>
      <c r="J130" s="24" t="s">
        <v>97</v>
      </c>
      <c r="K130" s="24">
        <f>I124/365</f>
        <v>2.9178082191780823</v>
      </c>
      <c r="L130" s="44"/>
    </row>
    <row r="131" spans="1:69" s="24" customFormat="1" ht="13.5" customHeight="1">
      <c r="A131" s="1"/>
      <c r="B131" s="1"/>
      <c r="C131" s="54"/>
      <c r="D131" s="33" t="s">
        <v>348</v>
      </c>
      <c r="F131" s="24">
        <f ca="1">M131</f>
        <v>32714.252937824636</v>
      </c>
      <c r="G131" s="24" t="s">
        <v>355</v>
      </c>
      <c r="H131" s="270">
        <v>0.04</v>
      </c>
      <c r="L131" s="44"/>
      <c r="M131" s="24">
        <f ca="1">SUM(N131:XFD131)</f>
        <v>32714.252937824636</v>
      </c>
      <c r="O131" s="24">
        <f ca="1">O293</f>
        <v>0</v>
      </c>
      <c r="P131" s="24">
        <f t="shared" ref="P131:BQ131" ca="1" si="223">P293</f>
        <v>0</v>
      </c>
      <c r="Q131" s="24">
        <f t="shared" ca="1" si="223"/>
        <v>0</v>
      </c>
      <c r="R131" s="24">
        <f t="shared" ca="1" si="223"/>
        <v>0</v>
      </c>
      <c r="S131" s="24">
        <f t="shared" ca="1" si="223"/>
        <v>0</v>
      </c>
      <c r="T131" s="24">
        <f t="shared" ca="1" si="223"/>
        <v>0</v>
      </c>
      <c r="U131" s="24">
        <f t="shared" ca="1" si="223"/>
        <v>0</v>
      </c>
      <c r="V131" s="24">
        <f t="shared" ca="1" si="223"/>
        <v>0</v>
      </c>
      <c r="W131" s="24">
        <f t="shared" ca="1" si="223"/>
        <v>0</v>
      </c>
      <c r="X131" s="24">
        <f t="shared" ca="1" si="223"/>
        <v>0</v>
      </c>
      <c r="Y131" s="24">
        <f t="shared" ca="1" si="223"/>
        <v>0</v>
      </c>
      <c r="Z131" s="24">
        <f t="shared" ca="1" si="223"/>
        <v>0</v>
      </c>
      <c r="AA131" s="24">
        <f t="shared" ca="1" si="223"/>
        <v>0</v>
      </c>
      <c r="AB131" s="24">
        <f t="shared" ca="1" si="223"/>
        <v>0</v>
      </c>
      <c r="AC131" s="24">
        <f t="shared" ca="1" si="223"/>
        <v>0</v>
      </c>
      <c r="AD131" s="24">
        <f t="shared" ca="1" si="223"/>
        <v>0</v>
      </c>
      <c r="AE131" s="24">
        <f t="shared" ca="1" si="223"/>
        <v>0</v>
      </c>
      <c r="AF131" s="24">
        <f t="shared" ca="1" si="223"/>
        <v>0</v>
      </c>
      <c r="AG131" s="24">
        <f t="shared" ca="1" si="223"/>
        <v>0</v>
      </c>
      <c r="AH131" s="24">
        <f t="shared" ca="1" si="223"/>
        <v>38.990823287922716</v>
      </c>
      <c r="AI131" s="24">
        <f t="shared" ca="1" si="223"/>
        <v>87.729352397826105</v>
      </c>
      <c r="AJ131" s="24">
        <f t="shared" ca="1" si="223"/>
        <v>107.22476404178747</v>
      </c>
      <c r="AK131" s="24">
        <f t="shared" ca="1" si="223"/>
        <v>194.95411643961359</v>
      </c>
      <c r="AL131" s="24">
        <f t="shared" ca="1" si="223"/>
        <v>292.43117465942038</v>
      </c>
      <c r="AM131" s="24">
        <f t="shared" ca="1" si="223"/>
        <v>331.42199794734313</v>
      </c>
      <c r="AN131" s="24">
        <f t="shared" ca="1" si="223"/>
        <v>467.88987945507262</v>
      </c>
      <c r="AO131" s="24">
        <f t="shared" ca="1" si="223"/>
        <v>614.10546678478283</v>
      </c>
      <c r="AP131" s="24">
        <f t="shared" ca="1" si="223"/>
        <v>672.59170171666699</v>
      </c>
      <c r="AQ131" s="24">
        <f t="shared" ca="1" si="223"/>
        <v>818.80728904637715</v>
      </c>
      <c r="AR131" s="24">
        <f t="shared" ca="1" si="223"/>
        <v>935.77975891014523</v>
      </c>
      <c r="AS131" s="24">
        <f t="shared" ca="1" si="223"/>
        <v>935.77975891014523</v>
      </c>
      <c r="AT131" s="24">
        <f t="shared" ca="1" si="223"/>
        <v>1052.7522287739134</v>
      </c>
      <c r="AU131" s="24">
        <f t="shared" ca="1" si="223"/>
        <v>1169.7246986376815</v>
      </c>
      <c r="AV131" s="24">
        <f t="shared" ca="1" si="223"/>
        <v>1169.7246986376815</v>
      </c>
      <c r="AW131" s="24">
        <f t="shared" ca="1" si="223"/>
        <v>1286.6971685014498</v>
      </c>
      <c r="AX131" s="24">
        <f t="shared" ca="1" si="223"/>
        <v>1403.6696383652179</v>
      </c>
      <c r="AY131" s="24">
        <f t="shared" ca="1" si="223"/>
        <v>1403.6696383652179</v>
      </c>
      <c r="AZ131" s="24">
        <f t="shared" ca="1" si="223"/>
        <v>1403.6696383652179</v>
      </c>
      <c r="BA131" s="24">
        <f t="shared" ca="1" si="223"/>
        <v>1403.6696383652179</v>
      </c>
      <c r="BB131" s="24">
        <f t="shared" ca="1" si="223"/>
        <v>1403.6696383652179</v>
      </c>
      <c r="BC131" s="24">
        <f t="shared" ca="1" si="223"/>
        <v>1403.6696383652179</v>
      </c>
      <c r="BD131" s="24">
        <f t="shared" ca="1" si="223"/>
        <v>1403.6696383652179</v>
      </c>
      <c r="BE131" s="24">
        <f t="shared" ca="1" si="223"/>
        <v>1403.6696383652179</v>
      </c>
      <c r="BF131" s="24">
        <f t="shared" ca="1" si="223"/>
        <v>1403.6696383652179</v>
      </c>
      <c r="BG131" s="24">
        <f t="shared" ca="1" si="223"/>
        <v>1403.6696383652179</v>
      </c>
      <c r="BH131" s="24">
        <f t="shared" ca="1" si="223"/>
        <v>1403.6696383652179</v>
      </c>
      <c r="BI131" s="24">
        <f t="shared" ca="1" si="223"/>
        <v>1403.6696383652179</v>
      </c>
      <c r="BJ131" s="24">
        <f t="shared" ca="1" si="223"/>
        <v>1407.3409800318846</v>
      </c>
      <c r="BK131" s="24">
        <f t="shared" ca="1" si="223"/>
        <v>1418.3550050318845</v>
      </c>
      <c r="BL131" s="24">
        <f t="shared" ca="1" si="223"/>
        <v>1431.204700865218</v>
      </c>
      <c r="BM131" s="24">
        <f t="shared" ca="1" si="223"/>
        <v>1436.711713365218</v>
      </c>
      <c r="BN131" s="24">
        <f t="shared" ca="1" si="223"/>
        <v>0</v>
      </c>
      <c r="BO131" s="24">
        <f t="shared" ca="1" si="223"/>
        <v>0</v>
      </c>
      <c r="BP131" s="24">
        <f t="shared" ca="1" si="223"/>
        <v>0</v>
      </c>
      <c r="BQ131" s="24">
        <f t="shared" ca="1" si="223"/>
        <v>0</v>
      </c>
    </row>
    <row r="132" spans="1:69" s="77" customFormat="1" ht="13.5" customHeight="1">
      <c r="A132" s="14"/>
      <c r="B132" s="14"/>
      <c r="C132" s="76" t="s">
        <v>272</v>
      </c>
      <c r="F132" s="77">
        <f>SUM(F133:F138)</f>
        <v>6048</v>
      </c>
      <c r="G132" s="77" t="s">
        <v>279</v>
      </c>
      <c r="H132" s="166">
        <f>DATEDIF(Est,Exit,"m")+1</f>
        <v>54</v>
      </c>
      <c r="L132" s="48"/>
      <c r="M132" s="77">
        <f>SUM(N132:XFD132)</f>
        <v>6048</v>
      </c>
      <c r="O132" s="77">
        <f>SUM(O133:O138)</f>
        <v>112</v>
      </c>
      <c r="P132" s="77">
        <f t="shared" ref="P132:BQ132" si="224">SUM(P133:P138)</f>
        <v>112</v>
      </c>
      <c r="Q132" s="77">
        <f t="shared" si="224"/>
        <v>112</v>
      </c>
      <c r="R132" s="77">
        <f t="shared" si="224"/>
        <v>112</v>
      </c>
      <c r="S132" s="77">
        <f t="shared" si="224"/>
        <v>112</v>
      </c>
      <c r="T132" s="77">
        <f t="shared" si="224"/>
        <v>112</v>
      </c>
      <c r="U132" s="77">
        <f t="shared" si="224"/>
        <v>112</v>
      </c>
      <c r="V132" s="77">
        <f t="shared" si="224"/>
        <v>112</v>
      </c>
      <c r="W132" s="77">
        <f t="shared" si="224"/>
        <v>112</v>
      </c>
      <c r="X132" s="77">
        <f t="shared" si="224"/>
        <v>112</v>
      </c>
      <c r="Y132" s="77">
        <f t="shared" si="224"/>
        <v>112</v>
      </c>
      <c r="Z132" s="77">
        <f t="shared" si="224"/>
        <v>112</v>
      </c>
      <c r="AA132" s="77">
        <f t="shared" si="224"/>
        <v>112</v>
      </c>
      <c r="AB132" s="77">
        <f t="shared" si="224"/>
        <v>112</v>
      </c>
      <c r="AC132" s="77">
        <f t="shared" si="224"/>
        <v>112</v>
      </c>
      <c r="AD132" s="77">
        <f t="shared" si="224"/>
        <v>112</v>
      </c>
      <c r="AE132" s="77">
        <f t="shared" si="224"/>
        <v>112</v>
      </c>
      <c r="AF132" s="77">
        <f t="shared" si="224"/>
        <v>112</v>
      </c>
      <c r="AG132" s="77">
        <f t="shared" si="224"/>
        <v>112</v>
      </c>
      <c r="AH132" s="77">
        <f t="shared" si="224"/>
        <v>112</v>
      </c>
      <c r="AI132" s="77">
        <f t="shared" si="224"/>
        <v>112</v>
      </c>
      <c r="AJ132" s="77">
        <f t="shared" si="224"/>
        <v>112</v>
      </c>
      <c r="AK132" s="77">
        <f t="shared" si="224"/>
        <v>112</v>
      </c>
      <c r="AL132" s="77">
        <f t="shared" si="224"/>
        <v>112</v>
      </c>
      <c r="AM132" s="77">
        <f t="shared" si="224"/>
        <v>112</v>
      </c>
      <c r="AN132" s="77">
        <f t="shared" si="224"/>
        <v>112</v>
      </c>
      <c r="AO132" s="77">
        <f t="shared" si="224"/>
        <v>112</v>
      </c>
      <c r="AP132" s="77">
        <f t="shared" si="224"/>
        <v>112</v>
      </c>
      <c r="AQ132" s="77">
        <f t="shared" si="224"/>
        <v>112</v>
      </c>
      <c r="AR132" s="77">
        <f t="shared" si="224"/>
        <v>112</v>
      </c>
      <c r="AS132" s="77">
        <f t="shared" si="224"/>
        <v>112</v>
      </c>
      <c r="AT132" s="77">
        <f t="shared" si="224"/>
        <v>112</v>
      </c>
      <c r="AU132" s="77">
        <f t="shared" si="224"/>
        <v>112</v>
      </c>
      <c r="AV132" s="77">
        <f t="shared" si="224"/>
        <v>112</v>
      </c>
      <c r="AW132" s="77">
        <f t="shared" si="224"/>
        <v>112</v>
      </c>
      <c r="AX132" s="77">
        <f t="shared" si="224"/>
        <v>112</v>
      </c>
      <c r="AY132" s="77">
        <f t="shared" si="224"/>
        <v>112</v>
      </c>
      <c r="AZ132" s="77">
        <f t="shared" si="224"/>
        <v>112</v>
      </c>
      <c r="BA132" s="77">
        <f t="shared" si="224"/>
        <v>112</v>
      </c>
      <c r="BB132" s="77">
        <f t="shared" si="224"/>
        <v>112</v>
      </c>
      <c r="BC132" s="77">
        <f t="shared" si="224"/>
        <v>112</v>
      </c>
      <c r="BD132" s="77">
        <f t="shared" si="224"/>
        <v>112</v>
      </c>
      <c r="BE132" s="77">
        <f t="shared" si="224"/>
        <v>112</v>
      </c>
      <c r="BF132" s="77">
        <f t="shared" si="224"/>
        <v>112</v>
      </c>
      <c r="BG132" s="77">
        <f t="shared" si="224"/>
        <v>112</v>
      </c>
      <c r="BH132" s="77">
        <f t="shared" si="224"/>
        <v>112</v>
      </c>
      <c r="BI132" s="77">
        <f t="shared" si="224"/>
        <v>112</v>
      </c>
      <c r="BJ132" s="77">
        <f t="shared" si="224"/>
        <v>112</v>
      </c>
      <c r="BK132" s="77">
        <f t="shared" si="224"/>
        <v>112</v>
      </c>
      <c r="BL132" s="77">
        <f t="shared" si="224"/>
        <v>112</v>
      </c>
      <c r="BM132" s="77">
        <f t="shared" si="224"/>
        <v>112</v>
      </c>
      <c r="BN132" s="77">
        <f t="shared" si="224"/>
        <v>112</v>
      </c>
      <c r="BO132" s="77">
        <f t="shared" si="224"/>
        <v>112</v>
      </c>
      <c r="BP132" s="77">
        <f t="shared" si="224"/>
        <v>112</v>
      </c>
      <c r="BQ132" s="77">
        <f t="shared" si="224"/>
        <v>0</v>
      </c>
    </row>
    <row r="133" spans="1:69" s="22" customFormat="1" ht="13.5" customHeight="1">
      <c r="A133" s="1"/>
      <c r="B133" s="1"/>
      <c r="C133" s="31"/>
      <c r="D133" s="30" t="s">
        <v>273</v>
      </c>
      <c r="F133" s="22">
        <f>$H$132*G133</f>
        <v>2700</v>
      </c>
      <c r="G133" s="35">
        <v>50</v>
      </c>
      <c r="H133" s="22" t="s">
        <v>281</v>
      </c>
      <c r="L133" s="43"/>
      <c r="M133" s="22">
        <f>SUM(N133:XFD133)</f>
        <v>2700</v>
      </c>
      <c r="O133" s="22">
        <f t="shared" ref="O133:X138" si="225">(O$11&gt;=Est)*(O$11&lt;=Exit)*$G133</f>
        <v>50</v>
      </c>
      <c r="P133" s="22">
        <f t="shared" si="225"/>
        <v>50</v>
      </c>
      <c r="Q133" s="22">
        <f t="shared" si="225"/>
        <v>50</v>
      </c>
      <c r="R133" s="22">
        <f t="shared" si="225"/>
        <v>50</v>
      </c>
      <c r="S133" s="22">
        <f t="shared" si="225"/>
        <v>50</v>
      </c>
      <c r="T133" s="22">
        <f t="shared" si="225"/>
        <v>50</v>
      </c>
      <c r="U133" s="22">
        <f t="shared" si="225"/>
        <v>50</v>
      </c>
      <c r="V133" s="22">
        <f t="shared" si="225"/>
        <v>50</v>
      </c>
      <c r="W133" s="22">
        <f t="shared" si="225"/>
        <v>50</v>
      </c>
      <c r="X133" s="22">
        <f t="shared" si="225"/>
        <v>50</v>
      </c>
      <c r="Y133" s="22">
        <f t="shared" ref="Y133:AH138" si="226">(Y$11&gt;=Est)*(Y$11&lt;=Exit)*$G133</f>
        <v>50</v>
      </c>
      <c r="Z133" s="22">
        <f t="shared" si="226"/>
        <v>50</v>
      </c>
      <c r="AA133" s="22">
        <f t="shared" si="226"/>
        <v>50</v>
      </c>
      <c r="AB133" s="22">
        <f t="shared" si="226"/>
        <v>50</v>
      </c>
      <c r="AC133" s="22">
        <f t="shared" si="226"/>
        <v>50</v>
      </c>
      <c r="AD133" s="22">
        <f t="shared" si="226"/>
        <v>50</v>
      </c>
      <c r="AE133" s="22">
        <f t="shared" si="226"/>
        <v>50</v>
      </c>
      <c r="AF133" s="22">
        <f t="shared" si="226"/>
        <v>50</v>
      </c>
      <c r="AG133" s="22">
        <f t="shared" si="226"/>
        <v>50</v>
      </c>
      <c r="AH133" s="22">
        <f t="shared" si="226"/>
        <v>50</v>
      </c>
      <c r="AI133" s="22">
        <f t="shared" ref="AI133:AR138" si="227">(AI$11&gt;=Est)*(AI$11&lt;=Exit)*$G133</f>
        <v>50</v>
      </c>
      <c r="AJ133" s="22">
        <f t="shared" si="227"/>
        <v>50</v>
      </c>
      <c r="AK133" s="22">
        <f t="shared" si="227"/>
        <v>50</v>
      </c>
      <c r="AL133" s="22">
        <f t="shared" si="227"/>
        <v>50</v>
      </c>
      <c r="AM133" s="22">
        <f t="shared" si="227"/>
        <v>50</v>
      </c>
      <c r="AN133" s="22">
        <f t="shared" si="227"/>
        <v>50</v>
      </c>
      <c r="AO133" s="22">
        <f t="shared" si="227"/>
        <v>50</v>
      </c>
      <c r="AP133" s="22">
        <f t="shared" si="227"/>
        <v>50</v>
      </c>
      <c r="AQ133" s="22">
        <f t="shared" si="227"/>
        <v>50</v>
      </c>
      <c r="AR133" s="22">
        <f t="shared" si="227"/>
        <v>50</v>
      </c>
      <c r="AS133" s="22">
        <f t="shared" ref="AS133:BB138" si="228">(AS$11&gt;=Est)*(AS$11&lt;=Exit)*$G133</f>
        <v>50</v>
      </c>
      <c r="AT133" s="22">
        <f t="shared" si="228"/>
        <v>50</v>
      </c>
      <c r="AU133" s="22">
        <f t="shared" si="228"/>
        <v>50</v>
      </c>
      <c r="AV133" s="22">
        <f t="shared" si="228"/>
        <v>50</v>
      </c>
      <c r="AW133" s="22">
        <f t="shared" si="228"/>
        <v>50</v>
      </c>
      <c r="AX133" s="22">
        <f t="shared" si="228"/>
        <v>50</v>
      </c>
      <c r="AY133" s="22">
        <f t="shared" si="228"/>
        <v>50</v>
      </c>
      <c r="AZ133" s="22">
        <f t="shared" si="228"/>
        <v>50</v>
      </c>
      <c r="BA133" s="22">
        <f t="shared" si="228"/>
        <v>50</v>
      </c>
      <c r="BB133" s="22">
        <f t="shared" si="228"/>
        <v>50</v>
      </c>
      <c r="BC133" s="22">
        <f t="shared" ref="BC133:BQ138" si="229">(BC$11&gt;=Est)*(BC$11&lt;=Exit)*$G133</f>
        <v>50</v>
      </c>
      <c r="BD133" s="22">
        <f t="shared" si="229"/>
        <v>50</v>
      </c>
      <c r="BE133" s="22">
        <f t="shared" si="229"/>
        <v>50</v>
      </c>
      <c r="BF133" s="22">
        <f t="shared" si="229"/>
        <v>50</v>
      </c>
      <c r="BG133" s="22">
        <f t="shared" si="229"/>
        <v>50</v>
      </c>
      <c r="BH133" s="22">
        <f t="shared" si="229"/>
        <v>50</v>
      </c>
      <c r="BI133" s="22">
        <f t="shared" si="229"/>
        <v>50</v>
      </c>
      <c r="BJ133" s="22">
        <f t="shared" si="229"/>
        <v>50</v>
      </c>
      <c r="BK133" s="22">
        <f t="shared" si="229"/>
        <v>50</v>
      </c>
      <c r="BL133" s="22">
        <f t="shared" si="229"/>
        <v>50</v>
      </c>
      <c r="BM133" s="22">
        <f t="shared" si="229"/>
        <v>50</v>
      </c>
      <c r="BN133" s="22">
        <f t="shared" si="229"/>
        <v>50</v>
      </c>
      <c r="BO133" s="22">
        <f t="shared" si="229"/>
        <v>50</v>
      </c>
      <c r="BP133" s="22">
        <f t="shared" si="229"/>
        <v>50</v>
      </c>
      <c r="BQ133" s="22">
        <f t="shared" si="229"/>
        <v>0</v>
      </c>
    </row>
    <row r="134" spans="1:69" s="32" customFormat="1" ht="13.5" customHeight="1">
      <c r="A134" s="1"/>
      <c r="B134" s="1"/>
      <c r="C134" s="31"/>
      <c r="D134" s="31" t="s">
        <v>274</v>
      </c>
      <c r="F134" s="32">
        <f t="shared" ref="F134:F138" si="230">$H$132*G134</f>
        <v>2700</v>
      </c>
      <c r="G134" s="104">
        <v>50</v>
      </c>
      <c r="H134" s="32" t="s">
        <v>281</v>
      </c>
      <c r="L134" s="42"/>
      <c r="M134" s="32">
        <f t="shared" ref="M134:M140" si="231">SUM(N134:XFD134)</f>
        <v>2700</v>
      </c>
      <c r="O134" s="32">
        <f t="shared" si="225"/>
        <v>50</v>
      </c>
      <c r="P134" s="32">
        <f t="shared" si="225"/>
        <v>50</v>
      </c>
      <c r="Q134" s="32">
        <f t="shared" si="225"/>
        <v>50</v>
      </c>
      <c r="R134" s="32">
        <f t="shared" si="225"/>
        <v>50</v>
      </c>
      <c r="S134" s="32">
        <f t="shared" si="225"/>
        <v>50</v>
      </c>
      <c r="T134" s="32">
        <f t="shared" si="225"/>
        <v>50</v>
      </c>
      <c r="U134" s="32">
        <f t="shared" si="225"/>
        <v>50</v>
      </c>
      <c r="V134" s="32">
        <f t="shared" si="225"/>
        <v>50</v>
      </c>
      <c r="W134" s="32">
        <f t="shared" si="225"/>
        <v>50</v>
      </c>
      <c r="X134" s="32">
        <f t="shared" si="225"/>
        <v>50</v>
      </c>
      <c r="Y134" s="32">
        <f t="shared" si="226"/>
        <v>50</v>
      </c>
      <c r="Z134" s="32">
        <f t="shared" si="226"/>
        <v>50</v>
      </c>
      <c r="AA134" s="32">
        <f t="shared" si="226"/>
        <v>50</v>
      </c>
      <c r="AB134" s="32">
        <f t="shared" si="226"/>
        <v>50</v>
      </c>
      <c r="AC134" s="32">
        <f t="shared" si="226"/>
        <v>50</v>
      </c>
      <c r="AD134" s="32">
        <f t="shared" si="226"/>
        <v>50</v>
      </c>
      <c r="AE134" s="32">
        <f t="shared" si="226"/>
        <v>50</v>
      </c>
      <c r="AF134" s="32">
        <f t="shared" si="226"/>
        <v>50</v>
      </c>
      <c r="AG134" s="32">
        <f t="shared" si="226"/>
        <v>50</v>
      </c>
      <c r="AH134" s="32">
        <f t="shared" si="226"/>
        <v>50</v>
      </c>
      <c r="AI134" s="32">
        <f t="shared" si="227"/>
        <v>50</v>
      </c>
      <c r="AJ134" s="32">
        <f t="shared" si="227"/>
        <v>50</v>
      </c>
      <c r="AK134" s="32">
        <f t="shared" si="227"/>
        <v>50</v>
      </c>
      <c r="AL134" s="32">
        <f t="shared" si="227"/>
        <v>50</v>
      </c>
      <c r="AM134" s="32">
        <f t="shared" si="227"/>
        <v>50</v>
      </c>
      <c r="AN134" s="32">
        <f t="shared" si="227"/>
        <v>50</v>
      </c>
      <c r="AO134" s="32">
        <f t="shared" si="227"/>
        <v>50</v>
      </c>
      <c r="AP134" s="32">
        <f t="shared" si="227"/>
        <v>50</v>
      </c>
      <c r="AQ134" s="32">
        <f t="shared" si="227"/>
        <v>50</v>
      </c>
      <c r="AR134" s="32">
        <f t="shared" si="227"/>
        <v>50</v>
      </c>
      <c r="AS134" s="32">
        <f t="shared" si="228"/>
        <v>50</v>
      </c>
      <c r="AT134" s="32">
        <f t="shared" si="228"/>
        <v>50</v>
      </c>
      <c r="AU134" s="32">
        <f t="shared" si="228"/>
        <v>50</v>
      </c>
      <c r="AV134" s="32">
        <f t="shared" si="228"/>
        <v>50</v>
      </c>
      <c r="AW134" s="32">
        <f t="shared" si="228"/>
        <v>50</v>
      </c>
      <c r="AX134" s="32">
        <f t="shared" si="228"/>
        <v>50</v>
      </c>
      <c r="AY134" s="32">
        <f t="shared" si="228"/>
        <v>50</v>
      </c>
      <c r="AZ134" s="32">
        <f t="shared" si="228"/>
        <v>50</v>
      </c>
      <c r="BA134" s="32">
        <f t="shared" si="228"/>
        <v>50</v>
      </c>
      <c r="BB134" s="32">
        <f t="shared" si="228"/>
        <v>50</v>
      </c>
      <c r="BC134" s="32">
        <f t="shared" si="229"/>
        <v>50</v>
      </c>
      <c r="BD134" s="32">
        <f t="shared" si="229"/>
        <v>50</v>
      </c>
      <c r="BE134" s="32">
        <f t="shared" si="229"/>
        <v>50</v>
      </c>
      <c r="BF134" s="32">
        <f t="shared" si="229"/>
        <v>50</v>
      </c>
      <c r="BG134" s="32">
        <f t="shared" si="229"/>
        <v>50</v>
      </c>
      <c r="BH134" s="32">
        <f t="shared" si="229"/>
        <v>50</v>
      </c>
      <c r="BI134" s="32">
        <f t="shared" si="229"/>
        <v>50</v>
      </c>
      <c r="BJ134" s="32">
        <f t="shared" si="229"/>
        <v>50</v>
      </c>
      <c r="BK134" s="32">
        <f t="shared" si="229"/>
        <v>50</v>
      </c>
      <c r="BL134" s="32">
        <f t="shared" si="229"/>
        <v>50</v>
      </c>
      <c r="BM134" s="32">
        <f t="shared" si="229"/>
        <v>50</v>
      </c>
      <c r="BN134" s="32">
        <f t="shared" si="229"/>
        <v>50</v>
      </c>
      <c r="BO134" s="32">
        <f t="shared" si="229"/>
        <v>50</v>
      </c>
      <c r="BP134" s="32">
        <f t="shared" si="229"/>
        <v>50</v>
      </c>
      <c r="BQ134" s="32">
        <f t="shared" si="229"/>
        <v>0</v>
      </c>
    </row>
    <row r="135" spans="1:69" s="32" customFormat="1" ht="13.5" customHeight="1">
      <c r="A135" s="1"/>
      <c r="B135" s="1"/>
      <c r="C135" s="31"/>
      <c r="D135" s="31" t="s">
        <v>275</v>
      </c>
      <c r="F135" s="32">
        <f t="shared" si="230"/>
        <v>270</v>
      </c>
      <c r="G135" s="104">
        <v>5</v>
      </c>
      <c r="H135" s="32" t="s">
        <v>280</v>
      </c>
      <c r="L135" s="42"/>
      <c r="M135" s="32">
        <f t="shared" si="231"/>
        <v>270</v>
      </c>
      <c r="O135" s="32">
        <f t="shared" si="225"/>
        <v>5</v>
      </c>
      <c r="P135" s="32">
        <f t="shared" si="225"/>
        <v>5</v>
      </c>
      <c r="Q135" s="32">
        <f t="shared" si="225"/>
        <v>5</v>
      </c>
      <c r="R135" s="32">
        <f t="shared" si="225"/>
        <v>5</v>
      </c>
      <c r="S135" s="32">
        <f t="shared" si="225"/>
        <v>5</v>
      </c>
      <c r="T135" s="32">
        <f t="shared" si="225"/>
        <v>5</v>
      </c>
      <c r="U135" s="32">
        <f t="shared" si="225"/>
        <v>5</v>
      </c>
      <c r="V135" s="32">
        <f t="shared" si="225"/>
        <v>5</v>
      </c>
      <c r="W135" s="32">
        <f t="shared" si="225"/>
        <v>5</v>
      </c>
      <c r="X135" s="32">
        <f t="shared" si="225"/>
        <v>5</v>
      </c>
      <c r="Y135" s="32">
        <f t="shared" si="226"/>
        <v>5</v>
      </c>
      <c r="Z135" s="32">
        <f t="shared" si="226"/>
        <v>5</v>
      </c>
      <c r="AA135" s="32">
        <f t="shared" si="226"/>
        <v>5</v>
      </c>
      <c r="AB135" s="32">
        <f t="shared" si="226"/>
        <v>5</v>
      </c>
      <c r="AC135" s="32">
        <f t="shared" si="226"/>
        <v>5</v>
      </c>
      <c r="AD135" s="32">
        <f t="shared" si="226"/>
        <v>5</v>
      </c>
      <c r="AE135" s="32">
        <f t="shared" si="226"/>
        <v>5</v>
      </c>
      <c r="AF135" s="32">
        <f t="shared" si="226"/>
        <v>5</v>
      </c>
      <c r="AG135" s="32">
        <f t="shared" si="226"/>
        <v>5</v>
      </c>
      <c r="AH135" s="32">
        <f t="shared" si="226"/>
        <v>5</v>
      </c>
      <c r="AI135" s="32">
        <f t="shared" si="227"/>
        <v>5</v>
      </c>
      <c r="AJ135" s="32">
        <f t="shared" si="227"/>
        <v>5</v>
      </c>
      <c r="AK135" s="32">
        <f t="shared" si="227"/>
        <v>5</v>
      </c>
      <c r="AL135" s="32">
        <f t="shared" si="227"/>
        <v>5</v>
      </c>
      <c r="AM135" s="32">
        <f t="shared" si="227"/>
        <v>5</v>
      </c>
      <c r="AN135" s="32">
        <f t="shared" si="227"/>
        <v>5</v>
      </c>
      <c r="AO135" s="32">
        <f t="shared" si="227"/>
        <v>5</v>
      </c>
      <c r="AP135" s="32">
        <f t="shared" si="227"/>
        <v>5</v>
      </c>
      <c r="AQ135" s="32">
        <f t="shared" si="227"/>
        <v>5</v>
      </c>
      <c r="AR135" s="32">
        <f t="shared" si="227"/>
        <v>5</v>
      </c>
      <c r="AS135" s="32">
        <f t="shared" si="228"/>
        <v>5</v>
      </c>
      <c r="AT135" s="32">
        <f t="shared" si="228"/>
        <v>5</v>
      </c>
      <c r="AU135" s="32">
        <f t="shared" si="228"/>
        <v>5</v>
      </c>
      <c r="AV135" s="32">
        <f t="shared" si="228"/>
        <v>5</v>
      </c>
      <c r="AW135" s="32">
        <f t="shared" si="228"/>
        <v>5</v>
      </c>
      <c r="AX135" s="32">
        <f t="shared" si="228"/>
        <v>5</v>
      </c>
      <c r="AY135" s="32">
        <f t="shared" si="228"/>
        <v>5</v>
      </c>
      <c r="AZ135" s="32">
        <f t="shared" si="228"/>
        <v>5</v>
      </c>
      <c r="BA135" s="32">
        <f t="shared" si="228"/>
        <v>5</v>
      </c>
      <c r="BB135" s="32">
        <f t="shared" si="228"/>
        <v>5</v>
      </c>
      <c r="BC135" s="32">
        <f t="shared" si="229"/>
        <v>5</v>
      </c>
      <c r="BD135" s="32">
        <f t="shared" si="229"/>
        <v>5</v>
      </c>
      <c r="BE135" s="32">
        <f t="shared" si="229"/>
        <v>5</v>
      </c>
      <c r="BF135" s="32">
        <f t="shared" si="229"/>
        <v>5</v>
      </c>
      <c r="BG135" s="32">
        <f t="shared" si="229"/>
        <v>5</v>
      </c>
      <c r="BH135" s="32">
        <f t="shared" si="229"/>
        <v>5</v>
      </c>
      <c r="BI135" s="32">
        <f t="shared" si="229"/>
        <v>5</v>
      </c>
      <c r="BJ135" s="32">
        <f t="shared" si="229"/>
        <v>5</v>
      </c>
      <c r="BK135" s="32">
        <f t="shared" si="229"/>
        <v>5</v>
      </c>
      <c r="BL135" s="32">
        <f t="shared" si="229"/>
        <v>5</v>
      </c>
      <c r="BM135" s="32">
        <f t="shared" si="229"/>
        <v>5</v>
      </c>
      <c r="BN135" s="32">
        <f t="shared" si="229"/>
        <v>5</v>
      </c>
      <c r="BO135" s="32">
        <f t="shared" si="229"/>
        <v>5</v>
      </c>
      <c r="BP135" s="32">
        <f t="shared" si="229"/>
        <v>5</v>
      </c>
      <c r="BQ135" s="32">
        <f t="shared" si="229"/>
        <v>0</v>
      </c>
    </row>
    <row r="136" spans="1:69" s="32" customFormat="1" ht="13.5" customHeight="1">
      <c r="A136" s="1"/>
      <c r="B136" s="1"/>
      <c r="C136" s="31"/>
      <c r="D136" s="31" t="s">
        <v>276</v>
      </c>
      <c r="F136" s="32">
        <f t="shared" si="230"/>
        <v>54</v>
      </c>
      <c r="G136" s="104">
        <v>1</v>
      </c>
      <c r="H136" s="32" t="s">
        <v>280</v>
      </c>
      <c r="L136" s="42"/>
      <c r="M136" s="32">
        <f t="shared" si="231"/>
        <v>54</v>
      </c>
      <c r="O136" s="32">
        <f t="shared" si="225"/>
        <v>1</v>
      </c>
      <c r="P136" s="32">
        <f t="shared" si="225"/>
        <v>1</v>
      </c>
      <c r="Q136" s="32">
        <f t="shared" si="225"/>
        <v>1</v>
      </c>
      <c r="R136" s="32">
        <f t="shared" si="225"/>
        <v>1</v>
      </c>
      <c r="S136" s="32">
        <f t="shared" si="225"/>
        <v>1</v>
      </c>
      <c r="T136" s="32">
        <f t="shared" si="225"/>
        <v>1</v>
      </c>
      <c r="U136" s="32">
        <f t="shared" si="225"/>
        <v>1</v>
      </c>
      <c r="V136" s="32">
        <f t="shared" si="225"/>
        <v>1</v>
      </c>
      <c r="W136" s="32">
        <f t="shared" si="225"/>
        <v>1</v>
      </c>
      <c r="X136" s="32">
        <f t="shared" si="225"/>
        <v>1</v>
      </c>
      <c r="Y136" s="32">
        <f t="shared" si="226"/>
        <v>1</v>
      </c>
      <c r="Z136" s="32">
        <f t="shared" si="226"/>
        <v>1</v>
      </c>
      <c r="AA136" s="32">
        <f t="shared" si="226"/>
        <v>1</v>
      </c>
      <c r="AB136" s="32">
        <f t="shared" si="226"/>
        <v>1</v>
      </c>
      <c r="AC136" s="32">
        <f t="shared" si="226"/>
        <v>1</v>
      </c>
      <c r="AD136" s="32">
        <f t="shared" si="226"/>
        <v>1</v>
      </c>
      <c r="AE136" s="32">
        <f t="shared" si="226"/>
        <v>1</v>
      </c>
      <c r="AF136" s="32">
        <f t="shared" si="226"/>
        <v>1</v>
      </c>
      <c r="AG136" s="32">
        <f t="shared" si="226"/>
        <v>1</v>
      </c>
      <c r="AH136" s="32">
        <f t="shared" si="226"/>
        <v>1</v>
      </c>
      <c r="AI136" s="32">
        <f t="shared" si="227"/>
        <v>1</v>
      </c>
      <c r="AJ136" s="32">
        <f t="shared" si="227"/>
        <v>1</v>
      </c>
      <c r="AK136" s="32">
        <f t="shared" si="227"/>
        <v>1</v>
      </c>
      <c r="AL136" s="32">
        <f t="shared" si="227"/>
        <v>1</v>
      </c>
      <c r="AM136" s="32">
        <f t="shared" si="227"/>
        <v>1</v>
      </c>
      <c r="AN136" s="32">
        <f t="shared" si="227"/>
        <v>1</v>
      </c>
      <c r="AO136" s="32">
        <f t="shared" si="227"/>
        <v>1</v>
      </c>
      <c r="AP136" s="32">
        <f t="shared" si="227"/>
        <v>1</v>
      </c>
      <c r="AQ136" s="32">
        <f t="shared" si="227"/>
        <v>1</v>
      </c>
      <c r="AR136" s="32">
        <f t="shared" si="227"/>
        <v>1</v>
      </c>
      <c r="AS136" s="32">
        <f t="shared" si="228"/>
        <v>1</v>
      </c>
      <c r="AT136" s="32">
        <f t="shared" si="228"/>
        <v>1</v>
      </c>
      <c r="AU136" s="32">
        <f t="shared" si="228"/>
        <v>1</v>
      </c>
      <c r="AV136" s="32">
        <f t="shared" si="228"/>
        <v>1</v>
      </c>
      <c r="AW136" s="32">
        <f t="shared" si="228"/>
        <v>1</v>
      </c>
      <c r="AX136" s="32">
        <f t="shared" si="228"/>
        <v>1</v>
      </c>
      <c r="AY136" s="32">
        <f t="shared" si="228"/>
        <v>1</v>
      </c>
      <c r="AZ136" s="32">
        <f t="shared" si="228"/>
        <v>1</v>
      </c>
      <c r="BA136" s="32">
        <f t="shared" si="228"/>
        <v>1</v>
      </c>
      <c r="BB136" s="32">
        <f t="shared" si="228"/>
        <v>1</v>
      </c>
      <c r="BC136" s="32">
        <f t="shared" si="229"/>
        <v>1</v>
      </c>
      <c r="BD136" s="32">
        <f t="shared" si="229"/>
        <v>1</v>
      </c>
      <c r="BE136" s="32">
        <f t="shared" si="229"/>
        <v>1</v>
      </c>
      <c r="BF136" s="32">
        <f t="shared" si="229"/>
        <v>1</v>
      </c>
      <c r="BG136" s="32">
        <f t="shared" si="229"/>
        <v>1</v>
      </c>
      <c r="BH136" s="32">
        <f t="shared" si="229"/>
        <v>1</v>
      </c>
      <c r="BI136" s="32">
        <f t="shared" si="229"/>
        <v>1</v>
      </c>
      <c r="BJ136" s="32">
        <f t="shared" si="229"/>
        <v>1</v>
      </c>
      <c r="BK136" s="32">
        <f t="shared" si="229"/>
        <v>1</v>
      </c>
      <c r="BL136" s="32">
        <f t="shared" si="229"/>
        <v>1</v>
      </c>
      <c r="BM136" s="32">
        <f t="shared" si="229"/>
        <v>1</v>
      </c>
      <c r="BN136" s="32">
        <f t="shared" si="229"/>
        <v>1</v>
      </c>
      <c r="BO136" s="32">
        <f t="shared" si="229"/>
        <v>1</v>
      </c>
      <c r="BP136" s="32">
        <f t="shared" si="229"/>
        <v>1</v>
      </c>
      <c r="BQ136" s="32">
        <f t="shared" si="229"/>
        <v>0</v>
      </c>
    </row>
    <row r="137" spans="1:69" s="32" customFormat="1" ht="13.5" customHeight="1">
      <c r="A137" s="1"/>
      <c r="B137" s="1"/>
      <c r="C137" s="31"/>
      <c r="D137" s="31" t="s">
        <v>277</v>
      </c>
      <c r="F137" s="32">
        <f t="shared" si="230"/>
        <v>54</v>
      </c>
      <c r="G137" s="104">
        <v>1</v>
      </c>
      <c r="H137" s="32" t="s">
        <v>280</v>
      </c>
      <c r="L137" s="42"/>
      <c r="M137" s="32">
        <f t="shared" si="231"/>
        <v>54</v>
      </c>
      <c r="O137" s="32">
        <f t="shared" si="225"/>
        <v>1</v>
      </c>
      <c r="P137" s="32">
        <f t="shared" si="225"/>
        <v>1</v>
      </c>
      <c r="Q137" s="32">
        <f t="shared" si="225"/>
        <v>1</v>
      </c>
      <c r="R137" s="32">
        <f t="shared" si="225"/>
        <v>1</v>
      </c>
      <c r="S137" s="32">
        <f t="shared" si="225"/>
        <v>1</v>
      </c>
      <c r="T137" s="32">
        <f t="shared" si="225"/>
        <v>1</v>
      </c>
      <c r="U137" s="32">
        <f t="shared" si="225"/>
        <v>1</v>
      </c>
      <c r="V137" s="32">
        <f t="shared" si="225"/>
        <v>1</v>
      </c>
      <c r="W137" s="32">
        <f t="shared" si="225"/>
        <v>1</v>
      </c>
      <c r="X137" s="32">
        <f t="shared" si="225"/>
        <v>1</v>
      </c>
      <c r="Y137" s="32">
        <f t="shared" si="226"/>
        <v>1</v>
      </c>
      <c r="Z137" s="32">
        <f t="shared" si="226"/>
        <v>1</v>
      </c>
      <c r="AA137" s="32">
        <f t="shared" si="226"/>
        <v>1</v>
      </c>
      <c r="AB137" s="32">
        <f t="shared" si="226"/>
        <v>1</v>
      </c>
      <c r="AC137" s="32">
        <f t="shared" si="226"/>
        <v>1</v>
      </c>
      <c r="AD137" s="32">
        <f t="shared" si="226"/>
        <v>1</v>
      </c>
      <c r="AE137" s="32">
        <f t="shared" si="226"/>
        <v>1</v>
      </c>
      <c r="AF137" s="32">
        <f t="shared" si="226"/>
        <v>1</v>
      </c>
      <c r="AG137" s="32">
        <f t="shared" si="226"/>
        <v>1</v>
      </c>
      <c r="AH137" s="32">
        <f t="shared" si="226"/>
        <v>1</v>
      </c>
      <c r="AI137" s="32">
        <f t="shared" si="227"/>
        <v>1</v>
      </c>
      <c r="AJ137" s="32">
        <f t="shared" si="227"/>
        <v>1</v>
      </c>
      <c r="AK137" s="32">
        <f t="shared" si="227"/>
        <v>1</v>
      </c>
      <c r="AL137" s="32">
        <f t="shared" si="227"/>
        <v>1</v>
      </c>
      <c r="AM137" s="32">
        <f t="shared" si="227"/>
        <v>1</v>
      </c>
      <c r="AN137" s="32">
        <f t="shared" si="227"/>
        <v>1</v>
      </c>
      <c r="AO137" s="32">
        <f t="shared" si="227"/>
        <v>1</v>
      </c>
      <c r="AP137" s="32">
        <f t="shared" si="227"/>
        <v>1</v>
      </c>
      <c r="AQ137" s="32">
        <f t="shared" si="227"/>
        <v>1</v>
      </c>
      <c r="AR137" s="32">
        <f t="shared" si="227"/>
        <v>1</v>
      </c>
      <c r="AS137" s="32">
        <f t="shared" si="228"/>
        <v>1</v>
      </c>
      <c r="AT137" s="32">
        <f t="shared" si="228"/>
        <v>1</v>
      </c>
      <c r="AU137" s="32">
        <f t="shared" si="228"/>
        <v>1</v>
      </c>
      <c r="AV137" s="32">
        <f t="shared" si="228"/>
        <v>1</v>
      </c>
      <c r="AW137" s="32">
        <f t="shared" si="228"/>
        <v>1</v>
      </c>
      <c r="AX137" s="32">
        <f t="shared" si="228"/>
        <v>1</v>
      </c>
      <c r="AY137" s="32">
        <f t="shared" si="228"/>
        <v>1</v>
      </c>
      <c r="AZ137" s="32">
        <f t="shared" si="228"/>
        <v>1</v>
      </c>
      <c r="BA137" s="32">
        <f t="shared" si="228"/>
        <v>1</v>
      </c>
      <c r="BB137" s="32">
        <f t="shared" si="228"/>
        <v>1</v>
      </c>
      <c r="BC137" s="32">
        <f t="shared" si="229"/>
        <v>1</v>
      </c>
      <c r="BD137" s="32">
        <f t="shared" si="229"/>
        <v>1</v>
      </c>
      <c r="BE137" s="32">
        <f t="shared" si="229"/>
        <v>1</v>
      </c>
      <c r="BF137" s="32">
        <f t="shared" si="229"/>
        <v>1</v>
      </c>
      <c r="BG137" s="32">
        <f t="shared" si="229"/>
        <v>1</v>
      </c>
      <c r="BH137" s="32">
        <f t="shared" si="229"/>
        <v>1</v>
      </c>
      <c r="BI137" s="32">
        <f t="shared" si="229"/>
        <v>1</v>
      </c>
      <c r="BJ137" s="32">
        <f t="shared" si="229"/>
        <v>1</v>
      </c>
      <c r="BK137" s="32">
        <f t="shared" si="229"/>
        <v>1</v>
      </c>
      <c r="BL137" s="32">
        <f t="shared" si="229"/>
        <v>1</v>
      </c>
      <c r="BM137" s="32">
        <f t="shared" si="229"/>
        <v>1</v>
      </c>
      <c r="BN137" s="32">
        <f t="shared" si="229"/>
        <v>1</v>
      </c>
      <c r="BO137" s="32">
        <f t="shared" si="229"/>
        <v>1</v>
      </c>
      <c r="BP137" s="32">
        <f t="shared" si="229"/>
        <v>1</v>
      </c>
      <c r="BQ137" s="32">
        <f t="shared" si="229"/>
        <v>0</v>
      </c>
    </row>
    <row r="138" spans="1:69" s="24" customFormat="1" ht="13.5" customHeight="1">
      <c r="A138" s="1"/>
      <c r="B138" s="34"/>
      <c r="C138" s="54"/>
      <c r="D138" s="33" t="s">
        <v>278</v>
      </c>
      <c r="F138" s="24">
        <f t="shared" si="230"/>
        <v>270</v>
      </c>
      <c r="G138" s="165">
        <v>5</v>
      </c>
      <c r="H138" s="24" t="s">
        <v>280</v>
      </c>
      <c r="L138" s="44"/>
      <c r="M138" s="24">
        <f t="shared" si="231"/>
        <v>270</v>
      </c>
      <c r="O138" s="24">
        <f t="shared" si="225"/>
        <v>5</v>
      </c>
      <c r="P138" s="24">
        <f t="shared" si="225"/>
        <v>5</v>
      </c>
      <c r="Q138" s="24">
        <f t="shared" si="225"/>
        <v>5</v>
      </c>
      <c r="R138" s="24">
        <f t="shared" si="225"/>
        <v>5</v>
      </c>
      <c r="S138" s="24">
        <f t="shared" si="225"/>
        <v>5</v>
      </c>
      <c r="T138" s="24">
        <f t="shared" si="225"/>
        <v>5</v>
      </c>
      <c r="U138" s="24">
        <f t="shared" si="225"/>
        <v>5</v>
      </c>
      <c r="V138" s="24">
        <f t="shared" si="225"/>
        <v>5</v>
      </c>
      <c r="W138" s="24">
        <f t="shared" si="225"/>
        <v>5</v>
      </c>
      <c r="X138" s="24">
        <f t="shared" si="225"/>
        <v>5</v>
      </c>
      <c r="Y138" s="24">
        <f t="shared" si="226"/>
        <v>5</v>
      </c>
      <c r="Z138" s="24">
        <f t="shared" si="226"/>
        <v>5</v>
      </c>
      <c r="AA138" s="24">
        <f t="shared" si="226"/>
        <v>5</v>
      </c>
      <c r="AB138" s="24">
        <f t="shared" si="226"/>
        <v>5</v>
      </c>
      <c r="AC138" s="24">
        <f t="shared" si="226"/>
        <v>5</v>
      </c>
      <c r="AD138" s="24">
        <f t="shared" si="226"/>
        <v>5</v>
      </c>
      <c r="AE138" s="24">
        <f t="shared" si="226"/>
        <v>5</v>
      </c>
      <c r="AF138" s="24">
        <f t="shared" si="226"/>
        <v>5</v>
      </c>
      <c r="AG138" s="24">
        <f t="shared" si="226"/>
        <v>5</v>
      </c>
      <c r="AH138" s="24">
        <f t="shared" si="226"/>
        <v>5</v>
      </c>
      <c r="AI138" s="24">
        <f t="shared" si="227"/>
        <v>5</v>
      </c>
      <c r="AJ138" s="24">
        <f t="shared" si="227"/>
        <v>5</v>
      </c>
      <c r="AK138" s="24">
        <f t="shared" si="227"/>
        <v>5</v>
      </c>
      <c r="AL138" s="24">
        <f t="shared" si="227"/>
        <v>5</v>
      </c>
      <c r="AM138" s="24">
        <f t="shared" si="227"/>
        <v>5</v>
      </c>
      <c r="AN138" s="24">
        <f t="shared" si="227"/>
        <v>5</v>
      </c>
      <c r="AO138" s="24">
        <f t="shared" si="227"/>
        <v>5</v>
      </c>
      <c r="AP138" s="24">
        <f t="shared" si="227"/>
        <v>5</v>
      </c>
      <c r="AQ138" s="24">
        <f t="shared" si="227"/>
        <v>5</v>
      </c>
      <c r="AR138" s="24">
        <f t="shared" si="227"/>
        <v>5</v>
      </c>
      <c r="AS138" s="24">
        <f t="shared" si="228"/>
        <v>5</v>
      </c>
      <c r="AT138" s="24">
        <f t="shared" si="228"/>
        <v>5</v>
      </c>
      <c r="AU138" s="24">
        <f t="shared" si="228"/>
        <v>5</v>
      </c>
      <c r="AV138" s="24">
        <f t="shared" si="228"/>
        <v>5</v>
      </c>
      <c r="AW138" s="24">
        <f t="shared" si="228"/>
        <v>5</v>
      </c>
      <c r="AX138" s="24">
        <f t="shared" si="228"/>
        <v>5</v>
      </c>
      <c r="AY138" s="24">
        <f t="shared" si="228"/>
        <v>5</v>
      </c>
      <c r="AZ138" s="24">
        <f t="shared" si="228"/>
        <v>5</v>
      </c>
      <c r="BA138" s="24">
        <f t="shared" si="228"/>
        <v>5</v>
      </c>
      <c r="BB138" s="24">
        <f t="shared" si="228"/>
        <v>5</v>
      </c>
      <c r="BC138" s="24">
        <f t="shared" si="229"/>
        <v>5</v>
      </c>
      <c r="BD138" s="24">
        <f t="shared" si="229"/>
        <v>5</v>
      </c>
      <c r="BE138" s="24">
        <f t="shared" si="229"/>
        <v>5</v>
      </c>
      <c r="BF138" s="24">
        <f t="shared" si="229"/>
        <v>5</v>
      </c>
      <c r="BG138" s="24">
        <f t="shared" si="229"/>
        <v>5</v>
      </c>
      <c r="BH138" s="24">
        <f t="shared" si="229"/>
        <v>5</v>
      </c>
      <c r="BI138" s="24">
        <f t="shared" si="229"/>
        <v>5</v>
      </c>
      <c r="BJ138" s="24">
        <f t="shared" si="229"/>
        <v>5</v>
      </c>
      <c r="BK138" s="24">
        <f t="shared" si="229"/>
        <v>5</v>
      </c>
      <c r="BL138" s="24">
        <f t="shared" si="229"/>
        <v>5</v>
      </c>
      <c r="BM138" s="24">
        <f t="shared" si="229"/>
        <v>5</v>
      </c>
      <c r="BN138" s="24">
        <f t="shared" si="229"/>
        <v>5</v>
      </c>
      <c r="BO138" s="24">
        <f t="shared" si="229"/>
        <v>5</v>
      </c>
      <c r="BP138" s="24">
        <f t="shared" si="229"/>
        <v>5</v>
      </c>
      <c r="BQ138" s="24">
        <f t="shared" si="229"/>
        <v>0</v>
      </c>
    </row>
    <row r="139" spans="1:69" ht="13.5" customHeight="1">
      <c r="B139" s="167" t="s">
        <v>282</v>
      </c>
      <c r="C139" s="167"/>
      <c r="D139" s="167"/>
      <c r="E139" s="167"/>
      <c r="F139" s="167">
        <f ca="1">F109+F78+F27+F24+F12</f>
        <v>537093.12310040882</v>
      </c>
      <c r="G139" s="167"/>
      <c r="H139" s="167"/>
      <c r="I139" s="167"/>
      <c r="J139" s="167"/>
      <c r="K139" s="167"/>
      <c r="L139" s="168"/>
      <c r="M139" s="167">
        <f t="shared" ca="1" si="231"/>
        <v>537093.12310163188</v>
      </c>
      <c r="N139" s="167"/>
      <c r="O139" s="167">
        <f t="shared" ref="O139:AT139" ca="1" si="232">O109+O78+O27+O24+O12</f>
        <v>162543.33426231035</v>
      </c>
      <c r="P139" s="167">
        <f t="shared" ca="1" si="232"/>
        <v>121.08291689151929</v>
      </c>
      <c r="Q139" s="167">
        <f t="shared" ca="1" si="232"/>
        <v>121.08291689151929</v>
      </c>
      <c r="R139" s="167">
        <f t="shared" ca="1" si="232"/>
        <v>4166.3619666120112</v>
      </c>
      <c r="S139" s="167">
        <f t="shared" ca="1" si="232"/>
        <v>148.11035369766199</v>
      </c>
      <c r="T139" s="167">
        <f t="shared" ca="1" si="232"/>
        <v>148.11035369766199</v>
      </c>
      <c r="U139" s="167">
        <f t="shared" ca="1" si="232"/>
        <v>148.11035369766199</v>
      </c>
      <c r="V139" s="167">
        <f t="shared" ca="1" si="232"/>
        <v>148.11035369766199</v>
      </c>
      <c r="W139" s="167">
        <f t="shared" ca="1" si="232"/>
        <v>148.11035369766199</v>
      </c>
      <c r="X139" s="167">
        <f t="shared" ca="1" si="232"/>
        <v>148.11035369766199</v>
      </c>
      <c r="Y139" s="167">
        <f t="shared" ca="1" si="232"/>
        <v>148.11035369766199</v>
      </c>
      <c r="Z139" s="167">
        <f t="shared" ca="1" si="232"/>
        <v>148.11035369766199</v>
      </c>
      <c r="AA139" s="167">
        <f t="shared" ca="1" si="232"/>
        <v>148.11035369766199</v>
      </c>
      <c r="AB139" s="167">
        <f t="shared" ca="1" si="232"/>
        <v>2645.4455145852476</v>
      </c>
      <c r="AC139" s="167">
        <f t="shared" ca="1" si="232"/>
        <v>4061.7679129437324</v>
      </c>
      <c r="AD139" s="167">
        <f t="shared" ca="1" si="232"/>
        <v>9030.6247177839996</v>
      </c>
      <c r="AE139" s="167">
        <f t="shared" ca="1" si="232"/>
        <v>4759.1301284843221</v>
      </c>
      <c r="AF139" s="167">
        <f t="shared" ca="1" si="232"/>
        <v>4250.2994037023482</v>
      </c>
      <c r="AG139" s="167">
        <f t="shared" ca="1" si="232"/>
        <v>5952.3086571023468</v>
      </c>
      <c r="AH139" s="167">
        <f t="shared" ca="1" si="232"/>
        <v>6434.4744872823285</v>
      </c>
      <c r="AI139" s="167">
        <f t="shared" ca="1" si="232"/>
        <v>7079.7134252731885</v>
      </c>
      <c r="AJ139" s="167">
        <f t="shared" ca="1" si="232"/>
        <v>7735.2456757171494</v>
      </c>
      <c r="AK139" s="167">
        <f t="shared" ca="1" si="232"/>
        <v>8680.3144895260739</v>
      </c>
      <c r="AL139" s="167">
        <f t="shared" ca="1" si="232"/>
        <v>9251.7941999077957</v>
      </c>
      <c r="AM139" s="167">
        <f t="shared" ca="1" si="232"/>
        <v>10009.783188795718</v>
      </c>
      <c r="AN139" s="167">
        <f t="shared" ca="1" si="232"/>
        <v>10683.627878833589</v>
      </c>
      <c r="AO139" s="167">
        <f t="shared" ca="1" si="232"/>
        <v>10766.541727606174</v>
      </c>
      <c r="AP139" s="167">
        <f t="shared" ca="1" si="232"/>
        <v>11325.218623724557</v>
      </c>
      <c r="AQ139" s="167">
        <f t="shared" ca="1" si="232"/>
        <v>10671.647770575295</v>
      </c>
      <c r="AR139" s="167">
        <f t="shared" ca="1" si="232"/>
        <v>10741.089623162892</v>
      </c>
      <c r="AS139" s="167">
        <f t="shared" ca="1" si="232"/>
        <v>10962.31982796289</v>
      </c>
      <c r="AT139" s="167">
        <f t="shared" ca="1" si="232"/>
        <v>11679.898427102831</v>
      </c>
      <c r="AU139" s="167">
        <f t="shared" ref="AU139:BQ139" ca="1" si="233">AU109+AU78+AU27+AU24+AU12</f>
        <v>11611.071401690428</v>
      </c>
      <c r="AV139" s="167">
        <f t="shared" ca="1" si="233"/>
        <v>11859.955382090429</v>
      </c>
      <c r="AW139" s="167">
        <f t="shared" ca="1" si="233"/>
        <v>12577.533981230366</v>
      </c>
      <c r="AX139" s="167">
        <f t="shared" ca="1" si="233"/>
        <v>12702.283385017965</v>
      </c>
      <c r="AY139" s="167">
        <f t="shared" ca="1" si="233"/>
        <v>12536.360731417964</v>
      </c>
      <c r="AZ139" s="167">
        <f t="shared" ca="1" si="233"/>
        <v>12093.900321817966</v>
      </c>
      <c r="BA139" s="167">
        <f t="shared" ca="1" si="233"/>
        <v>11762.055014617965</v>
      </c>
      <c r="BB139" s="167">
        <f t="shared" ca="1" si="233"/>
        <v>11828.154079896061</v>
      </c>
      <c r="BC139" s="167">
        <f t="shared" ca="1" si="233"/>
        <v>11319.594605017966</v>
      </c>
      <c r="BD139" s="167">
        <f t="shared" ca="1" si="233"/>
        <v>11126.018175817964</v>
      </c>
      <c r="BE139" s="167">
        <f t="shared" ca="1" si="233"/>
        <v>10877.134195417964</v>
      </c>
      <c r="BF139" s="167">
        <f t="shared" ca="1" si="233"/>
        <v>10655.903990617966</v>
      </c>
      <c r="BG139" s="167">
        <f t="shared" ca="1" si="233"/>
        <v>9715.6756202179658</v>
      </c>
      <c r="BH139" s="167">
        <f t="shared" ca="1" si="233"/>
        <v>8941.3699034179663</v>
      </c>
      <c r="BI139" s="167">
        <f t="shared" ca="1" si="233"/>
        <v>8663.1699182101202</v>
      </c>
      <c r="BJ139" s="167">
        <f t="shared" ca="1" si="233"/>
        <v>13327.78186901202</v>
      </c>
      <c r="BK139" s="167">
        <f t="shared" ca="1" si="233"/>
        <v>7346.6347496502904</v>
      </c>
      <c r="BL139" s="167">
        <f t="shared" ca="1" si="233"/>
        <v>5801.1761364368631</v>
      </c>
      <c r="BM139" s="167">
        <f t="shared" ca="1" si="233"/>
        <v>16682.05081391993</v>
      </c>
      <c r="BN139" s="167">
        <f t="shared" ca="1" si="233"/>
        <v>417.03206507195728</v>
      </c>
      <c r="BO139" s="167">
        <f t="shared" ca="1" si="233"/>
        <v>121.08291689151929</v>
      </c>
      <c r="BP139" s="167">
        <f t="shared" ca="1" si="233"/>
        <v>121.08291689151929</v>
      </c>
      <c r="BQ139" s="167">
        <f t="shared" ca="1" si="233"/>
        <v>0</v>
      </c>
    </row>
    <row r="140" spans="1:69" ht="13.5" customHeight="1">
      <c r="B140" s="80" t="s">
        <v>398</v>
      </c>
      <c r="C140" s="80"/>
      <c r="D140" s="80"/>
      <c r="E140" s="80"/>
      <c r="F140" s="80">
        <f ca="1">SUM(F141:F155)</f>
        <v>46972.827871114307</v>
      </c>
      <c r="G140" s="80"/>
      <c r="H140" s="80"/>
      <c r="I140" s="80"/>
      <c r="J140" s="80"/>
      <c r="K140" s="80"/>
      <c r="L140" s="81" t="b">
        <f ca="1">ABS(M140-F140)&lt;0.001</f>
        <v>1</v>
      </c>
      <c r="M140" s="80">
        <f t="shared" ca="1" si="231"/>
        <v>46972.82782684495</v>
      </c>
      <c r="N140" s="80"/>
      <c r="O140" s="80">
        <f ca="1">SUM(O141:O155)</f>
        <v>9445.6281249999993</v>
      </c>
      <c r="P140" s="80">
        <f t="shared" ref="P140:BQ140" ca="1" si="234">SUM(P141:P155)</f>
        <v>0</v>
      </c>
      <c r="Q140" s="80">
        <f t="shared" ca="1" si="234"/>
        <v>0</v>
      </c>
      <c r="R140" s="80">
        <f t="shared" ca="1" si="234"/>
        <v>2583.3333333333335</v>
      </c>
      <c r="S140" s="80">
        <f t="shared" ca="1" si="234"/>
        <v>0</v>
      </c>
      <c r="T140" s="80">
        <f t="shared" ca="1" si="234"/>
        <v>0</v>
      </c>
      <c r="U140" s="80">
        <f t="shared" ca="1" si="234"/>
        <v>1937.5000000000005</v>
      </c>
      <c r="V140" s="80">
        <f t="shared" ca="1" si="234"/>
        <v>0</v>
      </c>
      <c r="W140" s="80">
        <f t="shared" ca="1" si="234"/>
        <v>0</v>
      </c>
      <c r="X140" s="80">
        <f t="shared" ca="1" si="234"/>
        <v>1937.4999999999991</v>
      </c>
      <c r="Y140" s="80">
        <f t="shared" ca="1" si="234"/>
        <v>0</v>
      </c>
      <c r="Z140" s="80">
        <f t="shared" ca="1" si="234"/>
        <v>0</v>
      </c>
      <c r="AA140" s="80">
        <f t="shared" ca="1" si="234"/>
        <v>1937.4999999999991</v>
      </c>
      <c r="AB140" s="80">
        <f t="shared" ca="1" si="234"/>
        <v>0</v>
      </c>
      <c r="AC140" s="80">
        <f t="shared" ca="1" si="234"/>
        <v>0</v>
      </c>
      <c r="AD140" s="80">
        <f t="shared" ca="1" si="234"/>
        <v>3929.2375967495523</v>
      </c>
      <c r="AE140" s="80">
        <f t="shared" ca="1" si="234"/>
        <v>0</v>
      </c>
      <c r="AF140" s="80">
        <f t="shared" ca="1" si="234"/>
        <v>0</v>
      </c>
      <c r="AG140" s="80">
        <f t="shared" ca="1" si="234"/>
        <v>2321.2486122112223</v>
      </c>
      <c r="AH140" s="80">
        <f t="shared" ca="1" si="234"/>
        <v>0</v>
      </c>
      <c r="AI140" s="80">
        <f t="shared" ca="1" si="234"/>
        <v>0</v>
      </c>
      <c r="AJ140" s="80">
        <f t="shared" ca="1" si="234"/>
        <v>1989.6416829515802</v>
      </c>
      <c r="AK140" s="80">
        <f t="shared" ca="1" si="234"/>
        <v>0</v>
      </c>
      <c r="AL140" s="80">
        <f t="shared" ca="1" si="234"/>
        <v>0</v>
      </c>
      <c r="AM140" s="80">
        <f t="shared" ca="1" si="234"/>
        <v>1989.6416972577179</v>
      </c>
      <c r="AN140" s="80">
        <f t="shared" ca="1" si="234"/>
        <v>0</v>
      </c>
      <c r="AO140" s="80">
        <f t="shared" ca="1" si="234"/>
        <v>0</v>
      </c>
      <c r="AP140" s="80">
        <f t="shared" ca="1" si="234"/>
        <v>1989.6417113799116</v>
      </c>
      <c r="AQ140" s="80">
        <f t="shared" ca="1" si="234"/>
        <v>0</v>
      </c>
      <c r="AR140" s="80">
        <f t="shared" ca="1" si="234"/>
        <v>0</v>
      </c>
      <c r="AS140" s="80">
        <f t="shared" ca="1" si="234"/>
        <v>1989.6417253309676</v>
      </c>
      <c r="AT140" s="80">
        <f t="shared" ca="1" si="234"/>
        <v>0</v>
      </c>
      <c r="AU140" s="80">
        <f t="shared" ca="1" si="234"/>
        <v>0</v>
      </c>
      <c r="AV140" s="80">
        <f t="shared" ca="1" si="234"/>
        <v>1989.6417391092414</v>
      </c>
      <c r="AW140" s="80">
        <f t="shared" ca="1" si="234"/>
        <v>0</v>
      </c>
      <c r="AX140" s="80">
        <f t="shared" ca="1" si="234"/>
        <v>0</v>
      </c>
      <c r="AY140" s="80">
        <f t="shared" ca="1" si="234"/>
        <v>1989.641752737255</v>
      </c>
      <c r="AZ140" s="80">
        <f t="shared" ca="1" si="234"/>
        <v>0</v>
      </c>
      <c r="BA140" s="80">
        <f t="shared" ca="1" si="234"/>
        <v>0</v>
      </c>
      <c r="BB140" s="80">
        <f t="shared" ca="1" si="234"/>
        <v>1989.6417662549304</v>
      </c>
      <c r="BC140" s="80">
        <f t="shared" ca="1" si="234"/>
        <v>0</v>
      </c>
      <c r="BD140" s="80">
        <f t="shared" ca="1" si="234"/>
        <v>0</v>
      </c>
      <c r="BE140" s="80">
        <f t="shared" ca="1" si="234"/>
        <v>1989.6417772184448</v>
      </c>
      <c r="BF140" s="80">
        <f t="shared" ca="1" si="234"/>
        <v>0</v>
      </c>
      <c r="BG140" s="80">
        <f t="shared" ca="1" si="234"/>
        <v>0</v>
      </c>
      <c r="BH140" s="80">
        <f t="shared" ca="1" si="234"/>
        <v>1989.6417835773286</v>
      </c>
      <c r="BI140" s="80">
        <f t="shared" ca="1" si="234"/>
        <v>0</v>
      </c>
      <c r="BJ140" s="80">
        <f t="shared" ca="1" si="234"/>
        <v>0</v>
      </c>
      <c r="BK140" s="80">
        <f t="shared" ca="1" si="234"/>
        <v>1989.6417879394583</v>
      </c>
      <c r="BL140" s="80">
        <f t="shared" ca="1" si="234"/>
        <v>0</v>
      </c>
      <c r="BM140" s="80">
        <f t="shared" ca="1" si="234"/>
        <v>0</v>
      </c>
      <c r="BN140" s="80">
        <f t="shared" ca="1" si="234"/>
        <v>1989.6417925633498</v>
      </c>
      <c r="BO140" s="80">
        <f t="shared" ca="1" si="234"/>
        <v>0</v>
      </c>
      <c r="BP140" s="80">
        <f t="shared" ca="1" si="234"/>
        <v>994.82089814797018</v>
      </c>
      <c r="BQ140" s="80">
        <f t="shared" ca="1" si="234"/>
        <v>0</v>
      </c>
    </row>
    <row r="141" spans="1:69" s="22" customFormat="1" ht="13.5" customHeight="1">
      <c r="A141" s="1"/>
      <c r="B141" s="1"/>
      <c r="C141" s="30" t="s">
        <v>410</v>
      </c>
      <c r="F141" s="22">
        <f>G141*I141</f>
        <v>150.87187500000002</v>
      </c>
      <c r="G141" s="22">
        <f>K65</f>
        <v>150871.875</v>
      </c>
      <c r="H141" s="22" t="s">
        <v>414</v>
      </c>
      <c r="I141" s="254">
        <f>'A&amp;R'!X34</f>
        <v>1E-3</v>
      </c>
      <c r="K141" s="259">
        <f>H16</f>
        <v>44377</v>
      </c>
      <c r="L141" s="43"/>
      <c r="M141" s="22">
        <f>SUM(N141:XFD141)</f>
        <v>150.87187500000002</v>
      </c>
      <c r="O141" s="22">
        <f t="shared" ref="O141:AT141" si="235">(O$11=$K$141)*$F$141</f>
        <v>150.87187500000002</v>
      </c>
      <c r="P141" s="22">
        <f t="shared" si="235"/>
        <v>0</v>
      </c>
      <c r="Q141" s="22">
        <f t="shared" si="235"/>
        <v>0</v>
      </c>
      <c r="R141" s="22">
        <f t="shared" si="235"/>
        <v>0</v>
      </c>
      <c r="S141" s="22">
        <f t="shared" si="235"/>
        <v>0</v>
      </c>
      <c r="T141" s="22">
        <f t="shared" si="235"/>
        <v>0</v>
      </c>
      <c r="U141" s="22">
        <f t="shared" si="235"/>
        <v>0</v>
      </c>
      <c r="V141" s="22">
        <f t="shared" si="235"/>
        <v>0</v>
      </c>
      <c r="W141" s="22">
        <f t="shared" si="235"/>
        <v>0</v>
      </c>
      <c r="X141" s="22">
        <f t="shared" si="235"/>
        <v>0</v>
      </c>
      <c r="Y141" s="22">
        <f t="shared" si="235"/>
        <v>0</v>
      </c>
      <c r="Z141" s="22">
        <f t="shared" si="235"/>
        <v>0</v>
      </c>
      <c r="AA141" s="22">
        <f t="shared" si="235"/>
        <v>0</v>
      </c>
      <c r="AB141" s="22">
        <f t="shared" si="235"/>
        <v>0</v>
      </c>
      <c r="AC141" s="22">
        <f t="shared" si="235"/>
        <v>0</v>
      </c>
      <c r="AD141" s="22">
        <f t="shared" si="235"/>
        <v>0</v>
      </c>
      <c r="AE141" s="22">
        <f t="shared" si="235"/>
        <v>0</v>
      </c>
      <c r="AF141" s="22">
        <f t="shared" si="235"/>
        <v>0</v>
      </c>
      <c r="AG141" s="22">
        <f t="shared" si="235"/>
        <v>0</v>
      </c>
      <c r="AH141" s="22">
        <f t="shared" si="235"/>
        <v>0</v>
      </c>
      <c r="AI141" s="22">
        <f t="shared" si="235"/>
        <v>0</v>
      </c>
      <c r="AJ141" s="22">
        <f t="shared" si="235"/>
        <v>0</v>
      </c>
      <c r="AK141" s="22">
        <f t="shared" si="235"/>
        <v>0</v>
      </c>
      <c r="AL141" s="22">
        <f t="shared" si="235"/>
        <v>0</v>
      </c>
      <c r="AM141" s="22">
        <f t="shared" si="235"/>
        <v>0</v>
      </c>
      <c r="AN141" s="22">
        <f t="shared" si="235"/>
        <v>0</v>
      </c>
      <c r="AO141" s="22">
        <f t="shared" si="235"/>
        <v>0</v>
      </c>
      <c r="AP141" s="22">
        <f t="shared" si="235"/>
        <v>0</v>
      </c>
      <c r="AQ141" s="22">
        <f t="shared" si="235"/>
        <v>0</v>
      </c>
      <c r="AR141" s="22">
        <f t="shared" si="235"/>
        <v>0</v>
      </c>
      <c r="AS141" s="22">
        <f t="shared" si="235"/>
        <v>0</v>
      </c>
      <c r="AT141" s="22">
        <f t="shared" si="235"/>
        <v>0</v>
      </c>
      <c r="AU141" s="22">
        <f t="shared" ref="AU141:BQ141" si="236">(AU$11=$K$141)*$F$141</f>
        <v>0</v>
      </c>
      <c r="AV141" s="22">
        <f t="shared" si="236"/>
        <v>0</v>
      </c>
      <c r="AW141" s="22">
        <f t="shared" si="236"/>
        <v>0</v>
      </c>
      <c r="AX141" s="22">
        <f t="shared" si="236"/>
        <v>0</v>
      </c>
      <c r="AY141" s="22">
        <f t="shared" si="236"/>
        <v>0</v>
      </c>
      <c r="AZ141" s="22">
        <f t="shared" si="236"/>
        <v>0</v>
      </c>
      <c r="BA141" s="22">
        <f t="shared" si="236"/>
        <v>0</v>
      </c>
      <c r="BB141" s="22">
        <f t="shared" si="236"/>
        <v>0</v>
      </c>
      <c r="BC141" s="22">
        <f t="shared" si="236"/>
        <v>0</v>
      </c>
      <c r="BD141" s="22">
        <f t="shared" si="236"/>
        <v>0</v>
      </c>
      <c r="BE141" s="22">
        <f t="shared" si="236"/>
        <v>0</v>
      </c>
      <c r="BF141" s="22">
        <f t="shared" si="236"/>
        <v>0</v>
      </c>
      <c r="BG141" s="22">
        <f t="shared" si="236"/>
        <v>0</v>
      </c>
      <c r="BH141" s="22">
        <f t="shared" si="236"/>
        <v>0</v>
      </c>
      <c r="BI141" s="22">
        <f t="shared" si="236"/>
        <v>0</v>
      </c>
      <c r="BJ141" s="22">
        <f t="shared" si="236"/>
        <v>0</v>
      </c>
      <c r="BK141" s="22">
        <f t="shared" si="236"/>
        <v>0</v>
      </c>
      <c r="BL141" s="22">
        <f t="shared" si="236"/>
        <v>0</v>
      </c>
      <c r="BM141" s="22">
        <f t="shared" si="236"/>
        <v>0</v>
      </c>
      <c r="BN141" s="22">
        <f t="shared" si="236"/>
        <v>0</v>
      </c>
      <c r="BO141" s="22">
        <f t="shared" si="236"/>
        <v>0</v>
      </c>
      <c r="BP141" s="22">
        <f t="shared" si="236"/>
        <v>0</v>
      </c>
      <c r="BQ141" s="22">
        <f t="shared" si="236"/>
        <v>0</v>
      </c>
    </row>
    <row r="142" spans="1:69" s="22" customFormat="1" ht="13.5" customHeight="1">
      <c r="A142" s="1"/>
      <c r="B142" s="1"/>
      <c r="C142" s="30" t="s">
        <v>411</v>
      </c>
      <c r="L142" s="43"/>
    </row>
    <row r="143" spans="1:69" s="32" customFormat="1" ht="13.5" customHeight="1">
      <c r="A143" s="1"/>
      <c r="B143" s="1"/>
      <c r="C143" s="31"/>
      <c r="D143" s="32" t="s">
        <v>371</v>
      </c>
      <c r="L143" s="42"/>
    </row>
    <row r="144" spans="1:69" s="22" customFormat="1" ht="13.5" customHeight="1">
      <c r="A144" s="1"/>
      <c r="B144" s="1"/>
      <c r="C144" s="31"/>
      <c r="D144" s="30" t="s">
        <v>379</v>
      </c>
      <c r="F144" s="22">
        <f>G144*I144</f>
        <v>2112.2062500000002</v>
      </c>
      <c r="G144" s="22">
        <f>'A&amp;R'!S34</f>
        <v>105610.3125</v>
      </c>
      <c r="H144" s="22" t="s">
        <v>414</v>
      </c>
      <c r="I144" s="254">
        <f>'A&amp;R'!Y34</f>
        <v>0.02</v>
      </c>
      <c r="K144" s="259">
        <f>K141</f>
        <v>44377</v>
      </c>
      <c r="L144" s="43"/>
      <c r="M144" s="22">
        <f>SUM(N144:XFD144)</f>
        <v>2112.2062500000002</v>
      </c>
      <c r="O144" s="22">
        <f t="shared" ref="O144:AT144" si="237">(O$11=$K$144)*$F$144</f>
        <v>2112.2062500000002</v>
      </c>
      <c r="P144" s="22">
        <f t="shared" si="237"/>
        <v>0</v>
      </c>
      <c r="Q144" s="22">
        <f t="shared" si="237"/>
        <v>0</v>
      </c>
      <c r="R144" s="22">
        <f t="shared" si="237"/>
        <v>0</v>
      </c>
      <c r="S144" s="22">
        <f t="shared" si="237"/>
        <v>0</v>
      </c>
      <c r="T144" s="22">
        <f t="shared" si="237"/>
        <v>0</v>
      </c>
      <c r="U144" s="22">
        <f t="shared" si="237"/>
        <v>0</v>
      </c>
      <c r="V144" s="22">
        <f t="shared" si="237"/>
        <v>0</v>
      </c>
      <c r="W144" s="22">
        <f t="shared" si="237"/>
        <v>0</v>
      </c>
      <c r="X144" s="22">
        <f t="shared" si="237"/>
        <v>0</v>
      </c>
      <c r="Y144" s="22">
        <f t="shared" si="237"/>
        <v>0</v>
      </c>
      <c r="Z144" s="22">
        <f t="shared" si="237"/>
        <v>0</v>
      </c>
      <c r="AA144" s="22">
        <f t="shared" si="237"/>
        <v>0</v>
      </c>
      <c r="AB144" s="22">
        <f t="shared" si="237"/>
        <v>0</v>
      </c>
      <c r="AC144" s="22">
        <f t="shared" si="237"/>
        <v>0</v>
      </c>
      <c r="AD144" s="22">
        <f t="shared" si="237"/>
        <v>0</v>
      </c>
      <c r="AE144" s="22">
        <f t="shared" si="237"/>
        <v>0</v>
      </c>
      <c r="AF144" s="22">
        <f t="shared" si="237"/>
        <v>0</v>
      </c>
      <c r="AG144" s="22">
        <f t="shared" si="237"/>
        <v>0</v>
      </c>
      <c r="AH144" s="22">
        <f t="shared" si="237"/>
        <v>0</v>
      </c>
      <c r="AI144" s="22">
        <f t="shared" si="237"/>
        <v>0</v>
      </c>
      <c r="AJ144" s="22">
        <f t="shared" si="237"/>
        <v>0</v>
      </c>
      <c r="AK144" s="22">
        <f t="shared" si="237"/>
        <v>0</v>
      </c>
      <c r="AL144" s="22">
        <f t="shared" si="237"/>
        <v>0</v>
      </c>
      <c r="AM144" s="22">
        <f t="shared" si="237"/>
        <v>0</v>
      </c>
      <c r="AN144" s="22">
        <f t="shared" si="237"/>
        <v>0</v>
      </c>
      <c r="AO144" s="22">
        <f t="shared" si="237"/>
        <v>0</v>
      </c>
      <c r="AP144" s="22">
        <f t="shared" si="237"/>
        <v>0</v>
      </c>
      <c r="AQ144" s="22">
        <f t="shared" si="237"/>
        <v>0</v>
      </c>
      <c r="AR144" s="22">
        <f t="shared" si="237"/>
        <v>0</v>
      </c>
      <c r="AS144" s="22">
        <f t="shared" si="237"/>
        <v>0</v>
      </c>
      <c r="AT144" s="22">
        <f t="shared" si="237"/>
        <v>0</v>
      </c>
      <c r="AU144" s="22">
        <f t="shared" ref="AU144:BQ144" si="238">(AU$11=$K$144)*$F$144</f>
        <v>0</v>
      </c>
      <c r="AV144" s="22">
        <f t="shared" si="238"/>
        <v>0</v>
      </c>
      <c r="AW144" s="22">
        <f t="shared" si="238"/>
        <v>0</v>
      </c>
      <c r="AX144" s="22">
        <f t="shared" si="238"/>
        <v>0</v>
      </c>
      <c r="AY144" s="22">
        <f t="shared" si="238"/>
        <v>0</v>
      </c>
      <c r="AZ144" s="22">
        <f t="shared" si="238"/>
        <v>0</v>
      </c>
      <c r="BA144" s="22">
        <f t="shared" si="238"/>
        <v>0</v>
      </c>
      <c r="BB144" s="22">
        <f t="shared" si="238"/>
        <v>0</v>
      </c>
      <c r="BC144" s="22">
        <f t="shared" si="238"/>
        <v>0</v>
      </c>
      <c r="BD144" s="22">
        <f t="shared" si="238"/>
        <v>0</v>
      </c>
      <c r="BE144" s="22">
        <f t="shared" si="238"/>
        <v>0</v>
      </c>
      <c r="BF144" s="22">
        <f t="shared" si="238"/>
        <v>0</v>
      </c>
      <c r="BG144" s="22">
        <f t="shared" si="238"/>
        <v>0</v>
      </c>
      <c r="BH144" s="22">
        <f t="shared" si="238"/>
        <v>0</v>
      </c>
      <c r="BI144" s="22">
        <f t="shared" si="238"/>
        <v>0</v>
      </c>
      <c r="BJ144" s="22">
        <f t="shared" si="238"/>
        <v>0</v>
      </c>
      <c r="BK144" s="22">
        <f t="shared" si="238"/>
        <v>0</v>
      </c>
      <c r="BL144" s="22">
        <f t="shared" si="238"/>
        <v>0</v>
      </c>
      <c r="BM144" s="22">
        <f t="shared" si="238"/>
        <v>0</v>
      </c>
      <c r="BN144" s="22">
        <f t="shared" si="238"/>
        <v>0</v>
      </c>
      <c r="BO144" s="22">
        <f t="shared" si="238"/>
        <v>0</v>
      </c>
      <c r="BP144" s="22">
        <f t="shared" si="238"/>
        <v>0</v>
      </c>
      <c r="BQ144" s="22">
        <f t="shared" si="238"/>
        <v>0</v>
      </c>
    </row>
    <row r="145" spans="1:69" s="24" customFormat="1" ht="13.5" customHeight="1">
      <c r="A145" s="1"/>
      <c r="B145" s="1"/>
      <c r="C145" s="31"/>
      <c r="D145" s="33" t="s">
        <v>354</v>
      </c>
      <c r="F145" s="24">
        <f>G144*G145*(J145/12)</f>
        <v>5632.55</v>
      </c>
      <c r="G145" s="291">
        <f>'A&amp;R'!Z34</f>
        <v>0.04</v>
      </c>
      <c r="H145" s="24" t="s">
        <v>415</v>
      </c>
      <c r="J145" s="293">
        <f>DATEDIF(K145,L145,"m")+1</f>
        <v>16</v>
      </c>
      <c r="K145" s="129">
        <f>'A&amp;R'!V34</f>
        <v>44377</v>
      </c>
      <c r="L145" s="292">
        <f>'A&amp;R'!W34</f>
        <v>44834</v>
      </c>
      <c r="M145" s="24">
        <f>SUM(N145:XFD145)</f>
        <v>5632.55</v>
      </c>
      <c r="O145" s="24">
        <f t="shared" ref="O145:AT145" si="239">(O$11=$K$145)*$F$145</f>
        <v>5632.55</v>
      </c>
      <c r="P145" s="24">
        <f t="shared" si="239"/>
        <v>0</v>
      </c>
      <c r="Q145" s="24">
        <f t="shared" si="239"/>
        <v>0</v>
      </c>
      <c r="R145" s="24">
        <f t="shared" si="239"/>
        <v>0</v>
      </c>
      <c r="S145" s="24">
        <f t="shared" si="239"/>
        <v>0</v>
      </c>
      <c r="T145" s="24">
        <f t="shared" si="239"/>
        <v>0</v>
      </c>
      <c r="U145" s="24">
        <f t="shared" si="239"/>
        <v>0</v>
      </c>
      <c r="V145" s="24">
        <f t="shared" si="239"/>
        <v>0</v>
      </c>
      <c r="W145" s="24">
        <f t="shared" si="239"/>
        <v>0</v>
      </c>
      <c r="X145" s="24">
        <f t="shared" si="239"/>
        <v>0</v>
      </c>
      <c r="Y145" s="24">
        <f t="shared" si="239"/>
        <v>0</v>
      </c>
      <c r="Z145" s="24">
        <f t="shared" si="239"/>
        <v>0</v>
      </c>
      <c r="AA145" s="24">
        <f t="shared" si="239"/>
        <v>0</v>
      </c>
      <c r="AB145" s="24">
        <f t="shared" si="239"/>
        <v>0</v>
      </c>
      <c r="AC145" s="24">
        <f t="shared" si="239"/>
        <v>0</v>
      </c>
      <c r="AD145" s="24">
        <f t="shared" si="239"/>
        <v>0</v>
      </c>
      <c r="AE145" s="24">
        <f t="shared" si="239"/>
        <v>0</v>
      </c>
      <c r="AF145" s="24">
        <f t="shared" si="239"/>
        <v>0</v>
      </c>
      <c r="AG145" s="24">
        <f t="shared" si="239"/>
        <v>0</v>
      </c>
      <c r="AH145" s="24">
        <f t="shared" si="239"/>
        <v>0</v>
      </c>
      <c r="AI145" s="24">
        <f t="shared" si="239"/>
        <v>0</v>
      </c>
      <c r="AJ145" s="24">
        <f t="shared" si="239"/>
        <v>0</v>
      </c>
      <c r="AK145" s="24">
        <f t="shared" si="239"/>
        <v>0</v>
      </c>
      <c r="AL145" s="24">
        <f t="shared" si="239"/>
        <v>0</v>
      </c>
      <c r="AM145" s="24">
        <f t="shared" si="239"/>
        <v>0</v>
      </c>
      <c r="AN145" s="24">
        <f t="shared" si="239"/>
        <v>0</v>
      </c>
      <c r="AO145" s="24">
        <f t="shared" si="239"/>
        <v>0</v>
      </c>
      <c r="AP145" s="24">
        <f t="shared" si="239"/>
        <v>0</v>
      </c>
      <c r="AQ145" s="24">
        <f t="shared" si="239"/>
        <v>0</v>
      </c>
      <c r="AR145" s="24">
        <f t="shared" si="239"/>
        <v>0</v>
      </c>
      <c r="AS145" s="24">
        <f t="shared" si="239"/>
        <v>0</v>
      </c>
      <c r="AT145" s="24">
        <f t="shared" si="239"/>
        <v>0</v>
      </c>
      <c r="AU145" s="24">
        <f t="shared" ref="AU145:BQ145" si="240">(AU$11=$K$145)*$F$145</f>
        <v>0</v>
      </c>
      <c r="AV145" s="24">
        <f t="shared" si="240"/>
        <v>0</v>
      </c>
      <c r="AW145" s="24">
        <f t="shared" si="240"/>
        <v>0</v>
      </c>
      <c r="AX145" s="24">
        <f t="shared" si="240"/>
        <v>0</v>
      </c>
      <c r="AY145" s="24">
        <f t="shared" si="240"/>
        <v>0</v>
      </c>
      <c r="AZ145" s="24">
        <f t="shared" si="240"/>
        <v>0</v>
      </c>
      <c r="BA145" s="24">
        <f t="shared" si="240"/>
        <v>0</v>
      </c>
      <c r="BB145" s="24">
        <f t="shared" si="240"/>
        <v>0</v>
      </c>
      <c r="BC145" s="24">
        <f t="shared" si="240"/>
        <v>0</v>
      </c>
      <c r="BD145" s="24">
        <f t="shared" si="240"/>
        <v>0</v>
      </c>
      <c r="BE145" s="24">
        <f t="shared" si="240"/>
        <v>0</v>
      </c>
      <c r="BF145" s="24">
        <f t="shared" si="240"/>
        <v>0</v>
      </c>
      <c r="BG145" s="24">
        <f t="shared" si="240"/>
        <v>0</v>
      </c>
      <c r="BH145" s="24">
        <f t="shared" si="240"/>
        <v>0</v>
      </c>
      <c r="BI145" s="24">
        <f t="shared" si="240"/>
        <v>0</v>
      </c>
      <c r="BJ145" s="24">
        <f t="shared" si="240"/>
        <v>0</v>
      </c>
      <c r="BK145" s="24">
        <f t="shared" si="240"/>
        <v>0</v>
      </c>
      <c r="BL145" s="24">
        <f t="shared" si="240"/>
        <v>0</v>
      </c>
      <c r="BM145" s="24">
        <f t="shared" si="240"/>
        <v>0</v>
      </c>
      <c r="BN145" s="24">
        <f t="shared" si="240"/>
        <v>0</v>
      </c>
      <c r="BO145" s="24">
        <f t="shared" si="240"/>
        <v>0</v>
      </c>
      <c r="BP145" s="24">
        <f t="shared" si="240"/>
        <v>0</v>
      </c>
      <c r="BQ145" s="24">
        <f t="shared" si="240"/>
        <v>0</v>
      </c>
    </row>
    <row r="146" spans="1:69" s="32" customFormat="1" ht="13.5" customHeight="1">
      <c r="A146" s="1"/>
      <c r="B146" s="1"/>
      <c r="C146" s="31"/>
      <c r="D146" s="32" t="s">
        <v>372</v>
      </c>
      <c r="L146" s="42"/>
    </row>
    <row r="147" spans="1:69" s="22" customFormat="1" ht="13.5" customHeight="1">
      <c r="A147" s="1"/>
      <c r="B147" s="1"/>
      <c r="C147" s="31"/>
      <c r="D147" s="30" t="s">
        <v>379</v>
      </c>
      <c r="F147" s="22">
        <f>G147*I147</f>
        <v>1550</v>
      </c>
      <c r="G147" s="22">
        <f>'A&amp;R'!S35</f>
        <v>77500</v>
      </c>
      <c r="H147" s="22" t="s">
        <v>414</v>
      </c>
      <c r="I147" s="254">
        <f>'A&amp;R'!Y35</f>
        <v>0.02</v>
      </c>
      <c r="K147" s="259">
        <f>'A&amp;R'!V35</f>
        <v>44377</v>
      </c>
      <c r="L147" s="43"/>
      <c r="M147" s="22">
        <f>SUM(N147:XFD147)</f>
        <v>1550</v>
      </c>
      <c r="O147" s="22">
        <f t="shared" ref="O147:AT147" si="241">(O$11=$K$147)*$F$147</f>
        <v>1550</v>
      </c>
      <c r="P147" s="22">
        <f t="shared" si="241"/>
        <v>0</v>
      </c>
      <c r="Q147" s="22">
        <f t="shared" si="241"/>
        <v>0</v>
      </c>
      <c r="R147" s="22">
        <f t="shared" si="241"/>
        <v>0</v>
      </c>
      <c r="S147" s="22">
        <f t="shared" si="241"/>
        <v>0</v>
      </c>
      <c r="T147" s="22">
        <f t="shared" si="241"/>
        <v>0</v>
      </c>
      <c r="U147" s="22">
        <f t="shared" si="241"/>
        <v>0</v>
      </c>
      <c r="V147" s="22">
        <f t="shared" si="241"/>
        <v>0</v>
      </c>
      <c r="W147" s="22">
        <f t="shared" si="241"/>
        <v>0</v>
      </c>
      <c r="X147" s="22">
        <f t="shared" si="241"/>
        <v>0</v>
      </c>
      <c r="Y147" s="22">
        <f t="shared" si="241"/>
        <v>0</v>
      </c>
      <c r="Z147" s="22">
        <f t="shared" si="241"/>
        <v>0</v>
      </c>
      <c r="AA147" s="22">
        <f t="shared" si="241"/>
        <v>0</v>
      </c>
      <c r="AB147" s="22">
        <f t="shared" si="241"/>
        <v>0</v>
      </c>
      <c r="AC147" s="22">
        <f t="shared" si="241"/>
        <v>0</v>
      </c>
      <c r="AD147" s="22">
        <f t="shared" si="241"/>
        <v>0</v>
      </c>
      <c r="AE147" s="22">
        <f t="shared" si="241"/>
        <v>0</v>
      </c>
      <c r="AF147" s="22">
        <f t="shared" si="241"/>
        <v>0</v>
      </c>
      <c r="AG147" s="22">
        <f t="shared" si="241"/>
        <v>0</v>
      </c>
      <c r="AH147" s="22">
        <f t="shared" si="241"/>
        <v>0</v>
      </c>
      <c r="AI147" s="22">
        <f t="shared" si="241"/>
        <v>0</v>
      </c>
      <c r="AJ147" s="22">
        <f t="shared" si="241"/>
        <v>0</v>
      </c>
      <c r="AK147" s="22">
        <f t="shared" si="241"/>
        <v>0</v>
      </c>
      <c r="AL147" s="22">
        <f t="shared" si="241"/>
        <v>0</v>
      </c>
      <c r="AM147" s="22">
        <f t="shared" si="241"/>
        <v>0</v>
      </c>
      <c r="AN147" s="22">
        <f t="shared" si="241"/>
        <v>0</v>
      </c>
      <c r="AO147" s="22">
        <f t="shared" si="241"/>
        <v>0</v>
      </c>
      <c r="AP147" s="22">
        <f t="shared" si="241"/>
        <v>0</v>
      </c>
      <c r="AQ147" s="22">
        <f t="shared" si="241"/>
        <v>0</v>
      </c>
      <c r="AR147" s="22">
        <f t="shared" si="241"/>
        <v>0</v>
      </c>
      <c r="AS147" s="22">
        <f t="shared" si="241"/>
        <v>0</v>
      </c>
      <c r="AT147" s="22">
        <f t="shared" si="241"/>
        <v>0</v>
      </c>
      <c r="AU147" s="22">
        <f t="shared" ref="AU147:BQ147" si="242">(AU$11=$K$147)*$F$147</f>
        <v>0</v>
      </c>
      <c r="AV147" s="22">
        <f t="shared" si="242"/>
        <v>0</v>
      </c>
      <c r="AW147" s="22">
        <f t="shared" si="242"/>
        <v>0</v>
      </c>
      <c r="AX147" s="22">
        <f t="shared" si="242"/>
        <v>0</v>
      </c>
      <c r="AY147" s="22">
        <f t="shared" si="242"/>
        <v>0</v>
      </c>
      <c r="AZ147" s="22">
        <f t="shared" si="242"/>
        <v>0</v>
      </c>
      <c r="BA147" s="22">
        <f t="shared" si="242"/>
        <v>0</v>
      </c>
      <c r="BB147" s="22">
        <f t="shared" si="242"/>
        <v>0</v>
      </c>
      <c r="BC147" s="22">
        <f t="shared" si="242"/>
        <v>0</v>
      </c>
      <c r="BD147" s="22">
        <f t="shared" si="242"/>
        <v>0</v>
      </c>
      <c r="BE147" s="22">
        <f t="shared" si="242"/>
        <v>0</v>
      </c>
      <c r="BF147" s="22">
        <f t="shared" si="242"/>
        <v>0</v>
      </c>
      <c r="BG147" s="22">
        <f t="shared" si="242"/>
        <v>0</v>
      </c>
      <c r="BH147" s="22">
        <f t="shared" si="242"/>
        <v>0</v>
      </c>
      <c r="BI147" s="22">
        <f t="shared" si="242"/>
        <v>0</v>
      </c>
      <c r="BJ147" s="22">
        <f t="shared" si="242"/>
        <v>0</v>
      </c>
      <c r="BK147" s="22">
        <f t="shared" si="242"/>
        <v>0</v>
      </c>
      <c r="BL147" s="22">
        <f t="shared" si="242"/>
        <v>0</v>
      </c>
      <c r="BM147" s="22">
        <f t="shared" si="242"/>
        <v>0</v>
      </c>
      <c r="BN147" s="22">
        <f t="shared" si="242"/>
        <v>0</v>
      </c>
      <c r="BO147" s="22">
        <f t="shared" si="242"/>
        <v>0</v>
      </c>
      <c r="BP147" s="22">
        <f t="shared" si="242"/>
        <v>0</v>
      </c>
      <c r="BQ147" s="22">
        <f t="shared" si="242"/>
        <v>0</v>
      </c>
    </row>
    <row r="148" spans="1:69" s="24" customFormat="1" ht="13.5" customHeight="1">
      <c r="A148" s="1"/>
      <c r="B148" s="1"/>
      <c r="C148" s="31"/>
      <c r="D148" s="33" t="s">
        <v>416</v>
      </c>
      <c r="F148" s="24">
        <f>M148</f>
        <v>10333.333333333334</v>
      </c>
      <c r="L148" s="44"/>
      <c r="M148" s="24">
        <f>SUM(N148:XFD148)</f>
        <v>10333.333333333334</v>
      </c>
      <c r="O148" s="24">
        <f>O366</f>
        <v>0</v>
      </c>
      <c r="P148" s="24">
        <f t="shared" ref="P148:BQ148" si="243">P366</f>
        <v>0</v>
      </c>
      <c r="Q148" s="24">
        <f t="shared" si="243"/>
        <v>0</v>
      </c>
      <c r="R148" s="24">
        <f t="shared" si="243"/>
        <v>2583.3333333333335</v>
      </c>
      <c r="S148" s="24">
        <f t="shared" si="243"/>
        <v>0</v>
      </c>
      <c r="T148" s="24">
        <f t="shared" si="243"/>
        <v>0</v>
      </c>
      <c r="U148" s="24">
        <f t="shared" si="243"/>
        <v>1937.5000000000005</v>
      </c>
      <c r="V148" s="24">
        <f t="shared" si="243"/>
        <v>0</v>
      </c>
      <c r="W148" s="24">
        <f t="shared" si="243"/>
        <v>0</v>
      </c>
      <c r="X148" s="24">
        <f t="shared" si="243"/>
        <v>1937.4999999999991</v>
      </c>
      <c r="Y148" s="24">
        <f t="shared" si="243"/>
        <v>0</v>
      </c>
      <c r="Z148" s="24">
        <f t="shared" si="243"/>
        <v>0</v>
      </c>
      <c r="AA148" s="24">
        <f t="shared" si="243"/>
        <v>1937.4999999999991</v>
      </c>
      <c r="AB148" s="24">
        <f t="shared" si="243"/>
        <v>0</v>
      </c>
      <c r="AC148" s="24">
        <f t="shared" si="243"/>
        <v>0</v>
      </c>
      <c r="AD148" s="24">
        <f t="shared" si="243"/>
        <v>1937.5000000000018</v>
      </c>
      <c r="AE148" s="24">
        <f t="shared" si="243"/>
        <v>0</v>
      </c>
      <c r="AF148" s="24">
        <f t="shared" si="243"/>
        <v>0</v>
      </c>
      <c r="AG148" s="24">
        <f t="shared" si="243"/>
        <v>0</v>
      </c>
      <c r="AH148" s="24">
        <f t="shared" si="243"/>
        <v>0</v>
      </c>
      <c r="AI148" s="24">
        <f t="shared" si="243"/>
        <v>0</v>
      </c>
      <c r="AJ148" s="24">
        <f t="shared" si="243"/>
        <v>0</v>
      </c>
      <c r="AK148" s="24">
        <f t="shared" si="243"/>
        <v>0</v>
      </c>
      <c r="AL148" s="24">
        <f t="shared" si="243"/>
        <v>0</v>
      </c>
      <c r="AM148" s="24">
        <f t="shared" si="243"/>
        <v>0</v>
      </c>
      <c r="AN148" s="24">
        <f t="shared" si="243"/>
        <v>0</v>
      </c>
      <c r="AO148" s="24">
        <f t="shared" si="243"/>
        <v>0</v>
      </c>
      <c r="AP148" s="24">
        <f t="shared" si="243"/>
        <v>0</v>
      </c>
      <c r="AQ148" s="24">
        <f t="shared" si="243"/>
        <v>0</v>
      </c>
      <c r="AR148" s="24">
        <f t="shared" si="243"/>
        <v>0</v>
      </c>
      <c r="AS148" s="24">
        <f t="shared" si="243"/>
        <v>0</v>
      </c>
      <c r="AT148" s="24">
        <f t="shared" si="243"/>
        <v>0</v>
      </c>
      <c r="AU148" s="24">
        <f t="shared" si="243"/>
        <v>0</v>
      </c>
      <c r="AV148" s="24">
        <f t="shared" si="243"/>
        <v>0</v>
      </c>
      <c r="AW148" s="24">
        <f t="shared" si="243"/>
        <v>0</v>
      </c>
      <c r="AX148" s="24">
        <f t="shared" si="243"/>
        <v>0</v>
      </c>
      <c r="AY148" s="24">
        <f t="shared" si="243"/>
        <v>0</v>
      </c>
      <c r="AZ148" s="24">
        <f t="shared" si="243"/>
        <v>0</v>
      </c>
      <c r="BA148" s="24">
        <f t="shared" si="243"/>
        <v>0</v>
      </c>
      <c r="BB148" s="24">
        <f t="shared" si="243"/>
        <v>0</v>
      </c>
      <c r="BC148" s="24">
        <f t="shared" si="243"/>
        <v>0</v>
      </c>
      <c r="BD148" s="24">
        <f t="shared" si="243"/>
        <v>0</v>
      </c>
      <c r="BE148" s="24">
        <f t="shared" si="243"/>
        <v>0</v>
      </c>
      <c r="BF148" s="24">
        <f t="shared" si="243"/>
        <v>0</v>
      </c>
      <c r="BG148" s="24">
        <f t="shared" si="243"/>
        <v>0</v>
      </c>
      <c r="BH148" s="24">
        <f t="shared" si="243"/>
        <v>0</v>
      </c>
      <c r="BI148" s="24">
        <f t="shared" si="243"/>
        <v>0</v>
      </c>
      <c r="BJ148" s="24">
        <f t="shared" si="243"/>
        <v>0</v>
      </c>
      <c r="BK148" s="24">
        <f t="shared" si="243"/>
        <v>0</v>
      </c>
      <c r="BL148" s="24">
        <f t="shared" si="243"/>
        <v>0</v>
      </c>
      <c r="BM148" s="24">
        <f t="shared" si="243"/>
        <v>0</v>
      </c>
      <c r="BN148" s="24">
        <f t="shared" si="243"/>
        <v>0</v>
      </c>
      <c r="BO148" s="24">
        <f t="shared" si="243"/>
        <v>0</v>
      </c>
      <c r="BP148" s="24">
        <f t="shared" si="243"/>
        <v>0</v>
      </c>
      <c r="BQ148" s="24">
        <f t="shared" si="243"/>
        <v>0</v>
      </c>
    </row>
    <row r="149" spans="1:69" s="32" customFormat="1" ht="13.5" customHeight="1">
      <c r="A149" s="1"/>
      <c r="B149" s="1"/>
      <c r="C149" s="30" t="s">
        <v>412</v>
      </c>
      <c r="L149" s="42"/>
    </row>
    <row r="150" spans="1:69" s="32" customFormat="1" ht="13.5" customHeight="1">
      <c r="A150" s="1"/>
      <c r="B150" s="1"/>
      <c r="C150" s="31"/>
      <c r="D150" s="32" t="s">
        <v>386</v>
      </c>
      <c r="L150" s="42"/>
    </row>
    <row r="151" spans="1:69" s="22" customFormat="1" ht="13.5" customHeight="1">
      <c r="A151" s="1"/>
      <c r="B151" s="1"/>
      <c r="C151" s="31"/>
      <c r="D151" s="30" t="s">
        <v>379</v>
      </c>
      <c r="F151" s="22">
        <f>G151*I151</f>
        <v>1831.1031250000001</v>
      </c>
      <c r="G151" s="22">
        <f>'A&amp;R'!S37</f>
        <v>183110.3125</v>
      </c>
      <c r="H151" s="22" t="s">
        <v>414</v>
      </c>
      <c r="I151" s="254">
        <f>'A&amp;R'!Y37</f>
        <v>0.01</v>
      </c>
      <c r="K151" s="259">
        <f>'A&amp;R'!V37</f>
        <v>44834</v>
      </c>
      <c r="L151" s="43"/>
      <c r="M151" s="22">
        <f>SUM(N151:XFD151)</f>
        <v>1831.1031250000001</v>
      </c>
      <c r="O151" s="22">
        <f t="shared" ref="O151:AT151" si="244">(O$11=$K$151)*$F$151</f>
        <v>0</v>
      </c>
      <c r="P151" s="22">
        <f t="shared" si="244"/>
        <v>0</v>
      </c>
      <c r="Q151" s="22">
        <f t="shared" si="244"/>
        <v>0</v>
      </c>
      <c r="R151" s="22">
        <f t="shared" si="244"/>
        <v>0</v>
      </c>
      <c r="S151" s="22">
        <f t="shared" si="244"/>
        <v>0</v>
      </c>
      <c r="T151" s="22">
        <f t="shared" si="244"/>
        <v>0</v>
      </c>
      <c r="U151" s="22">
        <f t="shared" si="244"/>
        <v>0</v>
      </c>
      <c r="V151" s="22">
        <f t="shared" si="244"/>
        <v>0</v>
      </c>
      <c r="W151" s="22">
        <f t="shared" si="244"/>
        <v>0</v>
      </c>
      <c r="X151" s="22">
        <f t="shared" si="244"/>
        <v>0</v>
      </c>
      <c r="Y151" s="22">
        <f t="shared" si="244"/>
        <v>0</v>
      </c>
      <c r="Z151" s="22">
        <f t="shared" si="244"/>
        <v>0</v>
      </c>
      <c r="AA151" s="22">
        <f t="shared" si="244"/>
        <v>0</v>
      </c>
      <c r="AB151" s="22">
        <f t="shared" si="244"/>
        <v>0</v>
      </c>
      <c r="AC151" s="22">
        <f t="shared" si="244"/>
        <v>0</v>
      </c>
      <c r="AD151" s="22">
        <f t="shared" si="244"/>
        <v>1831.1031250000001</v>
      </c>
      <c r="AE151" s="22">
        <f t="shared" si="244"/>
        <v>0</v>
      </c>
      <c r="AF151" s="22">
        <f t="shared" si="244"/>
        <v>0</v>
      </c>
      <c r="AG151" s="22">
        <f t="shared" si="244"/>
        <v>0</v>
      </c>
      <c r="AH151" s="22">
        <f t="shared" si="244"/>
        <v>0</v>
      </c>
      <c r="AI151" s="22">
        <f t="shared" si="244"/>
        <v>0</v>
      </c>
      <c r="AJ151" s="22">
        <f t="shared" si="244"/>
        <v>0</v>
      </c>
      <c r="AK151" s="22">
        <f t="shared" si="244"/>
        <v>0</v>
      </c>
      <c r="AL151" s="22">
        <f t="shared" si="244"/>
        <v>0</v>
      </c>
      <c r="AM151" s="22">
        <f t="shared" si="244"/>
        <v>0</v>
      </c>
      <c r="AN151" s="22">
        <f t="shared" si="244"/>
        <v>0</v>
      </c>
      <c r="AO151" s="22">
        <f t="shared" si="244"/>
        <v>0</v>
      </c>
      <c r="AP151" s="22">
        <f t="shared" si="244"/>
        <v>0</v>
      </c>
      <c r="AQ151" s="22">
        <f t="shared" si="244"/>
        <v>0</v>
      </c>
      <c r="AR151" s="22">
        <f t="shared" si="244"/>
        <v>0</v>
      </c>
      <c r="AS151" s="22">
        <f t="shared" si="244"/>
        <v>0</v>
      </c>
      <c r="AT151" s="22">
        <f t="shared" si="244"/>
        <v>0</v>
      </c>
      <c r="AU151" s="22">
        <f t="shared" ref="AU151:BQ151" si="245">(AU$11=$K$151)*$F$151</f>
        <v>0</v>
      </c>
      <c r="AV151" s="22">
        <f t="shared" si="245"/>
        <v>0</v>
      </c>
      <c r="AW151" s="22">
        <f t="shared" si="245"/>
        <v>0</v>
      </c>
      <c r="AX151" s="22">
        <f t="shared" si="245"/>
        <v>0</v>
      </c>
      <c r="AY151" s="22">
        <f t="shared" si="245"/>
        <v>0</v>
      </c>
      <c r="AZ151" s="22">
        <f t="shared" si="245"/>
        <v>0</v>
      </c>
      <c r="BA151" s="22">
        <f t="shared" si="245"/>
        <v>0</v>
      </c>
      <c r="BB151" s="22">
        <f t="shared" si="245"/>
        <v>0</v>
      </c>
      <c r="BC151" s="22">
        <f t="shared" si="245"/>
        <v>0</v>
      </c>
      <c r="BD151" s="22">
        <f t="shared" si="245"/>
        <v>0</v>
      </c>
      <c r="BE151" s="22">
        <f t="shared" si="245"/>
        <v>0</v>
      </c>
      <c r="BF151" s="22">
        <f t="shared" si="245"/>
        <v>0</v>
      </c>
      <c r="BG151" s="22">
        <f t="shared" si="245"/>
        <v>0</v>
      </c>
      <c r="BH151" s="22">
        <f t="shared" si="245"/>
        <v>0</v>
      </c>
      <c r="BI151" s="22">
        <f t="shared" si="245"/>
        <v>0</v>
      </c>
      <c r="BJ151" s="22">
        <f t="shared" si="245"/>
        <v>0</v>
      </c>
      <c r="BK151" s="22">
        <f t="shared" si="245"/>
        <v>0</v>
      </c>
      <c r="BL151" s="22">
        <f t="shared" si="245"/>
        <v>0</v>
      </c>
      <c r="BM151" s="22">
        <f t="shared" si="245"/>
        <v>0</v>
      </c>
      <c r="BN151" s="22">
        <f t="shared" si="245"/>
        <v>0</v>
      </c>
      <c r="BO151" s="22">
        <f t="shared" si="245"/>
        <v>0</v>
      </c>
      <c r="BP151" s="22">
        <f t="shared" si="245"/>
        <v>0</v>
      </c>
      <c r="BQ151" s="22">
        <f t="shared" si="245"/>
        <v>0</v>
      </c>
    </row>
    <row r="152" spans="1:69" s="24" customFormat="1" ht="13.5" customHeight="1">
      <c r="A152" s="1"/>
      <c r="B152" s="1"/>
      <c r="C152" s="31"/>
      <c r="D152" s="33" t="s">
        <v>434</v>
      </c>
      <c r="F152" s="24">
        <f>M152</f>
        <v>23193.97291666668</v>
      </c>
      <c r="L152" s="44"/>
      <c r="M152" s="24">
        <f>SUM(N152:XFD152)</f>
        <v>23193.97291666668</v>
      </c>
      <c r="O152" s="24">
        <f>O381</f>
        <v>0</v>
      </c>
      <c r="P152" s="24">
        <f t="shared" ref="P152:BQ152" si="246">P381</f>
        <v>0</v>
      </c>
      <c r="Q152" s="24">
        <f t="shared" si="246"/>
        <v>0</v>
      </c>
      <c r="R152" s="24">
        <f t="shared" si="246"/>
        <v>0</v>
      </c>
      <c r="S152" s="24">
        <f t="shared" si="246"/>
        <v>0</v>
      </c>
      <c r="T152" s="24">
        <f t="shared" si="246"/>
        <v>0</v>
      </c>
      <c r="U152" s="24">
        <f t="shared" si="246"/>
        <v>0</v>
      </c>
      <c r="V152" s="24">
        <f t="shared" si="246"/>
        <v>0</v>
      </c>
      <c r="W152" s="24">
        <f t="shared" si="246"/>
        <v>0</v>
      </c>
      <c r="X152" s="24">
        <f t="shared" si="246"/>
        <v>0</v>
      </c>
      <c r="Y152" s="24">
        <f t="shared" si="246"/>
        <v>0</v>
      </c>
      <c r="Z152" s="24">
        <f t="shared" si="246"/>
        <v>0</v>
      </c>
      <c r="AA152" s="24">
        <f t="shared" si="246"/>
        <v>0</v>
      </c>
      <c r="AB152" s="24">
        <f t="shared" si="246"/>
        <v>0</v>
      </c>
      <c r="AC152" s="24">
        <f t="shared" si="246"/>
        <v>0</v>
      </c>
      <c r="AD152" s="24">
        <f t="shared" si="246"/>
        <v>0</v>
      </c>
      <c r="AE152" s="24">
        <f t="shared" si="246"/>
        <v>0</v>
      </c>
      <c r="AF152" s="24">
        <f t="shared" si="246"/>
        <v>0</v>
      </c>
      <c r="AG152" s="24">
        <f t="shared" si="246"/>
        <v>2136.2869791666667</v>
      </c>
      <c r="AH152" s="24">
        <f t="shared" si="246"/>
        <v>0</v>
      </c>
      <c r="AI152" s="24">
        <f t="shared" si="246"/>
        <v>0</v>
      </c>
      <c r="AJ152" s="24">
        <f t="shared" si="246"/>
        <v>1831.1031249999996</v>
      </c>
      <c r="AK152" s="24">
        <f t="shared" si="246"/>
        <v>0</v>
      </c>
      <c r="AL152" s="24">
        <f t="shared" si="246"/>
        <v>0</v>
      </c>
      <c r="AM152" s="24">
        <f t="shared" si="246"/>
        <v>1831.1031250000001</v>
      </c>
      <c r="AN152" s="24">
        <f t="shared" si="246"/>
        <v>0</v>
      </c>
      <c r="AO152" s="24">
        <f t="shared" si="246"/>
        <v>0</v>
      </c>
      <c r="AP152" s="24">
        <f t="shared" si="246"/>
        <v>1831.1031249999996</v>
      </c>
      <c r="AQ152" s="24">
        <f t="shared" si="246"/>
        <v>0</v>
      </c>
      <c r="AR152" s="24">
        <f t="shared" si="246"/>
        <v>0</v>
      </c>
      <c r="AS152" s="24">
        <f t="shared" si="246"/>
        <v>1831.1031249999996</v>
      </c>
      <c r="AT152" s="24">
        <f t="shared" si="246"/>
        <v>0</v>
      </c>
      <c r="AU152" s="24">
        <f t="shared" si="246"/>
        <v>0</v>
      </c>
      <c r="AV152" s="24">
        <f t="shared" si="246"/>
        <v>1831.1031249999996</v>
      </c>
      <c r="AW152" s="24">
        <f t="shared" si="246"/>
        <v>0</v>
      </c>
      <c r="AX152" s="24">
        <f t="shared" si="246"/>
        <v>0</v>
      </c>
      <c r="AY152" s="24">
        <f t="shared" si="246"/>
        <v>1831.1031249999996</v>
      </c>
      <c r="AZ152" s="24">
        <f t="shared" si="246"/>
        <v>0</v>
      </c>
      <c r="BA152" s="24">
        <f t="shared" si="246"/>
        <v>0</v>
      </c>
      <c r="BB152" s="24">
        <f t="shared" si="246"/>
        <v>1831.1031249999996</v>
      </c>
      <c r="BC152" s="24">
        <f t="shared" si="246"/>
        <v>0</v>
      </c>
      <c r="BD152" s="24">
        <f t="shared" si="246"/>
        <v>0</v>
      </c>
      <c r="BE152" s="24">
        <f t="shared" si="246"/>
        <v>1831.1031249999996</v>
      </c>
      <c r="BF152" s="24">
        <f t="shared" si="246"/>
        <v>0</v>
      </c>
      <c r="BG152" s="24">
        <f t="shared" si="246"/>
        <v>0</v>
      </c>
      <c r="BH152" s="24">
        <f t="shared" si="246"/>
        <v>1831.1031250000051</v>
      </c>
      <c r="BI152" s="24">
        <f t="shared" si="246"/>
        <v>0</v>
      </c>
      <c r="BJ152" s="24">
        <f t="shared" si="246"/>
        <v>0</v>
      </c>
      <c r="BK152" s="24">
        <f t="shared" si="246"/>
        <v>1831.1031250000051</v>
      </c>
      <c r="BL152" s="24">
        <f t="shared" si="246"/>
        <v>0</v>
      </c>
      <c r="BM152" s="24">
        <f t="shared" si="246"/>
        <v>0</v>
      </c>
      <c r="BN152" s="24">
        <f t="shared" si="246"/>
        <v>1831.1031250000051</v>
      </c>
      <c r="BO152" s="24">
        <f t="shared" si="246"/>
        <v>0</v>
      </c>
      <c r="BP152" s="24">
        <f t="shared" si="246"/>
        <v>915.55156250000073</v>
      </c>
      <c r="BQ152" s="24">
        <f t="shared" si="246"/>
        <v>0</v>
      </c>
    </row>
    <row r="153" spans="1:69" s="32" customFormat="1" ht="13.5" customHeight="1">
      <c r="A153" s="1"/>
      <c r="B153" s="1"/>
      <c r="C153" s="31"/>
      <c r="D153" s="32" t="s">
        <v>385</v>
      </c>
      <c r="L153" s="42"/>
    </row>
    <row r="154" spans="1:69" s="22" customFormat="1" ht="13.5" customHeight="1">
      <c r="A154" s="1"/>
      <c r="B154" s="1"/>
      <c r="C154" s="31"/>
      <c r="D154" s="30" t="s">
        <v>379</v>
      </c>
      <c r="F154" s="22">
        <f>G154*I154</f>
        <v>160.6344717495503</v>
      </c>
      <c r="G154" s="22">
        <f>'A&amp;R'!S38</f>
        <v>16063.447174955028</v>
      </c>
      <c r="H154" s="22" t="s">
        <v>414</v>
      </c>
      <c r="I154" s="254">
        <f>'A&amp;R'!Y38</f>
        <v>0.01</v>
      </c>
      <c r="K154" s="259">
        <f>'A&amp;R'!V38</f>
        <v>44834</v>
      </c>
      <c r="L154" s="43"/>
      <c r="M154" s="22">
        <f>SUM(N154:XFD154)</f>
        <v>160.6344717495503</v>
      </c>
      <c r="O154" s="22">
        <f t="shared" ref="O154:AT154" si="247">(O$11=$K$154)*$F$154</f>
        <v>0</v>
      </c>
      <c r="P154" s="22">
        <f t="shared" si="247"/>
        <v>0</v>
      </c>
      <c r="Q154" s="22">
        <f t="shared" si="247"/>
        <v>0</v>
      </c>
      <c r="R154" s="22">
        <f t="shared" si="247"/>
        <v>0</v>
      </c>
      <c r="S154" s="22">
        <f t="shared" si="247"/>
        <v>0</v>
      </c>
      <c r="T154" s="22">
        <f t="shared" si="247"/>
        <v>0</v>
      </c>
      <c r="U154" s="22">
        <f t="shared" si="247"/>
        <v>0</v>
      </c>
      <c r="V154" s="22">
        <f t="shared" si="247"/>
        <v>0</v>
      </c>
      <c r="W154" s="22">
        <f t="shared" si="247"/>
        <v>0</v>
      </c>
      <c r="X154" s="22">
        <f t="shared" si="247"/>
        <v>0</v>
      </c>
      <c r="Y154" s="22">
        <f t="shared" si="247"/>
        <v>0</v>
      </c>
      <c r="Z154" s="22">
        <f t="shared" si="247"/>
        <v>0</v>
      </c>
      <c r="AA154" s="22">
        <f t="shared" si="247"/>
        <v>0</v>
      </c>
      <c r="AB154" s="22">
        <f t="shared" si="247"/>
        <v>0</v>
      </c>
      <c r="AC154" s="22">
        <f t="shared" si="247"/>
        <v>0</v>
      </c>
      <c r="AD154" s="22">
        <f t="shared" si="247"/>
        <v>160.6344717495503</v>
      </c>
      <c r="AE154" s="22">
        <f t="shared" si="247"/>
        <v>0</v>
      </c>
      <c r="AF154" s="22">
        <f t="shared" si="247"/>
        <v>0</v>
      </c>
      <c r="AG154" s="22">
        <f t="shared" si="247"/>
        <v>0</v>
      </c>
      <c r="AH154" s="22">
        <f t="shared" si="247"/>
        <v>0</v>
      </c>
      <c r="AI154" s="22">
        <f t="shared" si="247"/>
        <v>0</v>
      </c>
      <c r="AJ154" s="22">
        <f t="shared" si="247"/>
        <v>0</v>
      </c>
      <c r="AK154" s="22">
        <f t="shared" si="247"/>
        <v>0</v>
      </c>
      <c r="AL154" s="22">
        <f t="shared" si="247"/>
        <v>0</v>
      </c>
      <c r="AM154" s="22">
        <f t="shared" si="247"/>
        <v>0</v>
      </c>
      <c r="AN154" s="22">
        <f t="shared" si="247"/>
        <v>0</v>
      </c>
      <c r="AO154" s="22">
        <f t="shared" si="247"/>
        <v>0</v>
      </c>
      <c r="AP154" s="22">
        <f t="shared" si="247"/>
        <v>0</v>
      </c>
      <c r="AQ154" s="22">
        <f t="shared" si="247"/>
        <v>0</v>
      </c>
      <c r="AR154" s="22">
        <f t="shared" si="247"/>
        <v>0</v>
      </c>
      <c r="AS154" s="22">
        <f t="shared" si="247"/>
        <v>0</v>
      </c>
      <c r="AT154" s="22">
        <f t="shared" si="247"/>
        <v>0</v>
      </c>
      <c r="AU154" s="22">
        <f t="shared" ref="AU154:BQ154" si="248">(AU$11=$K$154)*$F$154</f>
        <v>0</v>
      </c>
      <c r="AV154" s="22">
        <f t="shared" si="248"/>
        <v>0</v>
      </c>
      <c r="AW154" s="22">
        <f t="shared" si="248"/>
        <v>0</v>
      </c>
      <c r="AX154" s="22">
        <f t="shared" si="248"/>
        <v>0</v>
      </c>
      <c r="AY154" s="22">
        <f t="shared" si="248"/>
        <v>0</v>
      </c>
      <c r="AZ154" s="22">
        <f t="shared" si="248"/>
        <v>0</v>
      </c>
      <c r="BA154" s="22">
        <f t="shared" si="248"/>
        <v>0</v>
      </c>
      <c r="BB154" s="22">
        <f t="shared" si="248"/>
        <v>0</v>
      </c>
      <c r="BC154" s="22">
        <f t="shared" si="248"/>
        <v>0</v>
      </c>
      <c r="BD154" s="22">
        <f t="shared" si="248"/>
        <v>0</v>
      </c>
      <c r="BE154" s="22">
        <f t="shared" si="248"/>
        <v>0</v>
      </c>
      <c r="BF154" s="22">
        <f t="shared" si="248"/>
        <v>0</v>
      </c>
      <c r="BG154" s="22">
        <f t="shared" si="248"/>
        <v>0</v>
      </c>
      <c r="BH154" s="22">
        <f t="shared" si="248"/>
        <v>0</v>
      </c>
      <c r="BI154" s="22">
        <f t="shared" si="248"/>
        <v>0</v>
      </c>
      <c r="BJ154" s="22">
        <f t="shared" si="248"/>
        <v>0</v>
      </c>
      <c r="BK154" s="22">
        <f t="shared" si="248"/>
        <v>0</v>
      </c>
      <c r="BL154" s="22">
        <f t="shared" si="248"/>
        <v>0</v>
      </c>
      <c r="BM154" s="22">
        <f t="shared" si="248"/>
        <v>0</v>
      </c>
      <c r="BN154" s="22">
        <f t="shared" si="248"/>
        <v>0</v>
      </c>
      <c r="BO154" s="22">
        <f t="shared" si="248"/>
        <v>0</v>
      </c>
      <c r="BP154" s="22">
        <f t="shared" si="248"/>
        <v>0</v>
      </c>
      <c r="BQ154" s="22">
        <f t="shared" si="248"/>
        <v>0</v>
      </c>
    </row>
    <row r="155" spans="1:69" s="24" customFormat="1" ht="13.5" customHeight="1">
      <c r="A155" s="1"/>
      <c r="B155" s="1"/>
      <c r="C155" s="31"/>
      <c r="D155" s="31" t="s">
        <v>434</v>
      </c>
      <c r="E155" s="32"/>
      <c r="F155" s="32">
        <f ca="1">M155</f>
        <v>2008.1558550953864</v>
      </c>
      <c r="G155" s="32"/>
      <c r="H155" s="32"/>
      <c r="I155" s="32"/>
      <c r="J155" s="32"/>
      <c r="K155" s="32"/>
      <c r="L155" s="42"/>
      <c r="M155" s="24">
        <f ca="1">SUM(N155:XFD155)</f>
        <v>2008.1558100126974</v>
      </c>
      <c r="O155" s="24">
        <f t="shared" ref="O155:AT155" ca="1" si="249">IF(Cir=1,O395,0)</f>
        <v>0</v>
      </c>
      <c r="P155" s="24">
        <f t="shared" ca="1" si="249"/>
        <v>0</v>
      </c>
      <c r="Q155" s="24">
        <f t="shared" ca="1" si="249"/>
        <v>0</v>
      </c>
      <c r="R155" s="24">
        <f t="shared" ca="1" si="249"/>
        <v>0</v>
      </c>
      <c r="S155" s="24">
        <f t="shared" ca="1" si="249"/>
        <v>0</v>
      </c>
      <c r="T155" s="24">
        <f t="shared" ca="1" si="249"/>
        <v>0</v>
      </c>
      <c r="U155" s="24">
        <f t="shared" ca="1" si="249"/>
        <v>0</v>
      </c>
      <c r="V155" s="24">
        <f t="shared" ca="1" si="249"/>
        <v>0</v>
      </c>
      <c r="W155" s="24">
        <f t="shared" ca="1" si="249"/>
        <v>0</v>
      </c>
      <c r="X155" s="24">
        <f t="shared" ca="1" si="249"/>
        <v>0</v>
      </c>
      <c r="Y155" s="24">
        <f t="shared" ca="1" si="249"/>
        <v>0</v>
      </c>
      <c r="Z155" s="24">
        <f t="shared" ca="1" si="249"/>
        <v>0</v>
      </c>
      <c r="AA155" s="24">
        <f t="shared" ca="1" si="249"/>
        <v>0</v>
      </c>
      <c r="AB155" s="24">
        <f t="shared" ca="1" si="249"/>
        <v>0</v>
      </c>
      <c r="AC155" s="24">
        <f t="shared" ca="1" si="249"/>
        <v>0</v>
      </c>
      <c r="AD155" s="24">
        <f t="shared" ca="1" si="249"/>
        <v>0</v>
      </c>
      <c r="AE155" s="24">
        <f t="shared" ca="1" si="249"/>
        <v>0</v>
      </c>
      <c r="AF155" s="24">
        <f t="shared" ca="1" si="249"/>
        <v>0</v>
      </c>
      <c r="AG155" s="24">
        <f t="shared" ca="1" si="249"/>
        <v>184.96162858171689</v>
      </c>
      <c r="AH155" s="24">
        <f t="shared" ca="1" si="249"/>
        <v>0</v>
      </c>
      <c r="AI155" s="24">
        <f t="shared" ca="1" si="249"/>
        <v>0</v>
      </c>
      <c r="AJ155" s="24">
        <f t="shared" ca="1" si="249"/>
        <v>158.53855311812075</v>
      </c>
      <c r="AK155" s="24">
        <f t="shared" ca="1" si="249"/>
        <v>0</v>
      </c>
      <c r="AL155" s="24">
        <f t="shared" ca="1" si="249"/>
        <v>0</v>
      </c>
      <c r="AM155" s="24">
        <f t="shared" ca="1" si="249"/>
        <v>158.5385675138495</v>
      </c>
      <c r="AN155" s="24">
        <f t="shared" ca="1" si="249"/>
        <v>0</v>
      </c>
      <c r="AO155" s="24">
        <f t="shared" ca="1" si="249"/>
        <v>0</v>
      </c>
      <c r="AP155" s="24">
        <f t="shared" ca="1" si="249"/>
        <v>158.53858169110009</v>
      </c>
      <c r="AQ155" s="24">
        <f t="shared" ca="1" si="249"/>
        <v>0</v>
      </c>
      <c r="AR155" s="24">
        <f t="shared" ca="1" si="249"/>
        <v>0</v>
      </c>
      <c r="AS155" s="24">
        <f t="shared" ca="1" si="249"/>
        <v>158.53859569635574</v>
      </c>
      <c r="AT155" s="24">
        <f t="shared" ca="1" si="249"/>
        <v>0</v>
      </c>
      <c r="AU155" s="24">
        <f t="shared" ref="AU155:BQ155" ca="1" si="250">IF(Cir=1,AU395,0)</f>
        <v>0</v>
      </c>
      <c r="AV155" s="24">
        <f t="shared" ca="1" si="250"/>
        <v>158.53860953822561</v>
      </c>
      <c r="AW155" s="24">
        <f t="shared" ca="1" si="250"/>
        <v>0</v>
      </c>
      <c r="AX155" s="24">
        <f t="shared" ca="1" si="250"/>
        <v>0</v>
      </c>
      <c r="AY155" s="24">
        <f t="shared" ca="1" si="250"/>
        <v>158.53862320257406</v>
      </c>
      <c r="AZ155" s="24">
        <f t="shared" ca="1" si="250"/>
        <v>0</v>
      </c>
      <c r="BA155" s="24">
        <f t="shared" ca="1" si="250"/>
        <v>0</v>
      </c>
      <c r="BB155" s="24">
        <f t="shared" ca="1" si="250"/>
        <v>158.53863678454809</v>
      </c>
      <c r="BC155" s="24">
        <f t="shared" ca="1" si="250"/>
        <v>0</v>
      </c>
      <c r="BD155" s="24">
        <f t="shared" ca="1" si="250"/>
        <v>0</v>
      </c>
      <c r="BE155" s="24">
        <f t="shared" ca="1" si="250"/>
        <v>158.5386490935316</v>
      </c>
      <c r="BF155" s="24">
        <f t="shared" ca="1" si="250"/>
        <v>0</v>
      </c>
      <c r="BG155" s="24">
        <f t="shared" ca="1" si="250"/>
        <v>0</v>
      </c>
      <c r="BH155" s="24">
        <f t="shared" ca="1" si="250"/>
        <v>158.53865693449234</v>
      </c>
      <c r="BI155" s="24">
        <f t="shared" ca="1" si="250"/>
        <v>0</v>
      </c>
      <c r="BJ155" s="24">
        <f t="shared" ca="1" si="250"/>
        <v>0</v>
      </c>
      <c r="BK155" s="24">
        <f t="shared" ca="1" si="250"/>
        <v>158.53866145432767</v>
      </c>
      <c r="BL155" s="24">
        <f t="shared" ca="1" si="250"/>
        <v>0</v>
      </c>
      <c r="BM155" s="24">
        <f t="shared" ca="1" si="250"/>
        <v>0</v>
      </c>
      <c r="BN155" s="24">
        <f t="shared" ca="1" si="250"/>
        <v>158.53866599520757</v>
      </c>
      <c r="BO155" s="24">
        <f t="shared" ca="1" si="250"/>
        <v>0</v>
      </c>
      <c r="BP155" s="24">
        <f t="shared" ca="1" si="250"/>
        <v>79.269334843710112</v>
      </c>
      <c r="BQ155" s="24">
        <f t="shared" ca="1" si="250"/>
        <v>0</v>
      </c>
    </row>
    <row r="156" spans="1:69" s="32" customFormat="1" ht="13.5" customHeight="1">
      <c r="A156" s="1"/>
      <c r="B156" s="289" t="s">
        <v>413</v>
      </c>
      <c r="C156" s="289"/>
      <c r="D156" s="289"/>
      <c r="E156" s="289"/>
      <c r="F156" s="289">
        <f ca="1">F139+F140</f>
        <v>584065.95097152307</v>
      </c>
      <c r="G156" s="289"/>
      <c r="H156" s="289"/>
      <c r="I156" s="289"/>
      <c r="J156" s="289"/>
      <c r="K156" s="289"/>
      <c r="L156" s="290"/>
      <c r="M156" s="289">
        <f ca="1">SUM(N156:XFD156)</f>
        <v>584065.95092847676</v>
      </c>
      <c r="N156" s="289"/>
      <c r="O156" s="289">
        <f ca="1">O139+O140</f>
        <v>171988.96238731034</v>
      </c>
      <c r="P156" s="289">
        <f t="shared" ref="P156:BQ156" ca="1" si="251">P139+P140</f>
        <v>121.08291689151929</v>
      </c>
      <c r="Q156" s="289">
        <f t="shared" ca="1" si="251"/>
        <v>121.08291689151929</v>
      </c>
      <c r="R156" s="289">
        <f t="shared" ca="1" si="251"/>
        <v>6749.6952999453442</v>
      </c>
      <c r="S156" s="289">
        <f t="shared" ca="1" si="251"/>
        <v>148.11035369766199</v>
      </c>
      <c r="T156" s="289">
        <f t="shared" ca="1" si="251"/>
        <v>148.11035369766199</v>
      </c>
      <c r="U156" s="289">
        <f t="shared" ca="1" si="251"/>
        <v>2085.6103536976625</v>
      </c>
      <c r="V156" s="289">
        <f t="shared" ca="1" si="251"/>
        <v>148.11035369766199</v>
      </c>
      <c r="W156" s="289">
        <f t="shared" ca="1" si="251"/>
        <v>148.11035369766199</v>
      </c>
      <c r="X156" s="289">
        <f t="shared" ca="1" si="251"/>
        <v>2085.6103536976611</v>
      </c>
      <c r="Y156" s="289">
        <f t="shared" ca="1" si="251"/>
        <v>148.11035369766199</v>
      </c>
      <c r="Z156" s="289">
        <f t="shared" ca="1" si="251"/>
        <v>148.11035369766199</v>
      </c>
      <c r="AA156" s="289">
        <f t="shared" ca="1" si="251"/>
        <v>2085.6103536976611</v>
      </c>
      <c r="AB156" s="289">
        <f t="shared" ca="1" si="251"/>
        <v>2645.4455145852476</v>
      </c>
      <c r="AC156" s="289">
        <f t="shared" ca="1" si="251"/>
        <v>4061.7679129437324</v>
      </c>
      <c r="AD156" s="289">
        <f t="shared" ca="1" si="251"/>
        <v>12959.862314533551</v>
      </c>
      <c r="AE156" s="289">
        <f t="shared" ca="1" si="251"/>
        <v>4759.1301284843221</v>
      </c>
      <c r="AF156" s="289">
        <f t="shared" ca="1" si="251"/>
        <v>4250.2994037023482</v>
      </c>
      <c r="AG156" s="289">
        <f t="shared" ca="1" si="251"/>
        <v>8273.5572693135691</v>
      </c>
      <c r="AH156" s="289">
        <f t="shared" ca="1" si="251"/>
        <v>6434.4744872823285</v>
      </c>
      <c r="AI156" s="289">
        <f t="shared" ca="1" si="251"/>
        <v>7079.7134252731885</v>
      </c>
      <c r="AJ156" s="289">
        <f t="shared" ca="1" si="251"/>
        <v>9724.8873586687296</v>
      </c>
      <c r="AK156" s="289">
        <f t="shared" ca="1" si="251"/>
        <v>8680.3144895260739</v>
      </c>
      <c r="AL156" s="289">
        <f t="shared" ca="1" si="251"/>
        <v>9251.7941999077957</v>
      </c>
      <c r="AM156" s="289">
        <f t="shared" ca="1" si="251"/>
        <v>11999.424886053435</v>
      </c>
      <c r="AN156" s="289">
        <f t="shared" ca="1" si="251"/>
        <v>10683.627878833589</v>
      </c>
      <c r="AO156" s="289">
        <f t="shared" ca="1" si="251"/>
        <v>10766.541727606174</v>
      </c>
      <c r="AP156" s="289">
        <f t="shared" ca="1" si="251"/>
        <v>13314.860335104469</v>
      </c>
      <c r="AQ156" s="289">
        <f t="shared" ca="1" si="251"/>
        <v>10671.647770575295</v>
      </c>
      <c r="AR156" s="289">
        <f t="shared" ca="1" si="251"/>
        <v>10741.089623162892</v>
      </c>
      <c r="AS156" s="289">
        <f t="shared" ca="1" si="251"/>
        <v>12951.961553293859</v>
      </c>
      <c r="AT156" s="289">
        <f t="shared" ca="1" si="251"/>
        <v>11679.898427102831</v>
      </c>
      <c r="AU156" s="289">
        <f t="shared" ca="1" si="251"/>
        <v>11611.071401690428</v>
      </c>
      <c r="AV156" s="289">
        <f t="shared" ca="1" si="251"/>
        <v>13849.597121199671</v>
      </c>
      <c r="AW156" s="289">
        <f t="shared" ca="1" si="251"/>
        <v>12577.533981230366</v>
      </c>
      <c r="AX156" s="289">
        <f t="shared" ca="1" si="251"/>
        <v>12702.283385017965</v>
      </c>
      <c r="AY156" s="289">
        <f t="shared" ca="1" si="251"/>
        <v>14526.002484155219</v>
      </c>
      <c r="AZ156" s="289">
        <f t="shared" ca="1" si="251"/>
        <v>12093.900321817966</v>
      </c>
      <c r="BA156" s="289">
        <f t="shared" ca="1" si="251"/>
        <v>11762.055014617965</v>
      </c>
      <c r="BB156" s="289">
        <f t="shared" ca="1" si="251"/>
        <v>13817.795846150992</v>
      </c>
      <c r="BC156" s="289">
        <f t="shared" ca="1" si="251"/>
        <v>11319.594605017966</v>
      </c>
      <c r="BD156" s="289">
        <f t="shared" ca="1" si="251"/>
        <v>11126.018175817964</v>
      </c>
      <c r="BE156" s="289">
        <f t="shared" ca="1" si="251"/>
        <v>12866.775972636409</v>
      </c>
      <c r="BF156" s="289">
        <f t="shared" ca="1" si="251"/>
        <v>10655.903990617966</v>
      </c>
      <c r="BG156" s="289">
        <f t="shared" ca="1" si="251"/>
        <v>9715.6756202179658</v>
      </c>
      <c r="BH156" s="289">
        <f t="shared" ca="1" si="251"/>
        <v>10931.011686995294</v>
      </c>
      <c r="BI156" s="289">
        <f t="shared" ca="1" si="251"/>
        <v>8663.1699182101202</v>
      </c>
      <c r="BJ156" s="289">
        <f t="shared" ca="1" si="251"/>
        <v>13327.78186901202</v>
      </c>
      <c r="BK156" s="289">
        <f t="shared" ca="1" si="251"/>
        <v>9336.2765375897488</v>
      </c>
      <c r="BL156" s="289">
        <f t="shared" ca="1" si="251"/>
        <v>5801.1761364368631</v>
      </c>
      <c r="BM156" s="289">
        <f t="shared" ca="1" si="251"/>
        <v>16682.05081391993</v>
      </c>
      <c r="BN156" s="289">
        <f t="shared" ca="1" si="251"/>
        <v>2406.6738576353073</v>
      </c>
      <c r="BO156" s="289">
        <f t="shared" ca="1" si="251"/>
        <v>121.08291689151929</v>
      </c>
      <c r="BP156" s="289">
        <f t="shared" ca="1" si="251"/>
        <v>1115.9038150394895</v>
      </c>
      <c r="BQ156" s="289">
        <f t="shared" ca="1" si="251"/>
        <v>0</v>
      </c>
    </row>
    <row r="158" spans="1:69" ht="13.5" customHeight="1">
      <c r="B158" s="1" t="s">
        <v>79</v>
      </c>
    </row>
    <row r="159" spans="1:69" ht="13.5" customHeight="1">
      <c r="C159" s="1" t="s">
        <v>80</v>
      </c>
    </row>
    <row r="160" spans="1:69" ht="13.5" customHeight="1">
      <c r="D160" s="55" t="s">
        <v>81</v>
      </c>
      <c r="E160" s="56"/>
      <c r="F160" s="64" t="s">
        <v>84</v>
      </c>
      <c r="G160" s="65"/>
      <c r="H160" s="65"/>
      <c r="I160" s="65"/>
      <c r="J160" s="66"/>
    </row>
    <row r="161" spans="3:10" ht="13.5" customHeight="1">
      <c r="D161" s="55" t="s">
        <v>82</v>
      </c>
      <c r="E161" s="56" t="s">
        <v>83</v>
      </c>
      <c r="F161" s="67"/>
      <c r="G161" s="68"/>
      <c r="H161" s="68" t="s">
        <v>85</v>
      </c>
      <c r="I161" s="68"/>
      <c r="J161" s="69"/>
    </row>
    <row r="162" spans="3:10" ht="13.5" customHeight="1">
      <c r="D162" s="30"/>
      <c r="E162" s="58">
        <v>10</v>
      </c>
      <c r="F162" s="57">
        <f>100000/unit</f>
        <v>0.1</v>
      </c>
      <c r="G162" s="22"/>
      <c r="H162" s="22"/>
      <c r="I162" s="22"/>
      <c r="J162" s="58"/>
    </row>
    <row r="163" spans="3:10" ht="13.5" customHeight="1">
      <c r="D163" s="31">
        <f>E162</f>
        <v>10</v>
      </c>
      <c r="E163" s="63">
        <v>50</v>
      </c>
      <c r="F163" s="59">
        <f>100000/unit</f>
        <v>0.1</v>
      </c>
      <c r="G163" s="32" t="s">
        <v>86</v>
      </c>
      <c r="H163" s="32">
        <f>D163</f>
        <v>10</v>
      </c>
      <c r="I163" s="32"/>
      <c r="J163" s="60">
        <f>11/10000</f>
        <v>1.1000000000000001E-3</v>
      </c>
    </row>
    <row r="164" spans="3:10" ht="13.5" customHeight="1">
      <c r="D164" s="31">
        <f t="shared" ref="D164:D170" si="252">E163</f>
        <v>50</v>
      </c>
      <c r="E164" s="63">
        <v>100</v>
      </c>
      <c r="F164" s="59">
        <f>144000/unit</f>
        <v>0.14399999999999999</v>
      </c>
      <c r="G164" s="32" t="s">
        <v>86</v>
      </c>
      <c r="H164" s="32">
        <f t="shared" ref="H164:H170" si="253">D164</f>
        <v>50</v>
      </c>
      <c r="I164" s="32"/>
      <c r="J164" s="60">
        <f>10/10000</f>
        <v>1E-3</v>
      </c>
    </row>
    <row r="165" spans="3:10" ht="13.5" customHeight="1">
      <c r="D165" s="31">
        <f t="shared" si="252"/>
        <v>100</v>
      </c>
      <c r="E165" s="63">
        <v>300</v>
      </c>
      <c r="F165" s="59">
        <f>194000/unit</f>
        <v>0.19400000000000001</v>
      </c>
      <c r="G165" s="32" t="s">
        <v>86</v>
      </c>
      <c r="H165" s="32">
        <f t="shared" si="253"/>
        <v>100</v>
      </c>
      <c r="I165" s="32"/>
      <c r="J165" s="60">
        <f>9/10000</f>
        <v>8.9999999999999998E-4</v>
      </c>
    </row>
    <row r="166" spans="3:10" ht="13.5" customHeight="1">
      <c r="D166" s="31">
        <f t="shared" si="252"/>
        <v>300</v>
      </c>
      <c r="E166" s="63">
        <v>500</v>
      </c>
      <c r="F166" s="59">
        <f>374000/unit</f>
        <v>0.374</v>
      </c>
      <c r="G166" s="32" t="s">
        <v>86</v>
      </c>
      <c r="H166" s="32">
        <f t="shared" si="253"/>
        <v>300</v>
      </c>
      <c r="I166" s="32"/>
      <c r="J166" s="60">
        <f>8/10000</f>
        <v>8.0000000000000004E-4</v>
      </c>
    </row>
    <row r="167" spans="3:10" ht="13.5" customHeight="1">
      <c r="D167" s="31">
        <f t="shared" si="252"/>
        <v>500</v>
      </c>
      <c r="E167" s="63">
        <v>1000</v>
      </c>
      <c r="F167" s="59">
        <f>534000/unit</f>
        <v>0.53400000000000003</v>
      </c>
      <c r="G167" s="32" t="s">
        <v>86</v>
      </c>
      <c r="H167" s="32">
        <f t="shared" si="253"/>
        <v>500</v>
      </c>
      <c r="I167" s="32"/>
      <c r="J167" s="60">
        <f>7/10000</f>
        <v>6.9999999999999999E-4</v>
      </c>
    </row>
    <row r="168" spans="3:10" ht="13.5" customHeight="1">
      <c r="D168" s="31">
        <f t="shared" si="252"/>
        <v>1000</v>
      </c>
      <c r="E168" s="63">
        <v>2000</v>
      </c>
      <c r="F168" s="59">
        <f>884000/unit</f>
        <v>0.88400000000000001</v>
      </c>
      <c r="G168" s="32" t="s">
        <v>86</v>
      </c>
      <c r="H168" s="32">
        <f t="shared" si="253"/>
        <v>1000</v>
      </c>
      <c r="I168" s="32"/>
      <c r="J168" s="60">
        <f>5/10000</f>
        <v>5.0000000000000001E-4</v>
      </c>
    </row>
    <row r="169" spans="3:10" ht="13.5" customHeight="1">
      <c r="D169" s="31">
        <f t="shared" si="252"/>
        <v>2000</v>
      </c>
      <c r="E169" s="63">
        <v>20000</v>
      </c>
      <c r="F169" s="59">
        <f>1384000/unit</f>
        <v>1.3839999999999999</v>
      </c>
      <c r="G169" s="32" t="s">
        <v>86</v>
      </c>
      <c r="H169" s="32">
        <f t="shared" si="253"/>
        <v>2000</v>
      </c>
      <c r="I169" s="32"/>
      <c r="J169" s="60">
        <f>4/10000</f>
        <v>4.0000000000000002E-4</v>
      </c>
    </row>
    <row r="170" spans="3:10" ht="13.5" customHeight="1">
      <c r="D170" s="33">
        <f t="shared" si="252"/>
        <v>20000</v>
      </c>
      <c r="E170" s="34"/>
      <c r="F170" s="61">
        <f>8584000/unit</f>
        <v>8.5839999999999996</v>
      </c>
      <c r="G170" s="24" t="s">
        <v>86</v>
      </c>
      <c r="H170" s="24">
        <f t="shared" si="253"/>
        <v>20000</v>
      </c>
      <c r="I170" s="24"/>
      <c r="J170" s="62">
        <f>1/10000</f>
        <v>1E-4</v>
      </c>
    </row>
    <row r="171" spans="3:10" ht="13.5" customHeight="1">
      <c r="C171" s="1" t="s">
        <v>87</v>
      </c>
      <c r="F171" s="52"/>
      <c r="J171" s="53"/>
    </row>
    <row r="172" spans="3:10" ht="13.5" customHeight="1">
      <c r="D172" s="55" t="s">
        <v>81</v>
      </c>
      <c r="E172" s="56"/>
      <c r="F172" s="64" t="s">
        <v>84</v>
      </c>
      <c r="G172" s="65"/>
      <c r="H172" s="65"/>
      <c r="I172" s="65"/>
      <c r="J172" s="66"/>
    </row>
    <row r="173" spans="3:10" ht="13.5" customHeight="1">
      <c r="D173" s="55" t="s">
        <v>82</v>
      </c>
      <c r="E173" s="56" t="s">
        <v>83</v>
      </c>
      <c r="F173" s="67"/>
      <c r="G173" s="68"/>
      <c r="H173" s="68" t="s">
        <v>85</v>
      </c>
      <c r="I173" s="68"/>
      <c r="J173" s="69"/>
    </row>
    <row r="174" spans="3:10" ht="13.5" customHeight="1">
      <c r="D174" s="30"/>
      <c r="E174" s="58">
        <v>50</v>
      </c>
      <c r="F174" s="57">
        <f>310000/unit</f>
        <v>0.31</v>
      </c>
      <c r="G174" s="22"/>
      <c r="H174" s="22"/>
      <c r="I174" s="22"/>
      <c r="J174" s="58"/>
    </row>
    <row r="175" spans="3:10" ht="13.5" customHeight="1">
      <c r="D175" s="31">
        <f>E174</f>
        <v>50</v>
      </c>
      <c r="E175" s="63">
        <v>100</v>
      </c>
      <c r="F175" s="59">
        <f>310000/unit</f>
        <v>0.31</v>
      </c>
      <c r="G175" s="32" t="s">
        <v>86</v>
      </c>
      <c r="H175" s="32">
        <f>D175</f>
        <v>50</v>
      </c>
      <c r="I175" s="32"/>
      <c r="J175" s="60">
        <f>22/10000</f>
        <v>2.2000000000000001E-3</v>
      </c>
    </row>
    <row r="176" spans="3:10" ht="13.5" customHeight="1">
      <c r="D176" s="31">
        <f t="shared" ref="D176:D180" si="254">E175</f>
        <v>100</v>
      </c>
      <c r="E176" s="63">
        <v>300</v>
      </c>
      <c r="F176" s="59">
        <f>420000/unit</f>
        <v>0.42</v>
      </c>
      <c r="G176" s="32" t="s">
        <v>86</v>
      </c>
      <c r="H176" s="32">
        <f t="shared" ref="H176:H181" si="255">D176</f>
        <v>100</v>
      </c>
      <c r="I176" s="32"/>
      <c r="J176" s="60">
        <f>9/10000</f>
        <v>8.9999999999999998E-4</v>
      </c>
    </row>
    <row r="177" spans="2:10" ht="13.5" customHeight="1">
      <c r="D177" s="31">
        <f t="shared" si="254"/>
        <v>300</v>
      </c>
      <c r="E177" s="63">
        <v>500</v>
      </c>
      <c r="F177" s="59">
        <f>600000/unit</f>
        <v>0.6</v>
      </c>
      <c r="G177" s="32" t="s">
        <v>86</v>
      </c>
      <c r="H177" s="32">
        <f t="shared" si="255"/>
        <v>300</v>
      </c>
      <c r="I177" s="32"/>
      <c r="J177" s="60">
        <f>8/10000</f>
        <v>8.0000000000000004E-4</v>
      </c>
    </row>
    <row r="178" spans="2:10" ht="13.5" customHeight="1">
      <c r="D178" s="31">
        <f t="shared" si="254"/>
        <v>500</v>
      </c>
      <c r="E178" s="63">
        <v>1000</v>
      </c>
      <c r="F178" s="59">
        <f>760000/unit</f>
        <v>0.76</v>
      </c>
      <c r="G178" s="32" t="s">
        <v>86</v>
      </c>
      <c r="H178" s="32">
        <f t="shared" si="255"/>
        <v>500</v>
      </c>
      <c r="I178" s="32"/>
      <c r="J178" s="60">
        <f>7/10000</f>
        <v>6.9999999999999999E-4</v>
      </c>
    </row>
    <row r="179" spans="2:10" ht="13.5" customHeight="1">
      <c r="D179" s="31">
        <f t="shared" si="254"/>
        <v>1000</v>
      </c>
      <c r="E179" s="63">
        <v>2000</v>
      </c>
      <c r="F179" s="59">
        <f>1110000/unit</f>
        <v>1.1100000000000001</v>
      </c>
      <c r="G179" s="32" t="s">
        <v>86</v>
      </c>
      <c r="H179" s="32">
        <f t="shared" si="255"/>
        <v>1000</v>
      </c>
      <c r="I179" s="32"/>
      <c r="J179" s="60">
        <f>6/10000</f>
        <v>5.9999999999999995E-4</v>
      </c>
    </row>
    <row r="180" spans="2:10" ht="13.5" customHeight="1">
      <c r="D180" s="31">
        <f t="shared" si="254"/>
        <v>2000</v>
      </c>
      <c r="E180" s="63">
        <v>20000</v>
      </c>
      <c r="F180" s="59">
        <f>1710000/unit</f>
        <v>1.71</v>
      </c>
      <c r="G180" s="32" t="s">
        <v>86</v>
      </c>
      <c r="H180" s="32">
        <f t="shared" si="255"/>
        <v>2000</v>
      </c>
      <c r="I180" s="32"/>
      <c r="J180" s="60">
        <f>4/10000</f>
        <v>4.0000000000000002E-4</v>
      </c>
    </row>
    <row r="181" spans="2:10" ht="13.5" customHeight="1">
      <c r="D181" s="33">
        <f>E180</f>
        <v>20000</v>
      </c>
      <c r="E181" s="34"/>
      <c r="F181" s="61">
        <f>8910000/unit</f>
        <v>8.91</v>
      </c>
      <c r="G181" s="24" t="s">
        <v>86</v>
      </c>
      <c r="H181" s="24">
        <f t="shared" si="255"/>
        <v>20000</v>
      </c>
      <c r="I181" s="24"/>
      <c r="J181" s="62">
        <f>1/10000</f>
        <v>1E-4</v>
      </c>
    </row>
    <row r="183" spans="2:10" ht="13.5" customHeight="1">
      <c r="B183" s="1" t="s">
        <v>109</v>
      </c>
    </row>
    <row r="184" spans="2:10" ht="13.5" customHeight="1">
      <c r="C184" s="1" t="s">
        <v>110</v>
      </c>
    </row>
    <row r="185" spans="2:10" ht="13.5" customHeight="1">
      <c r="D185" s="1" t="s">
        <v>111</v>
      </c>
    </row>
    <row r="186" spans="2:10" ht="13.5" customHeight="1">
      <c r="E186" s="115" t="s">
        <v>112</v>
      </c>
      <c r="F186" s="115" t="s">
        <v>113</v>
      </c>
      <c r="G186" s="115" t="s">
        <v>114</v>
      </c>
      <c r="H186" s="115" t="s">
        <v>115</v>
      </c>
    </row>
    <row r="187" spans="2:10" ht="13.5" customHeight="1">
      <c r="E187" s="114">
        <v>159</v>
      </c>
      <c r="F187" s="114">
        <v>308.5</v>
      </c>
      <c r="G187" s="114">
        <v>481</v>
      </c>
      <c r="H187" s="114">
        <v>392.5</v>
      </c>
    </row>
    <row r="188" spans="2:10" ht="13.5" customHeight="1">
      <c r="D188" s="1" t="s">
        <v>116</v>
      </c>
    </row>
    <row r="189" spans="2:10" ht="13.5" customHeight="1">
      <c r="E189" s="55" t="s">
        <v>117</v>
      </c>
      <c r="F189" s="56"/>
      <c r="G189" s="55" t="s">
        <v>122</v>
      </c>
      <c r="H189" s="56"/>
      <c r="I189" s="115" t="s">
        <v>123</v>
      </c>
      <c r="J189" s="115" t="s">
        <v>124</v>
      </c>
    </row>
    <row r="190" spans="2:10" ht="13.5" customHeight="1">
      <c r="E190" s="30" t="s">
        <v>118</v>
      </c>
      <c r="F190" s="58"/>
      <c r="G190" s="30">
        <v>367057</v>
      </c>
      <c r="H190" s="58"/>
      <c r="I190" s="116">
        <f>SUMIF($E$186:$H$186,E190,$E$187:$H$187)</f>
        <v>0</v>
      </c>
      <c r="J190" s="116">
        <f t="shared" ref="J190:J197" si="256">G190*I190/unit</f>
        <v>0</v>
      </c>
    </row>
    <row r="191" spans="2:10" ht="13.5" customHeight="1">
      <c r="E191" s="31" t="s">
        <v>112</v>
      </c>
      <c r="F191" s="63"/>
      <c r="G191" s="31">
        <v>281068</v>
      </c>
      <c r="H191" s="63"/>
      <c r="I191" s="117">
        <f t="shared" ref="I191:I197" si="257">SUMIF($E$186:$H$186,E191,$E$187:$H$187)</f>
        <v>159</v>
      </c>
      <c r="J191" s="117">
        <f t="shared" si="256"/>
        <v>44.689812000000003</v>
      </c>
    </row>
    <row r="192" spans="2:10" ht="13.5" customHeight="1">
      <c r="E192" s="31" t="s">
        <v>113</v>
      </c>
      <c r="F192" s="63"/>
      <c r="G192" s="31">
        <v>253264</v>
      </c>
      <c r="H192" s="63"/>
      <c r="I192" s="117">
        <f t="shared" si="257"/>
        <v>308.5</v>
      </c>
      <c r="J192" s="117">
        <f t="shared" si="256"/>
        <v>78.131944000000004</v>
      </c>
    </row>
    <row r="193" spans="2:11" ht="13.5" customHeight="1">
      <c r="E193" s="31" t="s">
        <v>114</v>
      </c>
      <c r="F193" s="63"/>
      <c r="G193" s="31">
        <v>207859</v>
      </c>
      <c r="H193" s="63"/>
      <c r="I193" s="117">
        <f t="shared" si="257"/>
        <v>481</v>
      </c>
      <c r="J193" s="117">
        <f t="shared" si="256"/>
        <v>99.980179000000007</v>
      </c>
    </row>
    <row r="194" spans="2:11" ht="13.5" customHeight="1">
      <c r="E194" s="31" t="s">
        <v>115</v>
      </c>
      <c r="F194" s="63"/>
      <c r="G194" s="31">
        <v>190246</v>
      </c>
      <c r="H194" s="63"/>
      <c r="I194" s="117">
        <f t="shared" si="257"/>
        <v>392.5</v>
      </c>
      <c r="J194" s="117">
        <f t="shared" si="256"/>
        <v>74.671554999999998</v>
      </c>
    </row>
    <row r="195" spans="2:11" ht="13.5" customHeight="1">
      <c r="E195" s="31" t="s">
        <v>119</v>
      </c>
      <c r="F195" s="63"/>
      <c r="G195" s="31">
        <v>203924</v>
      </c>
      <c r="H195" s="63"/>
      <c r="I195" s="117">
        <f t="shared" si="257"/>
        <v>0</v>
      </c>
      <c r="J195" s="117">
        <f t="shared" si="256"/>
        <v>0</v>
      </c>
    </row>
    <row r="196" spans="2:11" ht="13.5" customHeight="1">
      <c r="E196" s="31" t="s">
        <v>120</v>
      </c>
      <c r="F196" s="63"/>
      <c r="G196" s="31">
        <v>184340</v>
      </c>
      <c r="H196" s="63"/>
      <c r="I196" s="117">
        <f t="shared" si="257"/>
        <v>0</v>
      </c>
      <c r="J196" s="117">
        <f t="shared" si="256"/>
        <v>0</v>
      </c>
    </row>
    <row r="197" spans="2:11" ht="13.5" customHeight="1">
      <c r="E197" s="33" t="s">
        <v>121</v>
      </c>
      <c r="F197" s="34"/>
      <c r="G197" s="33">
        <v>160472</v>
      </c>
      <c r="H197" s="34"/>
      <c r="I197" s="54">
        <f t="shared" si="257"/>
        <v>0</v>
      </c>
      <c r="J197" s="54">
        <f t="shared" si="256"/>
        <v>0</v>
      </c>
    </row>
    <row r="198" spans="2:11" ht="13.5" customHeight="1">
      <c r="E198" s="79" t="s">
        <v>62</v>
      </c>
      <c r="F198" s="118"/>
      <c r="G198" s="79"/>
      <c r="H198" s="118"/>
      <c r="I198" s="119"/>
      <c r="J198" s="119">
        <f>SUM(J190:J197)</f>
        <v>297.47349000000003</v>
      </c>
    </row>
    <row r="199" spans="2:11" ht="13.5" customHeight="1">
      <c r="C199" s="1" t="s">
        <v>125</v>
      </c>
      <c r="J199" s="14">
        <v>0</v>
      </c>
    </row>
    <row r="200" spans="2:11" ht="13.5" customHeight="1">
      <c r="C200" s="120" t="s">
        <v>126</v>
      </c>
      <c r="D200" s="120"/>
      <c r="E200" s="120"/>
      <c r="F200" s="120"/>
      <c r="G200" s="120"/>
      <c r="H200" s="120"/>
      <c r="I200" s="120"/>
      <c r="J200" s="121">
        <f>J198*120%</f>
        <v>356.968188</v>
      </c>
      <c r="K200" s="120"/>
    </row>
    <row r="201" spans="2:11" ht="13.5" customHeight="1">
      <c r="J201" s="14">
        <f>J198+J199+J200</f>
        <v>654.44167800000002</v>
      </c>
    </row>
    <row r="203" spans="2:11" ht="13.5" customHeight="1">
      <c r="B203" s="1" t="s">
        <v>128</v>
      </c>
    </row>
    <row r="204" spans="2:11" ht="13.5" customHeight="1">
      <c r="C204" s="1" t="s">
        <v>110</v>
      </c>
    </row>
    <row r="205" spans="2:11" ht="13.5" customHeight="1">
      <c r="D205" s="1" t="s">
        <v>129</v>
      </c>
    </row>
    <row r="206" spans="2:11" ht="13.5" customHeight="1">
      <c r="E206" s="115" t="s">
        <v>118</v>
      </c>
      <c r="F206" s="115" t="s">
        <v>112</v>
      </c>
      <c r="G206" s="115" t="s">
        <v>113</v>
      </c>
      <c r="H206" s="115" t="s">
        <v>114</v>
      </c>
      <c r="I206" s="115" t="s">
        <v>115</v>
      </c>
      <c r="J206" s="115" t="s">
        <v>121</v>
      </c>
    </row>
    <row r="207" spans="2:11" ht="13.5" customHeight="1">
      <c r="E207" s="114">
        <v>22.9</v>
      </c>
      <c r="F207" s="114">
        <v>25.4</v>
      </c>
      <c r="G207" s="114">
        <v>35.9</v>
      </c>
      <c r="H207" s="114">
        <v>44.1</v>
      </c>
      <c r="I207" s="114">
        <v>46.6</v>
      </c>
      <c r="J207" s="114">
        <v>45.3</v>
      </c>
    </row>
    <row r="208" spans="2:11" ht="13.5" customHeight="1">
      <c r="D208" s="1" t="s">
        <v>130</v>
      </c>
    </row>
    <row r="209" spans="2:11" ht="13.5" customHeight="1">
      <c r="E209" s="55" t="s">
        <v>117</v>
      </c>
      <c r="F209" s="56"/>
      <c r="G209" s="55" t="s">
        <v>122</v>
      </c>
      <c r="H209" s="56"/>
      <c r="I209" s="115" t="s">
        <v>123</v>
      </c>
      <c r="J209" s="115" t="s">
        <v>124</v>
      </c>
    </row>
    <row r="210" spans="2:11" ht="13.5" customHeight="1">
      <c r="E210" s="30" t="s">
        <v>118</v>
      </c>
      <c r="F210" s="58"/>
      <c r="G210" s="30">
        <v>371891</v>
      </c>
      <c r="H210" s="58"/>
      <c r="I210" s="116">
        <f>SUMIF($E$206:$J$206,E210,$E$207:$J$207)</f>
        <v>22.9</v>
      </c>
      <c r="J210" s="116">
        <f t="shared" ref="J210:J217" si="258">G210*I210/unit</f>
        <v>8.5163039000000005</v>
      </c>
    </row>
    <row r="211" spans="2:11" ht="13.5" customHeight="1">
      <c r="E211" s="31" t="s">
        <v>112</v>
      </c>
      <c r="F211" s="63"/>
      <c r="G211" s="31">
        <v>292249</v>
      </c>
      <c r="H211" s="63"/>
      <c r="I211" s="117">
        <f t="shared" ref="I211:I217" si="259">SUMIF($E$206:$J$206,E211,$E$207:$J$207)</f>
        <v>25.4</v>
      </c>
      <c r="J211" s="117">
        <f t="shared" si="258"/>
        <v>7.4231245999999995</v>
      </c>
    </row>
    <row r="212" spans="2:11" ht="13.5" customHeight="1">
      <c r="E212" s="31" t="s">
        <v>113</v>
      </c>
      <c r="F212" s="63"/>
      <c r="G212" s="31">
        <v>242055</v>
      </c>
      <c r="H212" s="63"/>
      <c r="I212" s="117">
        <f t="shared" si="259"/>
        <v>35.9</v>
      </c>
      <c r="J212" s="117">
        <f t="shared" si="258"/>
        <v>8.6897745000000004</v>
      </c>
    </row>
    <row r="213" spans="2:11" ht="13.5" customHeight="1">
      <c r="E213" s="31" t="s">
        <v>114</v>
      </c>
      <c r="F213" s="63"/>
      <c r="G213" s="31">
        <v>220497</v>
      </c>
      <c r="H213" s="63"/>
      <c r="I213" s="117">
        <f t="shared" si="259"/>
        <v>44.1</v>
      </c>
      <c r="J213" s="117">
        <f t="shared" si="258"/>
        <v>9.7239177000000012</v>
      </c>
    </row>
    <row r="214" spans="2:11" ht="13.5" customHeight="1">
      <c r="E214" s="31" t="s">
        <v>115</v>
      </c>
      <c r="F214" s="63"/>
      <c r="G214" s="31">
        <v>172529</v>
      </c>
      <c r="H214" s="63"/>
      <c r="I214" s="117">
        <f t="shared" si="259"/>
        <v>46.6</v>
      </c>
      <c r="J214" s="117">
        <f t="shared" si="258"/>
        <v>8.0398513999999999</v>
      </c>
    </row>
    <row r="215" spans="2:11" ht="13.5" customHeight="1">
      <c r="E215" s="31" t="s">
        <v>119</v>
      </c>
      <c r="F215" s="63"/>
      <c r="G215" s="31">
        <v>207510</v>
      </c>
      <c r="H215" s="63"/>
      <c r="I215" s="117">
        <f t="shared" si="259"/>
        <v>0</v>
      </c>
      <c r="J215" s="117">
        <f t="shared" si="258"/>
        <v>0</v>
      </c>
    </row>
    <row r="216" spans="2:11" ht="13.5" customHeight="1">
      <c r="E216" s="31" t="s">
        <v>120</v>
      </c>
      <c r="F216" s="63"/>
      <c r="G216" s="31">
        <v>185073</v>
      </c>
      <c r="H216" s="63"/>
      <c r="I216" s="117">
        <f t="shared" si="259"/>
        <v>0</v>
      </c>
      <c r="J216" s="117">
        <f t="shared" si="258"/>
        <v>0</v>
      </c>
    </row>
    <row r="217" spans="2:11" ht="13.5" customHeight="1">
      <c r="E217" s="33" t="s">
        <v>121</v>
      </c>
      <c r="F217" s="34"/>
      <c r="G217" s="33">
        <v>162285</v>
      </c>
      <c r="H217" s="34"/>
      <c r="I217" s="54">
        <f t="shared" si="259"/>
        <v>45.3</v>
      </c>
      <c r="J217" s="54">
        <f t="shared" si="258"/>
        <v>7.3515104999999998</v>
      </c>
    </row>
    <row r="218" spans="2:11" ht="13.5" customHeight="1">
      <c r="E218" s="79" t="s">
        <v>62</v>
      </c>
      <c r="F218" s="118"/>
      <c r="G218" s="79"/>
      <c r="H218" s="118"/>
      <c r="I218" s="119"/>
      <c r="J218" s="119">
        <f>SUM(J210:J217)</f>
        <v>49.744482600000012</v>
      </c>
    </row>
    <row r="219" spans="2:11" ht="13.5" customHeight="1">
      <c r="C219" s="1" t="s">
        <v>125</v>
      </c>
      <c r="J219" s="14">
        <v>0</v>
      </c>
    </row>
    <row r="220" spans="2:11" ht="13.5" customHeight="1">
      <c r="C220" s="1" t="s">
        <v>126</v>
      </c>
      <c r="J220" s="14">
        <f>J218*120%</f>
        <v>59.69337912000001</v>
      </c>
    </row>
    <row r="221" spans="2:11" ht="13.5" customHeight="1">
      <c r="C221" s="120" t="s">
        <v>131</v>
      </c>
      <c r="D221" s="120"/>
      <c r="E221" s="120"/>
      <c r="F221" s="120"/>
      <c r="G221" s="120"/>
      <c r="H221" s="120"/>
      <c r="I221" s="120"/>
      <c r="J221" s="121">
        <f>(J218+J220)*30%</f>
        <v>32.831358516000009</v>
      </c>
      <c r="K221" s="120"/>
    </row>
    <row r="222" spans="2:11" ht="13.5" customHeight="1">
      <c r="J222" s="14">
        <f>SUM(J218:J221)</f>
        <v>142.26922023600002</v>
      </c>
    </row>
    <row r="224" spans="2:11" ht="13.5" customHeight="1">
      <c r="B224" s="1" t="s">
        <v>133</v>
      </c>
    </row>
    <row r="225" spans="3:10" ht="13.5" customHeight="1">
      <c r="C225" s="1" t="s">
        <v>110</v>
      </c>
    </row>
    <row r="226" spans="3:10" ht="13.5" customHeight="1">
      <c r="D226" s="1" t="s">
        <v>134</v>
      </c>
    </row>
    <row r="227" spans="3:10" ht="13.5" customHeight="1">
      <c r="E227" s="115" t="s">
        <v>118</v>
      </c>
      <c r="F227" s="115" t="s">
        <v>112</v>
      </c>
      <c r="G227" s="115" t="s">
        <v>113</v>
      </c>
      <c r="H227" s="115" t="s">
        <v>114</v>
      </c>
      <c r="I227" s="115" t="s">
        <v>115</v>
      </c>
      <c r="J227" s="115" t="s">
        <v>120</v>
      </c>
    </row>
    <row r="228" spans="3:10" ht="13.5" customHeight="1">
      <c r="E228" s="114">
        <v>13.3</v>
      </c>
      <c r="F228" s="114">
        <v>20.6</v>
      </c>
      <c r="G228" s="114">
        <v>30.1</v>
      </c>
      <c r="H228" s="114">
        <v>41.9</v>
      </c>
      <c r="I228" s="114">
        <v>50.4</v>
      </c>
      <c r="J228" s="114">
        <v>33.700000000000003</v>
      </c>
    </row>
    <row r="229" spans="3:10" ht="13.5" customHeight="1">
      <c r="D229" s="1" t="s">
        <v>135</v>
      </c>
    </row>
    <row r="230" spans="3:10" ht="13.5" customHeight="1">
      <c r="E230" s="55" t="s">
        <v>117</v>
      </c>
      <c r="F230" s="56"/>
      <c r="G230" s="55" t="s">
        <v>122</v>
      </c>
      <c r="H230" s="56"/>
      <c r="I230" s="115" t="s">
        <v>123</v>
      </c>
      <c r="J230" s="115" t="s">
        <v>124</v>
      </c>
    </row>
    <row r="231" spans="3:10" ht="13.5" customHeight="1">
      <c r="E231" s="30" t="s">
        <v>118</v>
      </c>
      <c r="F231" s="58"/>
      <c r="G231" s="30">
        <v>374760</v>
      </c>
      <c r="H231" s="58"/>
      <c r="I231" s="116">
        <f>SUMIF($E$227:$J$227,E231,$E$228:$J$228)</f>
        <v>13.3</v>
      </c>
      <c r="J231" s="116">
        <f t="shared" ref="J231:J238" si="260">G231*I231/unit</f>
        <v>4.9843080000000004</v>
      </c>
    </row>
    <row r="232" spans="3:10" ht="13.5" customHeight="1">
      <c r="E232" s="31" t="s">
        <v>112</v>
      </c>
      <c r="F232" s="63"/>
      <c r="G232" s="31">
        <v>300304</v>
      </c>
      <c r="H232" s="63"/>
      <c r="I232" s="117">
        <f t="shared" ref="I232:I238" si="261">SUMIF($E$227:$J$227,E232,$E$228:$J$228)</f>
        <v>20.6</v>
      </c>
      <c r="J232" s="117">
        <f t="shared" si="260"/>
        <v>6.1862624000000004</v>
      </c>
    </row>
    <row r="233" spans="3:10" ht="13.5" customHeight="1">
      <c r="E233" s="31" t="s">
        <v>113</v>
      </c>
      <c r="F233" s="63"/>
      <c r="G233" s="31">
        <v>251285</v>
      </c>
      <c r="H233" s="63"/>
      <c r="I233" s="117">
        <f t="shared" si="261"/>
        <v>30.1</v>
      </c>
      <c r="J233" s="117">
        <f t="shared" si="260"/>
        <v>7.5636785</v>
      </c>
    </row>
    <row r="234" spans="3:10" ht="13.5" customHeight="1">
      <c r="E234" s="31" t="s">
        <v>114</v>
      </c>
      <c r="F234" s="63"/>
      <c r="G234" s="31">
        <v>225423</v>
      </c>
      <c r="H234" s="63"/>
      <c r="I234" s="117">
        <f t="shared" si="261"/>
        <v>41.9</v>
      </c>
      <c r="J234" s="117">
        <f t="shared" si="260"/>
        <v>9.4452236999999997</v>
      </c>
    </row>
    <row r="235" spans="3:10" ht="13.5" customHeight="1">
      <c r="E235" s="31" t="s">
        <v>115</v>
      </c>
      <c r="F235" s="63"/>
      <c r="G235" s="31">
        <v>183328</v>
      </c>
      <c r="H235" s="63"/>
      <c r="I235" s="117">
        <f t="shared" si="261"/>
        <v>50.4</v>
      </c>
      <c r="J235" s="117">
        <f t="shared" si="260"/>
        <v>9.2397311999999996</v>
      </c>
    </row>
    <row r="236" spans="3:10" ht="13.5" customHeight="1">
      <c r="E236" s="31" t="s">
        <v>119</v>
      </c>
      <c r="F236" s="63"/>
      <c r="G236" s="31">
        <v>240273</v>
      </c>
      <c r="H236" s="63"/>
      <c r="I236" s="117">
        <f t="shared" si="261"/>
        <v>0</v>
      </c>
      <c r="J236" s="117">
        <f t="shared" si="260"/>
        <v>0</v>
      </c>
    </row>
    <row r="237" spans="3:10" ht="13.5" customHeight="1">
      <c r="E237" s="31" t="s">
        <v>120</v>
      </c>
      <c r="F237" s="63"/>
      <c r="G237" s="31">
        <v>218671</v>
      </c>
      <c r="H237" s="63"/>
      <c r="I237" s="117">
        <f t="shared" si="261"/>
        <v>33.700000000000003</v>
      </c>
      <c r="J237" s="117">
        <f t="shared" si="260"/>
        <v>7.3692127000000003</v>
      </c>
    </row>
    <row r="238" spans="3:10" ht="13.5" customHeight="1">
      <c r="E238" s="33" t="s">
        <v>121</v>
      </c>
      <c r="F238" s="34"/>
      <c r="G238" s="33">
        <v>162069</v>
      </c>
      <c r="H238" s="34"/>
      <c r="I238" s="54">
        <f t="shared" si="261"/>
        <v>0</v>
      </c>
      <c r="J238" s="54">
        <f t="shared" si="260"/>
        <v>0</v>
      </c>
    </row>
    <row r="239" spans="3:10" ht="13.5" customHeight="1">
      <c r="E239" s="79" t="s">
        <v>62</v>
      </c>
      <c r="F239" s="118"/>
      <c r="G239" s="79"/>
      <c r="H239" s="118"/>
      <c r="I239" s="119"/>
      <c r="J239" s="119">
        <f>SUM(J231:J238)</f>
        <v>44.788416499999997</v>
      </c>
    </row>
    <row r="240" spans="3:10" ht="13.5" customHeight="1">
      <c r="C240" s="1" t="s">
        <v>125</v>
      </c>
      <c r="J240" s="14">
        <v>0</v>
      </c>
    </row>
    <row r="241" spans="2:11" ht="13.5" customHeight="1">
      <c r="C241" s="1" t="s">
        <v>136</v>
      </c>
      <c r="J241" s="14">
        <f>J239*115%</f>
        <v>51.506678974999993</v>
      </c>
    </row>
    <row r="242" spans="2:11" ht="13.5" customHeight="1">
      <c r="C242" s="120" t="s">
        <v>137</v>
      </c>
      <c r="D242" s="120"/>
      <c r="E242" s="120"/>
      <c r="F242" s="120"/>
      <c r="G242" s="120"/>
      <c r="H242" s="120"/>
      <c r="I242" s="120"/>
      <c r="J242" s="121">
        <f>SUM(J239,J241)*30%</f>
        <v>28.888528642499992</v>
      </c>
      <c r="K242" s="120"/>
    </row>
    <row r="243" spans="2:11" ht="13.5" customHeight="1">
      <c r="J243" s="14">
        <f>SUM(J239:J242)</f>
        <v>125.18362411749997</v>
      </c>
    </row>
    <row r="245" spans="2:11" ht="13.5" customHeight="1">
      <c r="B245" s="1" t="s">
        <v>142</v>
      </c>
    </row>
    <row r="246" spans="2:11" ht="13.5" customHeight="1">
      <c r="C246" s="1" t="s">
        <v>110</v>
      </c>
    </row>
    <row r="247" spans="2:11" ht="13.5" customHeight="1">
      <c r="D247" s="1" t="s">
        <v>143</v>
      </c>
    </row>
    <row r="248" spans="2:11" ht="13.5" customHeight="1">
      <c r="E248" s="115" t="s">
        <v>112</v>
      </c>
      <c r="F248" s="115" t="s">
        <v>113</v>
      </c>
      <c r="G248" s="115" t="s">
        <v>114</v>
      </c>
      <c r="H248" s="115" t="s">
        <v>115</v>
      </c>
      <c r="I248" s="115"/>
      <c r="J248" s="115"/>
    </row>
    <row r="249" spans="2:11" ht="13.5" customHeight="1">
      <c r="E249" s="114">
        <v>26</v>
      </c>
      <c r="F249" s="114">
        <v>22.5</v>
      </c>
      <c r="G249" s="114">
        <v>56.5</v>
      </c>
      <c r="H249" s="114">
        <v>22.5</v>
      </c>
      <c r="I249" s="114"/>
      <c r="J249" s="114"/>
    </row>
    <row r="250" spans="2:11" ht="13.5" customHeight="1">
      <c r="D250" s="1" t="s">
        <v>135</v>
      </c>
    </row>
    <row r="251" spans="2:11" ht="13.5" customHeight="1">
      <c r="E251" s="55" t="s">
        <v>117</v>
      </c>
      <c r="F251" s="56"/>
      <c r="G251" s="55" t="s">
        <v>122</v>
      </c>
      <c r="H251" s="56"/>
      <c r="I251" s="115" t="s">
        <v>123</v>
      </c>
      <c r="J251" s="115" t="s">
        <v>124</v>
      </c>
    </row>
    <row r="252" spans="2:11" ht="13.5" customHeight="1">
      <c r="E252" s="30" t="s">
        <v>118</v>
      </c>
      <c r="F252" s="58"/>
      <c r="G252" s="30">
        <v>374760</v>
      </c>
      <c r="H252" s="58"/>
      <c r="I252" s="116">
        <f>SUMIF($E$248:$J$248,E252,$E$249:$J$249)</f>
        <v>0</v>
      </c>
      <c r="J252" s="116">
        <f t="shared" ref="J252:J259" si="262">G252*I252/unit</f>
        <v>0</v>
      </c>
    </row>
    <row r="253" spans="2:11" ht="13.5" customHeight="1">
      <c r="E253" s="31" t="s">
        <v>112</v>
      </c>
      <c r="F253" s="63"/>
      <c r="G253" s="31">
        <v>300304</v>
      </c>
      <c r="H253" s="63"/>
      <c r="I253" s="117">
        <f t="shared" ref="I253:I259" si="263">SUMIF($E$248:$J$248,E253,$E$249:$J$249)</f>
        <v>26</v>
      </c>
      <c r="J253" s="117">
        <f t="shared" si="262"/>
        <v>7.8079039999999997</v>
      </c>
    </row>
    <row r="254" spans="2:11" ht="13.5" customHeight="1">
      <c r="E254" s="31" t="s">
        <v>113</v>
      </c>
      <c r="F254" s="63"/>
      <c r="G254" s="31">
        <v>251285</v>
      </c>
      <c r="H254" s="63"/>
      <c r="I254" s="117">
        <f t="shared" si="263"/>
        <v>22.5</v>
      </c>
      <c r="J254" s="117">
        <f t="shared" si="262"/>
        <v>5.6539124999999997</v>
      </c>
    </row>
    <row r="255" spans="2:11" ht="13.5" customHeight="1">
      <c r="E255" s="31" t="s">
        <v>114</v>
      </c>
      <c r="F255" s="63"/>
      <c r="G255" s="31">
        <v>225423</v>
      </c>
      <c r="H255" s="63"/>
      <c r="I255" s="117">
        <f t="shared" si="263"/>
        <v>56.5</v>
      </c>
      <c r="J255" s="117">
        <f t="shared" si="262"/>
        <v>12.736399499999999</v>
      </c>
    </row>
    <row r="256" spans="2:11" ht="13.5" customHeight="1">
      <c r="E256" s="31" t="s">
        <v>115</v>
      </c>
      <c r="F256" s="63"/>
      <c r="G256" s="31">
        <v>183328</v>
      </c>
      <c r="H256" s="63"/>
      <c r="I256" s="117">
        <f t="shared" si="263"/>
        <v>22.5</v>
      </c>
      <c r="J256" s="117">
        <f t="shared" si="262"/>
        <v>4.1248800000000001</v>
      </c>
    </row>
    <row r="257" spans="2:11" ht="13.5" customHeight="1">
      <c r="E257" s="31" t="s">
        <v>119</v>
      </c>
      <c r="F257" s="63"/>
      <c r="G257" s="31">
        <v>240273</v>
      </c>
      <c r="H257" s="63"/>
      <c r="I257" s="117">
        <f t="shared" si="263"/>
        <v>0</v>
      </c>
      <c r="J257" s="117">
        <f t="shared" si="262"/>
        <v>0</v>
      </c>
    </row>
    <row r="258" spans="2:11" ht="13.5" customHeight="1">
      <c r="E258" s="31" t="s">
        <v>120</v>
      </c>
      <c r="F258" s="63"/>
      <c r="G258" s="31">
        <v>218671</v>
      </c>
      <c r="H258" s="63"/>
      <c r="I258" s="117">
        <f t="shared" si="263"/>
        <v>0</v>
      </c>
      <c r="J258" s="117">
        <f t="shared" si="262"/>
        <v>0</v>
      </c>
    </row>
    <row r="259" spans="2:11" ht="13.5" customHeight="1">
      <c r="E259" s="33" t="s">
        <v>121</v>
      </c>
      <c r="F259" s="34"/>
      <c r="G259" s="33">
        <v>162069</v>
      </c>
      <c r="H259" s="34"/>
      <c r="I259" s="54">
        <f t="shared" si="263"/>
        <v>0</v>
      </c>
      <c r="J259" s="54">
        <f t="shared" si="262"/>
        <v>0</v>
      </c>
    </row>
    <row r="260" spans="2:11" ht="13.5" customHeight="1">
      <c r="E260" s="79" t="s">
        <v>62</v>
      </c>
      <c r="F260" s="118"/>
      <c r="G260" s="79"/>
      <c r="H260" s="118"/>
      <c r="I260" s="119"/>
      <c r="J260" s="119">
        <f>SUM(J252:J259)</f>
        <v>30.323096</v>
      </c>
    </row>
    <row r="261" spans="2:11" ht="13.5" customHeight="1">
      <c r="C261" s="1" t="s">
        <v>125</v>
      </c>
      <c r="J261" s="14">
        <v>0</v>
      </c>
    </row>
    <row r="262" spans="2:11" ht="13.5" customHeight="1">
      <c r="C262" s="1" t="s">
        <v>136</v>
      </c>
      <c r="J262" s="14">
        <f>J260*115%</f>
        <v>34.8715604</v>
      </c>
    </row>
    <row r="263" spans="2:11" ht="13.5" customHeight="1">
      <c r="C263" s="120" t="s">
        <v>137</v>
      </c>
      <c r="D263" s="120"/>
      <c r="E263" s="120"/>
      <c r="F263" s="120"/>
      <c r="G263" s="120"/>
      <c r="H263" s="120"/>
      <c r="I263" s="120"/>
      <c r="J263" s="121">
        <f>SUM(J260,J262)*30%</f>
        <v>19.55839692</v>
      </c>
      <c r="K263" s="120"/>
    </row>
    <row r="264" spans="2:11" ht="13.5" customHeight="1">
      <c r="J264" s="14">
        <f>SUM(J260:J263)</f>
        <v>84.753053319999992</v>
      </c>
    </row>
    <row r="265" spans="2:11" ht="13.5" customHeight="1">
      <c r="B265" s="1" t="s">
        <v>150</v>
      </c>
    </row>
    <row r="266" spans="2:11" ht="13.5" customHeight="1">
      <c r="D266" s="55" t="s">
        <v>81</v>
      </c>
      <c r="E266" s="56"/>
      <c r="F266" s="64" t="s">
        <v>84</v>
      </c>
      <c r="G266" s="65"/>
      <c r="H266" s="65"/>
      <c r="I266" s="65"/>
      <c r="J266" s="66"/>
    </row>
    <row r="267" spans="2:11" ht="13.5" customHeight="1">
      <c r="D267" s="55" t="s">
        <v>82</v>
      </c>
      <c r="E267" s="56" t="s">
        <v>83</v>
      </c>
      <c r="F267" s="67"/>
      <c r="G267" s="68"/>
      <c r="H267" s="68" t="s">
        <v>85</v>
      </c>
      <c r="I267" s="68"/>
      <c r="J267" s="69"/>
    </row>
    <row r="268" spans="2:11" ht="13.5" customHeight="1">
      <c r="D268" s="30"/>
      <c r="E268" s="58">
        <v>50</v>
      </c>
      <c r="F268" s="122">
        <f>200000/unit</f>
        <v>0.2</v>
      </c>
      <c r="G268" s="22"/>
      <c r="H268" s="22"/>
      <c r="I268" s="22"/>
      <c r="J268" s="58"/>
    </row>
    <row r="269" spans="2:11" ht="13.5" customHeight="1">
      <c r="D269" s="31">
        <f>E268</f>
        <v>50</v>
      </c>
      <c r="E269" s="63">
        <v>500</v>
      </c>
      <c r="F269" s="123">
        <v>0.2</v>
      </c>
      <c r="G269" s="32" t="s">
        <v>86</v>
      </c>
      <c r="H269" s="32">
        <f>D269</f>
        <v>50</v>
      </c>
      <c r="I269" s="32"/>
      <c r="J269" s="60">
        <f>11/10000</f>
        <v>1.1000000000000001E-3</v>
      </c>
    </row>
    <row r="270" spans="2:11" ht="13.5" customHeight="1">
      <c r="D270" s="31">
        <f t="shared" ref="D270:D278" si="264">E269</f>
        <v>500</v>
      </c>
      <c r="E270" s="63">
        <v>1000</v>
      </c>
      <c r="F270" s="123">
        <f>695000/unit</f>
        <v>0.69499999999999995</v>
      </c>
      <c r="G270" s="32" t="s">
        <v>86</v>
      </c>
      <c r="H270" s="32">
        <f t="shared" ref="H270:H278" si="265">D270</f>
        <v>500</v>
      </c>
      <c r="I270" s="32"/>
      <c r="J270" s="60">
        <f>9/10000</f>
        <v>8.9999999999999998E-4</v>
      </c>
    </row>
    <row r="271" spans="2:11" ht="13.5" customHeight="1">
      <c r="D271" s="31">
        <f t="shared" si="264"/>
        <v>1000</v>
      </c>
      <c r="E271" s="63">
        <v>5000</v>
      </c>
      <c r="F271" s="123">
        <v>1.145</v>
      </c>
      <c r="G271" s="32" t="s">
        <v>86</v>
      </c>
      <c r="H271" s="32">
        <f t="shared" si="265"/>
        <v>1000</v>
      </c>
      <c r="I271" s="32"/>
      <c r="J271" s="60">
        <f>8/10000</f>
        <v>8.0000000000000004E-4</v>
      </c>
    </row>
    <row r="272" spans="2:11" ht="13.5" customHeight="1">
      <c r="D272" s="31">
        <f t="shared" si="264"/>
        <v>5000</v>
      </c>
      <c r="E272" s="63">
        <v>10000</v>
      </c>
      <c r="F272" s="123">
        <v>4.3449999999999998</v>
      </c>
      <c r="G272" s="32" t="s">
        <v>86</v>
      </c>
      <c r="H272" s="32">
        <f t="shared" si="265"/>
        <v>5000</v>
      </c>
      <c r="I272" s="32"/>
      <c r="J272" s="60">
        <f>7/10000</f>
        <v>6.9999999999999999E-4</v>
      </c>
    </row>
    <row r="273" spans="2:69" ht="13.5" customHeight="1">
      <c r="D273" s="31">
        <f t="shared" si="264"/>
        <v>10000</v>
      </c>
      <c r="E273" s="63">
        <v>50000</v>
      </c>
      <c r="F273" s="123">
        <v>7.8449999999999998</v>
      </c>
      <c r="G273" s="32" t="s">
        <v>86</v>
      </c>
      <c r="H273" s="32">
        <f t="shared" si="265"/>
        <v>10000</v>
      </c>
      <c r="I273" s="32"/>
      <c r="J273" s="60">
        <f>6/10000</f>
        <v>5.9999999999999995E-4</v>
      </c>
    </row>
    <row r="274" spans="2:69" ht="13.5" customHeight="1">
      <c r="D274" s="31">
        <f t="shared" si="264"/>
        <v>50000</v>
      </c>
      <c r="E274" s="63">
        <v>100000</v>
      </c>
      <c r="F274" s="123">
        <v>31.844999999999999</v>
      </c>
      <c r="G274" s="32" t="s">
        <v>86</v>
      </c>
      <c r="H274" s="32">
        <f t="shared" si="265"/>
        <v>50000</v>
      </c>
      <c r="I274" s="32"/>
      <c r="J274" s="60">
        <f>5/10000</f>
        <v>5.0000000000000001E-4</v>
      </c>
    </row>
    <row r="275" spans="2:69" ht="13.5" customHeight="1">
      <c r="D275" s="31">
        <f t="shared" si="264"/>
        <v>100000</v>
      </c>
      <c r="E275" s="63">
        <v>300000</v>
      </c>
      <c r="F275" s="123">
        <v>56.844999999999999</v>
      </c>
      <c r="G275" s="32" t="s">
        <v>86</v>
      </c>
      <c r="H275" s="32">
        <f t="shared" si="265"/>
        <v>100000</v>
      </c>
      <c r="I275" s="32"/>
      <c r="J275" s="60">
        <f>4/10000</f>
        <v>4.0000000000000002E-4</v>
      </c>
    </row>
    <row r="276" spans="2:69" ht="13.5" customHeight="1">
      <c r="D276" s="31">
        <f t="shared" si="264"/>
        <v>300000</v>
      </c>
      <c r="E276" s="63">
        <v>600000</v>
      </c>
      <c r="F276" s="123">
        <v>136.845</v>
      </c>
      <c r="G276" s="32"/>
      <c r="H276" s="32">
        <f t="shared" si="265"/>
        <v>300000</v>
      </c>
      <c r="I276" s="32"/>
      <c r="J276" s="60">
        <f>3/10000</f>
        <v>2.9999999999999997E-4</v>
      </c>
    </row>
    <row r="277" spans="2:69" ht="13.5" customHeight="1">
      <c r="D277" s="31">
        <f t="shared" si="264"/>
        <v>600000</v>
      </c>
      <c r="E277" s="63">
        <v>1000000</v>
      </c>
      <c r="F277" s="123">
        <v>226.845</v>
      </c>
      <c r="G277" s="32"/>
      <c r="H277" s="32">
        <f t="shared" si="265"/>
        <v>600000</v>
      </c>
      <c r="I277" s="32"/>
      <c r="J277" s="60">
        <f>2/10000</f>
        <v>2.0000000000000001E-4</v>
      </c>
    </row>
    <row r="278" spans="2:69" ht="13.5" customHeight="1">
      <c r="D278" s="33">
        <f t="shared" si="264"/>
        <v>1000000</v>
      </c>
      <c r="E278" s="34"/>
      <c r="F278" s="124">
        <v>306.84500000000003</v>
      </c>
      <c r="G278" s="24"/>
      <c r="H278" s="24">
        <f t="shared" si="265"/>
        <v>1000000</v>
      </c>
      <c r="I278" s="24"/>
      <c r="J278" s="62">
        <f>1/10000</f>
        <v>1E-4</v>
      </c>
    </row>
    <row r="280" spans="2:69" ht="13.5" customHeight="1">
      <c r="B280" s="1" t="s">
        <v>349</v>
      </c>
      <c r="E280" s="271">
        <f>H131</f>
        <v>0.04</v>
      </c>
    </row>
    <row r="281" spans="2:69" ht="13.5" customHeight="1">
      <c r="C281" s="1" t="s">
        <v>53</v>
      </c>
    </row>
    <row r="282" spans="2:69" ht="13.5" customHeight="1">
      <c r="D282" s="1" t="s">
        <v>350</v>
      </c>
      <c r="O282" s="1">
        <v>0</v>
      </c>
      <c r="P282" s="1">
        <f ca="1">O284</f>
        <v>0</v>
      </c>
      <c r="Q282" s="1">
        <f t="shared" ref="Q282:BQ282" ca="1" si="266">P284</f>
        <v>0</v>
      </c>
      <c r="R282" s="1">
        <f t="shared" ca="1" si="266"/>
        <v>0</v>
      </c>
      <c r="S282" s="1">
        <f t="shared" ca="1" si="266"/>
        <v>0</v>
      </c>
      <c r="T282" s="1">
        <f t="shared" ca="1" si="266"/>
        <v>0</v>
      </c>
      <c r="U282" s="1">
        <f t="shared" ca="1" si="266"/>
        <v>0</v>
      </c>
      <c r="V282" s="1">
        <f t="shared" ca="1" si="266"/>
        <v>0</v>
      </c>
      <c r="W282" s="1">
        <f t="shared" ca="1" si="266"/>
        <v>0</v>
      </c>
      <c r="X282" s="1">
        <f t="shared" ca="1" si="266"/>
        <v>0</v>
      </c>
      <c r="Y282" s="1">
        <f t="shared" ca="1" si="266"/>
        <v>0</v>
      </c>
      <c r="Z282" s="1">
        <f t="shared" ca="1" si="266"/>
        <v>0</v>
      </c>
      <c r="AA282" s="1">
        <f t="shared" ca="1" si="266"/>
        <v>0</v>
      </c>
      <c r="AB282" s="1">
        <f t="shared" ca="1" si="266"/>
        <v>0</v>
      </c>
      <c r="AC282" s="1">
        <f t="shared" ca="1" si="266"/>
        <v>0</v>
      </c>
      <c r="AD282" s="1">
        <f t="shared" ca="1" si="266"/>
        <v>0</v>
      </c>
      <c r="AE282" s="1">
        <f t="shared" ca="1" si="266"/>
        <v>0</v>
      </c>
      <c r="AF282" s="1">
        <f t="shared" ca="1" si="266"/>
        <v>0</v>
      </c>
      <c r="AG282" s="1">
        <f t="shared" ca="1" si="266"/>
        <v>0</v>
      </c>
      <c r="AH282" s="1">
        <f t="shared" ca="1" si="266"/>
        <v>0</v>
      </c>
      <c r="AI282" s="1">
        <f t="shared" ca="1" si="266"/>
        <v>23394.493972753629</v>
      </c>
      <c r="AJ282" s="1">
        <f t="shared" ca="1" si="266"/>
        <v>29243.117465942036</v>
      </c>
      <c r="AK282" s="1">
        <f t="shared" ca="1" si="266"/>
        <v>35091.740959130446</v>
      </c>
      <c r="AL282" s="1">
        <f t="shared" ca="1" si="266"/>
        <v>81880.728904637712</v>
      </c>
      <c r="AM282" s="1">
        <f t="shared" ca="1" si="266"/>
        <v>93577.975891014532</v>
      </c>
      <c r="AN282" s="1">
        <f t="shared" ca="1" si="266"/>
        <v>105275.22287739135</v>
      </c>
      <c r="AO282" s="1">
        <f t="shared" ca="1" si="266"/>
        <v>175458.70479565224</v>
      </c>
      <c r="AP282" s="1">
        <f t="shared" ca="1" si="266"/>
        <v>193004.57527521747</v>
      </c>
      <c r="AQ282" s="1">
        <f t="shared" ca="1" si="266"/>
        <v>210550.4457547827</v>
      </c>
      <c r="AR282" s="1">
        <f t="shared" ca="1" si="266"/>
        <v>280733.92767304357</v>
      </c>
      <c r="AS282" s="1">
        <f t="shared" ca="1" si="266"/>
        <v>280733.92767304357</v>
      </c>
      <c r="AT282" s="1">
        <f t="shared" ca="1" si="266"/>
        <v>280733.92767304357</v>
      </c>
      <c r="AU282" s="1">
        <f t="shared" ca="1" si="266"/>
        <v>350917.40959130449</v>
      </c>
      <c r="AV282" s="1">
        <f t="shared" ca="1" si="266"/>
        <v>350917.40959130449</v>
      </c>
      <c r="AW282" s="1">
        <f t="shared" ca="1" si="266"/>
        <v>350917.40959130449</v>
      </c>
      <c r="AX282" s="1">
        <f t="shared" ca="1" si="266"/>
        <v>421100.89150956541</v>
      </c>
      <c r="AY282" s="1">
        <f t="shared" ca="1" si="266"/>
        <v>421100.89150956541</v>
      </c>
      <c r="AZ282" s="1">
        <f t="shared" ca="1" si="266"/>
        <v>421100.89150956541</v>
      </c>
      <c r="BA282" s="1">
        <f t="shared" ca="1" si="266"/>
        <v>421100.89150956541</v>
      </c>
      <c r="BB282" s="1">
        <f t="shared" ca="1" si="266"/>
        <v>421100.89150956541</v>
      </c>
      <c r="BC282" s="1">
        <f t="shared" ca="1" si="266"/>
        <v>421100.89150956541</v>
      </c>
      <c r="BD282" s="1">
        <f t="shared" ca="1" si="266"/>
        <v>421100.89150956541</v>
      </c>
      <c r="BE282" s="1">
        <f t="shared" ca="1" si="266"/>
        <v>421100.89150956541</v>
      </c>
      <c r="BF282" s="1">
        <f t="shared" ca="1" si="266"/>
        <v>421100.89150956541</v>
      </c>
      <c r="BG282" s="1">
        <f t="shared" ca="1" si="266"/>
        <v>421100.89150956541</v>
      </c>
      <c r="BH282" s="1">
        <f t="shared" ca="1" si="266"/>
        <v>421100.89150956541</v>
      </c>
      <c r="BI282" s="1">
        <f t="shared" ca="1" si="266"/>
        <v>421100.89150956541</v>
      </c>
      <c r="BJ282" s="1">
        <f t="shared" ca="1" si="266"/>
        <v>421100.89150956541</v>
      </c>
      <c r="BK282" s="1">
        <f t="shared" ca="1" si="266"/>
        <v>421100.89150956541</v>
      </c>
      <c r="BL282" s="1">
        <f t="shared" ca="1" si="266"/>
        <v>421100.89150956541</v>
      </c>
      <c r="BM282" s="1">
        <f t="shared" ca="1" si="266"/>
        <v>421100.89150956541</v>
      </c>
      <c r="BN282" s="1">
        <f t="shared" ca="1" si="266"/>
        <v>421100.89150956541</v>
      </c>
      <c r="BO282" s="1">
        <f t="shared" ca="1" si="266"/>
        <v>421100.89150956541</v>
      </c>
      <c r="BP282" s="1">
        <f t="shared" ca="1" si="266"/>
        <v>421100.89150956541</v>
      </c>
      <c r="BQ282" s="1">
        <f t="shared" ca="1" si="266"/>
        <v>421100.89150956541</v>
      </c>
    </row>
    <row r="283" spans="2:69" ht="13.5" customHeight="1">
      <c r="D283" s="1" t="s">
        <v>351</v>
      </c>
      <c r="O283" s="1">
        <f ca="1">SUM(분양매출!I13:I18)</f>
        <v>0</v>
      </c>
      <c r="P283" s="1">
        <f ca="1">SUM(분양매출!J13:J18)</f>
        <v>0</v>
      </c>
      <c r="Q283" s="1">
        <f ca="1">SUM(분양매출!K13:K18)</f>
        <v>0</v>
      </c>
      <c r="R283" s="1">
        <f ca="1">SUM(분양매출!L13:L18)</f>
        <v>0</v>
      </c>
      <c r="S283" s="1">
        <f ca="1">SUM(분양매출!M13:M18)</f>
        <v>0</v>
      </c>
      <c r="T283" s="1">
        <f ca="1">SUM(분양매출!N13:N18)</f>
        <v>0</v>
      </c>
      <c r="U283" s="1">
        <f ca="1">SUM(분양매출!O13:O18)</f>
        <v>0</v>
      </c>
      <c r="V283" s="1">
        <f ca="1">SUM(분양매출!P13:P18)</f>
        <v>0</v>
      </c>
      <c r="W283" s="1">
        <f ca="1">SUM(분양매출!Q13:Q18)</f>
        <v>0</v>
      </c>
      <c r="X283" s="1">
        <f ca="1">SUM(분양매출!R13:R18)</f>
        <v>0</v>
      </c>
      <c r="Y283" s="1">
        <f ca="1">SUM(분양매출!S13:S18)</f>
        <v>0</v>
      </c>
      <c r="Z283" s="1">
        <f ca="1">SUM(분양매출!T13:T18)</f>
        <v>0</v>
      </c>
      <c r="AA283" s="1">
        <f ca="1">SUM(분양매출!U13:U18)</f>
        <v>0</v>
      </c>
      <c r="AB283" s="1">
        <f ca="1">SUM(분양매출!V13:V18)</f>
        <v>0</v>
      </c>
      <c r="AC283" s="1">
        <f ca="1">SUM(분양매출!W13:W18)</f>
        <v>0</v>
      </c>
      <c r="AD283" s="1">
        <f ca="1">SUM(분양매출!X13:X18)</f>
        <v>0</v>
      </c>
      <c r="AE283" s="1">
        <f ca="1">SUM(분양매출!Y13:Y18)</f>
        <v>0</v>
      </c>
      <c r="AF283" s="1">
        <f ca="1">SUM(분양매출!Z13:Z18)</f>
        <v>0</v>
      </c>
      <c r="AG283" s="1">
        <f ca="1">SUM(분양매출!AA13:AA18)</f>
        <v>0</v>
      </c>
      <c r="AH283" s="1">
        <f ca="1">SUM(분양매출!AB13:AB18)</f>
        <v>23394.493972753629</v>
      </c>
      <c r="AI283" s="1">
        <f ca="1">SUM(분양매출!AC13:AC18)</f>
        <v>5848.6234931884073</v>
      </c>
      <c r="AJ283" s="1">
        <f ca="1">SUM(분양매출!AD13:AD18)</f>
        <v>5848.6234931884073</v>
      </c>
      <c r="AK283" s="1">
        <f ca="1">SUM(분양매출!AE13:AE18)</f>
        <v>46788.987945507259</v>
      </c>
      <c r="AL283" s="1">
        <f ca="1">SUM(분양매출!AF13:AF18)</f>
        <v>11697.246986376815</v>
      </c>
      <c r="AM283" s="1">
        <f ca="1">SUM(분양매출!AG13:AG18)</f>
        <v>11697.246986376815</v>
      </c>
      <c r="AN283" s="1">
        <f ca="1">SUM(분양매출!AH13:AH18)</f>
        <v>70183.481918260892</v>
      </c>
      <c r="AO283" s="1">
        <f ca="1">SUM(분양매출!AI13:AI18)</f>
        <v>17545.870479565223</v>
      </c>
      <c r="AP283" s="1">
        <f ca="1">SUM(분양매출!AJ13:AJ18)</f>
        <v>17545.870479565223</v>
      </c>
      <c r="AQ283" s="1">
        <f ca="1">SUM(분양매출!AK13:AK18)</f>
        <v>70183.481918260892</v>
      </c>
      <c r="AR283" s="1">
        <f ca="1">SUM(분양매출!AL13:AL18)</f>
        <v>0</v>
      </c>
      <c r="AS283" s="1">
        <f ca="1">SUM(분양매출!AM13:AM18)</f>
        <v>0</v>
      </c>
      <c r="AT283" s="1">
        <f ca="1">SUM(분양매출!AN13:AN18)</f>
        <v>70183.481918260892</v>
      </c>
      <c r="AU283" s="1">
        <f ca="1">SUM(분양매출!AO13:AO18)</f>
        <v>0</v>
      </c>
      <c r="AV283" s="1">
        <f ca="1">SUM(분양매출!AP13:AP18)</f>
        <v>0</v>
      </c>
      <c r="AW283" s="1">
        <f ca="1">SUM(분양매출!AQ13:AQ18)</f>
        <v>70183.481918260892</v>
      </c>
      <c r="AX283" s="1">
        <f ca="1">SUM(분양매출!AR13:AR18)</f>
        <v>0</v>
      </c>
      <c r="AY283" s="1">
        <f ca="1">SUM(분양매출!AS13:AS18)</f>
        <v>0</v>
      </c>
      <c r="AZ283" s="1">
        <f ca="1">SUM(분양매출!AT13:AT18)</f>
        <v>0</v>
      </c>
      <c r="BA283" s="1">
        <f ca="1">SUM(분양매출!AU13:AU18)</f>
        <v>0</v>
      </c>
      <c r="BB283" s="1">
        <f ca="1">SUM(분양매출!AV13:AV18)</f>
        <v>0</v>
      </c>
      <c r="BC283" s="1">
        <f ca="1">SUM(분양매출!AW13:AW18)</f>
        <v>0</v>
      </c>
      <c r="BD283" s="1">
        <f ca="1">SUM(분양매출!AX13:AX18)</f>
        <v>0</v>
      </c>
      <c r="BE283" s="1">
        <f ca="1">SUM(분양매출!AY13:AY18)</f>
        <v>0</v>
      </c>
      <c r="BF283" s="1">
        <f ca="1">SUM(분양매출!AZ13:AZ18)</f>
        <v>0</v>
      </c>
      <c r="BG283" s="1">
        <f ca="1">SUM(분양매출!BA13:BA18)</f>
        <v>0</v>
      </c>
      <c r="BH283" s="1">
        <f ca="1">SUM(분양매출!BB13:BB18)</f>
        <v>0</v>
      </c>
      <c r="BI283" s="1">
        <f ca="1">SUM(분양매출!BC13:BC18)</f>
        <v>0</v>
      </c>
      <c r="BJ283" s="1">
        <f ca="1">SUM(분양매출!BD13:BD18)</f>
        <v>0</v>
      </c>
      <c r="BK283" s="1">
        <f ca="1">SUM(분양매출!BE13:BE18)</f>
        <v>0</v>
      </c>
      <c r="BL283" s="1">
        <f ca="1">SUM(분양매출!BF13:BF18)</f>
        <v>0</v>
      </c>
      <c r="BM283" s="1">
        <f ca="1">SUM(분양매출!BG13:BG18)</f>
        <v>0</v>
      </c>
      <c r="BN283" s="1">
        <f ca="1">SUM(분양매출!BH13:BH18)</f>
        <v>0</v>
      </c>
      <c r="BO283" s="1">
        <f ca="1">SUM(분양매출!BI13:BI18)</f>
        <v>0</v>
      </c>
      <c r="BP283" s="1">
        <f ca="1">SUM(분양매출!BJ13:BJ18)</f>
        <v>0</v>
      </c>
      <c r="BQ283" s="1">
        <f ca="1">SUM(분양매출!BK13:BK18)</f>
        <v>0</v>
      </c>
    </row>
    <row r="284" spans="2:69" ht="13.5" customHeight="1">
      <c r="D284" s="102" t="s">
        <v>352</v>
      </c>
      <c r="E284" s="102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>
        <f ca="1">SUM(O282:O283)</f>
        <v>0</v>
      </c>
      <c r="P284" s="102">
        <f t="shared" ref="P284" ca="1" si="267">SUM(P282:P283)</f>
        <v>0</v>
      </c>
      <c r="Q284" s="102">
        <f t="shared" ref="Q284" ca="1" si="268">SUM(Q282:Q283)</f>
        <v>0</v>
      </c>
      <c r="R284" s="102">
        <f t="shared" ref="R284" ca="1" si="269">SUM(R282:R283)</f>
        <v>0</v>
      </c>
      <c r="S284" s="102">
        <f t="shared" ref="S284" ca="1" si="270">SUM(S282:S283)</f>
        <v>0</v>
      </c>
      <c r="T284" s="102">
        <f t="shared" ref="T284" ca="1" si="271">SUM(T282:T283)</f>
        <v>0</v>
      </c>
      <c r="U284" s="102">
        <f t="shared" ref="U284" ca="1" si="272">SUM(U282:U283)</f>
        <v>0</v>
      </c>
      <c r="V284" s="102">
        <f t="shared" ref="V284" ca="1" si="273">SUM(V282:V283)</f>
        <v>0</v>
      </c>
      <c r="W284" s="102">
        <f t="shared" ref="W284" ca="1" si="274">SUM(W282:W283)</f>
        <v>0</v>
      </c>
      <c r="X284" s="102">
        <f t="shared" ref="X284" ca="1" si="275">SUM(X282:X283)</f>
        <v>0</v>
      </c>
      <c r="Y284" s="102">
        <f t="shared" ref="Y284" ca="1" si="276">SUM(Y282:Y283)</f>
        <v>0</v>
      </c>
      <c r="Z284" s="102">
        <f t="shared" ref="Z284" ca="1" si="277">SUM(Z282:Z283)</f>
        <v>0</v>
      </c>
      <c r="AA284" s="102">
        <f t="shared" ref="AA284" ca="1" si="278">SUM(AA282:AA283)</f>
        <v>0</v>
      </c>
      <c r="AB284" s="102">
        <f t="shared" ref="AB284" ca="1" si="279">SUM(AB282:AB283)</f>
        <v>0</v>
      </c>
      <c r="AC284" s="102">
        <f t="shared" ref="AC284" ca="1" si="280">SUM(AC282:AC283)</f>
        <v>0</v>
      </c>
      <c r="AD284" s="102">
        <f t="shared" ref="AD284" ca="1" si="281">SUM(AD282:AD283)</f>
        <v>0</v>
      </c>
      <c r="AE284" s="102">
        <f t="shared" ref="AE284" ca="1" si="282">SUM(AE282:AE283)</f>
        <v>0</v>
      </c>
      <c r="AF284" s="102">
        <f t="shared" ref="AF284" ca="1" si="283">SUM(AF282:AF283)</f>
        <v>0</v>
      </c>
      <c r="AG284" s="102">
        <f t="shared" ref="AG284" ca="1" si="284">SUM(AG282:AG283)</f>
        <v>0</v>
      </c>
      <c r="AH284" s="102">
        <f t="shared" ref="AH284" ca="1" si="285">SUM(AH282:AH283)</f>
        <v>23394.493972753629</v>
      </c>
      <c r="AI284" s="102">
        <f t="shared" ref="AI284" ca="1" si="286">SUM(AI282:AI283)</f>
        <v>29243.117465942036</v>
      </c>
      <c r="AJ284" s="102">
        <f t="shared" ref="AJ284" ca="1" si="287">SUM(AJ282:AJ283)</f>
        <v>35091.740959130446</v>
      </c>
      <c r="AK284" s="102">
        <f t="shared" ref="AK284" ca="1" si="288">SUM(AK282:AK283)</f>
        <v>81880.728904637712</v>
      </c>
      <c r="AL284" s="102">
        <f t="shared" ref="AL284" ca="1" si="289">SUM(AL282:AL283)</f>
        <v>93577.975891014532</v>
      </c>
      <c r="AM284" s="102">
        <f t="shared" ref="AM284" ca="1" si="290">SUM(AM282:AM283)</f>
        <v>105275.22287739135</v>
      </c>
      <c r="AN284" s="102">
        <f t="shared" ref="AN284" ca="1" si="291">SUM(AN282:AN283)</f>
        <v>175458.70479565224</v>
      </c>
      <c r="AO284" s="102">
        <f t="shared" ref="AO284" ca="1" si="292">SUM(AO282:AO283)</f>
        <v>193004.57527521747</v>
      </c>
      <c r="AP284" s="102">
        <f t="shared" ref="AP284" ca="1" si="293">SUM(AP282:AP283)</f>
        <v>210550.4457547827</v>
      </c>
      <c r="AQ284" s="102">
        <f t="shared" ref="AQ284" ca="1" si="294">SUM(AQ282:AQ283)</f>
        <v>280733.92767304357</v>
      </c>
      <c r="AR284" s="102">
        <f t="shared" ref="AR284" ca="1" si="295">SUM(AR282:AR283)</f>
        <v>280733.92767304357</v>
      </c>
      <c r="AS284" s="102">
        <f t="shared" ref="AS284" ca="1" si="296">SUM(AS282:AS283)</f>
        <v>280733.92767304357</v>
      </c>
      <c r="AT284" s="102">
        <f t="shared" ref="AT284" ca="1" si="297">SUM(AT282:AT283)</f>
        <v>350917.40959130449</v>
      </c>
      <c r="AU284" s="102">
        <f t="shared" ref="AU284" ca="1" si="298">SUM(AU282:AU283)</f>
        <v>350917.40959130449</v>
      </c>
      <c r="AV284" s="102">
        <f t="shared" ref="AV284" ca="1" si="299">SUM(AV282:AV283)</f>
        <v>350917.40959130449</v>
      </c>
      <c r="AW284" s="102">
        <f t="shared" ref="AW284" ca="1" si="300">SUM(AW282:AW283)</f>
        <v>421100.89150956541</v>
      </c>
      <c r="AX284" s="102">
        <f t="shared" ref="AX284" ca="1" si="301">SUM(AX282:AX283)</f>
        <v>421100.89150956541</v>
      </c>
      <c r="AY284" s="102">
        <f t="shared" ref="AY284" ca="1" si="302">SUM(AY282:AY283)</f>
        <v>421100.89150956541</v>
      </c>
      <c r="AZ284" s="102">
        <f t="shared" ref="AZ284" ca="1" si="303">SUM(AZ282:AZ283)</f>
        <v>421100.89150956541</v>
      </c>
      <c r="BA284" s="102">
        <f t="shared" ref="BA284" ca="1" si="304">SUM(BA282:BA283)</f>
        <v>421100.89150956541</v>
      </c>
      <c r="BB284" s="102">
        <f t="shared" ref="BB284" ca="1" si="305">SUM(BB282:BB283)</f>
        <v>421100.89150956541</v>
      </c>
      <c r="BC284" s="102">
        <f t="shared" ref="BC284" ca="1" si="306">SUM(BC282:BC283)</f>
        <v>421100.89150956541</v>
      </c>
      <c r="BD284" s="102">
        <f t="shared" ref="BD284" ca="1" si="307">SUM(BD282:BD283)</f>
        <v>421100.89150956541</v>
      </c>
      <c r="BE284" s="102">
        <f t="shared" ref="BE284" ca="1" si="308">SUM(BE282:BE283)</f>
        <v>421100.89150956541</v>
      </c>
      <c r="BF284" s="102">
        <f t="shared" ref="BF284" ca="1" si="309">SUM(BF282:BF283)</f>
        <v>421100.89150956541</v>
      </c>
      <c r="BG284" s="102">
        <f t="shared" ref="BG284" ca="1" si="310">SUM(BG282:BG283)</f>
        <v>421100.89150956541</v>
      </c>
      <c r="BH284" s="102">
        <f t="shared" ref="BH284" ca="1" si="311">SUM(BH282:BH283)</f>
        <v>421100.89150956541</v>
      </c>
      <c r="BI284" s="102">
        <f t="shared" ref="BI284" ca="1" si="312">SUM(BI282:BI283)</f>
        <v>421100.89150956541</v>
      </c>
      <c r="BJ284" s="102">
        <f t="shared" ref="BJ284" ca="1" si="313">SUM(BJ282:BJ283)</f>
        <v>421100.89150956541</v>
      </c>
      <c r="BK284" s="102">
        <f t="shared" ref="BK284" ca="1" si="314">SUM(BK282:BK283)</f>
        <v>421100.89150956541</v>
      </c>
      <c r="BL284" s="102">
        <f t="shared" ref="BL284" ca="1" si="315">SUM(BL282:BL283)</f>
        <v>421100.89150956541</v>
      </c>
      <c r="BM284" s="102">
        <f t="shared" ref="BM284" ca="1" si="316">SUM(BM282:BM283)</f>
        <v>421100.89150956541</v>
      </c>
      <c r="BN284" s="102">
        <f t="shared" ref="BN284" ca="1" si="317">SUM(BN282:BN283)</f>
        <v>421100.89150956541</v>
      </c>
      <c r="BO284" s="102">
        <f t="shared" ref="BO284" ca="1" si="318">SUM(BO282:BO283)</f>
        <v>421100.89150956541</v>
      </c>
      <c r="BP284" s="102">
        <f t="shared" ref="BP284" ca="1" si="319">SUM(BP282:BP283)</f>
        <v>421100.89150956541</v>
      </c>
      <c r="BQ284" s="102">
        <f t="shared" ref="BQ284" ca="1" si="320">SUM(BQ282:BQ283)</f>
        <v>421100.89150956541</v>
      </c>
    </row>
    <row r="285" spans="2:69" ht="13.5" customHeight="1">
      <c r="D285" s="102" t="s">
        <v>353</v>
      </c>
      <c r="E285" s="102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>
        <f ca="1">AVERAGE(O282,O284)</f>
        <v>0</v>
      </c>
      <c r="P285" s="102">
        <f t="shared" ref="P285:BQ285" ca="1" si="321">AVERAGE(P282,P284)</f>
        <v>0</v>
      </c>
      <c r="Q285" s="102">
        <f t="shared" ca="1" si="321"/>
        <v>0</v>
      </c>
      <c r="R285" s="102">
        <f t="shared" ca="1" si="321"/>
        <v>0</v>
      </c>
      <c r="S285" s="102">
        <f t="shared" ca="1" si="321"/>
        <v>0</v>
      </c>
      <c r="T285" s="102">
        <f t="shared" ca="1" si="321"/>
        <v>0</v>
      </c>
      <c r="U285" s="102">
        <f t="shared" ca="1" si="321"/>
        <v>0</v>
      </c>
      <c r="V285" s="102">
        <f t="shared" ca="1" si="321"/>
        <v>0</v>
      </c>
      <c r="W285" s="102">
        <f t="shared" ca="1" si="321"/>
        <v>0</v>
      </c>
      <c r="X285" s="102">
        <f t="shared" ca="1" si="321"/>
        <v>0</v>
      </c>
      <c r="Y285" s="102">
        <f t="shared" ca="1" si="321"/>
        <v>0</v>
      </c>
      <c r="Z285" s="102">
        <f t="shared" ca="1" si="321"/>
        <v>0</v>
      </c>
      <c r="AA285" s="102">
        <f t="shared" ca="1" si="321"/>
        <v>0</v>
      </c>
      <c r="AB285" s="102">
        <f t="shared" ca="1" si="321"/>
        <v>0</v>
      </c>
      <c r="AC285" s="102">
        <f t="shared" ca="1" si="321"/>
        <v>0</v>
      </c>
      <c r="AD285" s="102">
        <f t="shared" ca="1" si="321"/>
        <v>0</v>
      </c>
      <c r="AE285" s="102">
        <f t="shared" ca="1" si="321"/>
        <v>0</v>
      </c>
      <c r="AF285" s="102">
        <f t="shared" ca="1" si="321"/>
        <v>0</v>
      </c>
      <c r="AG285" s="102">
        <f t="shared" ca="1" si="321"/>
        <v>0</v>
      </c>
      <c r="AH285" s="102">
        <f t="shared" ca="1" si="321"/>
        <v>11697.246986376815</v>
      </c>
      <c r="AI285" s="102">
        <f t="shared" ca="1" si="321"/>
        <v>26318.805719347831</v>
      </c>
      <c r="AJ285" s="102">
        <f t="shared" ca="1" si="321"/>
        <v>32167.429212536241</v>
      </c>
      <c r="AK285" s="102">
        <f t="shared" ca="1" si="321"/>
        <v>58486.234931884079</v>
      </c>
      <c r="AL285" s="102">
        <f t="shared" ca="1" si="321"/>
        <v>87729.352397826122</v>
      </c>
      <c r="AM285" s="102">
        <f t="shared" ca="1" si="321"/>
        <v>99426.599384202942</v>
      </c>
      <c r="AN285" s="102">
        <f t="shared" ca="1" si="321"/>
        <v>140366.96383652178</v>
      </c>
      <c r="AO285" s="102">
        <f t="shared" ca="1" si="321"/>
        <v>184231.64003543486</v>
      </c>
      <c r="AP285" s="102">
        <f t="shared" ca="1" si="321"/>
        <v>201777.51051500009</v>
      </c>
      <c r="AQ285" s="102">
        <f t="shared" ca="1" si="321"/>
        <v>245642.18671391314</v>
      </c>
      <c r="AR285" s="102">
        <f t="shared" ca="1" si="321"/>
        <v>280733.92767304357</v>
      </c>
      <c r="AS285" s="102">
        <f t="shared" ca="1" si="321"/>
        <v>280733.92767304357</v>
      </c>
      <c r="AT285" s="102">
        <f t="shared" ca="1" si="321"/>
        <v>315825.66863217403</v>
      </c>
      <c r="AU285" s="102">
        <f t="shared" ca="1" si="321"/>
        <v>350917.40959130449</v>
      </c>
      <c r="AV285" s="102">
        <f t="shared" ca="1" si="321"/>
        <v>350917.40959130449</v>
      </c>
      <c r="AW285" s="102">
        <f t="shared" ca="1" si="321"/>
        <v>386009.15055043495</v>
      </c>
      <c r="AX285" s="102">
        <f t="shared" ca="1" si="321"/>
        <v>421100.89150956541</v>
      </c>
      <c r="AY285" s="102">
        <f t="shared" ca="1" si="321"/>
        <v>421100.89150956541</v>
      </c>
      <c r="AZ285" s="102">
        <f t="shared" ca="1" si="321"/>
        <v>421100.89150956541</v>
      </c>
      <c r="BA285" s="102">
        <f t="shared" ca="1" si="321"/>
        <v>421100.89150956541</v>
      </c>
      <c r="BB285" s="102">
        <f t="shared" ca="1" si="321"/>
        <v>421100.89150956541</v>
      </c>
      <c r="BC285" s="102">
        <f t="shared" ca="1" si="321"/>
        <v>421100.89150956541</v>
      </c>
      <c r="BD285" s="102">
        <f t="shared" ca="1" si="321"/>
        <v>421100.89150956541</v>
      </c>
      <c r="BE285" s="102">
        <f t="shared" ca="1" si="321"/>
        <v>421100.89150956541</v>
      </c>
      <c r="BF285" s="102">
        <f t="shared" ca="1" si="321"/>
        <v>421100.89150956541</v>
      </c>
      <c r="BG285" s="102">
        <f t="shared" ca="1" si="321"/>
        <v>421100.89150956541</v>
      </c>
      <c r="BH285" s="102">
        <f t="shared" ca="1" si="321"/>
        <v>421100.89150956541</v>
      </c>
      <c r="BI285" s="102">
        <f t="shared" ca="1" si="321"/>
        <v>421100.89150956541</v>
      </c>
      <c r="BJ285" s="102">
        <f t="shared" ca="1" si="321"/>
        <v>421100.89150956541</v>
      </c>
      <c r="BK285" s="102">
        <f t="shared" ca="1" si="321"/>
        <v>421100.89150956541</v>
      </c>
      <c r="BL285" s="102">
        <f t="shared" ca="1" si="321"/>
        <v>421100.89150956541</v>
      </c>
      <c r="BM285" s="102">
        <f t="shared" ca="1" si="321"/>
        <v>421100.89150956541</v>
      </c>
      <c r="BN285" s="102">
        <f t="shared" ca="1" si="321"/>
        <v>421100.89150956541</v>
      </c>
      <c r="BO285" s="102">
        <f t="shared" ca="1" si="321"/>
        <v>421100.89150956541</v>
      </c>
      <c r="BP285" s="102">
        <f t="shared" ca="1" si="321"/>
        <v>421100.89150956541</v>
      </c>
      <c r="BQ285" s="102">
        <f t="shared" ca="1" si="321"/>
        <v>421100.89150956541</v>
      </c>
    </row>
    <row r="286" spans="2:69" ht="13.5" customHeight="1">
      <c r="D286" s="272" t="s">
        <v>354</v>
      </c>
      <c r="E286" s="273">
        <f>'A&amp;R'!AA23</f>
        <v>45900</v>
      </c>
      <c r="F286" s="272"/>
      <c r="G286" s="272"/>
      <c r="H286" s="272"/>
      <c r="I286" s="272"/>
      <c r="J286" s="272"/>
      <c r="K286" s="272"/>
      <c r="L286" s="272"/>
      <c r="M286" s="272">
        <f ca="1">SUM(N286:XFD286)</f>
        <v>32635.319091991296</v>
      </c>
      <c r="N286" s="272"/>
      <c r="O286" s="272">
        <f t="shared" ref="O286:AT286" ca="1" si="322">O285*$E$280/12*(O11&lt;=$E$286)</f>
        <v>0</v>
      </c>
      <c r="P286" s="272">
        <f t="shared" ca="1" si="322"/>
        <v>0</v>
      </c>
      <c r="Q286" s="272">
        <f t="shared" ca="1" si="322"/>
        <v>0</v>
      </c>
      <c r="R286" s="272">
        <f t="shared" ca="1" si="322"/>
        <v>0</v>
      </c>
      <c r="S286" s="272">
        <f t="shared" ca="1" si="322"/>
        <v>0</v>
      </c>
      <c r="T286" s="272">
        <f t="shared" ca="1" si="322"/>
        <v>0</v>
      </c>
      <c r="U286" s="272">
        <f t="shared" ca="1" si="322"/>
        <v>0</v>
      </c>
      <c r="V286" s="272">
        <f t="shared" ca="1" si="322"/>
        <v>0</v>
      </c>
      <c r="W286" s="272">
        <f t="shared" ca="1" si="322"/>
        <v>0</v>
      </c>
      <c r="X286" s="272">
        <f t="shared" ca="1" si="322"/>
        <v>0</v>
      </c>
      <c r="Y286" s="272">
        <f t="shared" ca="1" si="322"/>
        <v>0</v>
      </c>
      <c r="Z286" s="272">
        <f t="shared" ca="1" si="322"/>
        <v>0</v>
      </c>
      <c r="AA286" s="272">
        <f t="shared" ca="1" si="322"/>
        <v>0</v>
      </c>
      <c r="AB286" s="272">
        <f t="shared" ca="1" si="322"/>
        <v>0</v>
      </c>
      <c r="AC286" s="272">
        <f t="shared" ca="1" si="322"/>
        <v>0</v>
      </c>
      <c r="AD286" s="272">
        <f t="shared" ca="1" si="322"/>
        <v>0</v>
      </c>
      <c r="AE286" s="272">
        <f t="shared" ca="1" si="322"/>
        <v>0</v>
      </c>
      <c r="AF286" s="272">
        <f t="shared" ca="1" si="322"/>
        <v>0</v>
      </c>
      <c r="AG286" s="272">
        <f t="shared" ca="1" si="322"/>
        <v>0</v>
      </c>
      <c r="AH286" s="272">
        <f t="shared" ca="1" si="322"/>
        <v>38.990823287922716</v>
      </c>
      <c r="AI286" s="272">
        <f t="shared" ca="1" si="322"/>
        <v>87.729352397826105</v>
      </c>
      <c r="AJ286" s="272">
        <f t="shared" ca="1" si="322"/>
        <v>107.22476404178747</v>
      </c>
      <c r="AK286" s="272">
        <f t="shared" ca="1" si="322"/>
        <v>194.95411643961359</v>
      </c>
      <c r="AL286" s="272">
        <f t="shared" ca="1" si="322"/>
        <v>292.43117465942038</v>
      </c>
      <c r="AM286" s="272">
        <f t="shared" ca="1" si="322"/>
        <v>331.42199794734313</v>
      </c>
      <c r="AN286" s="272">
        <f t="shared" ca="1" si="322"/>
        <v>467.88987945507262</v>
      </c>
      <c r="AO286" s="272">
        <f t="shared" ca="1" si="322"/>
        <v>614.10546678478283</v>
      </c>
      <c r="AP286" s="272">
        <f t="shared" ca="1" si="322"/>
        <v>672.59170171666699</v>
      </c>
      <c r="AQ286" s="272">
        <f t="shared" ca="1" si="322"/>
        <v>818.80728904637715</v>
      </c>
      <c r="AR286" s="272">
        <f t="shared" ca="1" si="322"/>
        <v>935.77975891014523</v>
      </c>
      <c r="AS286" s="272">
        <f t="shared" ca="1" si="322"/>
        <v>935.77975891014523</v>
      </c>
      <c r="AT286" s="272">
        <f t="shared" ca="1" si="322"/>
        <v>1052.7522287739134</v>
      </c>
      <c r="AU286" s="272">
        <f t="shared" ref="AU286:BQ286" ca="1" si="323">AU285*$E$280/12*(AU11&lt;=$E$286)</f>
        <v>1169.7246986376815</v>
      </c>
      <c r="AV286" s="272">
        <f t="shared" ca="1" si="323"/>
        <v>1169.7246986376815</v>
      </c>
      <c r="AW286" s="272">
        <f t="shared" ca="1" si="323"/>
        <v>1286.6971685014498</v>
      </c>
      <c r="AX286" s="272">
        <f t="shared" ca="1" si="323"/>
        <v>1403.6696383652179</v>
      </c>
      <c r="AY286" s="272">
        <f t="shared" ca="1" si="323"/>
        <v>1403.6696383652179</v>
      </c>
      <c r="AZ286" s="272">
        <f t="shared" ca="1" si="323"/>
        <v>1403.6696383652179</v>
      </c>
      <c r="BA286" s="272">
        <f t="shared" ca="1" si="323"/>
        <v>1403.6696383652179</v>
      </c>
      <c r="BB286" s="272">
        <f t="shared" ca="1" si="323"/>
        <v>1403.6696383652179</v>
      </c>
      <c r="BC286" s="272">
        <f t="shared" ca="1" si="323"/>
        <v>1403.6696383652179</v>
      </c>
      <c r="BD286" s="272">
        <f t="shared" ca="1" si="323"/>
        <v>1403.6696383652179</v>
      </c>
      <c r="BE286" s="272">
        <f t="shared" ca="1" si="323"/>
        <v>1403.6696383652179</v>
      </c>
      <c r="BF286" s="272">
        <f t="shared" ca="1" si="323"/>
        <v>1403.6696383652179</v>
      </c>
      <c r="BG286" s="272">
        <f t="shared" ca="1" si="323"/>
        <v>1403.6696383652179</v>
      </c>
      <c r="BH286" s="272">
        <f t="shared" ca="1" si="323"/>
        <v>1403.6696383652179</v>
      </c>
      <c r="BI286" s="272">
        <f t="shared" ca="1" si="323"/>
        <v>1403.6696383652179</v>
      </c>
      <c r="BJ286" s="272">
        <f t="shared" ca="1" si="323"/>
        <v>1403.6696383652179</v>
      </c>
      <c r="BK286" s="272">
        <f t="shared" ca="1" si="323"/>
        <v>1403.6696383652179</v>
      </c>
      <c r="BL286" s="272">
        <f t="shared" ca="1" si="323"/>
        <v>1403.6696383652179</v>
      </c>
      <c r="BM286" s="272">
        <f t="shared" ca="1" si="323"/>
        <v>1403.6696383652179</v>
      </c>
      <c r="BN286" s="272">
        <f t="shared" ca="1" si="323"/>
        <v>0</v>
      </c>
      <c r="BO286" s="272">
        <f t="shared" ca="1" si="323"/>
        <v>0</v>
      </c>
      <c r="BP286" s="272">
        <f t="shared" ca="1" si="323"/>
        <v>0</v>
      </c>
      <c r="BQ286" s="272">
        <f t="shared" ca="1" si="323"/>
        <v>0</v>
      </c>
    </row>
    <row r="287" spans="2:69" ht="13.5" customHeight="1">
      <c r="C287" s="1" t="s">
        <v>54</v>
      </c>
    </row>
    <row r="288" spans="2:69" ht="13.5" customHeight="1">
      <c r="D288" s="1" t="s">
        <v>350</v>
      </c>
      <c r="O288" s="1">
        <v>0</v>
      </c>
      <c r="P288" s="1">
        <f>O290</f>
        <v>0</v>
      </c>
      <c r="Q288" s="1">
        <f t="shared" ref="Q288:BQ288" si="324">P290</f>
        <v>0</v>
      </c>
      <c r="R288" s="1">
        <f t="shared" si="324"/>
        <v>0</v>
      </c>
      <c r="S288" s="1">
        <f t="shared" si="324"/>
        <v>0</v>
      </c>
      <c r="T288" s="1">
        <f t="shared" si="324"/>
        <v>0</v>
      </c>
      <c r="U288" s="1">
        <f t="shared" si="324"/>
        <v>0</v>
      </c>
      <c r="V288" s="1">
        <f t="shared" si="324"/>
        <v>0</v>
      </c>
      <c r="W288" s="1">
        <f t="shared" si="324"/>
        <v>0</v>
      </c>
      <c r="X288" s="1">
        <f t="shared" si="324"/>
        <v>0</v>
      </c>
      <c r="Y288" s="1">
        <f t="shared" si="324"/>
        <v>0</v>
      </c>
      <c r="Z288" s="1">
        <f t="shared" si="324"/>
        <v>0</v>
      </c>
      <c r="AA288" s="1">
        <f t="shared" si="324"/>
        <v>0</v>
      </c>
      <c r="AB288" s="1">
        <f t="shared" si="324"/>
        <v>0</v>
      </c>
      <c r="AC288" s="1">
        <f t="shared" si="324"/>
        <v>0</v>
      </c>
      <c r="AD288" s="1">
        <f t="shared" si="324"/>
        <v>0</v>
      </c>
      <c r="AE288" s="1">
        <f t="shared" si="324"/>
        <v>0</v>
      </c>
      <c r="AF288" s="1">
        <f t="shared" si="324"/>
        <v>0</v>
      </c>
      <c r="AG288" s="1">
        <f t="shared" si="324"/>
        <v>0</v>
      </c>
      <c r="AH288" s="1">
        <f t="shared" si="324"/>
        <v>0</v>
      </c>
      <c r="AI288" s="1">
        <f t="shared" si="324"/>
        <v>0</v>
      </c>
      <c r="AJ288" s="1">
        <f t="shared" si="324"/>
        <v>0</v>
      </c>
      <c r="AK288" s="1">
        <f t="shared" si="324"/>
        <v>0</v>
      </c>
      <c r="AL288" s="1">
        <f t="shared" si="324"/>
        <v>0</v>
      </c>
      <c r="AM288" s="1">
        <f t="shared" si="324"/>
        <v>0</v>
      </c>
      <c r="AN288" s="1">
        <f t="shared" si="324"/>
        <v>0</v>
      </c>
      <c r="AO288" s="1">
        <f t="shared" si="324"/>
        <v>0</v>
      </c>
      <c r="AP288" s="1">
        <f t="shared" si="324"/>
        <v>0</v>
      </c>
      <c r="AQ288" s="1">
        <f t="shared" si="324"/>
        <v>0</v>
      </c>
      <c r="AR288" s="1">
        <f t="shared" si="324"/>
        <v>0</v>
      </c>
      <c r="AS288" s="1">
        <f t="shared" si="324"/>
        <v>0</v>
      </c>
      <c r="AT288" s="1">
        <f t="shared" si="324"/>
        <v>0</v>
      </c>
      <c r="AU288" s="1">
        <f t="shared" si="324"/>
        <v>0</v>
      </c>
      <c r="AV288" s="1">
        <f t="shared" si="324"/>
        <v>0</v>
      </c>
      <c r="AW288" s="1">
        <f t="shared" si="324"/>
        <v>0</v>
      </c>
      <c r="AX288" s="1">
        <f t="shared" si="324"/>
        <v>0</v>
      </c>
      <c r="AY288" s="1">
        <f t="shared" si="324"/>
        <v>0</v>
      </c>
      <c r="AZ288" s="1">
        <f t="shared" si="324"/>
        <v>0</v>
      </c>
      <c r="BA288" s="1">
        <f t="shared" si="324"/>
        <v>0</v>
      </c>
      <c r="BB288" s="1">
        <f t="shared" si="324"/>
        <v>0</v>
      </c>
      <c r="BC288" s="1">
        <f t="shared" si="324"/>
        <v>0</v>
      </c>
      <c r="BD288" s="1">
        <f t="shared" si="324"/>
        <v>0</v>
      </c>
      <c r="BE288" s="1">
        <f t="shared" si="324"/>
        <v>0</v>
      </c>
      <c r="BF288" s="1">
        <f t="shared" si="324"/>
        <v>0</v>
      </c>
      <c r="BG288" s="1">
        <f t="shared" si="324"/>
        <v>0</v>
      </c>
      <c r="BH288" s="1">
        <f t="shared" si="324"/>
        <v>0</v>
      </c>
      <c r="BI288" s="1">
        <f t="shared" si="324"/>
        <v>0</v>
      </c>
      <c r="BJ288" s="1">
        <f t="shared" si="324"/>
        <v>0</v>
      </c>
      <c r="BK288" s="1">
        <f t="shared" si="324"/>
        <v>2202.8049999999998</v>
      </c>
      <c r="BL288" s="1">
        <f t="shared" si="324"/>
        <v>6608.4149999999991</v>
      </c>
      <c r="BM288" s="1">
        <f t="shared" si="324"/>
        <v>9912.6224999999995</v>
      </c>
      <c r="BN288" s="1">
        <f t="shared" si="324"/>
        <v>9912.6224999999995</v>
      </c>
      <c r="BO288" s="1">
        <f t="shared" si="324"/>
        <v>9912.6224999999995</v>
      </c>
      <c r="BP288" s="1">
        <f t="shared" si="324"/>
        <v>9912.6224999999995</v>
      </c>
      <c r="BQ288" s="1">
        <f t="shared" si="324"/>
        <v>9912.6224999999995</v>
      </c>
    </row>
    <row r="289" spans="2:69" ht="13.5" customHeight="1">
      <c r="D289" s="1" t="s">
        <v>351</v>
      </c>
      <c r="O289" s="1">
        <f>SUM(분양매출!I25:I30)</f>
        <v>0</v>
      </c>
      <c r="P289" s="1">
        <f>SUM(분양매출!J25:J30)</f>
        <v>0</v>
      </c>
      <c r="Q289" s="1">
        <f>SUM(분양매출!K25:K30)</f>
        <v>0</v>
      </c>
      <c r="R289" s="1">
        <f>SUM(분양매출!L25:L30)</f>
        <v>0</v>
      </c>
      <c r="S289" s="1">
        <f>SUM(분양매출!M25:M30)</f>
        <v>0</v>
      </c>
      <c r="T289" s="1">
        <f>SUM(분양매출!N25:N30)</f>
        <v>0</v>
      </c>
      <c r="U289" s="1">
        <f>SUM(분양매출!O25:O30)</f>
        <v>0</v>
      </c>
      <c r="V289" s="1">
        <f>SUM(분양매출!P25:P30)</f>
        <v>0</v>
      </c>
      <c r="W289" s="1">
        <f>SUM(분양매출!Q25:Q30)</f>
        <v>0</v>
      </c>
      <c r="X289" s="1">
        <f>SUM(분양매출!R25:R30)</f>
        <v>0</v>
      </c>
      <c r="Y289" s="1">
        <f>SUM(분양매출!S25:S30)</f>
        <v>0</v>
      </c>
      <c r="Z289" s="1">
        <f>SUM(분양매출!T25:T30)</f>
        <v>0</v>
      </c>
      <c r="AA289" s="1">
        <f>SUM(분양매출!U25:U30)</f>
        <v>0</v>
      </c>
      <c r="AB289" s="1">
        <f>SUM(분양매출!V25:V30)</f>
        <v>0</v>
      </c>
      <c r="AC289" s="1">
        <f>SUM(분양매출!W25:W30)</f>
        <v>0</v>
      </c>
      <c r="AD289" s="1">
        <f>SUM(분양매출!X25:X30)</f>
        <v>0</v>
      </c>
      <c r="AE289" s="1">
        <f>SUM(분양매출!Y25:Y30)</f>
        <v>0</v>
      </c>
      <c r="AF289" s="1">
        <f>SUM(분양매출!Z25:Z30)</f>
        <v>0</v>
      </c>
      <c r="AG289" s="1">
        <f>SUM(분양매출!AA25:AA30)</f>
        <v>0</v>
      </c>
      <c r="AH289" s="1">
        <f>SUM(분양매출!AB25:AB30)</f>
        <v>0</v>
      </c>
      <c r="AI289" s="1">
        <f>SUM(분양매출!AC25:AC30)</f>
        <v>0</v>
      </c>
      <c r="AJ289" s="1">
        <f>SUM(분양매출!AD25:AD30)</f>
        <v>0</v>
      </c>
      <c r="AK289" s="1">
        <f>SUM(분양매출!AE25:AE30)</f>
        <v>0</v>
      </c>
      <c r="AL289" s="1">
        <f>SUM(분양매출!AF25:AF30)</f>
        <v>0</v>
      </c>
      <c r="AM289" s="1">
        <f>SUM(분양매출!AG25:AG30)</f>
        <v>0</v>
      </c>
      <c r="AN289" s="1">
        <f>SUM(분양매출!AH25:AH30)</f>
        <v>0</v>
      </c>
      <c r="AO289" s="1">
        <f>SUM(분양매출!AI25:AI30)</f>
        <v>0</v>
      </c>
      <c r="AP289" s="1">
        <f>SUM(분양매출!AJ25:AJ30)</f>
        <v>0</v>
      </c>
      <c r="AQ289" s="1">
        <f>SUM(분양매출!AK25:AK30)</f>
        <v>0</v>
      </c>
      <c r="AR289" s="1">
        <f>SUM(분양매출!AL25:AL30)</f>
        <v>0</v>
      </c>
      <c r="AS289" s="1">
        <f>SUM(분양매출!AM25:AM30)</f>
        <v>0</v>
      </c>
      <c r="AT289" s="1">
        <f>SUM(분양매출!AN25:AN30)</f>
        <v>0</v>
      </c>
      <c r="AU289" s="1">
        <f>SUM(분양매출!AO25:AO30)</f>
        <v>0</v>
      </c>
      <c r="AV289" s="1">
        <f>SUM(분양매출!AP25:AP30)</f>
        <v>0</v>
      </c>
      <c r="AW289" s="1">
        <f>SUM(분양매출!AQ25:AQ30)</f>
        <v>0</v>
      </c>
      <c r="AX289" s="1">
        <f>SUM(분양매출!AR25:AR30)</f>
        <v>0</v>
      </c>
      <c r="AY289" s="1">
        <f>SUM(분양매출!AS25:AS30)</f>
        <v>0</v>
      </c>
      <c r="AZ289" s="1">
        <f>SUM(분양매출!AT25:AT30)</f>
        <v>0</v>
      </c>
      <c r="BA289" s="1">
        <f>SUM(분양매출!AU25:AU30)</f>
        <v>0</v>
      </c>
      <c r="BB289" s="1">
        <f>SUM(분양매출!AV25:AV30)</f>
        <v>0</v>
      </c>
      <c r="BC289" s="1">
        <f>SUM(분양매출!AW25:AW30)</f>
        <v>0</v>
      </c>
      <c r="BD289" s="1">
        <f>SUM(분양매출!AX25:AX30)</f>
        <v>0</v>
      </c>
      <c r="BE289" s="1">
        <f>SUM(분양매출!AY25:AY30)</f>
        <v>0</v>
      </c>
      <c r="BF289" s="1">
        <f>SUM(분양매출!AZ25:AZ30)</f>
        <v>0</v>
      </c>
      <c r="BG289" s="1">
        <f>SUM(분양매출!BA25:BA30)</f>
        <v>0</v>
      </c>
      <c r="BH289" s="1">
        <f>SUM(분양매출!BB25:BB30)</f>
        <v>0</v>
      </c>
      <c r="BI289" s="1">
        <f>SUM(분양매출!BC25:BC30)</f>
        <v>0</v>
      </c>
      <c r="BJ289" s="1">
        <f>SUM(분양매출!BD25:BD30)</f>
        <v>2202.8049999999998</v>
      </c>
      <c r="BK289" s="1">
        <f>SUM(분양매출!BE25:BE30)</f>
        <v>4405.6099999999997</v>
      </c>
      <c r="BL289" s="1">
        <f>SUM(분양매출!BF25:BF30)</f>
        <v>3304.2075</v>
      </c>
      <c r="BM289" s="1">
        <f>SUM(분양매출!BG25:BG30)</f>
        <v>0</v>
      </c>
      <c r="BN289" s="1">
        <f>SUM(분양매출!BH25:BH30)</f>
        <v>0</v>
      </c>
      <c r="BO289" s="1">
        <f>SUM(분양매출!BI25:BI30)</f>
        <v>0</v>
      </c>
      <c r="BP289" s="1">
        <f>SUM(분양매출!BJ25:BJ30)</f>
        <v>0</v>
      </c>
      <c r="BQ289" s="1">
        <f>SUM(분양매출!BK25:BK30)</f>
        <v>0</v>
      </c>
    </row>
    <row r="290" spans="2:69" ht="13.5" customHeight="1">
      <c r="D290" s="102" t="s">
        <v>352</v>
      </c>
      <c r="E290" s="102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>
        <f>SUM(O288:O289)</f>
        <v>0</v>
      </c>
      <c r="P290" s="102">
        <f t="shared" ref="P290" si="325">SUM(P288:P289)</f>
        <v>0</v>
      </c>
      <c r="Q290" s="102">
        <f t="shared" ref="Q290" si="326">SUM(Q288:Q289)</f>
        <v>0</v>
      </c>
      <c r="R290" s="102">
        <f t="shared" ref="R290" si="327">SUM(R288:R289)</f>
        <v>0</v>
      </c>
      <c r="S290" s="102">
        <f t="shared" ref="S290" si="328">SUM(S288:S289)</f>
        <v>0</v>
      </c>
      <c r="T290" s="102">
        <f t="shared" ref="T290" si="329">SUM(T288:T289)</f>
        <v>0</v>
      </c>
      <c r="U290" s="102">
        <f t="shared" ref="U290" si="330">SUM(U288:U289)</f>
        <v>0</v>
      </c>
      <c r="V290" s="102">
        <f t="shared" ref="V290" si="331">SUM(V288:V289)</f>
        <v>0</v>
      </c>
      <c r="W290" s="102">
        <f t="shared" ref="W290" si="332">SUM(W288:W289)</f>
        <v>0</v>
      </c>
      <c r="X290" s="102">
        <f t="shared" ref="X290" si="333">SUM(X288:X289)</f>
        <v>0</v>
      </c>
      <c r="Y290" s="102">
        <f t="shared" ref="Y290" si="334">SUM(Y288:Y289)</f>
        <v>0</v>
      </c>
      <c r="Z290" s="102">
        <f t="shared" ref="Z290" si="335">SUM(Z288:Z289)</f>
        <v>0</v>
      </c>
      <c r="AA290" s="102">
        <f t="shared" ref="AA290" si="336">SUM(AA288:AA289)</f>
        <v>0</v>
      </c>
      <c r="AB290" s="102">
        <f t="shared" ref="AB290" si="337">SUM(AB288:AB289)</f>
        <v>0</v>
      </c>
      <c r="AC290" s="102">
        <f t="shared" ref="AC290" si="338">SUM(AC288:AC289)</f>
        <v>0</v>
      </c>
      <c r="AD290" s="102">
        <f t="shared" ref="AD290" si="339">SUM(AD288:AD289)</f>
        <v>0</v>
      </c>
      <c r="AE290" s="102">
        <f t="shared" ref="AE290" si="340">SUM(AE288:AE289)</f>
        <v>0</v>
      </c>
      <c r="AF290" s="102">
        <f t="shared" ref="AF290" si="341">SUM(AF288:AF289)</f>
        <v>0</v>
      </c>
      <c r="AG290" s="102">
        <f t="shared" ref="AG290" si="342">SUM(AG288:AG289)</f>
        <v>0</v>
      </c>
      <c r="AH290" s="102">
        <f t="shared" ref="AH290" si="343">SUM(AH288:AH289)</f>
        <v>0</v>
      </c>
      <c r="AI290" s="102">
        <f t="shared" ref="AI290" si="344">SUM(AI288:AI289)</f>
        <v>0</v>
      </c>
      <c r="AJ290" s="102">
        <f t="shared" ref="AJ290" si="345">SUM(AJ288:AJ289)</f>
        <v>0</v>
      </c>
      <c r="AK290" s="102">
        <f t="shared" ref="AK290" si="346">SUM(AK288:AK289)</f>
        <v>0</v>
      </c>
      <c r="AL290" s="102">
        <f t="shared" ref="AL290" si="347">SUM(AL288:AL289)</f>
        <v>0</v>
      </c>
      <c r="AM290" s="102">
        <f t="shared" ref="AM290" si="348">SUM(AM288:AM289)</f>
        <v>0</v>
      </c>
      <c r="AN290" s="102">
        <f t="shared" ref="AN290" si="349">SUM(AN288:AN289)</f>
        <v>0</v>
      </c>
      <c r="AO290" s="102">
        <f t="shared" ref="AO290" si="350">SUM(AO288:AO289)</f>
        <v>0</v>
      </c>
      <c r="AP290" s="102">
        <f t="shared" ref="AP290" si="351">SUM(AP288:AP289)</f>
        <v>0</v>
      </c>
      <c r="AQ290" s="102">
        <f t="shared" ref="AQ290" si="352">SUM(AQ288:AQ289)</f>
        <v>0</v>
      </c>
      <c r="AR290" s="102">
        <f t="shared" ref="AR290" si="353">SUM(AR288:AR289)</f>
        <v>0</v>
      </c>
      <c r="AS290" s="102">
        <f t="shared" ref="AS290" si="354">SUM(AS288:AS289)</f>
        <v>0</v>
      </c>
      <c r="AT290" s="102">
        <f t="shared" ref="AT290" si="355">SUM(AT288:AT289)</f>
        <v>0</v>
      </c>
      <c r="AU290" s="102">
        <f t="shared" ref="AU290" si="356">SUM(AU288:AU289)</f>
        <v>0</v>
      </c>
      <c r="AV290" s="102">
        <f t="shared" ref="AV290" si="357">SUM(AV288:AV289)</f>
        <v>0</v>
      </c>
      <c r="AW290" s="102">
        <f t="shared" ref="AW290" si="358">SUM(AW288:AW289)</f>
        <v>0</v>
      </c>
      <c r="AX290" s="102">
        <f t="shared" ref="AX290" si="359">SUM(AX288:AX289)</f>
        <v>0</v>
      </c>
      <c r="AY290" s="102">
        <f t="shared" ref="AY290" si="360">SUM(AY288:AY289)</f>
        <v>0</v>
      </c>
      <c r="AZ290" s="102">
        <f t="shared" ref="AZ290" si="361">SUM(AZ288:AZ289)</f>
        <v>0</v>
      </c>
      <c r="BA290" s="102">
        <f t="shared" ref="BA290" si="362">SUM(BA288:BA289)</f>
        <v>0</v>
      </c>
      <c r="BB290" s="102">
        <f t="shared" ref="BB290" si="363">SUM(BB288:BB289)</f>
        <v>0</v>
      </c>
      <c r="BC290" s="102">
        <f t="shared" ref="BC290" si="364">SUM(BC288:BC289)</f>
        <v>0</v>
      </c>
      <c r="BD290" s="102">
        <f t="shared" ref="BD290" si="365">SUM(BD288:BD289)</f>
        <v>0</v>
      </c>
      <c r="BE290" s="102">
        <f t="shared" ref="BE290" si="366">SUM(BE288:BE289)</f>
        <v>0</v>
      </c>
      <c r="BF290" s="102">
        <f t="shared" ref="BF290" si="367">SUM(BF288:BF289)</f>
        <v>0</v>
      </c>
      <c r="BG290" s="102">
        <f t="shared" ref="BG290" si="368">SUM(BG288:BG289)</f>
        <v>0</v>
      </c>
      <c r="BH290" s="102">
        <f t="shared" ref="BH290" si="369">SUM(BH288:BH289)</f>
        <v>0</v>
      </c>
      <c r="BI290" s="102">
        <f t="shared" ref="BI290" si="370">SUM(BI288:BI289)</f>
        <v>0</v>
      </c>
      <c r="BJ290" s="102">
        <f t="shared" ref="BJ290" si="371">SUM(BJ288:BJ289)</f>
        <v>2202.8049999999998</v>
      </c>
      <c r="BK290" s="102">
        <f t="shared" ref="BK290" si="372">SUM(BK288:BK289)</f>
        <v>6608.4149999999991</v>
      </c>
      <c r="BL290" s="102">
        <f t="shared" ref="BL290" si="373">SUM(BL288:BL289)</f>
        <v>9912.6224999999995</v>
      </c>
      <c r="BM290" s="102">
        <f t="shared" ref="BM290" si="374">SUM(BM288:BM289)</f>
        <v>9912.6224999999995</v>
      </c>
      <c r="BN290" s="102">
        <f t="shared" ref="BN290" si="375">SUM(BN288:BN289)</f>
        <v>9912.6224999999995</v>
      </c>
      <c r="BO290" s="102">
        <f t="shared" ref="BO290" si="376">SUM(BO288:BO289)</f>
        <v>9912.6224999999995</v>
      </c>
      <c r="BP290" s="102">
        <f t="shared" ref="BP290" si="377">SUM(BP288:BP289)</f>
        <v>9912.6224999999995</v>
      </c>
      <c r="BQ290" s="102">
        <f t="shared" ref="BQ290" si="378">SUM(BQ288:BQ289)</f>
        <v>9912.6224999999995</v>
      </c>
    </row>
    <row r="291" spans="2:69" ht="13.5" customHeight="1">
      <c r="D291" s="102" t="s">
        <v>353</v>
      </c>
      <c r="E291" s="102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>
        <f>AVERAGE(O288,O290)</f>
        <v>0</v>
      </c>
      <c r="P291" s="102">
        <f t="shared" ref="P291" si="379">AVERAGE(P288,P290)</f>
        <v>0</v>
      </c>
      <c r="Q291" s="102">
        <f t="shared" ref="Q291" si="380">AVERAGE(Q288,Q290)</f>
        <v>0</v>
      </c>
      <c r="R291" s="102">
        <f t="shared" ref="R291" si="381">AVERAGE(R288,R290)</f>
        <v>0</v>
      </c>
      <c r="S291" s="102">
        <f t="shared" ref="S291" si="382">AVERAGE(S288,S290)</f>
        <v>0</v>
      </c>
      <c r="T291" s="102">
        <f t="shared" ref="T291" si="383">AVERAGE(T288,T290)</f>
        <v>0</v>
      </c>
      <c r="U291" s="102">
        <f t="shared" ref="U291" si="384">AVERAGE(U288,U290)</f>
        <v>0</v>
      </c>
      <c r="V291" s="102">
        <f t="shared" ref="V291" si="385">AVERAGE(V288,V290)</f>
        <v>0</v>
      </c>
      <c r="W291" s="102">
        <f t="shared" ref="W291" si="386">AVERAGE(W288,W290)</f>
        <v>0</v>
      </c>
      <c r="X291" s="102">
        <f t="shared" ref="X291" si="387">AVERAGE(X288,X290)</f>
        <v>0</v>
      </c>
      <c r="Y291" s="102">
        <f t="shared" ref="Y291" si="388">AVERAGE(Y288,Y290)</f>
        <v>0</v>
      </c>
      <c r="Z291" s="102">
        <f t="shared" ref="Z291" si="389">AVERAGE(Z288,Z290)</f>
        <v>0</v>
      </c>
      <c r="AA291" s="102">
        <f t="shared" ref="AA291" si="390">AVERAGE(AA288,AA290)</f>
        <v>0</v>
      </c>
      <c r="AB291" s="102">
        <f t="shared" ref="AB291" si="391">AVERAGE(AB288,AB290)</f>
        <v>0</v>
      </c>
      <c r="AC291" s="102">
        <f t="shared" ref="AC291" si="392">AVERAGE(AC288,AC290)</f>
        <v>0</v>
      </c>
      <c r="AD291" s="102">
        <f t="shared" ref="AD291" si="393">AVERAGE(AD288,AD290)</f>
        <v>0</v>
      </c>
      <c r="AE291" s="102">
        <f t="shared" ref="AE291" si="394">AVERAGE(AE288,AE290)</f>
        <v>0</v>
      </c>
      <c r="AF291" s="102">
        <f t="shared" ref="AF291" si="395">AVERAGE(AF288,AF290)</f>
        <v>0</v>
      </c>
      <c r="AG291" s="102">
        <f t="shared" ref="AG291" si="396">AVERAGE(AG288,AG290)</f>
        <v>0</v>
      </c>
      <c r="AH291" s="102">
        <f t="shared" ref="AH291" si="397">AVERAGE(AH288,AH290)</f>
        <v>0</v>
      </c>
      <c r="AI291" s="102">
        <f t="shared" ref="AI291" si="398">AVERAGE(AI288,AI290)</f>
        <v>0</v>
      </c>
      <c r="AJ291" s="102">
        <f t="shared" ref="AJ291" si="399">AVERAGE(AJ288,AJ290)</f>
        <v>0</v>
      </c>
      <c r="AK291" s="102">
        <f t="shared" ref="AK291" si="400">AVERAGE(AK288,AK290)</f>
        <v>0</v>
      </c>
      <c r="AL291" s="102">
        <f t="shared" ref="AL291" si="401">AVERAGE(AL288,AL290)</f>
        <v>0</v>
      </c>
      <c r="AM291" s="102">
        <f t="shared" ref="AM291" si="402">AVERAGE(AM288,AM290)</f>
        <v>0</v>
      </c>
      <c r="AN291" s="102">
        <f t="shared" ref="AN291" si="403">AVERAGE(AN288,AN290)</f>
        <v>0</v>
      </c>
      <c r="AO291" s="102">
        <f t="shared" ref="AO291" si="404">AVERAGE(AO288,AO290)</f>
        <v>0</v>
      </c>
      <c r="AP291" s="102">
        <f t="shared" ref="AP291" si="405">AVERAGE(AP288,AP290)</f>
        <v>0</v>
      </c>
      <c r="AQ291" s="102">
        <f t="shared" ref="AQ291" si="406">AVERAGE(AQ288,AQ290)</f>
        <v>0</v>
      </c>
      <c r="AR291" s="102">
        <f t="shared" ref="AR291" si="407">AVERAGE(AR288,AR290)</f>
        <v>0</v>
      </c>
      <c r="AS291" s="102">
        <f t="shared" ref="AS291" si="408">AVERAGE(AS288,AS290)</f>
        <v>0</v>
      </c>
      <c r="AT291" s="102">
        <f t="shared" ref="AT291" si="409">AVERAGE(AT288,AT290)</f>
        <v>0</v>
      </c>
      <c r="AU291" s="102">
        <f t="shared" ref="AU291" si="410">AVERAGE(AU288,AU290)</f>
        <v>0</v>
      </c>
      <c r="AV291" s="102">
        <f t="shared" ref="AV291" si="411">AVERAGE(AV288,AV290)</f>
        <v>0</v>
      </c>
      <c r="AW291" s="102">
        <f t="shared" ref="AW291" si="412">AVERAGE(AW288,AW290)</f>
        <v>0</v>
      </c>
      <c r="AX291" s="102">
        <f t="shared" ref="AX291" si="413">AVERAGE(AX288,AX290)</f>
        <v>0</v>
      </c>
      <c r="AY291" s="102">
        <f t="shared" ref="AY291" si="414">AVERAGE(AY288,AY290)</f>
        <v>0</v>
      </c>
      <c r="AZ291" s="102">
        <f t="shared" ref="AZ291" si="415">AVERAGE(AZ288,AZ290)</f>
        <v>0</v>
      </c>
      <c r="BA291" s="102">
        <f t="shared" ref="BA291" si="416">AVERAGE(BA288,BA290)</f>
        <v>0</v>
      </c>
      <c r="BB291" s="102">
        <f t="shared" ref="BB291" si="417">AVERAGE(BB288,BB290)</f>
        <v>0</v>
      </c>
      <c r="BC291" s="102">
        <f t="shared" ref="BC291" si="418">AVERAGE(BC288,BC290)</f>
        <v>0</v>
      </c>
      <c r="BD291" s="102">
        <f t="shared" ref="BD291" si="419">AVERAGE(BD288,BD290)</f>
        <v>0</v>
      </c>
      <c r="BE291" s="102">
        <f t="shared" ref="BE291" si="420">AVERAGE(BE288,BE290)</f>
        <v>0</v>
      </c>
      <c r="BF291" s="102">
        <f t="shared" ref="BF291" si="421">AVERAGE(BF288,BF290)</f>
        <v>0</v>
      </c>
      <c r="BG291" s="102">
        <f t="shared" ref="BG291" si="422">AVERAGE(BG288,BG290)</f>
        <v>0</v>
      </c>
      <c r="BH291" s="102">
        <f t="shared" ref="BH291" si="423">AVERAGE(BH288,BH290)</f>
        <v>0</v>
      </c>
      <c r="BI291" s="102">
        <f t="shared" ref="BI291" si="424">AVERAGE(BI288,BI290)</f>
        <v>0</v>
      </c>
      <c r="BJ291" s="102">
        <f t="shared" ref="BJ291" si="425">AVERAGE(BJ288,BJ290)</f>
        <v>1101.4024999999999</v>
      </c>
      <c r="BK291" s="102">
        <f t="shared" ref="BK291" si="426">AVERAGE(BK288,BK290)</f>
        <v>4405.6099999999997</v>
      </c>
      <c r="BL291" s="102">
        <f t="shared" ref="BL291" si="427">AVERAGE(BL288,BL290)</f>
        <v>8260.5187499999993</v>
      </c>
      <c r="BM291" s="102">
        <f t="shared" ref="BM291" si="428">AVERAGE(BM288,BM290)</f>
        <v>9912.6224999999995</v>
      </c>
      <c r="BN291" s="102">
        <f t="shared" ref="BN291" si="429">AVERAGE(BN288,BN290)</f>
        <v>9912.6224999999995</v>
      </c>
      <c r="BO291" s="102">
        <f t="shared" ref="BO291" si="430">AVERAGE(BO288,BO290)</f>
        <v>9912.6224999999995</v>
      </c>
      <c r="BP291" s="102">
        <f t="shared" ref="BP291" si="431">AVERAGE(BP288,BP290)</f>
        <v>9912.6224999999995</v>
      </c>
      <c r="BQ291" s="102">
        <f t="shared" ref="BQ291" si="432">AVERAGE(BQ288,BQ290)</f>
        <v>9912.6224999999995</v>
      </c>
    </row>
    <row r="292" spans="2:69" ht="13.5" customHeight="1">
      <c r="D292" s="272" t="s">
        <v>354</v>
      </c>
      <c r="E292" s="273">
        <f>'A&amp;R'!AD23</f>
        <v>45900</v>
      </c>
      <c r="F292" s="272"/>
      <c r="G292" s="272"/>
      <c r="H292" s="272"/>
      <c r="I292" s="272"/>
      <c r="J292" s="272"/>
      <c r="K292" s="272"/>
      <c r="L292" s="272"/>
      <c r="M292" s="272">
        <f>SUM(N292:XFD292)</f>
        <v>78.933845833333322</v>
      </c>
      <c r="N292" s="272"/>
      <c r="O292" s="272">
        <f t="shared" ref="O292:AT292" si="433">O291*$E$280/12*(O11&lt;=$E$292)</f>
        <v>0</v>
      </c>
      <c r="P292" s="272">
        <f t="shared" si="433"/>
        <v>0</v>
      </c>
      <c r="Q292" s="272">
        <f t="shared" si="433"/>
        <v>0</v>
      </c>
      <c r="R292" s="272">
        <f t="shared" si="433"/>
        <v>0</v>
      </c>
      <c r="S292" s="272">
        <f t="shared" si="433"/>
        <v>0</v>
      </c>
      <c r="T292" s="272">
        <f t="shared" si="433"/>
        <v>0</v>
      </c>
      <c r="U292" s="272">
        <f t="shared" si="433"/>
        <v>0</v>
      </c>
      <c r="V292" s="272">
        <f t="shared" si="433"/>
        <v>0</v>
      </c>
      <c r="W292" s="272">
        <f t="shared" si="433"/>
        <v>0</v>
      </c>
      <c r="X292" s="272">
        <f t="shared" si="433"/>
        <v>0</v>
      </c>
      <c r="Y292" s="272">
        <f t="shared" si="433"/>
        <v>0</v>
      </c>
      <c r="Z292" s="272">
        <f t="shared" si="433"/>
        <v>0</v>
      </c>
      <c r="AA292" s="272">
        <f t="shared" si="433"/>
        <v>0</v>
      </c>
      <c r="AB292" s="272">
        <f t="shared" si="433"/>
        <v>0</v>
      </c>
      <c r="AC292" s="272">
        <f t="shared" si="433"/>
        <v>0</v>
      </c>
      <c r="AD292" s="272">
        <f t="shared" si="433"/>
        <v>0</v>
      </c>
      <c r="AE292" s="272">
        <f t="shared" si="433"/>
        <v>0</v>
      </c>
      <c r="AF292" s="272">
        <f t="shared" si="433"/>
        <v>0</v>
      </c>
      <c r="AG292" s="272">
        <f t="shared" si="433"/>
        <v>0</v>
      </c>
      <c r="AH292" s="272">
        <f t="shared" si="433"/>
        <v>0</v>
      </c>
      <c r="AI292" s="272">
        <f t="shared" si="433"/>
        <v>0</v>
      </c>
      <c r="AJ292" s="272">
        <f t="shared" si="433"/>
        <v>0</v>
      </c>
      <c r="AK292" s="272">
        <f t="shared" si="433"/>
        <v>0</v>
      </c>
      <c r="AL292" s="272">
        <f t="shared" si="433"/>
        <v>0</v>
      </c>
      <c r="AM292" s="272">
        <f t="shared" si="433"/>
        <v>0</v>
      </c>
      <c r="AN292" s="272">
        <f t="shared" si="433"/>
        <v>0</v>
      </c>
      <c r="AO292" s="272">
        <f t="shared" si="433"/>
        <v>0</v>
      </c>
      <c r="AP292" s="272">
        <f t="shared" si="433"/>
        <v>0</v>
      </c>
      <c r="AQ292" s="272">
        <f t="shared" si="433"/>
        <v>0</v>
      </c>
      <c r="AR292" s="272">
        <f t="shared" si="433"/>
        <v>0</v>
      </c>
      <c r="AS292" s="272">
        <f t="shared" si="433"/>
        <v>0</v>
      </c>
      <c r="AT292" s="272">
        <f t="shared" si="433"/>
        <v>0</v>
      </c>
      <c r="AU292" s="272">
        <f t="shared" ref="AU292:BQ292" si="434">AU291*$E$280/12*(AU11&lt;=$E$292)</f>
        <v>0</v>
      </c>
      <c r="AV292" s="272">
        <f t="shared" si="434"/>
        <v>0</v>
      </c>
      <c r="AW292" s="272">
        <f t="shared" si="434"/>
        <v>0</v>
      </c>
      <c r="AX292" s="272">
        <f t="shared" si="434"/>
        <v>0</v>
      </c>
      <c r="AY292" s="272">
        <f t="shared" si="434"/>
        <v>0</v>
      </c>
      <c r="AZ292" s="272">
        <f t="shared" si="434"/>
        <v>0</v>
      </c>
      <c r="BA292" s="272">
        <f t="shared" si="434"/>
        <v>0</v>
      </c>
      <c r="BB292" s="272">
        <f t="shared" si="434"/>
        <v>0</v>
      </c>
      <c r="BC292" s="272">
        <f t="shared" si="434"/>
        <v>0</v>
      </c>
      <c r="BD292" s="272">
        <f t="shared" si="434"/>
        <v>0</v>
      </c>
      <c r="BE292" s="272">
        <f t="shared" si="434"/>
        <v>0</v>
      </c>
      <c r="BF292" s="272">
        <f t="shared" si="434"/>
        <v>0</v>
      </c>
      <c r="BG292" s="272">
        <f t="shared" si="434"/>
        <v>0</v>
      </c>
      <c r="BH292" s="272">
        <f t="shared" si="434"/>
        <v>0</v>
      </c>
      <c r="BI292" s="272">
        <f t="shared" si="434"/>
        <v>0</v>
      </c>
      <c r="BJ292" s="272">
        <f t="shared" si="434"/>
        <v>3.6713416666666667</v>
      </c>
      <c r="BK292" s="272">
        <f t="shared" si="434"/>
        <v>14.685366666666667</v>
      </c>
      <c r="BL292" s="272">
        <f t="shared" si="434"/>
        <v>27.535062499999999</v>
      </c>
      <c r="BM292" s="272">
        <f t="shared" si="434"/>
        <v>33.042074999999997</v>
      </c>
      <c r="BN292" s="272">
        <f t="shared" si="434"/>
        <v>0</v>
      </c>
      <c r="BO292" s="272">
        <f t="shared" si="434"/>
        <v>0</v>
      </c>
      <c r="BP292" s="272">
        <f t="shared" si="434"/>
        <v>0</v>
      </c>
      <c r="BQ292" s="272">
        <f t="shared" si="434"/>
        <v>0</v>
      </c>
    </row>
    <row r="293" spans="2:69" ht="13.5" customHeight="1">
      <c r="C293" s="141" t="s">
        <v>356</v>
      </c>
      <c r="D293" s="141"/>
      <c r="E293" s="141"/>
      <c r="F293" s="141"/>
      <c r="G293" s="141"/>
      <c r="H293" s="141"/>
      <c r="I293" s="141"/>
      <c r="J293" s="141"/>
      <c r="K293" s="141"/>
      <c r="L293" s="141"/>
      <c r="M293" s="141">
        <f ca="1">SUM(N293:XFD293)</f>
        <v>32714.252937824636</v>
      </c>
      <c r="N293" s="141"/>
      <c r="O293" s="141">
        <f ca="1">O292+O286</f>
        <v>0</v>
      </c>
      <c r="P293" s="141">
        <f t="shared" ref="P293:BQ293" ca="1" si="435">P292+P286</f>
        <v>0</v>
      </c>
      <c r="Q293" s="141">
        <f t="shared" ca="1" si="435"/>
        <v>0</v>
      </c>
      <c r="R293" s="141">
        <f t="shared" ca="1" si="435"/>
        <v>0</v>
      </c>
      <c r="S293" s="141">
        <f t="shared" ca="1" si="435"/>
        <v>0</v>
      </c>
      <c r="T293" s="141">
        <f t="shared" ca="1" si="435"/>
        <v>0</v>
      </c>
      <c r="U293" s="141">
        <f t="shared" ca="1" si="435"/>
        <v>0</v>
      </c>
      <c r="V293" s="141">
        <f t="shared" ca="1" si="435"/>
        <v>0</v>
      </c>
      <c r="W293" s="141">
        <f t="shared" ca="1" si="435"/>
        <v>0</v>
      </c>
      <c r="X293" s="141">
        <f t="shared" ca="1" si="435"/>
        <v>0</v>
      </c>
      <c r="Y293" s="141">
        <f t="shared" ca="1" si="435"/>
        <v>0</v>
      </c>
      <c r="Z293" s="141">
        <f t="shared" ca="1" si="435"/>
        <v>0</v>
      </c>
      <c r="AA293" s="141">
        <f t="shared" ca="1" si="435"/>
        <v>0</v>
      </c>
      <c r="AB293" s="141">
        <f t="shared" ca="1" si="435"/>
        <v>0</v>
      </c>
      <c r="AC293" s="141">
        <f t="shared" ca="1" si="435"/>
        <v>0</v>
      </c>
      <c r="AD293" s="141">
        <f t="shared" ca="1" si="435"/>
        <v>0</v>
      </c>
      <c r="AE293" s="141">
        <f t="shared" ca="1" si="435"/>
        <v>0</v>
      </c>
      <c r="AF293" s="141">
        <f t="shared" ca="1" si="435"/>
        <v>0</v>
      </c>
      <c r="AG293" s="141">
        <f t="shared" ca="1" si="435"/>
        <v>0</v>
      </c>
      <c r="AH293" s="141">
        <f t="shared" ca="1" si="435"/>
        <v>38.990823287922716</v>
      </c>
      <c r="AI293" s="141">
        <f t="shared" ca="1" si="435"/>
        <v>87.729352397826105</v>
      </c>
      <c r="AJ293" s="141">
        <f t="shared" ca="1" si="435"/>
        <v>107.22476404178747</v>
      </c>
      <c r="AK293" s="141">
        <f t="shared" ca="1" si="435"/>
        <v>194.95411643961359</v>
      </c>
      <c r="AL293" s="141">
        <f t="shared" ca="1" si="435"/>
        <v>292.43117465942038</v>
      </c>
      <c r="AM293" s="141">
        <f t="shared" ca="1" si="435"/>
        <v>331.42199794734313</v>
      </c>
      <c r="AN293" s="141">
        <f t="shared" ca="1" si="435"/>
        <v>467.88987945507262</v>
      </c>
      <c r="AO293" s="141">
        <f t="shared" ca="1" si="435"/>
        <v>614.10546678478283</v>
      </c>
      <c r="AP293" s="141">
        <f t="shared" ca="1" si="435"/>
        <v>672.59170171666699</v>
      </c>
      <c r="AQ293" s="141">
        <f t="shared" ca="1" si="435"/>
        <v>818.80728904637715</v>
      </c>
      <c r="AR293" s="141">
        <f t="shared" ca="1" si="435"/>
        <v>935.77975891014523</v>
      </c>
      <c r="AS293" s="141">
        <f t="shared" ca="1" si="435"/>
        <v>935.77975891014523</v>
      </c>
      <c r="AT293" s="141">
        <f t="shared" ca="1" si="435"/>
        <v>1052.7522287739134</v>
      </c>
      <c r="AU293" s="141">
        <f t="shared" ca="1" si="435"/>
        <v>1169.7246986376815</v>
      </c>
      <c r="AV293" s="141">
        <f t="shared" ca="1" si="435"/>
        <v>1169.7246986376815</v>
      </c>
      <c r="AW293" s="141">
        <f t="shared" ca="1" si="435"/>
        <v>1286.6971685014498</v>
      </c>
      <c r="AX293" s="141">
        <f t="shared" ca="1" si="435"/>
        <v>1403.6696383652179</v>
      </c>
      <c r="AY293" s="141">
        <f t="shared" ca="1" si="435"/>
        <v>1403.6696383652179</v>
      </c>
      <c r="AZ293" s="141">
        <f t="shared" ca="1" si="435"/>
        <v>1403.6696383652179</v>
      </c>
      <c r="BA293" s="141">
        <f t="shared" ca="1" si="435"/>
        <v>1403.6696383652179</v>
      </c>
      <c r="BB293" s="141">
        <f t="shared" ca="1" si="435"/>
        <v>1403.6696383652179</v>
      </c>
      <c r="BC293" s="141">
        <f t="shared" ca="1" si="435"/>
        <v>1403.6696383652179</v>
      </c>
      <c r="BD293" s="141">
        <f t="shared" ca="1" si="435"/>
        <v>1403.6696383652179</v>
      </c>
      <c r="BE293" s="141">
        <f t="shared" ca="1" si="435"/>
        <v>1403.6696383652179</v>
      </c>
      <c r="BF293" s="141">
        <f t="shared" ca="1" si="435"/>
        <v>1403.6696383652179</v>
      </c>
      <c r="BG293" s="141">
        <f t="shared" ca="1" si="435"/>
        <v>1403.6696383652179</v>
      </c>
      <c r="BH293" s="141">
        <f t="shared" ca="1" si="435"/>
        <v>1403.6696383652179</v>
      </c>
      <c r="BI293" s="141">
        <f t="shared" ca="1" si="435"/>
        <v>1403.6696383652179</v>
      </c>
      <c r="BJ293" s="141">
        <f t="shared" ca="1" si="435"/>
        <v>1407.3409800318846</v>
      </c>
      <c r="BK293" s="141">
        <f t="shared" ca="1" si="435"/>
        <v>1418.3550050318845</v>
      </c>
      <c r="BL293" s="141">
        <f t="shared" ca="1" si="435"/>
        <v>1431.204700865218</v>
      </c>
      <c r="BM293" s="141">
        <f t="shared" ca="1" si="435"/>
        <v>1436.711713365218</v>
      </c>
      <c r="BN293" s="141">
        <f t="shared" ca="1" si="435"/>
        <v>0</v>
      </c>
      <c r="BO293" s="141">
        <f t="shared" ca="1" si="435"/>
        <v>0</v>
      </c>
      <c r="BP293" s="141">
        <f t="shared" ca="1" si="435"/>
        <v>0</v>
      </c>
      <c r="BQ293" s="141">
        <f t="shared" ca="1" si="435"/>
        <v>0</v>
      </c>
    </row>
    <row r="295" spans="2:69" ht="13.5" customHeight="1">
      <c r="B295" s="1" t="s">
        <v>358</v>
      </c>
    </row>
    <row r="296" spans="2:69" ht="13.5" customHeight="1">
      <c r="B296" s="8" t="str">
        <f>'취득원가 및 VAT'!C18</f>
        <v>구분</v>
      </c>
      <c r="C296" s="8"/>
      <c r="D296" s="8"/>
      <c r="E296" s="8"/>
      <c r="F296" s="8" t="str">
        <f>'취득원가 및 VAT'!G18</f>
        <v>금액</v>
      </c>
      <c r="G296" s="8" t="s">
        <v>303</v>
      </c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</row>
    <row r="297" spans="2:69" ht="13.5" customHeight="1">
      <c r="B297" s="68"/>
      <c r="C297" s="68"/>
      <c r="D297" s="68"/>
      <c r="E297" s="68"/>
      <c r="F297" s="68">
        <f>'취득원가 및 VAT'!G19</f>
        <v>0</v>
      </c>
      <c r="G297" s="68" t="str">
        <f>'취득원가 및 VAT'!M19</f>
        <v>합계</v>
      </c>
      <c r="H297" s="68"/>
      <c r="I297" s="68"/>
      <c r="J297" s="68"/>
      <c r="K297" s="68"/>
      <c r="L297" s="68"/>
      <c r="M297" s="68" t="s">
        <v>62</v>
      </c>
      <c r="N297" s="68"/>
      <c r="O297" s="274">
        <f t="shared" ref="O297:AT297" si="436">O11</f>
        <v>44377</v>
      </c>
      <c r="P297" s="274">
        <f t="shared" si="436"/>
        <v>44408</v>
      </c>
      <c r="Q297" s="274">
        <f t="shared" si="436"/>
        <v>44439</v>
      </c>
      <c r="R297" s="274">
        <f t="shared" si="436"/>
        <v>44469</v>
      </c>
      <c r="S297" s="274">
        <f t="shared" si="436"/>
        <v>44500</v>
      </c>
      <c r="T297" s="274">
        <f t="shared" si="436"/>
        <v>44530</v>
      </c>
      <c r="U297" s="274">
        <f t="shared" si="436"/>
        <v>44561</v>
      </c>
      <c r="V297" s="274">
        <f t="shared" si="436"/>
        <v>44592</v>
      </c>
      <c r="W297" s="274">
        <f t="shared" si="436"/>
        <v>44620</v>
      </c>
      <c r="X297" s="274">
        <f t="shared" si="436"/>
        <v>44651</v>
      </c>
      <c r="Y297" s="274">
        <f t="shared" si="436"/>
        <v>44681</v>
      </c>
      <c r="Z297" s="274">
        <f t="shared" si="436"/>
        <v>44712</v>
      </c>
      <c r="AA297" s="274">
        <f t="shared" si="436"/>
        <v>44742</v>
      </c>
      <c r="AB297" s="274">
        <f t="shared" si="436"/>
        <v>44773</v>
      </c>
      <c r="AC297" s="274">
        <f t="shared" si="436"/>
        <v>44804</v>
      </c>
      <c r="AD297" s="274">
        <f t="shared" si="436"/>
        <v>44834</v>
      </c>
      <c r="AE297" s="274">
        <f t="shared" si="436"/>
        <v>44865</v>
      </c>
      <c r="AF297" s="274">
        <f t="shared" si="436"/>
        <v>44895</v>
      </c>
      <c r="AG297" s="274">
        <f t="shared" si="436"/>
        <v>44926</v>
      </c>
      <c r="AH297" s="274">
        <f t="shared" si="436"/>
        <v>44957</v>
      </c>
      <c r="AI297" s="274">
        <f t="shared" si="436"/>
        <v>44985</v>
      </c>
      <c r="AJ297" s="274">
        <f t="shared" si="436"/>
        <v>45016</v>
      </c>
      <c r="AK297" s="274">
        <f t="shared" si="436"/>
        <v>45046</v>
      </c>
      <c r="AL297" s="274">
        <f t="shared" si="436"/>
        <v>45077</v>
      </c>
      <c r="AM297" s="274">
        <f t="shared" si="436"/>
        <v>45107</v>
      </c>
      <c r="AN297" s="274">
        <f t="shared" si="436"/>
        <v>45138</v>
      </c>
      <c r="AO297" s="274">
        <f t="shared" si="436"/>
        <v>45169</v>
      </c>
      <c r="AP297" s="274">
        <f t="shared" si="436"/>
        <v>45199</v>
      </c>
      <c r="AQ297" s="274">
        <f t="shared" si="436"/>
        <v>45230</v>
      </c>
      <c r="AR297" s="274">
        <f t="shared" si="436"/>
        <v>45260</v>
      </c>
      <c r="AS297" s="274">
        <f t="shared" si="436"/>
        <v>45291</v>
      </c>
      <c r="AT297" s="274">
        <f t="shared" si="436"/>
        <v>45322</v>
      </c>
      <c r="AU297" s="274">
        <f t="shared" ref="AU297:BQ297" si="437">AU11</f>
        <v>45351</v>
      </c>
      <c r="AV297" s="274">
        <f t="shared" si="437"/>
        <v>45382</v>
      </c>
      <c r="AW297" s="274">
        <f t="shared" si="437"/>
        <v>45412</v>
      </c>
      <c r="AX297" s="274">
        <f t="shared" si="437"/>
        <v>45443</v>
      </c>
      <c r="AY297" s="274">
        <f t="shared" si="437"/>
        <v>45473</v>
      </c>
      <c r="AZ297" s="274">
        <f t="shared" si="437"/>
        <v>45504</v>
      </c>
      <c r="BA297" s="274">
        <f t="shared" si="437"/>
        <v>45535</v>
      </c>
      <c r="BB297" s="274">
        <f t="shared" si="437"/>
        <v>45565</v>
      </c>
      <c r="BC297" s="274">
        <f t="shared" si="437"/>
        <v>45596</v>
      </c>
      <c r="BD297" s="274">
        <f t="shared" si="437"/>
        <v>45626</v>
      </c>
      <c r="BE297" s="274">
        <f t="shared" si="437"/>
        <v>45657</v>
      </c>
      <c r="BF297" s="274">
        <f t="shared" si="437"/>
        <v>45688</v>
      </c>
      <c r="BG297" s="274">
        <f t="shared" si="437"/>
        <v>45716</v>
      </c>
      <c r="BH297" s="274">
        <f t="shared" si="437"/>
        <v>45747</v>
      </c>
      <c r="BI297" s="274">
        <f t="shared" si="437"/>
        <v>45777</v>
      </c>
      <c r="BJ297" s="274">
        <f t="shared" si="437"/>
        <v>45808</v>
      </c>
      <c r="BK297" s="274">
        <f t="shared" si="437"/>
        <v>45838</v>
      </c>
      <c r="BL297" s="274">
        <f t="shared" si="437"/>
        <v>45869</v>
      </c>
      <c r="BM297" s="274">
        <f t="shared" si="437"/>
        <v>45900</v>
      </c>
      <c r="BN297" s="274">
        <f t="shared" si="437"/>
        <v>45930</v>
      </c>
      <c r="BO297" s="274">
        <f t="shared" si="437"/>
        <v>45961</v>
      </c>
      <c r="BP297" s="274">
        <f t="shared" si="437"/>
        <v>45991</v>
      </c>
      <c r="BQ297" s="274">
        <f t="shared" si="437"/>
        <v>46022</v>
      </c>
    </row>
    <row r="298" spans="2:69" ht="13.5" customHeight="1">
      <c r="B298" s="80" t="str">
        <f>'취득원가 및 VAT'!C20</f>
        <v>토지비 등</v>
      </c>
      <c r="C298" s="80"/>
      <c r="D298" s="80"/>
      <c r="E298" s="80"/>
      <c r="F298" s="80">
        <f ca="1">'취득원가 및 VAT'!G20</f>
        <v>158300.60757219471</v>
      </c>
      <c r="G298" s="80">
        <f>'취득원가 및 VAT'!M20</f>
        <v>0</v>
      </c>
      <c r="H298" s="80"/>
      <c r="I298" s="80"/>
      <c r="J298" s="80"/>
      <c r="K298" s="80"/>
      <c r="L298" s="80"/>
      <c r="M298" s="80"/>
      <c r="N298" s="80"/>
      <c r="O298" s="80"/>
      <c r="P298" s="80"/>
      <c r="Q298" s="80"/>
      <c r="R298" s="80"/>
      <c r="S298" s="80"/>
      <c r="T298" s="80"/>
      <c r="U298" s="80"/>
      <c r="V298" s="80"/>
      <c r="W298" s="80"/>
      <c r="X298" s="80"/>
      <c r="Y298" s="80"/>
      <c r="Z298" s="80"/>
      <c r="AA298" s="80"/>
      <c r="AB298" s="80"/>
      <c r="AC298" s="80"/>
      <c r="AD298" s="80"/>
      <c r="AE298" s="80"/>
      <c r="AF298" s="80"/>
      <c r="AG298" s="80"/>
      <c r="AH298" s="80"/>
      <c r="AI298" s="80"/>
      <c r="AJ298" s="80"/>
      <c r="AK298" s="80"/>
      <c r="AL298" s="80"/>
      <c r="AM298" s="80"/>
      <c r="AN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  <c r="AY298" s="80"/>
      <c r="AZ298" s="80"/>
      <c r="BA298" s="80"/>
      <c r="BB298" s="80"/>
      <c r="BC298" s="80"/>
      <c r="BD298" s="80"/>
      <c r="BE298" s="80"/>
      <c r="BF298" s="80"/>
      <c r="BG298" s="80"/>
      <c r="BH298" s="80"/>
      <c r="BI298" s="80"/>
      <c r="BJ298" s="80"/>
      <c r="BK298" s="80"/>
      <c r="BL298" s="80"/>
      <c r="BM298" s="80"/>
      <c r="BN298" s="80"/>
      <c r="BO298" s="80"/>
      <c r="BP298" s="80"/>
      <c r="BQ298" s="80"/>
    </row>
    <row r="299" spans="2:69" ht="13.5" customHeight="1">
      <c r="C299" s="79" t="str">
        <f>'취득원가 및 VAT'!D21</f>
        <v>토지비</v>
      </c>
      <c r="D299" s="49"/>
      <c r="E299" s="49"/>
      <c r="F299" s="192">
        <f>'취득원가 및 VAT'!G21</f>
        <v>150871.875</v>
      </c>
      <c r="G299" s="192">
        <f>'취득원가 및 VAT'!M21</f>
        <v>0</v>
      </c>
      <c r="H299" s="192"/>
      <c r="I299" s="192"/>
      <c r="J299" s="192"/>
      <c r="K299" s="192"/>
      <c r="L299" s="192"/>
      <c r="M299" s="192">
        <f>SUM(N299:XFD299)</f>
        <v>0</v>
      </c>
      <c r="N299" s="192"/>
      <c r="O299" s="192">
        <f t="shared" ref="O299:X308" si="438">IFERROR(SUMIF($C$13:$C$138,$C299,O$13:O$138)*($G299/$F299)+SUMIF($D$13:$D$138,$D299,O$13:O$138)*($G299/$F299),"")</f>
        <v>0</v>
      </c>
      <c r="P299" s="192">
        <f t="shared" si="438"/>
        <v>0</v>
      </c>
      <c r="Q299" s="192">
        <f t="shared" si="438"/>
        <v>0</v>
      </c>
      <c r="R299" s="192">
        <f t="shared" si="438"/>
        <v>0</v>
      </c>
      <c r="S299" s="192">
        <f t="shared" si="438"/>
        <v>0</v>
      </c>
      <c r="T299" s="192">
        <f t="shared" si="438"/>
        <v>0</v>
      </c>
      <c r="U299" s="192">
        <f t="shared" si="438"/>
        <v>0</v>
      </c>
      <c r="V299" s="192">
        <f t="shared" si="438"/>
        <v>0</v>
      </c>
      <c r="W299" s="192">
        <f t="shared" si="438"/>
        <v>0</v>
      </c>
      <c r="X299" s="192">
        <f t="shared" si="438"/>
        <v>0</v>
      </c>
      <c r="Y299" s="192">
        <f t="shared" ref="Y299:AH308" si="439">IFERROR(SUMIF($C$13:$C$138,$C299,Y$13:Y$138)*($G299/$F299)+SUMIF($D$13:$D$138,$D299,Y$13:Y$138)*($G299/$F299),"")</f>
        <v>0</v>
      </c>
      <c r="Z299" s="192">
        <f t="shared" si="439"/>
        <v>0</v>
      </c>
      <c r="AA299" s="192">
        <f t="shared" si="439"/>
        <v>0</v>
      </c>
      <c r="AB299" s="192">
        <f t="shared" si="439"/>
        <v>0</v>
      </c>
      <c r="AC299" s="192">
        <f t="shared" si="439"/>
        <v>0</v>
      </c>
      <c r="AD299" s="192">
        <f t="shared" si="439"/>
        <v>0</v>
      </c>
      <c r="AE299" s="192">
        <f t="shared" si="439"/>
        <v>0</v>
      </c>
      <c r="AF299" s="192">
        <f t="shared" si="439"/>
        <v>0</v>
      </c>
      <c r="AG299" s="192">
        <f t="shared" si="439"/>
        <v>0</v>
      </c>
      <c r="AH299" s="192">
        <f t="shared" si="439"/>
        <v>0</v>
      </c>
      <c r="AI299" s="192">
        <f t="shared" ref="AI299:AR308" si="440">IFERROR(SUMIF($C$13:$C$138,$C299,AI$13:AI$138)*($G299/$F299)+SUMIF($D$13:$D$138,$D299,AI$13:AI$138)*($G299/$F299),"")</f>
        <v>0</v>
      </c>
      <c r="AJ299" s="192">
        <f t="shared" si="440"/>
        <v>0</v>
      </c>
      <c r="AK299" s="192">
        <f t="shared" si="440"/>
        <v>0</v>
      </c>
      <c r="AL299" s="192">
        <f t="shared" si="440"/>
        <v>0</v>
      </c>
      <c r="AM299" s="192">
        <f t="shared" si="440"/>
        <v>0</v>
      </c>
      <c r="AN299" s="192">
        <f t="shared" si="440"/>
        <v>0</v>
      </c>
      <c r="AO299" s="192">
        <f t="shared" si="440"/>
        <v>0</v>
      </c>
      <c r="AP299" s="192">
        <f t="shared" si="440"/>
        <v>0</v>
      </c>
      <c r="AQ299" s="192">
        <f t="shared" si="440"/>
        <v>0</v>
      </c>
      <c r="AR299" s="192">
        <f t="shared" si="440"/>
        <v>0</v>
      </c>
      <c r="AS299" s="192">
        <f t="shared" ref="AS299:BB308" si="441">IFERROR(SUMIF($C$13:$C$138,$C299,AS$13:AS$138)*($G299/$F299)+SUMIF($D$13:$D$138,$D299,AS$13:AS$138)*($G299/$F299),"")</f>
        <v>0</v>
      </c>
      <c r="AT299" s="192">
        <f t="shared" si="441"/>
        <v>0</v>
      </c>
      <c r="AU299" s="192">
        <f t="shared" si="441"/>
        <v>0</v>
      </c>
      <c r="AV299" s="192">
        <f t="shared" si="441"/>
        <v>0</v>
      </c>
      <c r="AW299" s="192">
        <f t="shared" si="441"/>
        <v>0</v>
      </c>
      <c r="AX299" s="192">
        <f t="shared" si="441"/>
        <v>0</v>
      </c>
      <c r="AY299" s="192">
        <f t="shared" si="441"/>
        <v>0</v>
      </c>
      <c r="AZ299" s="192">
        <f t="shared" si="441"/>
        <v>0</v>
      </c>
      <c r="BA299" s="192">
        <f t="shared" si="441"/>
        <v>0</v>
      </c>
      <c r="BB299" s="192">
        <f t="shared" si="441"/>
        <v>0</v>
      </c>
      <c r="BC299" s="192">
        <f t="shared" ref="BC299:BQ308" si="442">IFERROR(SUMIF($C$13:$C$138,$C299,BC$13:BC$138)*($G299/$F299)+SUMIF($D$13:$D$138,$D299,BC$13:BC$138)*($G299/$F299),"")</f>
        <v>0</v>
      </c>
      <c r="BD299" s="192">
        <f t="shared" si="442"/>
        <v>0</v>
      </c>
      <c r="BE299" s="192">
        <f t="shared" si="442"/>
        <v>0</v>
      </c>
      <c r="BF299" s="192">
        <f t="shared" si="442"/>
        <v>0</v>
      </c>
      <c r="BG299" s="192">
        <f t="shared" si="442"/>
        <v>0</v>
      </c>
      <c r="BH299" s="192">
        <f t="shared" si="442"/>
        <v>0</v>
      </c>
      <c r="BI299" s="192">
        <f t="shared" si="442"/>
        <v>0</v>
      </c>
      <c r="BJ299" s="192">
        <f t="shared" si="442"/>
        <v>0</v>
      </c>
      <c r="BK299" s="192">
        <f t="shared" si="442"/>
        <v>0</v>
      </c>
      <c r="BL299" s="192">
        <f t="shared" si="442"/>
        <v>0</v>
      </c>
      <c r="BM299" s="192">
        <f t="shared" si="442"/>
        <v>0</v>
      </c>
      <c r="BN299" s="192">
        <f t="shared" si="442"/>
        <v>0</v>
      </c>
      <c r="BO299" s="192">
        <f t="shared" si="442"/>
        <v>0</v>
      </c>
      <c r="BP299" s="192">
        <f t="shared" si="442"/>
        <v>0</v>
      </c>
      <c r="BQ299" s="192">
        <f t="shared" si="442"/>
        <v>0</v>
      </c>
    </row>
    <row r="300" spans="2:69" ht="13.5" customHeight="1">
      <c r="C300" s="79" t="str">
        <f>'취득원가 및 VAT'!D22</f>
        <v>토지취득관련 부대비용</v>
      </c>
      <c r="D300" s="49"/>
      <c r="E300" s="49"/>
      <c r="F300" s="192">
        <f>'취득원가 및 VAT'!G22</f>
        <v>0</v>
      </c>
      <c r="G300" s="192">
        <f>'취득원가 및 VAT'!M22</f>
        <v>0</v>
      </c>
      <c r="H300" s="192"/>
      <c r="I300" s="192"/>
      <c r="J300" s="192"/>
      <c r="K300" s="192"/>
      <c r="L300" s="192"/>
      <c r="M300" s="192">
        <f t="shared" ref="M300:M352" si="443">SUM(N300:XFD300)</f>
        <v>0</v>
      </c>
      <c r="N300" s="192"/>
      <c r="O300" s="192" t="str">
        <f t="shared" si="438"/>
        <v/>
      </c>
      <c r="P300" s="192" t="str">
        <f t="shared" si="438"/>
        <v/>
      </c>
      <c r="Q300" s="192" t="str">
        <f t="shared" si="438"/>
        <v/>
      </c>
      <c r="R300" s="192" t="str">
        <f t="shared" si="438"/>
        <v/>
      </c>
      <c r="S300" s="192" t="str">
        <f t="shared" si="438"/>
        <v/>
      </c>
      <c r="T300" s="192" t="str">
        <f t="shared" si="438"/>
        <v/>
      </c>
      <c r="U300" s="192" t="str">
        <f t="shared" si="438"/>
        <v/>
      </c>
      <c r="V300" s="192" t="str">
        <f t="shared" si="438"/>
        <v/>
      </c>
      <c r="W300" s="192" t="str">
        <f t="shared" si="438"/>
        <v/>
      </c>
      <c r="X300" s="192" t="str">
        <f t="shared" si="438"/>
        <v/>
      </c>
      <c r="Y300" s="192" t="str">
        <f t="shared" si="439"/>
        <v/>
      </c>
      <c r="Z300" s="192" t="str">
        <f t="shared" si="439"/>
        <v/>
      </c>
      <c r="AA300" s="192" t="str">
        <f t="shared" si="439"/>
        <v/>
      </c>
      <c r="AB300" s="192" t="str">
        <f t="shared" si="439"/>
        <v/>
      </c>
      <c r="AC300" s="192" t="str">
        <f t="shared" si="439"/>
        <v/>
      </c>
      <c r="AD300" s="192" t="str">
        <f t="shared" si="439"/>
        <v/>
      </c>
      <c r="AE300" s="192" t="str">
        <f t="shared" si="439"/>
        <v/>
      </c>
      <c r="AF300" s="192" t="str">
        <f t="shared" si="439"/>
        <v/>
      </c>
      <c r="AG300" s="192" t="str">
        <f t="shared" si="439"/>
        <v/>
      </c>
      <c r="AH300" s="192" t="str">
        <f t="shared" si="439"/>
        <v/>
      </c>
      <c r="AI300" s="192" t="str">
        <f t="shared" si="440"/>
        <v/>
      </c>
      <c r="AJ300" s="192" t="str">
        <f t="shared" si="440"/>
        <v/>
      </c>
      <c r="AK300" s="192" t="str">
        <f t="shared" si="440"/>
        <v/>
      </c>
      <c r="AL300" s="192" t="str">
        <f t="shared" si="440"/>
        <v/>
      </c>
      <c r="AM300" s="192" t="str">
        <f t="shared" si="440"/>
        <v/>
      </c>
      <c r="AN300" s="192" t="str">
        <f t="shared" si="440"/>
        <v/>
      </c>
      <c r="AO300" s="192" t="str">
        <f t="shared" si="440"/>
        <v/>
      </c>
      <c r="AP300" s="192" t="str">
        <f t="shared" si="440"/>
        <v/>
      </c>
      <c r="AQ300" s="192" t="str">
        <f t="shared" si="440"/>
        <v/>
      </c>
      <c r="AR300" s="192" t="str">
        <f t="shared" si="440"/>
        <v/>
      </c>
      <c r="AS300" s="192" t="str">
        <f t="shared" si="441"/>
        <v/>
      </c>
      <c r="AT300" s="192" t="str">
        <f t="shared" si="441"/>
        <v/>
      </c>
      <c r="AU300" s="192" t="str">
        <f t="shared" si="441"/>
        <v/>
      </c>
      <c r="AV300" s="192" t="str">
        <f t="shared" si="441"/>
        <v/>
      </c>
      <c r="AW300" s="192" t="str">
        <f t="shared" si="441"/>
        <v/>
      </c>
      <c r="AX300" s="192" t="str">
        <f t="shared" si="441"/>
        <v/>
      </c>
      <c r="AY300" s="192" t="str">
        <f t="shared" si="441"/>
        <v/>
      </c>
      <c r="AZ300" s="192" t="str">
        <f t="shared" si="441"/>
        <v/>
      </c>
      <c r="BA300" s="192" t="str">
        <f t="shared" si="441"/>
        <v/>
      </c>
      <c r="BB300" s="192" t="str">
        <f t="shared" si="441"/>
        <v/>
      </c>
      <c r="BC300" s="192" t="str">
        <f t="shared" si="442"/>
        <v/>
      </c>
      <c r="BD300" s="192" t="str">
        <f t="shared" si="442"/>
        <v/>
      </c>
      <c r="BE300" s="192" t="str">
        <f t="shared" si="442"/>
        <v/>
      </c>
      <c r="BF300" s="192" t="str">
        <f t="shared" si="442"/>
        <v/>
      </c>
      <c r="BG300" s="192" t="str">
        <f t="shared" si="442"/>
        <v/>
      </c>
      <c r="BH300" s="192" t="str">
        <f t="shared" si="442"/>
        <v/>
      </c>
      <c r="BI300" s="192" t="str">
        <f t="shared" si="442"/>
        <v/>
      </c>
      <c r="BJ300" s="192" t="str">
        <f t="shared" si="442"/>
        <v/>
      </c>
      <c r="BK300" s="192" t="str">
        <f t="shared" si="442"/>
        <v/>
      </c>
      <c r="BL300" s="192" t="str">
        <f t="shared" si="442"/>
        <v/>
      </c>
      <c r="BM300" s="192" t="str">
        <f t="shared" si="442"/>
        <v/>
      </c>
      <c r="BN300" s="192" t="str">
        <f t="shared" si="442"/>
        <v/>
      </c>
      <c r="BO300" s="192" t="str">
        <f t="shared" si="442"/>
        <v/>
      </c>
      <c r="BP300" s="192" t="str">
        <f t="shared" si="442"/>
        <v/>
      </c>
      <c r="BQ300" s="192" t="str">
        <f t="shared" si="442"/>
        <v/>
      </c>
    </row>
    <row r="301" spans="2:69" ht="13.5" customHeight="1">
      <c r="C301" s="79" t="str">
        <f>'취득원가 및 VAT'!D23</f>
        <v>취득세</v>
      </c>
      <c r="D301" s="49"/>
      <c r="E301" s="49"/>
      <c r="F301" s="192">
        <f ca="1">'취득원가 및 VAT'!G23</f>
        <v>7379.196839933993</v>
      </c>
      <c r="G301" s="192">
        <f ca="1">'취득원가 및 VAT'!M23</f>
        <v>0</v>
      </c>
      <c r="H301" s="192"/>
      <c r="I301" s="192"/>
      <c r="J301" s="192"/>
      <c r="K301" s="192"/>
      <c r="L301" s="192"/>
      <c r="M301" s="192">
        <f t="shared" ca="1" si="443"/>
        <v>0</v>
      </c>
      <c r="N301" s="192"/>
      <c r="O301" s="192">
        <f t="shared" ca="1" si="438"/>
        <v>0</v>
      </c>
      <c r="P301" s="192">
        <f t="shared" ca="1" si="438"/>
        <v>0</v>
      </c>
      <c r="Q301" s="192">
        <f t="shared" ca="1" si="438"/>
        <v>0</v>
      </c>
      <c r="R301" s="192">
        <f t="shared" ca="1" si="438"/>
        <v>0</v>
      </c>
      <c r="S301" s="192">
        <f t="shared" ca="1" si="438"/>
        <v>0</v>
      </c>
      <c r="T301" s="192">
        <f t="shared" ca="1" si="438"/>
        <v>0</v>
      </c>
      <c r="U301" s="192">
        <f t="shared" ca="1" si="438"/>
        <v>0</v>
      </c>
      <c r="V301" s="192">
        <f t="shared" ca="1" si="438"/>
        <v>0</v>
      </c>
      <c r="W301" s="192">
        <f t="shared" ca="1" si="438"/>
        <v>0</v>
      </c>
      <c r="X301" s="192">
        <f t="shared" ca="1" si="438"/>
        <v>0</v>
      </c>
      <c r="Y301" s="192">
        <f t="shared" ca="1" si="439"/>
        <v>0</v>
      </c>
      <c r="Z301" s="192">
        <f t="shared" ca="1" si="439"/>
        <v>0</v>
      </c>
      <c r="AA301" s="192">
        <f t="shared" ca="1" si="439"/>
        <v>0</v>
      </c>
      <c r="AB301" s="192">
        <f t="shared" ca="1" si="439"/>
        <v>0</v>
      </c>
      <c r="AC301" s="192">
        <f t="shared" ca="1" si="439"/>
        <v>0</v>
      </c>
      <c r="AD301" s="192">
        <f t="shared" ca="1" si="439"/>
        <v>0</v>
      </c>
      <c r="AE301" s="192">
        <f t="shared" ca="1" si="439"/>
        <v>0</v>
      </c>
      <c r="AF301" s="192">
        <f t="shared" ca="1" si="439"/>
        <v>0</v>
      </c>
      <c r="AG301" s="192">
        <f t="shared" ca="1" si="439"/>
        <v>0</v>
      </c>
      <c r="AH301" s="192">
        <f t="shared" ca="1" si="439"/>
        <v>0</v>
      </c>
      <c r="AI301" s="192">
        <f t="shared" ca="1" si="440"/>
        <v>0</v>
      </c>
      <c r="AJ301" s="192">
        <f t="shared" ca="1" si="440"/>
        <v>0</v>
      </c>
      <c r="AK301" s="192">
        <f t="shared" ca="1" si="440"/>
        <v>0</v>
      </c>
      <c r="AL301" s="192">
        <f t="shared" ca="1" si="440"/>
        <v>0</v>
      </c>
      <c r="AM301" s="192">
        <f t="shared" ca="1" si="440"/>
        <v>0</v>
      </c>
      <c r="AN301" s="192">
        <f t="shared" ca="1" si="440"/>
        <v>0</v>
      </c>
      <c r="AO301" s="192">
        <f t="shared" ca="1" si="440"/>
        <v>0</v>
      </c>
      <c r="AP301" s="192">
        <f t="shared" ca="1" si="440"/>
        <v>0</v>
      </c>
      <c r="AQ301" s="192">
        <f t="shared" ca="1" si="440"/>
        <v>0</v>
      </c>
      <c r="AR301" s="192">
        <f t="shared" ca="1" si="440"/>
        <v>0</v>
      </c>
      <c r="AS301" s="192">
        <f t="shared" ca="1" si="441"/>
        <v>0</v>
      </c>
      <c r="AT301" s="192">
        <f t="shared" ca="1" si="441"/>
        <v>0</v>
      </c>
      <c r="AU301" s="192">
        <f t="shared" ca="1" si="441"/>
        <v>0</v>
      </c>
      <c r="AV301" s="192">
        <f t="shared" ca="1" si="441"/>
        <v>0</v>
      </c>
      <c r="AW301" s="192">
        <f t="shared" ca="1" si="441"/>
        <v>0</v>
      </c>
      <c r="AX301" s="192">
        <f t="shared" ca="1" si="441"/>
        <v>0</v>
      </c>
      <c r="AY301" s="192">
        <f t="shared" ca="1" si="441"/>
        <v>0</v>
      </c>
      <c r="AZ301" s="192">
        <f t="shared" ca="1" si="441"/>
        <v>0</v>
      </c>
      <c r="BA301" s="192">
        <f t="shared" ca="1" si="441"/>
        <v>0</v>
      </c>
      <c r="BB301" s="192">
        <f t="shared" ca="1" si="441"/>
        <v>0</v>
      </c>
      <c r="BC301" s="192">
        <f t="shared" ca="1" si="442"/>
        <v>0</v>
      </c>
      <c r="BD301" s="192">
        <f t="shared" ca="1" si="442"/>
        <v>0</v>
      </c>
      <c r="BE301" s="192">
        <f t="shared" ca="1" si="442"/>
        <v>0</v>
      </c>
      <c r="BF301" s="192">
        <f t="shared" ca="1" si="442"/>
        <v>0</v>
      </c>
      <c r="BG301" s="192">
        <f t="shared" ca="1" si="442"/>
        <v>0</v>
      </c>
      <c r="BH301" s="192">
        <f t="shared" ca="1" si="442"/>
        <v>0</v>
      </c>
      <c r="BI301" s="192">
        <f t="shared" ca="1" si="442"/>
        <v>0</v>
      </c>
      <c r="BJ301" s="192">
        <f t="shared" ca="1" si="442"/>
        <v>0</v>
      </c>
      <c r="BK301" s="192">
        <f t="shared" ca="1" si="442"/>
        <v>0</v>
      </c>
      <c r="BL301" s="192">
        <f t="shared" ca="1" si="442"/>
        <v>0</v>
      </c>
      <c r="BM301" s="192">
        <f t="shared" ca="1" si="442"/>
        <v>0</v>
      </c>
      <c r="BN301" s="192">
        <f t="shared" ca="1" si="442"/>
        <v>0</v>
      </c>
      <c r="BO301" s="192">
        <f t="shared" ca="1" si="442"/>
        <v>0</v>
      </c>
      <c r="BP301" s="192">
        <f t="shared" ca="1" si="442"/>
        <v>0</v>
      </c>
      <c r="BQ301" s="192">
        <f t="shared" ca="1" si="442"/>
        <v>0</v>
      </c>
    </row>
    <row r="302" spans="2:69" ht="13.5" customHeight="1">
      <c r="C302" s="79" t="str">
        <f>'취득원가 및 VAT'!D24</f>
        <v>등기비용</v>
      </c>
      <c r="D302" s="49"/>
      <c r="E302" s="49"/>
      <c r="F302" s="192">
        <f ca="1">'취득원가 및 VAT'!G24</f>
        <v>22.625732260726075</v>
      </c>
      <c r="G302" s="192">
        <f ca="1">'취득원가 및 VAT'!M24</f>
        <v>2.2625732260726075</v>
      </c>
      <c r="H302" s="192"/>
      <c r="I302" s="192"/>
      <c r="J302" s="192"/>
      <c r="K302" s="192"/>
      <c r="L302" s="192"/>
      <c r="M302" s="192">
        <f t="shared" ca="1" si="443"/>
        <v>2.2625732260726075</v>
      </c>
      <c r="N302" s="192"/>
      <c r="O302" s="192">
        <f t="shared" ca="1" si="438"/>
        <v>2.2625732260726075</v>
      </c>
      <c r="P302" s="192">
        <f t="shared" ca="1" si="438"/>
        <v>0</v>
      </c>
      <c r="Q302" s="192">
        <f t="shared" ca="1" si="438"/>
        <v>0</v>
      </c>
      <c r="R302" s="192">
        <f t="shared" ca="1" si="438"/>
        <v>0</v>
      </c>
      <c r="S302" s="192">
        <f t="shared" ca="1" si="438"/>
        <v>0</v>
      </c>
      <c r="T302" s="192">
        <f t="shared" ca="1" si="438"/>
        <v>0</v>
      </c>
      <c r="U302" s="192">
        <f t="shared" ca="1" si="438"/>
        <v>0</v>
      </c>
      <c r="V302" s="192">
        <f t="shared" ca="1" si="438"/>
        <v>0</v>
      </c>
      <c r="W302" s="192">
        <f t="shared" ca="1" si="438"/>
        <v>0</v>
      </c>
      <c r="X302" s="192">
        <f t="shared" ca="1" si="438"/>
        <v>0</v>
      </c>
      <c r="Y302" s="192">
        <f t="shared" ca="1" si="439"/>
        <v>0</v>
      </c>
      <c r="Z302" s="192">
        <f t="shared" ca="1" si="439"/>
        <v>0</v>
      </c>
      <c r="AA302" s="192">
        <f t="shared" ca="1" si="439"/>
        <v>0</v>
      </c>
      <c r="AB302" s="192">
        <f t="shared" ca="1" si="439"/>
        <v>0</v>
      </c>
      <c r="AC302" s="192">
        <f t="shared" ca="1" si="439"/>
        <v>0</v>
      </c>
      <c r="AD302" s="192">
        <f t="shared" ca="1" si="439"/>
        <v>0</v>
      </c>
      <c r="AE302" s="192">
        <f t="shared" ca="1" si="439"/>
        <v>0</v>
      </c>
      <c r="AF302" s="192">
        <f t="shared" ca="1" si="439"/>
        <v>0</v>
      </c>
      <c r="AG302" s="192">
        <f t="shared" ca="1" si="439"/>
        <v>0</v>
      </c>
      <c r="AH302" s="192">
        <f t="shared" ca="1" si="439"/>
        <v>0</v>
      </c>
      <c r="AI302" s="192">
        <f t="shared" ca="1" si="440"/>
        <v>0</v>
      </c>
      <c r="AJ302" s="192">
        <f t="shared" ca="1" si="440"/>
        <v>0</v>
      </c>
      <c r="AK302" s="192">
        <f t="shared" ca="1" si="440"/>
        <v>0</v>
      </c>
      <c r="AL302" s="192">
        <f t="shared" ca="1" si="440"/>
        <v>0</v>
      </c>
      <c r="AM302" s="192">
        <f t="shared" ca="1" si="440"/>
        <v>0</v>
      </c>
      <c r="AN302" s="192">
        <f t="shared" ca="1" si="440"/>
        <v>0</v>
      </c>
      <c r="AO302" s="192">
        <f t="shared" ca="1" si="440"/>
        <v>0</v>
      </c>
      <c r="AP302" s="192">
        <f t="shared" ca="1" si="440"/>
        <v>0</v>
      </c>
      <c r="AQ302" s="192">
        <f t="shared" ca="1" si="440"/>
        <v>0</v>
      </c>
      <c r="AR302" s="192">
        <f t="shared" ca="1" si="440"/>
        <v>0</v>
      </c>
      <c r="AS302" s="192">
        <f t="shared" ca="1" si="441"/>
        <v>0</v>
      </c>
      <c r="AT302" s="192">
        <f t="shared" ca="1" si="441"/>
        <v>0</v>
      </c>
      <c r="AU302" s="192">
        <f t="shared" ca="1" si="441"/>
        <v>0</v>
      </c>
      <c r="AV302" s="192">
        <f t="shared" ca="1" si="441"/>
        <v>0</v>
      </c>
      <c r="AW302" s="192">
        <f t="shared" ca="1" si="441"/>
        <v>0</v>
      </c>
      <c r="AX302" s="192">
        <f t="shared" ca="1" si="441"/>
        <v>0</v>
      </c>
      <c r="AY302" s="192">
        <f t="shared" ca="1" si="441"/>
        <v>0</v>
      </c>
      <c r="AZ302" s="192">
        <f t="shared" ca="1" si="441"/>
        <v>0</v>
      </c>
      <c r="BA302" s="192">
        <f t="shared" ca="1" si="441"/>
        <v>0</v>
      </c>
      <c r="BB302" s="192">
        <f t="shared" ca="1" si="441"/>
        <v>0</v>
      </c>
      <c r="BC302" s="192">
        <f t="shared" ca="1" si="442"/>
        <v>0</v>
      </c>
      <c r="BD302" s="192">
        <f t="shared" ca="1" si="442"/>
        <v>0</v>
      </c>
      <c r="BE302" s="192">
        <f t="shared" ca="1" si="442"/>
        <v>0</v>
      </c>
      <c r="BF302" s="192">
        <f t="shared" ca="1" si="442"/>
        <v>0</v>
      </c>
      <c r="BG302" s="192">
        <f t="shared" ca="1" si="442"/>
        <v>0</v>
      </c>
      <c r="BH302" s="192">
        <f t="shared" ca="1" si="442"/>
        <v>0</v>
      </c>
      <c r="BI302" s="192">
        <f t="shared" ca="1" si="442"/>
        <v>0</v>
      </c>
      <c r="BJ302" s="192">
        <f t="shared" ca="1" si="442"/>
        <v>0</v>
      </c>
      <c r="BK302" s="192">
        <f t="shared" ca="1" si="442"/>
        <v>0</v>
      </c>
      <c r="BL302" s="192">
        <f t="shared" ca="1" si="442"/>
        <v>0</v>
      </c>
      <c r="BM302" s="192">
        <f t="shared" ca="1" si="442"/>
        <v>0</v>
      </c>
      <c r="BN302" s="192">
        <f t="shared" ca="1" si="442"/>
        <v>0</v>
      </c>
      <c r="BO302" s="192">
        <f t="shared" ca="1" si="442"/>
        <v>0</v>
      </c>
      <c r="BP302" s="192">
        <f t="shared" ca="1" si="442"/>
        <v>0</v>
      </c>
      <c r="BQ302" s="192">
        <f t="shared" ca="1" si="442"/>
        <v>0</v>
      </c>
    </row>
    <row r="303" spans="2:69" ht="13.5" customHeight="1">
      <c r="C303" s="76" t="str">
        <f>'취득원가 및 VAT'!D25</f>
        <v>PFV설립관련</v>
      </c>
      <c r="D303" s="77"/>
      <c r="E303" s="77"/>
      <c r="F303" s="193">
        <f>'취득원가 및 VAT'!G25</f>
        <v>26.91</v>
      </c>
      <c r="G303" s="193">
        <f>'취득원가 및 VAT'!M25</f>
        <v>0</v>
      </c>
      <c r="H303" s="193"/>
      <c r="I303" s="193"/>
      <c r="J303" s="193"/>
      <c r="K303" s="193"/>
      <c r="L303" s="193"/>
      <c r="M303" s="193">
        <f t="shared" si="443"/>
        <v>0</v>
      </c>
      <c r="N303" s="193"/>
      <c r="O303" s="193">
        <f t="shared" si="438"/>
        <v>0</v>
      </c>
      <c r="P303" s="193">
        <f t="shared" si="438"/>
        <v>0</v>
      </c>
      <c r="Q303" s="193">
        <f t="shared" si="438"/>
        <v>0</v>
      </c>
      <c r="R303" s="193">
        <f t="shared" si="438"/>
        <v>0</v>
      </c>
      <c r="S303" s="193">
        <f t="shared" si="438"/>
        <v>0</v>
      </c>
      <c r="T303" s="193">
        <f t="shared" si="438"/>
        <v>0</v>
      </c>
      <c r="U303" s="193">
        <f t="shared" si="438"/>
        <v>0</v>
      </c>
      <c r="V303" s="193">
        <f t="shared" si="438"/>
        <v>0</v>
      </c>
      <c r="W303" s="193">
        <f t="shared" si="438"/>
        <v>0</v>
      </c>
      <c r="X303" s="193">
        <f t="shared" si="438"/>
        <v>0</v>
      </c>
      <c r="Y303" s="193">
        <f t="shared" si="439"/>
        <v>0</v>
      </c>
      <c r="Z303" s="193">
        <f t="shared" si="439"/>
        <v>0</v>
      </c>
      <c r="AA303" s="193">
        <f t="shared" si="439"/>
        <v>0</v>
      </c>
      <c r="AB303" s="193">
        <f t="shared" si="439"/>
        <v>0</v>
      </c>
      <c r="AC303" s="193">
        <f t="shared" si="439"/>
        <v>0</v>
      </c>
      <c r="AD303" s="193">
        <f t="shared" si="439"/>
        <v>0</v>
      </c>
      <c r="AE303" s="193">
        <f t="shared" si="439"/>
        <v>0</v>
      </c>
      <c r="AF303" s="193">
        <f t="shared" si="439"/>
        <v>0</v>
      </c>
      <c r="AG303" s="193">
        <f t="shared" si="439"/>
        <v>0</v>
      </c>
      <c r="AH303" s="193">
        <f t="shared" si="439"/>
        <v>0</v>
      </c>
      <c r="AI303" s="193">
        <f t="shared" si="440"/>
        <v>0</v>
      </c>
      <c r="AJ303" s="193">
        <f t="shared" si="440"/>
        <v>0</v>
      </c>
      <c r="AK303" s="193">
        <f t="shared" si="440"/>
        <v>0</v>
      </c>
      <c r="AL303" s="193">
        <f t="shared" si="440"/>
        <v>0</v>
      </c>
      <c r="AM303" s="193">
        <f t="shared" si="440"/>
        <v>0</v>
      </c>
      <c r="AN303" s="193">
        <f t="shared" si="440"/>
        <v>0</v>
      </c>
      <c r="AO303" s="193">
        <f t="shared" si="440"/>
        <v>0</v>
      </c>
      <c r="AP303" s="193">
        <f t="shared" si="440"/>
        <v>0</v>
      </c>
      <c r="AQ303" s="193">
        <f t="shared" si="440"/>
        <v>0</v>
      </c>
      <c r="AR303" s="193">
        <f t="shared" si="440"/>
        <v>0</v>
      </c>
      <c r="AS303" s="193">
        <f t="shared" si="441"/>
        <v>0</v>
      </c>
      <c r="AT303" s="193">
        <f t="shared" si="441"/>
        <v>0</v>
      </c>
      <c r="AU303" s="193">
        <f t="shared" si="441"/>
        <v>0</v>
      </c>
      <c r="AV303" s="193">
        <f t="shared" si="441"/>
        <v>0</v>
      </c>
      <c r="AW303" s="193">
        <f t="shared" si="441"/>
        <v>0</v>
      </c>
      <c r="AX303" s="193">
        <f t="shared" si="441"/>
        <v>0</v>
      </c>
      <c r="AY303" s="193">
        <f t="shared" si="441"/>
        <v>0</v>
      </c>
      <c r="AZ303" s="193">
        <f t="shared" si="441"/>
        <v>0</v>
      </c>
      <c r="BA303" s="193">
        <f t="shared" si="441"/>
        <v>0</v>
      </c>
      <c r="BB303" s="193">
        <f t="shared" si="441"/>
        <v>0</v>
      </c>
      <c r="BC303" s="193">
        <f t="shared" si="442"/>
        <v>0</v>
      </c>
      <c r="BD303" s="193">
        <f t="shared" si="442"/>
        <v>0</v>
      </c>
      <c r="BE303" s="193">
        <f t="shared" si="442"/>
        <v>0</v>
      </c>
      <c r="BF303" s="193">
        <f t="shared" si="442"/>
        <v>0</v>
      </c>
      <c r="BG303" s="193">
        <f t="shared" si="442"/>
        <v>0</v>
      </c>
      <c r="BH303" s="193">
        <f t="shared" si="442"/>
        <v>0</v>
      </c>
      <c r="BI303" s="193">
        <f t="shared" si="442"/>
        <v>0</v>
      </c>
      <c r="BJ303" s="193">
        <f t="shared" si="442"/>
        <v>0</v>
      </c>
      <c r="BK303" s="193">
        <f t="shared" si="442"/>
        <v>0</v>
      </c>
      <c r="BL303" s="193">
        <f t="shared" si="442"/>
        <v>0</v>
      </c>
      <c r="BM303" s="193">
        <f t="shared" si="442"/>
        <v>0</v>
      </c>
      <c r="BN303" s="193">
        <f t="shared" si="442"/>
        <v>0</v>
      </c>
      <c r="BO303" s="193">
        <f t="shared" si="442"/>
        <v>0</v>
      </c>
      <c r="BP303" s="193">
        <f t="shared" si="442"/>
        <v>0</v>
      </c>
      <c r="BQ303" s="193">
        <f t="shared" si="442"/>
        <v>0</v>
      </c>
    </row>
    <row r="304" spans="2:69" ht="13.5" customHeight="1">
      <c r="C304" s="31"/>
      <c r="D304" s="30" t="str">
        <f>'취득원가 및 VAT'!E26</f>
        <v>등록면허세</v>
      </c>
      <c r="E304" s="22"/>
      <c r="F304" s="194">
        <f>'취득원가 및 VAT'!G26</f>
        <v>20</v>
      </c>
      <c r="G304" s="194">
        <f>'취득원가 및 VAT'!M26</f>
        <v>0</v>
      </c>
      <c r="H304" s="194"/>
      <c r="I304" s="194"/>
      <c r="J304" s="194"/>
      <c r="K304" s="194"/>
      <c r="L304" s="194"/>
      <c r="M304" s="194">
        <f t="shared" si="443"/>
        <v>0</v>
      </c>
      <c r="N304" s="194"/>
      <c r="O304" s="194">
        <f t="shared" si="438"/>
        <v>0</v>
      </c>
      <c r="P304" s="194">
        <f t="shared" si="438"/>
        <v>0</v>
      </c>
      <c r="Q304" s="194">
        <f t="shared" si="438"/>
        <v>0</v>
      </c>
      <c r="R304" s="194">
        <f t="shared" si="438"/>
        <v>0</v>
      </c>
      <c r="S304" s="194">
        <f t="shared" si="438"/>
        <v>0</v>
      </c>
      <c r="T304" s="194">
        <f t="shared" si="438"/>
        <v>0</v>
      </c>
      <c r="U304" s="194">
        <f t="shared" si="438"/>
        <v>0</v>
      </c>
      <c r="V304" s="194">
        <f t="shared" si="438"/>
        <v>0</v>
      </c>
      <c r="W304" s="194">
        <f t="shared" si="438"/>
        <v>0</v>
      </c>
      <c r="X304" s="194">
        <f t="shared" si="438"/>
        <v>0</v>
      </c>
      <c r="Y304" s="194">
        <f t="shared" si="439"/>
        <v>0</v>
      </c>
      <c r="Z304" s="194">
        <f t="shared" si="439"/>
        <v>0</v>
      </c>
      <c r="AA304" s="194">
        <f t="shared" si="439"/>
        <v>0</v>
      </c>
      <c r="AB304" s="194">
        <f t="shared" si="439"/>
        <v>0</v>
      </c>
      <c r="AC304" s="194">
        <f t="shared" si="439"/>
        <v>0</v>
      </c>
      <c r="AD304" s="194">
        <f t="shared" si="439"/>
        <v>0</v>
      </c>
      <c r="AE304" s="194">
        <f t="shared" si="439"/>
        <v>0</v>
      </c>
      <c r="AF304" s="194">
        <f t="shared" si="439"/>
        <v>0</v>
      </c>
      <c r="AG304" s="194">
        <f t="shared" si="439"/>
        <v>0</v>
      </c>
      <c r="AH304" s="194">
        <f t="shared" si="439"/>
        <v>0</v>
      </c>
      <c r="AI304" s="194">
        <f t="shared" si="440"/>
        <v>0</v>
      </c>
      <c r="AJ304" s="194">
        <f t="shared" si="440"/>
        <v>0</v>
      </c>
      <c r="AK304" s="194">
        <f t="shared" si="440"/>
        <v>0</v>
      </c>
      <c r="AL304" s="194">
        <f t="shared" si="440"/>
        <v>0</v>
      </c>
      <c r="AM304" s="194">
        <f t="shared" si="440"/>
        <v>0</v>
      </c>
      <c r="AN304" s="194">
        <f t="shared" si="440"/>
        <v>0</v>
      </c>
      <c r="AO304" s="194">
        <f t="shared" si="440"/>
        <v>0</v>
      </c>
      <c r="AP304" s="194">
        <f t="shared" si="440"/>
        <v>0</v>
      </c>
      <c r="AQ304" s="194">
        <f t="shared" si="440"/>
        <v>0</v>
      </c>
      <c r="AR304" s="194">
        <f t="shared" si="440"/>
        <v>0</v>
      </c>
      <c r="AS304" s="194">
        <f t="shared" si="441"/>
        <v>0</v>
      </c>
      <c r="AT304" s="194">
        <f t="shared" si="441"/>
        <v>0</v>
      </c>
      <c r="AU304" s="194">
        <f t="shared" si="441"/>
        <v>0</v>
      </c>
      <c r="AV304" s="194">
        <f t="shared" si="441"/>
        <v>0</v>
      </c>
      <c r="AW304" s="194">
        <f t="shared" si="441"/>
        <v>0</v>
      </c>
      <c r="AX304" s="194">
        <f t="shared" si="441"/>
        <v>0</v>
      </c>
      <c r="AY304" s="194">
        <f t="shared" si="441"/>
        <v>0</v>
      </c>
      <c r="AZ304" s="194">
        <f t="shared" si="441"/>
        <v>0</v>
      </c>
      <c r="BA304" s="194">
        <f t="shared" si="441"/>
        <v>0</v>
      </c>
      <c r="BB304" s="194">
        <f t="shared" si="441"/>
        <v>0</v>
      </c>
      <c r="BC304" s="194">
        <f t="shared" si="442"/>
        <v>0</v>
      </c>
      <c r="BD304" s="194">
        <f t="shared" si="442"/>
        <v>0</v>
      </c>
      <c r="BE304" s="194">
        <f t="shared" si="442"/>
        <v>0</v>
      </c>
      <c r="BF304" s="194">
        <f t="shared" si="442"/>
        <v>0</v>
      </c>
      <c r="BG304" s="194">
        <f t="shared" si="442"/>
        <v>0</v>
      </c>
      <c r="BH304" s="194">
        <f t="shared" si="442"/>
        <v>0</v>
      </c>
      <c r="BI304" s="194">
        <f t="shared" si="442"/>
        <v>0</v>
      </c>
      <c r="BJ304" s="194">
        <f t="shared" si="442"/>
        <v>0</v>
      </c>
      <c r="BK304" s="194">
        <f t="shared" si="442"/>
        <v>0</v>
      </c>
      <c r="BL304" s="194">
        <f t="shared" si="442"/>
        <v>0</v>
      </c>
      <c r="BM304" s="194">
        <f t="shared" si="442"/>
        <v>0</v>
      </c>
      <c r="BN304" s="194">
        <f t="shared" si="442"/>
        <v>0</v>
      </c>
      <c r="BO304" s="194">
        <f t="shared" si="442"/>
        <v>0</v>
      </c>
      <c r="BP304" s="194">
        <f t="shared" si="442"/>
        <v>0</v>
      </c>
      <c r="BQ304" s="194">
        <f t="shared" si="442"/>
        <v>0</v>
      </c>
    </row>
    <row r="305" spans="2:69" ht="13.5" customHeight="1">
      <c r="C305" s="31"/>
      <c r="D305" s="31" t="str">
        <f>'취득원가 및 VAT'!E27</f>
        <v>지방교육세</v>
      </c>
      <c r="E305" s="32"/>
      <c r="F305" s="195">
        <f>'취득원가 및 VAT'!G27</f>
        <v>4</v>
      </c>
      <c r="G305" s="195">
        <f>'취득원가 및 VAT'!M27</f>
        <v>0</v>
      </c>
      <c r="H305" s="195"/>
      <c r="I305" s="195"/>
      <c r="J305" s="195"/>
      <c r="K305" s="195"/>
      <c r="L305" s="195"/>
      <c r="M305" s="195">
        <f t="shared" si="443"/>
        <v>0</v>
      </c>
      <c r="N305" s="195"/>
      <c r="O305" s="195">
        <f t="shared" si="438"/>
        <v>0</v>
      </c>
      <c r="P305" s="195">
        <f t="shared" si="438"/>
        <v>0</v>
      </c>
      <c r="Q305" s="195">
        <f t="shared" si="438"/>
        <v>0</v>
      </c>
      <c r="R305" s="195">
        <f t="shared" si="438"/>
        <v>0</v>
      </c>
      <c r="S305" s="195">
        <f t="shared" si="438"/>
        <v>0</v>
      </c>
      <c r="T305" s="195">
        <f t="shared" si="438"/>
        <v>0</v>
      </c>
      <c r="U305" s="195">
        <f t="shared" si="438"/>
        <v>0</v>
      </c>
      <c r="V305" s="195">
        <f t="shared" si="438"/>
        <v>0</v>
      </c>
      <c r="W305" s="195">
        <f t="shared" si="438"/>
        <v>0</v>
      </c>
      <c r="X305" s="195">
        <f t="shared" si="438"/>
        <v>0</v>
      </c>
      <c r="Y305" s="195">
        <f t="shared" si="439"/>
        <v>0</v>
      </c>
      <c r="Z305" s="195">
        <f t="shared" si="439"/>
        <v>0</v>
      </c>
      <c r="AA305" s="195">
        <f t="shared" si="439"/>
        <v>0</v>
      </c>
      <c r="AB305" s="195">
        <f t="shared" si="439"/>
        <v>0</v>
      </c>
      <c r="AC305" s="195">
        <f t="shared" si="439"/>
        <v>0</v>
      </c>
      <c r="AD305" s="195">
        <f t="shared" si="439"/>
        <v>0</v>
      </c>
      <c r="AE305" s="195">
        <f t="shared" si="439"/>
        <v>0</v>
      </c>
      <c r="AF305" s="195">
        <f t="shared" si="439"/>
        <v>0</v>
      </c>
      <c r="AG305" s="195">
        <f t="shared" si="439"/>
        <v>0</v>
      </c>
      <c r="AH305" s="195">
        <f t="shared" si="439"/>
        <v>0</v>
      </c>
      <c r="AI305" s="195">
        <f t="shared" si="440"/>
        <v>0</v>
      </c>
      <c r="AJ305" s="195">
        <f t="shared" si="440"/>
        <v>0</v>
      </c>
      <c r="AK305" s="195">
        <f t="shared" si="440"/>
        <v>0</v>
      </c>
      <c r="AL305" s="195">
        <f t="shared" si="440"/>
        <v>0</v>
      </c>
      <c r="AM305" s="195">
        <f t="shared" si="440"/>
        <v>0</v>
      </c>
      <c r="AN305" s="195">
        <f t="shared" si="440"/>
        <v>0</v>
      </c>
      <c r="AO305" s="195">
        <f t="shared" si="440"/>
        <v>0</v>
      </c>
      <c r="AP305" s="195">
        <f t="shared" si="440"/>
        <v>0</v>
      </c>
      <c r="AQ305" s="195">
        <f t="shared" si="440"/>
        <v>0</v>
      </c>
      <c r="AR305" s="195">
        <f t="shared" si="440"/>
        <v>0</v>
      </c>
      <c r="AS305" s="195">
        <f t="shared" si="441"/>
        <v>0</v>
      </c>
      <c r="AT305" s="195">
        <f t="shared" si="441"/>
        <v>0</v>
      </c>
      <c r="AU305" s="195">
        <f t="shared" si="441"/>
        <v>0</v>
      </c>
      <c r="AV305" s="195">
        <f t="shared" si="441"/>
        <v>0</v>
      </c>
      <c r="AW305" s="195">
        <f t="shared" si="441"/>
        <v>0</v>
      </c>
      <c r="AX305" s="195">
        <f t="shared" si="441"/>
        <v>0</v>
      </c>
      <c r="AY305" s="195">
        <f t="shared" si="441"/>
        <v>0</v>
      </c>
      <c r="AZ305" s="195">
        <f t="shared" si="441"/>
        <v>0</v>
      </c>
      <c r="BA305" s="195">
        <f t="shared" si="441"/>
        <v>0</v>
      </c>
      <c r="BB305" s="195">
        <f t="shared" si="441"/>
        <v>0</v>
      </c>
      <c r="BC305" s="195">
        <f t="shared" si="442"/>
        <v>0</v>
      </c>
      <c r="BD305" s="195">
        <f t="shared" si="442"/>
        <v>0</v>
      </c>
      <c r="BE305" s="195">
        <f t="shared" si="442"/>
        <v>0</v>
      </c>
      <c r="BF305" s="195">
        <f t="shared" si="442"/>
        <v>0</v>
      </c>
      <c r="BG305" s="195">
        <f t="shared" si="442"/>
        <v>0</v>
      </c>
      <c r="BH305" s="195">
        <f t="shared" si="442"/>
        <v>0</v>
      </c>
      <c r="BI305" s="195">
        <f t="shared" si="442"/>
        <v>0</v>
      </c>
      <c r="BJ305" s="195">
        <f t="shared" si="442"/>
        <v>0</v>
      </c>
      <c r="BK305" s="195">
        <f t="shared" si="442"/>
        <v>0</v>
      </c>
      <c r="BL305" s="195">
        <f t="shared" si="442"/>
        <v>0</v>
      </c>
      <c r="BM305" s="195">
        <f t="shared" si="442"/>
        <v>0</v>
      </c>
      <c r="BN305" s="195">
        <f t="shared" si="442"/>
        <v>0</v>
      </c>
      <c r="BO305" s="195">
        <f t="shared" si="442"/>
        <v>0</v>
      </c>
      <c r="BP305" s="195">
        <f t="shared" si="442"/>
        <v>0</v>
      </c>
      <c r="BQ305" s="195">
        <f t="shared" si="442"/>
        <v>0</v>
      </c>
    </row>
    <row r="306" spans="2:69" ht="13.5" customHeight="1">
      <c r="B306" s="34"/>
      <c r="C306" s="54"/>
      <c r="D306" s="33" t="str">
        <f>'취득원가 및 VAT'!E28</f>
        <v>법무사 비용</v>
      </c>
      <c r="E306" s="24"/>
      <c r="F306" s="196">
        <f>'취득원가 및 VAT'!G28</f>
        <v>2.91</v>
      </c>
      <c r="G306" s="196">
        <f>'취득원가 및 VAT'!M28</f>
        <v>0</v>
      </c>
      <c r="H306" s="196"/>
      <c r="I306" s="196"/>
      <c r="J306" s="196"/>
      <c r="K306" s="196"/>
      <c r="L306" s="196"/>
      <c r="M306" s="196">
        <f t="shared" si="443"/>
        <v>0</v>
      </c>
      <c r="N306" s="196"/>
      <c r="O306" s="196">
        <f t="shared" si="438"/>
        <v>0</v>
      </c>
      <c r="P306" s="196">
        <f t="shared" si="438"/>
        <v>0</v>
      </c>
      <c r="Q306" s="196">
        <f t="shared" si="438"/>
        <v>0</v>
      </c>
      <c r="R306" s="196">
        <f t="shared" si="438"/>
        <v>0</v>
      </c>
      <c r="S306" s="196">
        <f t="shared" si="438"/>
        <v>0</v>
      </c>
      <c r="T306" s="196">
        <f t="shared" si="438"/>
        <v>0</v>
      </c>
      <c r="U306" s="196">
        <f t="shared" si="438"/>
        <v>0</v>
      </c>
      <c r="V306" s="196">
        <f t="shared" si="438"/>
        <v>0</v>
      </c>
      <c r="W306" s="196">
        <f t="shared" si="438"/>
        <v>0</v>
      </c>
      <c r="X306" s="196">
        <f t="shared" si="438"/>
        <v>0</v>
      </c>
      <c r="Y306" s="196">
        <f t="shared" si="439"/>
        <v>0</v>
      </c>
      <c r="Z306" s="196">
        <f t="shared" si="439"/>
        <v>0</v>
      </c>
      <c r="AA306" s="196">
        <f t="shared" si="439"/>
        <v>0</v>
      </c>
      <c r="AB306" s="196">
        <f t="shared" si="439"/>
        <v>0</v>
      </c>
      <c r="AC306" s="196">
        <f t="shared" si="439"/>
        <v>0</v>
      </c>
      <c r="AD306" s="196">
        <f t="shared" si="439"/>
        <v>0</v>
      </c>
      <c r="AE306" s="196">
        <f t="shared" si="439"/>
        <v>0</v>
      </c>
      <c r="AF306" s="196">
        <f t="shared" si="439"/>
        <v>0</v>
      </c>
      <c r="AG306" s="196">
        <f t="shared" si="439"/>
        <v>0</v>
      </c>
      <c r="AH306" s="196">
        <f t="shared" si="439"/>
        <v>0</v>
      </c>
      <c r="AI306" s="196">
        <f t="shared" si="440"/>
        <v>0</v>
      </c>
      <c r="AJ306" s="196">
        <f t="shared" si="440"/>
        <v>0</v>
      </c>
      <c r="AK306" s="196">
        <f t="shared" si="440"/>
        <v>0</v>
      </c>
      <c r="AL306" s="196">
        <f t="shared" si="440"/>
        <v>0</v>
      </c>
      <c r="AM306" s="196">
        <f t="shared" si="440"/>
        <v>0</v>
      </c>
      <c r="AN306" s="196">
        <f t="shared" si="440"/>
        <v>0</v>
      </c>
      <c r="AO306" s="196">
        <f t="shared" si="440"/>
        <v>0</v>
      </c>
      <c r="AP306" s="196">
        <f t="shared" si="440"/>
        <v>0</v>
      </c>
      <c r="AQ306" s="196">
        <f t="shared" si="440"/>
        <v>0</v>
      </c>
      <c r="AR306" s="196">
        <f t="shared" si="440"/>
        <v>0</v>
      </c>
      <c r="AS306" s="196">
        <f t="shared" si="441"/>
        <v>0</v>
      </c>
      <c r="AT306" s="196">
        <f t="shared" si="441"/>
        <v>0</v>
      </c>
      <c r="AU306" s="196">
        <f t="shared" si="441"/>
        <v>0</v>
      </c>
      <c r="AV306" s="196">
        <f t="shared" si="441"/>
        <v>0</v>
      </c>
      <c r="AW306" s="196">
        <f t="shared" si="441"/>
        <v>0</v>
      </c>
      <c r="AX306" s="196">
        <f t="shared" si="441"/>
        <v>0</v>
      </c>
      <c r="AY306" s="196">
        <f t="shared" si="441"/>
        <v>0</v>
      </c>
      <c r="AZ306" s="196">
        <f t="shared" si="441"/>
        <v>0</v>
      </c>
      <c r="BA306" s="196">
        <f t="shared" si="441"/>
        <v>0</v>
      </c>
      <c r="BB306" s="196">
        <f t="shared" si="441"/>
        <v>0</v>
      </c>
      <c r="BC306" s="196">
        <f t="shared" si="442"/>
        <v>0</v>
      </c>
      <c r="BD306" s="196">
        <f t="shared" si="442"/>
        <v>0</v>
      </c>
      <c r="BE306" s="196">
        <f t="shared" si="442"/>
        <v>0</v>
      </c>
      <c r="BF306" s="196">
        <f t="shared" si="442"/>
        <v>0</v>
      </c>
      <c r="BG306" s="196">
        <f t="shared" si="442"/>
        <v>0</v>
      </c>
      <c r="BH306" s="196">
        <f t="shared" si="442"/>
        <v>0</v>
      </c>
      <c r="BI306" s="196">
        <f t="shared" si="442"/>
        <v>0</v>
      </c>
      <c r="BJ306" s="196">
        <f t="shared" si="442"/>
        <v>0</v>
      </c>
      <c r="BK306" s="196">
        <f t="shared" si="442"/>
        <v>0</v>
      </c>
      <c r="BL306" s="196">
        <f t="shared" si="442"/>
        <v>0</v>
      </c>
      <c r="BM306" s="196">
        <f t="shared" si="442"/>
        <v>0</v>
      </c>
      <c r="BN306" s="196">
        <f t="shared" si="442"/>
        <v>0</v>
      </c>
      <c r="BO306" s="196">
        <f t="shared" si="442"/>
        <v>0</v>
      </c>
      <c r="BP306" s="196">
        <f t="shared" si="442"/>
        <v>0</v>
      </c>
      <c r="BQ306" s="196">
        <f t="shared" si="442"/>
        <v>0</v>
      </c>
    </row>
    <row r="307" spans="2:69" ht="13.5" customHeight="1">
      <c r="B307" s="80" t="str">
        <f>'취득원가 및 VAT'!C29</f>
        <v>공사비</v>
      </c>
      <c r="C307" s="80"/>
      <c r="D307" s="80"/>
      <c r="E307" s="80"/>
      <c r="F307" s="80">
        <f>'취득원가 및 VAT'!G29</f>
        <v>276537.75599999999</v>
      </c>
      <c r="G307" s="80">
        <f>'취득원가 및 VAT'!M29</f>
        <v>0</v>
      </c>
      <c r="H307" s="80"/>
      <c r="I307" s="80"/>
      <c r="J307" s="80"/>
      <c r="K307" s="80"/>
      <c r="L307" s="80"/>
      <c r="M307" s="80">
        <f t="shared" si="443"/>
        <v>0</v>
      </c>
      <c r="N307" s="80"/>
      <c r="O307" s="80">
        <f t="shared" si="438"/>
        <v>0</v>
      </c>
      <c r="P307" s="80">
        <f t="shared" si="438"/>
        <v>0</v>
      </c>
      <c r="Q307" s="80">
        <f t="shared" si="438"/>
        <v>0</v>
      </c>
      <c r="R307" s="80">
        <f t="shared" si="438"/>
        <v>0</v>
      </c>
      <c r="S307" s="80">
        <f t="shared" si="438"/>
        <v>0</v>
      </c>
      <c r="T307" s="80">
        <f t="shared" si="438"/>
        <v>0</v>
      </c>
      <c r="U307" s="80">
        <f t="shared" si="438"/>
        <v>0</v>
      </c>
      <c r="V307" s="80">
        <f t="shared" si="438"/>
        <v>0</v>
      </c>
      <c r="W307" s="80">
        <f t="shared" si="438"/>
        <v>0</v>
      </c>
      <c r="X307" s="80">
        <f t="shared" si="438"/>
        <v>0</v>
      </c>
      <c r="Y307" s="80">
        <f t="shared" si="439"/>
        <v>0</v>
      </c>
      <c r="Z307" s="80">
        <f t="shared" si="439"/>
        <v>0</v>
      </c>
      <c r="AA307" s="80">
        <f t="shared" si="439"/>
        <v>0</v>
      </c>
      <c r="AB307" s="80">
        <f t="shared" si="439"/>
        <v>0</v>
      </c>
      <c r="AC307" s="80">
        <f t="shared" si="439"/>
        <v>0</v>
      </c>
      <c r="AD307" s="80">
        <f t="shared" si="439"/>
        <v>0</v>
      </c>
      <c r="AE307" s="80">
        <f t="shared" si="439"/>
        <v>0</v>
      </c>
      <c r="AF307" s="80">
        <f t="shared" si="439"/>
        <v>0</v>
      </c>
      <c r="AG307" s="80">
        <f t="shared" si="439"/>
        <v>0</v>
      </c>
      <c r="AH307" s="80">
        <f t="shared" si="439"/>
        <v>0</v>
      </c>
      <c r="AI307" s="80">
        <f t="shared" si="440"/>
        <v>0</v>
      </c>
      <c r="AJ307" s="80">
        <f t="shared" si="440"/>
        <v>0</v>
      </c>
      <c r="AK307" s="80">
        <f t="shared" si="440"/>
        <v>0</v>
      </c>
      <c r="AL307" s="80">
        <f t="shared" si="440"/>
        <v>0</v>
      </c>
      <c r="AM307" s="80">
        <f t="shared" si="440"/>
        <v>0</v>
      </c>
      <c r="AN307" s="80">
        <f t="shared" si="440"/>
        <v>0</v>
      </c>
      <c r="AO307" s="80">
        <f t="shared" si="440"/>
        <v>0</v>
      </c>
      <c r="AP307" s="80">
        <f t="shared" si="440"/>
        <v>0</v>
      </c>
      <c r="AQ307" s="80">
        <f t="shared" si="440"/>
        <v>0</v>
      </c>
      <c r="AR307" s="80">
        <f t="shared" si="440"/>
        <v>0</v>
      </c>
      <c r="AS307" s="80">
        <f t="shared" si="441"/>
        <v>0</v>
      </c>
      <c r="AT307" s="80">
        <f t="shared" si="441"/>
        <v>0</v>
      </c>
      <c r="AU307" s="80">
        <f t="shared" si="441"/>
        <v>0</v>
      </c>
      <c r="AV307" s="80">
        <f t="shared" si="441"/>
        <v>0</v>
      </c>
      <c r="AW307" s="80">
        <f t="shared" si="441"/>
        <v>0</v>
      </c>
      <c r="AX307" s="80">
        <f t="shared" si="441"/>
        <v>0</v>
      </c>
      <c r="AY307" s="80">
        <f t="shared" si="441"/>
        <v>0</v>
      </c>
      <c r="AZ307" s="80">
        <f t="shared" si="441"/>
        <v>0</v>
      </c>
      <c r="BA307" s="80">
        <f t="shared" si="441"/>
        <v>0</v>
      </c>
      <c r="BB307" s="80">
        <f t="shared" si="441"/>
        <v>0</v>
      </c>
      <c r="BC307" s="80">
        <f t="shared" si="442"/>
        <v>0</v>
      </c>
      <c r="BD307" s="80">
        <f t="shared" si="442"/>
        <v>0</v>
      </c>
      <c r="BE307" s="80">
        <f t="shared" si="442"/>
        <v>0</v>
      </c>
      <c r="BF307" s="80">
        <f t="shared" si="442"/>
        <v>0</v>
      </c>
      <c r="BG307" s="80">
        <f t="shared" si="442"/>
        <v>0</v>
      </c>
      <c r="BH307" s="80">
        <f t="shared" si="442"/>
        <v>0</v>
      </c>
      <c r="BI307" s="80">
        <f t="shared" si="442"/>
        <v>0</v>
      </c>
      <c r="BJ307" s="80">
        <f t="shared" si="442"/>
        <v>0</v>
      </c>
      <c r="BK307" s="80">
        <f t="shared" si="442"/>
        <v>0</v>
      </c>
      <c r="BL307" s="80">
        <f t="shared" si="442"/>
        <v>0</v>
      </c>
      <c r="BM307" s="80">
        <f t="shared" si="442"/>
        <v>0</v>
      </c>
      <c r="BN307" s="80">
        <f t="shared" si="442"/>
        <v>0</v>
      </c>
      <c r="BO307" s="80">
        <f t="shared" si="442"/>
        <v>0</v>
      </c>
      <c r="BP307" s="80">
        <f t="shared" si="442"/>
        <v>0</v>
      </c>
      <c r="BQ307" s="80">
        <f t="shared" si="442"/>
        <v>0</v>
      </c>
    </row>
    <row r="308" spans="2:69" ht="13.5" customHeight="1">
      <c r="B308" s="14"/>
      <c r="C308" s="79" t="str">
        <f>'취득원가 및 VAT'!D30</f>
        <v>공동주택</v>
      </c>
      <c r="D308" s="49"/>
      <c r="E308" s="49"/>
      <c r="F308" s="49">
        <f>'취득원가 및 VAT'!G30</f>
        <v>273654.08399999997</v>
      </c>
      <c r="G308" s="49">
        <f>'취득원가 및 VAT'!M30</f>
        <v>0</v>
      </c>
      <c r="H308" s="49"/>
      <c r="I308" s="49"/>
      <c r="J308" s="49"/>
      <c r="K308" s="49"/>
      <c r="L308" s="49"/>
      <c r="M308" s="49">
        <f t="shared" si="443"/>
        <v>0</v>
      </c>
      <c r="N308" s="49"/>
      <c r="O308" s="49">
        <f t="shared" si="438"/>
        <v>0</v>
      </c>
      <c r="P308" s="49">
        <f t="shared" si="438"/>
        <v>0</v>
      </c>
      <c r="Q308" s="49">
        <f t="shared" si="438"/>
        <v>0</v>
      </c>
      <c r="R308" s="49">
        <f t="shared" si="438"/>
        <v>0</v>
      </c>
      <c r="S308" s="49">
        <f t="shared" si="438"/>
        <v>0</v>
      </c>
      <c r="T308" s="49">
        <f t="shared" si="438"/>
        <v>0</v>
      </c>
      <c r="U308" s="49">
        <f t="shared" si="438"/>
        <v>0</v>
      </c>
      <c r="V308" s="49">
        <f t="shared" si="438"/>
        <v>0</v>
      </c>
      <c r="W308" s="49">
        <f t="shared" si="438"/>
        <v>0</v>
      </c>
      <c r="X308" s="49">
        <f t="shared" si="438"/>
        <v>0</v>
      </c>
      <c r="Y308" s="49">
        <f t="shared" si="439"/>
        <v>0</v>
      </c>
      <c r="Z308" s="49">
        <f t="shared" si="439"/>
        <v>0</v>
      </c>
      <c r="AA308" s="49">
        <f t="shared" si="439"/>
        <v>0</v>
      </c>
      <c r="AB308" s="49">
        <f t="shared" si="439"/>
        <v>0</v>
      </c>
      <c r="AC308" s="49">
        <f t="shared" si="439"/>
        <v>0</v>
      </c>
      <c r="AD308" s="49">
        <f t="shared" si="439"/>
        <v>0</v>
      </c>
      <c r="AE308" s="49">
        <f t="shared" si="439"/>
        <v>0</v>
      </c>
      <c r="AF308" s="49">
        <f t="shared" si="439"/>
        <v>0</v>
      </c>
      <c r="AG308" s="49">
        <f t="shared" si="439"/>
        <v>0</v>
      </c>
      <c r="AH308" s="49">
        <f t="shared" si="439"/>
        <v>0</v>
      </c>
      <c r="AI308" s="49">
        <f t="shared" si="440"/>
        <v>0</v>
      </c>
      <c r="AJ308" s="49">
        <f t="shared" si="440"/>
        <v>0</v>
      </c>
      <c r="AK308" s="49">
        <f t="shared" si="440"/>
        <v>0</v>
      </c>
      <c r="AL308" s="49">
        <f t="shared" si="440"/>
        <v>0</v>
      </c>
      <c r="AM308" s="49">
        <f t="shared" si="440"/>
        <v>0</v>
      </c>
      <c r="AN308" s="49">
        <f t="shared" si="440"/>
        <v>0</v>
      </c>
      <c r="AO308" s="49">
        <f t="shared" si="440"/>
        <v>0</v>
      </c>
      <c r="AP308" s="49">
        <f t="shared" si="440"/>
        <v>0</v>
      </c>
      <c r="AQ308" s="49">
        <f t="shared" si="440"/>
        <v>0</v>
      </c>
      <c r="AR308" s="49">
        <f t="shared" si="440"/>
        <v>0</v>
      </c>
      <c r="AS308" s="49">
        <f t="shared" si="441"/>
        <v>0</v>
      </c>
      <c r="AT308" s="49">
        <f t="shared" si="441"/>
        <v>0</v>
      </c>
      <c r="AU308" s="49">
        <f t="shared" si="441"/>
        <v>0</v>
      </c>
      <c r="AV308" s="49">
        <f t="shared" si="441"/>
        <v>0</v>
      </c>
      <c r="AW308" s="49">
        <f t="shared" si="441"/>
        <v>0</v>
      </c>
      <c r="AX308" s="49">
        <f t="shared" si="441"/>
        <v>0</v>
      </c>
      <c r="AY308" s="49">
        <f t="shared" si="441"/>
        <v>0</v>
      </c>
      <c r="AZ308" s="49">
        <f t="shared" si="441"/>
        <v>0</v>
      </c>
      <c r="BA308" s="49">
        <f t="shared" si="441"/>
        <v>0</v>
      </c>
      <c r="BB308" s="49">
        <f t="shared" si="441"/>
        <v>0</v>
      </c>
      <c r="BC308" s="49">
        <f t="shared" si="442"/>
        <v>0</v>
      </c>
      <c r="BD308" s="49">
        <f t="shared" si="442"/>
        <v>0</v>
      </c>
      <c r="BE308" s="49">
        <f t="shared" si="442"/>
        <v>0</v>
      </c>
      <c r="BF308" s="49">
        <f t="shared" si="442"/>
        <v>0</v>
      </c>
      <c r="BG308" s="49">
        <f t="shared" si="442"/>
        <v>0</v>
      </c>
      <c r="BH308" s="49">
        <f t="shared" si="442"/>
        <v>0</v>
      </c>
      <c r="BI308" s="49">
        <f t="shared" si="442"/>
        <v>0</v>
      </c>
      <c r="BJ308" s="49">
        <f t="shared" si="442"/>
        <v>0</v>
      </c>
      <c r="BK308" s="49">
        <f t="shared" si="442"/>
        <v>0</v>
      </c>
      <c r="BL308" s="49">
        <f t="shared" si="442"/>
        <v>0</v>
      </c>
      <c r="BM308" s="49">
        <f t="shared" si="442"/>
        <v>0</v>
      </c>
      <c r="BN308" s="49">
        <f t="shared" si="442"/>
        <v>0</v>
      </c>
      <c r="BO308" s="49">
        <f t="shared" si="442"/>
        <v>0</v>
      </c>
      <c r="BP308" s="49">
        <f t="shared" si="442"/>
        <v>0</v>
      </c>
      <c r="BQ308" s="49">
        <f t="shared" si="442"/>
        <v>0</v>
      </c>
    </row>
    <row r="309" spans="2:69" ht="13.5" customHeight="1">
      <c r="B309" s="109"/>
      <c r="C309" s="79" t="str">
        <f>'취득원가 및 VAT'!D31</f>
        <v>근린생활시설</v>
      </c>
      <c r="D309" s="49"/>
      <c r="E309" s="49"/>
      <c r="F309" s="49">
        <f>'취득원가 및 VAT'!G31</f>
        <v>2883.672</v>
      </c>
      <c r="G309" s="49">
        <f>'취득원가 및 VAT'!M31</f>
        <v>0</v>
      </c>
      <c r="H309" s="49"/>
      <c r="I309" s="49"/>
      <c r="J309" s="49"/>
      <c r="K309" s="49"/>
      <c r="L309" s="49"/>
      <c r="M309" s="49">
        <f t="shared" si="443"/>
        <v>0</v>
      </c>
      <c r="N309" s="49"/>
      <c r="O309" s="49">
        <f t="shared" ref="O309:X318" si="444">IFERROR(SUMIF($C$13:$C$138,$C309,O$13:O$138)*($G309/$F309)+SUMIF($D$13:$D$138,$D309,O$13:O$138)*($G309/$F309),"")</f>
        <v>0</v>
      </c>
      <c r="P309" s="49">
        <f t="shared" si="444"/>
        <v>0</v>
      </c>
      <c r="Q309" s="49">
        <f t="shared" si="444"/>
        <v>0</v>
      </c>
      <c r="R309" s="49">
        <f t="shared" si="444"/>
        <v>0</v>
      </c>
      <c r="S309" s="49">
        <f t="shared" si="444"/>
        <v>0</v>
      </c>
      <c r="T309" s="49">
        <f t="shared" si="444"/>
        <v>0</v>
      </c>
      <c r="U309" s="49">
        <f t="shared" si="444"/>
        <v>0</v>
      </c>
      <c r="V309" s="49">
        <f t="shared" si="444"/>
        <v>0</v>
      </c>
      <c r="W309" s="49">
        <f t="shared" si="444"/>
        <v>0</v>
      </c>
      <c r="X309" s="49">
        <f t="shared" si="444"/>
        <v>0</v>
      </c>
      <c r="Y309" s="49">
        <f t="shared" ref="Y309:AH318" si="445">IFERROR(SUMIF($C$13:$C$138,$C309,Y$13:Y$138)*($G309/$F309)+SUMIF($D$13:$D$138,$D309,Y$13:Y$138)*($G309/$F309),"")</f>
        <v>0</v>
      </c>
      <c r="Z309" s="49">
        <f t="shared" si="445"/>
        <v>0</v>
      </c>
      <c r="AA309" s="49">
        <f t="shared" si="445"/>
        <v>0</v>
      </c>
      <c r="AB309" s="49">
        <f t="shared" si="445"/>
        <v>0</v>
      </c>
      <c r="AC309" s="49">
        <f t="shared" si="445"/>
        <v>0</v>
      </c>
      <c r="AD309" s="49">
        <f t="shared" si="445"/>
        <v>0</v>
      </c>
      <c r="AE309" s="49">
        <f t="shared" si="445"/>
        <v>0</v>
      </c>
      <c r="AF309" s="49">
        <f t="shared" si="445"/>
        <v>0</v>
      </c>
      <c r="AG309" s="49">
        <f t="shared" si="445"/>
        <v>0</v>
      </c>
      <c r="AH309" s="49">
        <f t="shared" si="445"/>
        <v>0</v>
      </c>
      <c r="AI309" s="49">
        <f t="shared" ref="AI309:AR318" si="446">IFERROR(SUMIF($C$13:$C$138,$C309,AI$13:AI$138)*($G309/$F309)+SUMIF($D$13:$D$138,$D309,AI$13:AI$138)*($G309/$F309),"")</f>
        <v>0</v>
      </c>
      <c r="AJ309" s="49">
        <f t="shared" si="446"/>
        <v>0</v>
      </c>
      <c r="AK309" s="49">
        <f t="shared" si="446"/>
        <v>0</v>
      </c>
      <c r="AL309" s="49">
        <f t="shared" si="446"/>
        <v>0</v>
      </c>
      <c r="AM309" s="49">
        <f t="shared" si="446"/>
        <v>0</v>
      </c>
      <c r="AN309" s="49">
        <f t="shared" si="446"/>
        <v>0</v>
      </c>
      <c r="AO309" s="49">
        <f t="shared" si="446"/>
        <v>0</v>
      </c>
      <c r="AP309" s="49">
        <f t="shared" si="446"/>
        <v>0</v>
      </c>
      <c r="AQ309" s="49">
        <f t="shared" si="446"/>
        <v>0</v>
      </c>
      <c r="AR309" s="49">
        <f t="shared" si="446"/>
        <v>0</v>
      </c>
      <c r="AS309" s="49">
        <f t="shared" ref="AS309:BB318" si="447">IFERROR(SUMIF($C$13:$C$138,$C309,AS$13:AS$138)*($G309/$F309)+SUMIF($D$13:$D$138,$D309,AS$13:AS$138)*($G309/$F309),"")</f>
        <v>0</v>
      </c>
      <c r="AT309" s="49">
        <f t="shared" si="447"/>
        <v>0</v>
      </c>
      <c r="AU309" s="49">
        <f t="shared" si="447"/>
        <v>0</v>
      </c>
      <c r="AV309" s="49">
        <f t="shared" si="447"/>
        <v>0</v>
      </c>
      <c r="AW309" s="49">
        <f t="shared" si="447"/>
        <v>0</v>
      </c>
      <c r="AX309" s="49">
        <f t="shared" si="447"/>
        <v>0</v>
      </c>
      <c r="AY309" s="49">
        <f t="shared" si="447"/>
        <v>0</v>
      </c>
      <c r="AZ309" s="49">
        <f t="shared" si="447"/>
        <v>0</v>
      </c>
      <c r="BA309" s="49">
        <f t="shared" si="447"/>
        <v>0</v>
      </c>
      <c r="BB309" s="49">
        <f t="shared" si="447"/>
        <v>0</v>
      </c>
      <c r="BC309" s="49">
        <f t="shared" ref="BC309:BQ318" si="448">IFERROR(SUMIF($C$13:$C$138,$C309,BC$13:BC$138)*($G309/$F309)+SUMIF($D$13:$D$138,$D309,BC$13:BC$138)*($G309/$F309),"")</f>
        <v>0</v>
      </c>
      <c r="BD309" s="49">
        <f t="shared" si="448"/>
        <v>0</v>
      </c>
      <c r="BE309" s="49">
        <f t="shared" si="448"/>
        <v>0</v>
      </c>
      <c r="BF309" s="49">
        <f t="shared" si="448"/>
        <v>0</v>
      </c>
      <c r="BG309" s="49">
        <f t="shared" si="448"/>
        <v>0</v>
      </c>
      <c r="BH309" s="49">
        <f t="shared" si="448"/>
        <v>0</v>
      </c>
      <c r="BI309" s="49">
        <f t="shared" si="448"/>
        <v>0</v>
      </c>
      <c r="BJ309" s="49">
        <f t="shared" si="448"/>
        <v>0</v>
      </c>
      <c r="BK309" s="49">
        <f t="shared" si="448"/>
        <v>0</v>
      </c>
      <c r="BL309" s="49">
        <f t="shared" si="448"/>
        <v>0</v>
      </c>
      <c r="BM309" s="49">
        <f t="shared" si="448"/>
        <v>0</v>
      </c>
      <c r="BN309" s="49">
        <f t="shared" si="448"/>
        <v>0</v>
      </c>
      <c r="BO309" s="49">
        <f t="shared" si="448"/>
        <v>0</v>
      </c>
      <c r="BP309" s="49">
        <f t="shared" si="448"/>
        <v>0</v>
      </c>
      <c r="BQ309" s="49">
        <f t="shared" si="448"/>
        <v>0</v>
      </c>
    </row>
    <row r="310" spans="2:69" ht="13.5" customHeight="1">
      <c r="B310" s="80" t="str">
        <f>'취득원가 및 VAT'!C32</f>
        <v>용역비 및 부대비용</v>
      </c>
      <c r="C310" s="80"/>
      <c r="D310" s="80"/>
      <c r="E310" s="80"/>
      <c r="F310" s="80">
        <f ca="1">'취득원가 및 VAT'!G32</f>
        <v>15629.695268894691</v>
      </c>
      <c r="G310" s="80">
        <f ca="1">'취득원가 및 VAT'!M32</f>
        <v>0</v>
      </c>
      <c r="H310" s="80"/>
      <c r="I310" s="80"/>
      <c r="J310" s="80"/>
      <c r="K310" s="80"/>
      <c r="L310" s="80"/>
      <c r="M310" s="80">
        <f t="shared" ca="1" si="443"/>
        <v>0</v>
      </c>
      <c r="N310" s="80"/>
      <c r="O310" s="80">
        <f t="shared" ca="1" si="444"/>
        <v>0</v>
      </c>
      <c r="P310" s="80">
        <f t="shared" ca="1" si="444"/>
        <v>0</v>
      </c>
      <c r="Q310" s="80">
        <f t="shared" ca="1" si="444"/>
        <v>0</v>
      </c>
      <c r="R310" s="80">
        <f t="shared" ca="1" si="444"/>
        <v>0</v>
      </c>
      <c r="S310" s="80">
        <f t="shared" ca="1" si="444"/>
        <v>0</v>
      </c>
      <c r="T310" s="80">
        <f t="shared" ca="1" si="444"/>
        <v>0</v>
      </c>
      <c r="U310" s="80">
        <f t="shared" ca="1" si="444"/>
        <v>0</v>
      </c>
      <c r="V310" s="80">
        <f t="shared" ca="1" si="444"/>
        <v>0</v>
      </c>
      <c r="W310" s="80">
        <f t="shared" ca="1" si="444"/>
        <v>0</v>
      </c>
      <c r="X310" s="80">
        <f t="shared" ca="1" si="444"/>
        <v>0</v>
      </c>
      <c r="Y310" s="80">
        <f t="shared" ca="1" si="445"/>
        <v>0</v>
      </c>
      <c r="Z310" s="80">
        <f t="shared" ca="1" si="445"/>
        <v>0</v>
      </c>
      <c r="AA310" s="80">
        <f t="shared" ca="1" si="445"/>
        <v>0</v>
      </c>
      <c r="AB310" s="80">
        <f t="shared" ca="1" si="445"/>
        <v>0</v>
      </c>
      <c r="AC310" s="80">
        <f t="shared" ca="1" si="445"/>
        <v>0</v>
      </c>
      <c r="AD310" s="80">
        <f t="shared" ca="1" si="445"/>
        <v>0</v>
      </c>
      <c r="AE310" s="80">
        <f t="shared" ca="1" si="445"/>
        <v>0</v>
      </c>
      <c r="AF310" s="80">
        <f t="shared" ca="1" si="445"/>
        <v>0</v>
      </c>
      <c r="AG310" s="80">
        <f t="shared" ca="1" si="445"/>
        <v>0</v>
      </c>
      <c r="AH310" s="80">
        <f t="shared" ca="1" si="445"/>
        <v>0</v>
      </c>
      <c r="AI310" s="80">
        <f t="shared" ca="1" si="446"/>
        <v>0</v>
      </c>
      <c r="AJ310" s="80">
        <f t="shared" ca="1" si="446"/>
        <v>0</v>
      </c>
      <c r="AK310" s="80">
        <f t="shared" ca="1" si="446"/>
        <v>0</v>
      </c>
      <c r="AL310" s="80">
        <f t="shared" ca="1" si="446"/>
        <v>0</v>
      </c>
      <c r="AM310" s="80">
        <f t="shared" ca="1" si="446"/>
        <v>0</v>
      </c>
      <c r="AN310" s="80">
        <f t="shared" ca="1" si="446"/>
        <v>0</v>
      </c>
      <c r="AO310" s="80">
        <f t="shared" ca="1" si="446"/>
        <v>0</v>
      </c>
      <c r="AP310" s="80">
        <f t="shared" ca="1" si="446"/>
        <v>0</v>
      </c>
      <c r="AQ310" s="80">
        <f t="shared" ca="1" si="446"/>
        <v>0</v>
      </c>
      <c r="AR310" s="80">
        <f t="shared" ca="1" si="446"/>
        <v>0</v>
      </c>
      <c r="AS310" s="80">
        <f t="shared" ca="1" si="447"/>
        <v>0</v>
      </c>
      <c r="AT310" s="80">
        <f t="shared" ca="1" si="447"/>
        <v>0</v>
      </c>
      <c r="AU310" s="80">
        <f t="shared" ca="1" si="447"/>
        <v>0</v>
      </c>
      <c r="AV310" s="80">
        <f t="shared" ca="1" si="447"/>
        <v>0</v>
      </c>
      <c r="AW310" s="80">
        <f t="shared" ca="1" si="447"/>
        <v>0</v>
      </c>
      <c r="AX310" s="80">
        <f t="shared" ca="1" si="447"/>
        <v>0</v>
      </c>
      <c r="AY310" s="80">
        <f t="shared" ca="1" si="447"/>
        <v>0</v>
      </c>
      <c r="AZ310" s="80">
        <f t="shared" ca="1" si="447"/>
        <v>0</v>
      </c>
      <c r="BA310" s="80">
        <f t="shared" ca="1" si="447"/>
        <v>0</v>
      </c>
      <c r="BB310" s="80">
        <f t="shared" ca="1" si="447"/>
        <v>0</v>
      </c>
      <c r="BC310" s="80">
        <f t="shared" ca="1" si="448"/>
        <v>0</v>
      </c>
      <c r="BD310" s="80">
        <f t="shared" ca="1" si="448"/>
        <v>0</v>
      </c>
      <c r="BE310" s="80">
        <f t="shared" ca="1" si="448"/>
        <v>0</v>
      </c>
      <c r="BF310" s="80">
        <f t="shared" ca="1" si="448"/>
        <v>0</v>
      </c>
      <c r="BG310" s="80">
        <f t="shared" ca="1" si="448"/>
        <v>0</v>
      </c>
      <c r="BH310" s="80">
        <f t="shared" ca="1" si="448"/>
        <v>0</v>
      </c>
      <c r="BI310" s="80">
        <f t="shared" ca="1" si="448"/>
        <v>0</v>
      </c>
      <c r="BJ310" s="80">
        <f t="shared" ca="1" si="448"/>
        <v>0</v>
      </c>
      <c r="BK310" s="80">
        <f t="shared" ca="1" si="448"/>
        <v>0</v>
      </c>
      <c r="BL310" s="80">
        <f t="shared" ca="1" si="448"/>
        <v>0</v>
      </c>
      <c r="BM310" s="80">
        <f t="shared" ca="1" si="448"/>
        <v>0</v>
      </c>
      <c r="BN310" s="80">
        <f t="shared" ca="1" si="448"/>
        <v>0</v>
      </c>
      <c r="BO310" s="80">
        <f t="shared" ca="1" si="448"/>
        <v>0</v>
      </c>
      <c r="BP310" s="80">
        <f t="shared" ca="1" si="448"/>
        <v>0</v>
      </c>
      <c r="BQ310" s="80">
        <f t="shared" ca="1" si="448"/>
        <v>0</v>
      </c>
    </row>
    <row r="311" spans="2:69" ht="13.5" customHeight="1">
      <c r="B311" s="14"/>
      <c r="C311" s="79" t="str">
        <f>'취득원가 및 VAT'!D33</f>
        <v>건축 설계비</v>
      </c>
      <c r="D311" s="49"/>
      <c r="E311" s="49"/>
      <c r="F311" s="49">
        <f>'취득원가 및 VAT'!G33</f>
        <v>8641.8048749999998</v>
      </c>
      <c r="G311" s="49">
        <f>'취득원가 및 VAT'!M33</f>
        <v>0</v>
      </c>
      <c r="H311" s="49"/>
      <c r="I311" s="49"/>
      <c r="J311" s="49"/>
      <c r="K311" s="49"/>
      <c r="L311" s="49"/>
      <c r="M311" s="49">
        <f t="shared" si="443"/>
        <v>0</v>
      </c>
      <c r="N311" s="49"/>
      <c r="O311" s="49">
        <f t="shared" si="444"/>
        <v>0</v>
      </c>
      <c r="P311" s="49">
        <f t="shared" si="444"/>
        <v>0</v>
      </c>
      <c r="Q311" s="49">
        <f t="shared" si="444"/>
        <v>0</v>
      </c>
      <c r="R311" s="49">
        <f t="shared" si="444"/>
        <v>0</v>
      </c>
      <c r="S311" s="49">
        <f t="shared" si="444"/>
        <v>0</v>
      </c>
      <c r="T311" s="49">
        <f t="shared" si="444"/>
        <v>0</v>
      </c>
      <c r="U311" s="49">
        <f t="shared" si="444"/>
        <v>0</v>
      </c>
      <c r="V311" s="49">
        <f t="shared" si="444"/>
        <v>0</v>
      </c>
      <c r="W311" s="49">
        <f t="shared" si="444"/>
        <v>0</v>
      </c>
      <c r="X311" s="49">
        <f t="shared" si="444"/>
        <v>0</v>
      </c>
      <c r="Y311" s="49">
        <f t="shared" si="445"/>
        <v>0</v>
      </c>
      <c r="Z311" s="49">
        <f t="shared" si="445"/>
        <v>0</v>
      </c>
      <c r="AA311" s="49">
        <f t="shared" si="445"/>
        <v>0</v>
      </c>
      <c r="AB311" s="49">
        <f t="shared" si="445"/>
        <v>0</v>
      </c>
      <c r="AC311" s="49">
        <f t="shared" si="445"/>
        <v>0</v>
      </c>
      <c r="AD311" s="49">
        <f t="shared" si="445"/>
        <v>0</v>
      </c>
      <c r="AE311" s="49">
        <f t="shared" si="445"/>
        <v>0</v>
      </c>
      <c r="AF311" s="49">
        <f t="shared" si="445"/>
        <v>0</v>
      </c>
      <c r="AG311" s="49">
        <f t="shared" si="445"/>
        <v>0</v>
      </c>
      <c r="AH311" s="49">
        <f t="shared" si="445"/>
        <v>0</v>
      </c>
      <c r="AI311" s="49">
        <f t="shared" si="446"/>
        <v>0</v>
      </c>
      <c r="AJ311" s="49">
        <f t="shared" si="446"/>
        <v>0</v>
      </c>
      <c r="AK311" s="49">
        <f t="shared" si="446"/>
        <v>0</v>
      </c>
      <c r="AL311" s="49">
        <f t="shared" si="446"/>
        <v>0</v>
      </c>
      <c r="AM311" s="49">
        <f t="shared" si="446"/>
        <v>0</v>
      </c>
      <c r="AN311" s="49">
        <f t="shared" si="446"/>
        <v>0</v>
      </c>
      <c r="AO311" s="49">
        <f t="shared" si="446"/>
        <v>0</v>
      </c>
      <c r="AP311" s="49">
        <f t="shared" si="446"/>
        <v>0</v>
      </c>
      <c r="AQ311" s="49">
        <f t="shared" si="446"/>
        <v>0</v>
      </c>
      <c r="AR311" s="49">
        <f t="shared" si="446"/>
        <v>0</v>
      </c>
      <c r="AS311" s="49">
        <f t="shared" si="447"/>
        <v>0</v>
      </c>
      <c r="AT311" s="49">
        <f t="shared" si="447"/>
        <v>0</v>
      </c>
      <c r="AU311" s="49">
        <f t="shared" si="447"/>
        <v>0</v>
      </c>
      <c r="AV311" s="49">
        <f t="shared" si="447"/>
        <v>0</v>
      </c>
      <c r="AW311" s="49">
        <f t="shared" si="447"/>
        <v>0</v>
      </c>
      <c r="AX311" s="49">
        <f t="shared" si="447"/>
        <v>0</v>
      </c>
      <c r="AY311" s="49">
        <f t="shared" si="447"/>
        <v>0</v>
      </c>
      <c r="AZ311" s="49">
        <f t="shared" si="447"/>
        <v>0</v>
      </c>
      <c r="BA311" s="49">
        <f t="shared" si="447"/>
        <v>0</v>
      </c>
      <c r="BB311" s="49">
        <f t="shared" si="447"/>
        <v>0</v>
      </c>
      <c r="BC311" s="49">
        <f t="shared" si="448"/>
        <v>0</v>
      </c>
      <c r="BD311" s="49">
        <f t="shared" si="448"/>
        <v>0</v>
      </c>
      <c r="BE311" s="49">
        <f t="shared" si="448"/>
        <v>0</v>
      </c>
      <c r="BF311" s="49">
        <f t="shared" si="448"/>
        <v>0</v>
      </c>
      <c r="BG311" s="49">
        <f t="shared" si="448"/>
        <v>0</v>
      </c>
      <c r="BH311" s="49">
        <f t="shared" si="448"/>
        <v>0</v>
      </c>
      <c r="BI311" s="49">
        <f t="shared" si="448"/>
        <v>0</v>
      </c>
      <c r="BJ311" s="49">
        <f t="shared" si="448"/>
        <v>0</v>
      </c>
      <c r="BK311" s="49">
        <f t="shared" si="448"/>
        <v>0</v>
      </c>
      <c r="BL311" s="49">
        <f t="shared" si="448"/>
        <v>0</v>
      </c>
      <c r="BM311" s="49">
        <f t="shared" si="448"/>
        <v>0</v>
      </c>
      <c r="BN311" s="49">
        <f t="shared" si="448"/>
        <v>0</v>
      </c>
      <c r="BO311" s="49">
        <f t="shared" si="448"/>
        <v>0</v>
      </c>
      <c r="BP311" s="49">
        <f t="shared" si="448"/>
        <v>0</v>
      </c>
      <c r="BQ311" s="49">
        <f t="shared" si="448"/>
        <v>0</v>
      </c>
    </row>
    <row r="312" spans="2:69" ht="13.5" customHeight="1">
      <c r="B312" s="14"/>
      <c r="C312" s="71" t="str">
        <f>'취득원가 및 VAT'!D34</f>
        <v>각종 인허가 관련비용</v>
      </c>
      <c r="D312" s="72"/>
      <c r="E312" s="72"/>
      <c r="F312" s="72">
        <f>'취득원가 및 VAT'!G34</f>
        <v>1056.6475756735001</v>
      </c>
      <c r="G312" s="72">
        <f>'취득원가 및 VAT'!M34</f>
        <v>0</v>
      </c>
      <c r="H312" s="72"/>
      <c r="I312" s="72"/>
      <c r="J312" s="72"/>
      <c r="K312" s="72"/>
      <c r="L312" s="72"/>
      <c r="M312" s="72">
        <f t="shared" si="443"/>
        <v>0</v>
      </c>
      <c r="N312" s="72"/>
      <c r="O312" s="72">
        <f t="shared" si="444"/>
        <v>0</v>
      </c>
      <c r="P312" s="72">
        <f t="shared" si="444"/>
        <v>0</v>
      </c>
      <c r="Q312" s="72">
        <f t="shared" si="444"/>
        <v>0</v>
      </c>
      <c r="R312" s="72">
        <f t="shared" si="444"/>
        <v>0</v>
      </c>
      <c r="S312" s="72">
        <f t="shared" si="444"/>
        <v>0</v>
      </c>
      <c r="T312" s="72">
        <f t="shared" si="444"/>
        <v>0</v>
      </c>
      <c r="U312" s="72">
        <f t="shared" si="444"/>
        <v>0</v>
      </c>
      <c r="V312" s="72">
        <f t="shared" si="444"/>
        <v>0</v>
      </c>
      <c r="W312" s="72">
        <f t="shared" si="444"/>
        <v>0</v>
      </c>
      <c r="X312" s="72">
        <f t="shared" si="444"/>
        <v>0</v>
      </c>
      <c r="Y312" s="72">
        <f t="shared" si="445"/>
        <v>0</v>
      </c>
      <c r="Z312" s="72">
        <f t="shared" si="445"/>
        <v>0</v>
      </c>
      <c r="AA312" s="72">
        <f t="shared" si="445"/>
        <v>0</v>
      </c>
      <c r="AB312" s="72">
        <f t="shared" si="445"/>
        <v>0</v>
      </c>
      <c r="AC312" s="72">
        <f t="shared" si="445"/>
        <v>0</v>
      </c>
      <c r="AD312" s="72">
        <f t="shared" si="445"/>
        <v>0</v>
      </c>
      <c r="AE312" s="72">
        <f t="shared" si="445"/>
        <v>0</v>
      </c>
      <c r="AF312" s="72">
        <f t="shared" si="445"/>
        <v>0</v>
      </c>
      <c r="AG312" s="72">
        <f t="shared" si="445"/>
        <v>0</v>
      </c>
      <c r="AH312" s="72">
        <f t="shared" si="445"/>
        <v>0</v>
      </c>
      <c r="AI312" s="72">
        <f t="shared" si="446"/>
        <v>0</v>
      </c>
      <c r="AJ312" s="72">
        <f t="shared" si="446"/>
        <v>0</v>
      </c>
      <c r="AK312" s="72">
        <f t="shared" si="446"/>
        <v>0</v>
      </c>
      <c r="AL312" s="72">
        <f t="shared" si="446"/>
        <v>0</v>
      </c>
      <c r="AM312" s="72">
        <f t="shared" si="446"/>
        <v>0</v>
      </c>
      <c r="AN312" s="72">
        <f t="shared" si="446"/>
        <v>0</v>
      </c>
      <c r="AO312" s="72">
        <f t="shared" si="446"/>
        <v>0</v>
      </c>
      <c r="AP312" s="72">
        <f t="shared" si="446"/>
        <v>0</v>
      </c>
      <c r="AQ312" s="72">
        <f t="shared" si="446"/>
        <v>0</v>
      </c>
      <c r="AR312" s="72">
        <f t="shared" si="446"/>
        <v>0</v>
      </c>
      <c r="AS312" s="72">
        <f t="shared" si="447"/>
        <v>0</v>
      </c>
      <c r="AT312" s="72">
        <f t="shared" si="447"/>
        <v>0</v>
      </c>
      <c r="AU312" s="72">
        <f t="shared" si="447"/>
        <v>0</v>
      </c>
      <c r="AV312" s="72">
        <f t="shared" si="447"/>
        <v>0</v>
      </c>
      <c r="AW312" s="72">
        <f t="shared" si="447"/>
        <v>0</v>
      </c>
      <c r="AX312" s="72">
        <f t="shared" si="447"/>
        <v>0</v>
      </c>
      <c r="AY312" s="72">
        <f t="shared" si="447"/>
        <v>0</v>
      </c>
      <c r="AZ312" s="72">
        <f t="shared" si="447"/>
        <v>0</v>
      </c>
      <c r="BA312" s="72">
        <f t="shared" si="447"/>
        <v>0</v>
      </c>
      <c r="BB312" s="72">
        <f t="shared" si="447"/>
        <v>0</v>
      </c>
      <c r="BC312" s="72">
        <f t="shared" si="448"/>
        <v>0</v>
      </c>
      <c r="BD312" s="72">
        <f t="shared" si="448"/>
        <v>0</v>
      </c>
      <c r="BE312" s="72">
        <f t="shared" si="448"/>
        <v>0</v>
      </c>
      <c r="BF312" s="72">
        <f t="shared" si="448"/>
        <v>0</v>
      </c>
      <c r="BG312" s="72">
        <f t="shared" si="448"/>
        <v>0</v>
      </c>
      <c r="BH312" s="72">
        <f t="shared" si="448"/>
        <v>0</v>
      </c>
      <c r="BI312" s="72">
        <f t="shared" si="448"/>
        <v>0</v>
      </c>
      <c r="BJ312" s="72">
        <f t="shared" si="448"/>
        <v>0</v>
      </c>
      <c r="BK312" s="72">
        <f t="shared" si="448"/>
        <v>0</v>
      </c>
      <c r="BL312" s="72">
        <f t="shared" si="448"/>
        <v>0</v>
      </c>
      <c r="BM312" s="72">
        <f t="shared" si="448"/>
        <v>0</v>
      </c>
      <c r="BN312" s="72">
        <f t="shared" si="448"/>
        <v>0</v>
      </c>
      <c r="BO312" s="72">
        <f t="shared" si="448"/>
        <v>0</v>
      </c>
      <c r="BP312" s="72">
        <f t="shared" si="448"/>
        <v>0</v>
      </c>
      <c r="BQ312" s="72">
        <f t="shared" si="448"/>
        <v>0</v>
      </c>
    </row>
    <row r="313" spans="2:69" ht="13.5" customHeight="1">
      <c r="C313" s="31"/>
      <c r="D313" s="30" t="str">
        <f>'취득원가 및 VAT'!E35</f>
        <v>환경영향평가2)</v>
      </c>
      <c r="E313" s="22"/>
      <c r="F313" s="22">
        <f>'취득원가 및 VAT'!G35</f>
        <v>654.44167800000002</v>
      </c>
      <c r="G313" s="22">
        <f>'취득원가 및 VAT'!M35</f>
        <v>53.073565818039569</v>
      </c>
      <c r="H313" s="22"/>
      <c r="I313" s="22"/>
      <c r="J313" s="22"/>
      <c r="K313" s="22"/>
      <c r="L313" s="22"/>
      <c r="M313" s="22">
        <f t="shared" si="443"/>
        <v>53.073565818039569</v>
      </c>
      <c r="N313" s="22"/>
      <c r="O313" s="22">
        <f t="shared" si="444"/>
        <v>15.92206974541187</v>
      </c>
      <c r="P313" s="22">
        <f t="shared" si="444"/>
        <v>0</v>
      </c>
      <c r="Q313" s="22">
        <f t="shared" si="444"/>
        <v>0</v>
      </c>
      <c r="R313" s="22">
        <f t="shared" si="444"/>
        <v>15.92206974541187</v>
      </c>
      <c r="S313" s="22">
        <f t="shared" si="444"/>
        <v>0</v>
      </c>
      <c r="T313" s="22">
        <f t="shared" si="444"/>
        <v>0</v>
      </c>
      <c r="U313" s="22">
        <f t="shared" si="444"/>
        <v>0</v>
      </c>
      <c r="V313" s="22">
        <f t="shared" si="444"/>
        <v>0</v>
      </c>
      <c r="W313" s="22">
        <f t="shared" si="444"/>
        <v>0</v>
      </c>
      <c r="X313" s="22">
        <f t="shared" si="444"/>
        <v>0</v>
      </c>
      <c r="Y313" s="22">
        <f t="shared" si="445"/>
        <v>0</v>
      </c>
      <c r="Z313" s="22">
        <f t="shared" si="445"/>
        <v>0</v>
      </c>
      <c r="AA313" s="22">
        <f t="shared" si="445"/>
        <v>0</v>
      </c>
      <c r="AB313" s="22">
        <f t="shared" si="445"/>
        <v>0</v>
      </c>
      <c r="AC313" s="22">
        <f t="shared" si="445"/>
        <v>21.229426327215826</v>
      </c>
      <c r="AD313" s="22">
        <f t="shared" si="445"/>
        <v>0</v>
      </c>
      <c r="AE313" s="22">
        <f t="shared" si="445"/>
        <v>0</v>
      </c>
      <c r="AF313" s="22">
        <f t="shared" si="445"/>
        <v>0</v>
      </c>
      <c r="AG313" s="22">
        <f t="shared" si="445"/>
        <v>0</v>
      </c>
      <c r="AH313" s="22">
        <f t="shared" si="445"/>
        <v>0</v>
      </c>
      <c r="AI313" s="22">
        <f t="shared" si="446"/>
        <v>0</v>
      </c>
      <c r="AJ313" s="22">
        <f t="shared" si="446"/>
        <v>0</v>
      </c>
      <c r="AK313" s="22">
        <f t="shared" si="446"/>
        <v>0</v>
      </c>
      <c r="AL313" s="22">
        <f t="shared" si="446"/>
        <v>0</v>
      </c>
      <c r="AM313" s="22">
        <f t="shared" si="446"/>
        <v>0</v>
      </c>
      <c r="AN313" s="22">
        <f t="shared" si="446"/>
        <v>0</v>
      </c>
      <c r="AO313" s="22">
        <f t="shared" si="446"/>
        <v>0</v>
      </c>
      <c r="AP313" s="22">
        <f t="shared" si="446"/>
        <v>0</v>
      </c>
      <c r="AQ313" s="22">
        <f t="shared" si="446"/>
        <v>0</v>
      </c>
      <c r="AR313" s="22">
        <f t="shared" si="446"/>
        <v>0</v>
      </c>
      <c r="AS313" s="22">
        <f t="shared" si="447"/>
        <v>0</v>
      </c>
      <c r="AT313" s="22">
        <f t="shared" si="447"/>
        <v>0</v>
      </c>
      <c r="AU313" s="22">
        <f t="shared" si="447"/>
        <v>0</v>
      </c>
      <c r="AV313" s="22">
        <f t="shared" si="447"/>
        <v>0</v>
      </c>
      <c r="AW313" s="22">
        <f t="shared" si="447"/>
        <v>0</v>
      </c>
      <c r="AX313" s="22">
        <f t="shared" si="447"/>
        <v>0</v>
      </c>
      <c r="AY313" s="22">
        <f t="shared" si="447"/>
        <v>0</v>
      </c>
      <c r="AZ313" s="22">
        <f t="shared" si="447"/>
        <v>0</v>
      </c>
      <c r="BA313" s="22">
        <f t="shared" si="447"/>
        <v>0</v>
      </c>
      <c r="BB313" s="22">
        <f t="shared" si="447"/>
        <v>0</v>
      </c>
      <c r="BC313" s="22">
        <f t="shared" si="448"/>
        <v>0</v>
      </c>
      <c r="BD313" s="22">
        <f t="shared" si="448"/>
        <v>0</v>
      </c>
      <c r="BE313" s="22">
        <f t="shared" si="448"/>
        <v>0</v>
      </c>
      <c r="BF313" s="22">
        <f t="shared" si="448"/>
        <v>0</v>
      </c>
      <c r="BG313" s="22">
        <f t="shared" si="448"/>
        <v>0</v>
      </c>
      <c r="BH313" s="22">
        <f t="shared" si="448"/>
        <v>0</v>
      </c>
      <c r="BI313" s="22">
        <f t="shared" si="448"/>
        <v>0</v>
      </c>
      <c r="BJ313" s="22">
        <f t="shared" si="448"/>
        <v>0</v>
      </c>
      <c r="BK313" s="22">
        <f t="shared" si="448"/>
        <v>0</v>
      </c>
      <c r="BL313" s="22">
        <f t="shared" si="448"/>
        <v>0</v>
      </c>
      <c r="BM313" s="22">
        <f t="shared" si="448"/>
        <v>0</v>
      </c>
      <c r="BN313" s="22">
        <f t="shared" si="448"/>
        <v>0</v>
      </c>
      <c r="BO313" s="22">
        <f t="shared" si="448"/>
        <v>0</v>
      </c>
      <c r="BP313" s="22">
        <f t="shared" si="448"/>
        <v>0</v>
      </c>
      <c r="BQ313" s="22">
        <f t="shared" si="448"/>
        <v>0</v>
      </c>
    </row>
    <row r="314" spans="2:69" ht="13.5" customHeight="1">
      <c r="C314" s="31"/>
      <c r="D314" s="31" t="str">
        <f>'취득원가 및 VAT'!E36</f>
        <v>교통영향평가3)</v>
      </c>
      <c r="E314" s="32"/>
      <c r="F314" s="32">
        <f>'취득원가 및 VAT'!G36</f>
        <v>142.26922023600002</v>
      </c>
      <c r="G314" s="32">
        <f>'취득원가 및 VAT'!M36</f>
        <v>11.53767413950753</v>
      </c>
      <c r="H314" s="32"/>
      <c r="I314" s="32"/>
      <c r="J314" s="32"/>
      <c r="K314" s="32"/>
      <c r="L314" s="32"/>
      <c r="M314" s="32">
        <f t="shared" si="443"/>
        <v>11.53767413950753</v>
      </c>
      <c r="N314" s="32"/>
      <c r="O314" s="32">
        <f t="shared" si="444"/>
        <v>3.461302241852259</v>
      </c>
      <c r="P314" s="32">
        <f t="shared" si="444"/>
        <v>0</v>
      </c>
      <c r="Q314" s="32">
        <f t="shared" si="444"/>
        <v>0</v>
      </c>
      <c r="R314" s="32">
        <f t="shared" si="444"/>
        <v>3.461302241852259</v>
      </c>
      <c r="S314" s="32">
        <f t="shared" si="444"/>
        <v>0</v>
      </c>
      <c r="T314" s="32">
        <f t="shared" si="444"/>
        <v>0</v>
      </c>
      <c r="U314" s="32">
        <f t="shared" si="444"/>
        <v>0</v>
      </c>
      <c r="V314" s="32">
        <f t="shared" si="444"/>
        <v>0</v>
      </c>
      <c r="W314" s="32">
        <f t="shared" si="444"/>
        <v>0</v>
      </c>
      <c r="X314" s="32">
        <f t="shared" si="444"/>
        <v>0</v>
      </c>
      <c r="Y314" s="32">
        <f t="shared" si="445"/>
        <v>0</v>
      </c>
      <c r="Z314" s="32">
        <f t="shared" si="445"/>
        <v>0</v>
      </c>
      <c r="AA314" s="32">
        <f t="shared" si="445"/>
        <v>0</v>
      </c>
      <c r="AB314" s="32">
        <f t="shared" si="445"/>
        <v>0</v>
      </c>
      <c r="AC314" s="32">
        <f t="shared" si="445"/>
        <v>4.6150696558030129</v>
      </c>
      <c r="AD314" s="32">
        <f t="shared" si="445"/>
        <v>0</v>
      </c>
      <c r="AE314" s="32">
        <f t="shared" si="445"/>
        <v>0</v>
      </c>
      <c r="AF314" s="32">
        <f t="shared" si="445"/>
        <v>0</v>
      </c>
      <c r="AG314" s="32">
        <f t="shared" si="445"/>
        <v>0</v>
      </c>
      <c r="AH314" s="32">
        <f t="shared" si="445"/>
        <v>0</v>
      </c>
      <c r="AI314" s="32">
        <f t="shared" si="446"/>
        <v>0</v>
      </c>
      <c r="AJ314" s="32">
        <f t="shared" si="446"/>
        <v>0</v>
      </c>
      <c r="AK314" s="32">
        <f t="shared" si="446"/>
        <v>0</v>
      </c>
      <c r="AL314" s="32">
        <f t="shared" si="446"/>
        <v>0</v>
      </c>
      <c r="AM314" s="32">
        <f t="shared" si="446"/>
        <v>0</v>
      </c>
      <c r="AN314" s="32">
        <f t="shared" si="446"/>
        <v>0</v>
      </c>
      <c r="AO314" s="32">
        <f t="shared" si="446"/>
        <v>0</v>
      </c>
      <c r="AP314" s="32">
        <f t="shared" si="446"/>
        <v>0</v>
      </c>
      <c r="AQ314" s="32">
        <f t="shared" si="446"/>
        <v>0</v>
      </c>
      <c r="AR314" s="32">
        <f t="shared" si="446"/>
        <v>0</v>
      </c>
      <c r="AS314" s="32">
        <f t="shared" si="447"/>
        <v>0</v>
      </c>
      <c r="AT314" s="32">
        <f t="shared" si="447"/>
        <v>0</v>
      </c>
      <c r="AU314" s="32">
        <f t="shared" si="447"/>
        <v>0</v>
      </c>
      <c r="AV314" s="32">
        <f t="shared" si="447"/>
        <v>0</v>
      </c>
      <c r="AW314" s="32">
        <f t="shared" si="447"/>
        <v>0</v>
      </c>
      <c r="AX314" s="32">
        <f t="shared" si="447"/>
        <v>0</v>
      </c>
      <c r="AY314" s="32">
        <f t="shared" si="447"/>
        <v>0</v>
      </c>
      <c r="AZ314" s="32">
        <f t="shared" si="447"/>
        <v>0</v>
      </c>
      <c r="BA314" s="32">
        <f t="shared" si="447"/>
        <v>0</v>
      </c>
      <c r="BB314" s="32">
        <f t="shared" si="447"/>
        <v>0</v>
      </c>
      <c r="BC314" s="32">
        <f t="shared" si="448"/>
        <v>0</v>
      </c>
      <c r="BD314" s="32">
        <f t="shared" si="448"/>
        <v>0</v>
      </c>
      <c r="BE314" s="32">
        <f t="shared" si="448"/>
        <v>0</v>
      </c>
      <c r="BF314" s="32">
        <f t="shared" si="448"/>
        <v>0</v>
      </c>
      <c r="BG314" s="32">
        <f t="shared" si="448"/>
        <v>0</v>
      </c>
      <c r="BH314" s="32">
        <f t="shared" si="448"/>
        <v>0</v>
      </c>
      <c r="BI314" s="32">
        <f t="shared" si="448"/>
        <v>0</v>
      </c>
      <c r="BJ314" s="32">
        <f t="shared" si="448"/>
        <v>0</v>
      </c>
      <c r="BK314" s="32">
        <f t="shared" si="448"/>
        <v>0</v>
      </c>
      <c r="BL314" s="32">
        <f t="shared" si="448"/>
        <v>0</v>
      </c>
      <c r="BM314" s="32">
        <f t="shared" si="448"/>
        <v>0</v>
      </c>
      <c r="BN314" s="32">
        <f t="shared" si="448"/>
        <v>0</v>
      </c>
      <c r="BO314" s="32">
        <f t="shared" si="448"/>
        <v>0</v>
      </c>
      <c r="BP314" s="32">
        <f t="shared" si="448"/>
        <v>0</v>
      </c>
      <c r="BQ314" s="32">
        <f t="shared" si="448"/>
        <v>0</v>
      </c>
    </row>
    <row r="315" spans="2:69" ht="13.5" customHeight="1">
      <c r="C315" s="31"/>
      <c r="D315" s="31" t="str">
        <f>'취득원가 및 VAT'!E37</f>
        <v>재해영향평가4)</v>
      </c>
      <c r="E315" s="32"/>
      <c r="F315" s="32">
        <f>'취득원가 및 VAT'!G37</f>
        <v>125.18362411749997</v>
      </c>
      <c r="G315" s="32">
        <f>'취득원가 및 VAT'!M37</f>
        <v>10.152075482486095</v>
      </c>
      <c r="H315" s="32"/>
      <c r="I315" s="32"/>
      <c r="J315" s="32"/>
      <c r="K315" s="32"/>
      <c r="L315" s="32"/>
      <c r="M315" s="32">
        <f t="shared" si="443"/>
        <v>10.152075482486095</v>
      </c>
      <c r="N315" s="32"/>
      <c r="O315" s="32">
        <f t="shared" si="444"/>
        <v>3.0456226447458286</v>
      </c>
      <c r="P315" s="32">
        <f t="shared" si="444"/>
        <v>0</v>
      </c>
      <c r="Q315" s="32">
        <f t="shared" si="444"/>
        <v>0</v>
      </c>
      <c r="R315" s="32">
        <f t="shared" si="444"/>
        <v>3.0456226447458286</v>
      </c>
      <c r="S315" s="32">
        <f t="shared" si="444"/>
        <v>0</v>
      </c>
      <c r="T315" s="32">
        <f t="shared" si="444"/>
        <v>0</v>
      </c>
      <c r="U315" s="32">
        <f t="shared" si="444"/>
        <v>0</v>
      </c>
      <c r="V315" s="32">
        <f t="shared" si="444"/>
        <v>0</v>
      </c>
      <c r="W315" s="32">
        <f t="shared" si="444"/>
        <v>0</v>
      </c>
      <c r="X315" s="32">
        <f t="shared" si="444"/>
        <v>0</v>
      </c>
      <c r="Y315" s="32">
        <f t="shared" si="445"/>
        <v>0</v>
      </c>
      <c r="Z315" s="32">
        <f t="shared" si="445"/>
        <v>0</v>
      </c>
      <c r="AA315" s="32">
        <f t="shared" si="445"/>
        <v>0</v>
      </c>
      <c r="AB315" s="32">
        <f t="shared" si="445"/>
        <v>0</v>
      </c>
      <c r="AC315" s="32">
        <f t="shared" si="445"/>
        <v>4.0608301929944384</v>
      </c>
      <c r="AD315" s="32">
        <f t="shared" si="445"/>
        <v>0</v>
      </c>
      <c r="AE315" s="32">
        <f t="shared" si="445"/>
        <v>0</v>
      </c>
      <c r="AF315" s="32">
        <f t="shared" si="445"/>
        <v>0</v>
      </c>
      <c r="AG315" s="32">
        <f t="shared" si="445"/>
        <v>0</v>
      </c>
      <c r="AH315" s="32">
        <f t="shared" si="445"/>
        <v>0</v>
      </c>
      <c r="AI315" s="32">
        <f t="shared" si="446"/>
        <v>0</v>
      </c>
      <c r="AJ315" s="32">
        <f t="shared" si="446"/>
        <v>0</v>
      </c>
      <c r="AK315" s="32">
        <f t="shared" si="446"/>
        <v>0</v>
      </c>
      <c r="AL315" s="32">
        <f t="shared" si="446"/>
        <v>0</v>
      </c>
      <c r="AM315" s="32">
        <f t="shared" si="446"/>
        <v>0</v>
      </c>
      <c r="AN315" s="32">
        <f t="shared" si="446"/>
        <v>0</v>
      </c>
      <c r="AO315" s="32">
        <f t="shared" si="446"/>
        <v>0</v>
      </c>
      <c r="AP315" s="32">
        <f t="shared" si="446"/>
        <v>0</v>
      </c>
      <c r="AQ315" s="32">
        <f t="shared" si="446"/>
        <v>0</v>
      </c>
      <c r="AR315" s="32">
        <f t="shared" si="446"/>
        <v>0</v>
      </c>
      <c r="AS315" s="32">
        <f t="shared" si="447"/>
        <v>0</v>
      </c>
      <c r="AT315" s="32">
        <f t="shared" si="447"/>
        <v>0</v>
      </c>
      <c r="AU315" s="32">
        <f t="shared" si="447"/>
        <v>0</v>
      </c>
      <c r="AV315" s="32">
        <f t="shared" si="447"/>
        <v>0</v>
      </c>
      <c r="AW315" s="32">
        <f t="shared" si="447"/>
        <v>0</v>
      </c>
      <c r="AX315" s="32">
        <f t="shared" si="447"/>
        <v>0</v>
      </c>
      <c r="AY315" s="32">
        <f t="shared" si="447"/>
        <v>0</v>
      </c>
      <c r="AZ315" s="32">
        <f t="shared" si="447"/>
        <v>0</v>
      </c>
      <c r="BA315" s="32">
        <f t="shared" si="447"/>
        <v>0</v>
      </c>
      <c r="BB315" s="32">
        <f t="shared" si="447"/>
        <v>0</v>
      </c>
      <c r="BC315" s="32">
        <f t="shared" si="448"/>
        <v>0</v>
      </c>
      <c r="BD315" s="32">
        <f t="shared" si="448"/>
        <v>0</v>
      </c>
      <c r="BE315" s="32">
        <f t="shared" si="448"/>
        <v>0</v>
      </c>
      <c r="BF315" s="32">
        <f t="shared" si="448"/>
        <v>0</v>
      </c>
      <c r="BG315" s="32">
        <f t="shared" si="448"/>
        <v>0</v>
      </c>
      <c r="BH315" s="32">
        <f t="shared" si="448"/>
        <v>0</v>
      </c>
      <c r="BI315" s="32">
        <f t="shared" si="448"/>
        <v>0</v>
      </c>
      <c r="BJ315" s="32">
        <f t="shared" si="448"/>
        <v>0</v>
      </c>
      <c r="BK315" s="32">
        <f t="shared" si="448"/>
        <v>0</v>
      </c>
      <c r="BL315" s="32">
        <f t="shared" si="448"/>
        <v>0</v>
      </c>
      <c r="BM315" s="32">
        <f t="shared" si="448"/>
        <v>0</v>
      </c>
      <c r="BN315" s="32">
        <f t="shared" si="448"/>
        <v>0</v>
      </c>
      <c r="BO315" s="32">
        <f t="shared" si="448"/>
        <v>0</v>
      </c>
      <c r="BP315" s="32">
        <f t="shared" si="448"/>
        <v>0</v>
      </c>
      <c r="BQ315" s="32">
        <f t="shared" si="448"/>
        <v>0</v>
      </c>
    </row>
    <row r="316" spans="2:69" ht="13.5" customHeight="1">
      <c r="C316" s="31"/>
      <c r="D316" s="31" t="str">
        <f>'취득원가 및 VAT'!E38</f>
        <v>지하안전영향평가5)</v>
      </c>
      <c r="E316" s="32"/>
      <c r="F316" s="32">
        <f>'취득원가 및 VAT'!G38</f>
        <v>84.753053319999992</v>
      </c>
      <c r="G316" s="32">
        <f>'취득원가 및 VAT'!M38</f>
        <v>6.8732583893577095</v>
      </c>
      <c r="H316" s="32"/>
      <c r="I316" s="32"/>
      <c r="J316" s="32"/>
      <c r="K316" s="32"/>
      <c r="L316" s="32"/>
      <c r="M316" s="32">
        <f t="shared" si="443"/>
        <v>6.8732583893577095</v>
      </c>
      <c r="N316" s="32"/>
      <c r="O316" s="32">
        <f t="shared" si="444"/>
        <v>2.0619775168073127</v>
      </c>
      <c r="P316" s="32">
        <f t="shared" si="444"/>
        <v>0</v>
      </c>
      <c r="Q316" s="32">
        <f t="shared" si="444"/>
        <v>0</v>
      </c>
      <c r="R316" s="32">
        <f t="shared" si="444"/>
        <v>2.0619775168073127</v>
      </c>
      <c r="S316" s="32">
        <f t="shared" si="444"/>
        <v>0</v>
      </c>
      <c r="T316" s="32">
        <f t="shared" si="444"/>
        <v>0</v>
      </c>
      <c r="U316" s="32">
        <f t="shared" si="444"/>
        <v>0</v>
      </c>
      <c r="V316" s="32">
        <f t="shared" si="444"/>
        <v>0</v>
      </c>
      <c r="W316" s="32">
        <f t="shared" si="444"/>
        <v>0</v>
      </c>
      <c r="X316" s="32">
        <f t="shared" si="444"/>
        <v>0</v>
      </c>
      <c r="Y316" s="32">
        <f t="shared" si="445"/>
        <v>0</v>
      </c>
      <c r="Z316" s="32">
        <f t="shared" si="445"/>
        <v>0</v>
      </c>
      <c r="AA316" s="32">
        <f t="shared" si="445"/>
        <v>0</v>
      </c>
      <c r="AB316" s="32">
        <f t="shared" si="445"/>
        <v>0</v>
      </c>
      <c r="AC316" s="32">
        <f t="shared" si="445"/>
        <v>2.7493033557430842</v>
      </c>
      <c r="AD316" s="32">
        <f t="shared" si="445"/>
        <v>0</v>
      </c>
      <c r="AE316" s="32">
        <f t="shared" si="445"/>
        <v>0</v>
      </c>
      <c r="AF316" s="32">
        <f t="shared" si="445"/>
        <v>0</v>
      </c>
      <c r="AG316" s="32">
        <f t="shared" si="445"/>
        <v>0</v>
      </c>
      <c r="AH316" s="32">
        <f t="shared" si="445"/>
        <v>0</v>
      </c>
      <c r="AI316" s="32">
        <f t="shared" si="446"/>
        <v>0</v>
      </c>
      <c r="AJ316" s="32">
        <f t="shared" si="446"/>
        <v>0</v>
      </c>
      <c r="AK316" s="32">
        <f t="shared" si="446"/>
        <v>0</v>
      </c>
      <c r="AL316" s="32">
        <f t="shared" si="446"/>
        <v>0</v>
      </c>
      <c r="AM316" s="32">
        <f t="shared" si="446"/>
        <v>0</v>
      </c>
      <c r="AN316" s="32">
        <f t="shared" si="446"/>
        <v>0</v>
      </c>
      <c r="AO316" s="32">
        <f t="shared" si="446"/>
        <v>0</v>
      </c>
      <c r="AP316" s="32">
        <f t="shared" si="446"/>
        <v>0</v>
      </c>
      <c r="AQ316" s="32">
        <f t="shared" si="446"/>
        <v>0</v>
      </c>
      <c r="AR316" s="32">
        <f t="shared" si="446"/>
        <v>0</v>
      </c>
      <c r="AS316" s="32">
        <f t="shared" si="447"/>
        <v>0</v>
      </c>
      <c r="AT316" s="32">
        <f t="shared" si="447"/>
        <v>0</v>
      </c>
      <c r="AU316" s="32">
        <f t="shared" si="447"/>
        <v>0</v>
      </c>
      <c r="AV316" s="32">
        <f t="shared" si="447"/>
        <v>0</v>
      </c>
      <c r="AW316" s="32">
        <f t="shared" si="447"/>
        <v>0</v>
      </c>
      <c r="AX316" s="32">
        <f t="shared" si="447"/>
        <v>0</v>
      </c>
      <c r="AY316" s="32">
        <f t="shared" si="447"/>
        <v>0</v>
      </c>
      <c r="AZ316" s="32">
        <f t="shared" si="447"/>
        <v>0</v>
      </c>
      <c r="BA316" s="32">
        <f t="shared" si="447"/>
        <v>0</v>
      </c>
      <c r="BB316" s="32">
        <f t="shared" si="447"/>
        <v>0</v>
      </c>
      <c r="BC316" s="32">
        <f t="shared" si="448"/>
        <v>0</v>
      </c>
      <c r="BD316" s="32">
        <f t="shared" si="448"/>
        <v>0</v>
      </c>
      <c r="BE316" s="32">
        <f t="shared" si="448"/>
        <v>0</v>
      </c>
      <c r="BF316" s="32">
        <f t="shared" si="448"/>
        <v>0</v>
      </c>
      <c r="BG316" s="32">
        <f t="shared" si="448"/>
        <v>0</v>
      </c>
      <c r="BH316" s="32">
        <f t="shared" si="448"/>
        <v>0</v>
      </c>
      <c r="BI316" s="32">
        <f t="shared" si="448"/>
        <v>0</v>
      </c>
      <c r="BJ316" s="32">
        <f t="shared" si="448"/>
        <v>0</v>
      </c>
      <c r="BK316" s="32">
        <f t="shared" si="448"/>
        <v>0</v>
      </c>
      <c r="BL316" s="32">
        <f t="shared" si="448"/>
        <v>0</v>
      </c>
      <c r="BM316" s="32">
        <f t="shared" si="448"/>
        <v>0</v>
      </c>
      <c r="BN316" s="32">
        <f t="shared" si="448"/>
        <v>0</v>
      </c>
      <c r="BO316" s="32">
        <f t="shared" si="448"/>
        <v>0</v>
      </c>
      <c r="BP316" s="32">
        <f t="shared" si="448"/>
        <v>0</v>
      </c>
      <c r="BQ316" s="32">
        <f t="shared" si="448"/>
        <v>0</v>
      </c>
    </row>
    <row r="317" spans="2:69" ht="13.5" customHeight="1">
      <c r="C317" s="31"/>
      <c r="D317" s="33" t="str">
        <f>'취득원가 및 VAT'!E39</f>
        <v>교육환경영향평가</v>
      </c>
      <c r="E317" s="24"/>
      <c r="F317" s="196">
        <f>'취득원가 및 VAT'!G39</f>
        <v>50</v>
      </c>
      <c r="G317" s="196">
        <f>'취득원가 및 VAT'!M39</f>
        <v>4.0548736122853999</v>
      </c>
      <c r="H317" s="196"/>
      <c r="I317" s="196"/>
      <c r="J317" s="196"/>
      <c r="K317" s="196"/>
      <c r="L317" s="196"/>
      <c r="M317" s="196">
        <f t="shared" si="443"/>
        <v>4.0548736122853999</v>
      </c>
      <c r="N317" s="196"/>
      <c r="O317" s="196">
        <f t="shared" si="444"/>
        <v>1.2164620836856199</v>
      </c>
      <c r="P317" s="196">
        <f t="shared" si="444"/>
        <v>0</v>
      </c>
      <c r="Q317" s="196">
        <f t="shared" si="444"/>
        <v>0</v>
      </c>
      <c r="R317" s="196">
        <f t="shared" si="444"/>
        <v>1.2164620836856199</v>
      </c>
      <c r="S317" s="196">
        <f t="shared" si="444"/>
        <v>0</v>
      </c>
      <c r="T317" s="196">
        <f t="shared" si="444"/>
        <v>0</v>
      </c>
      <c r="U317" s="196">
        <f t="shared" si="444"/>
        <v>0</v>
      </c>
      <c r="V317" s="196">
        <f t="shared" si="444"/>
        <v>0</v>
      </c>
      <c r="W317" s="196">
        <f t="shared" si="444"/>
        <v>0</v>
      </c>
      <c r="X317" s="196">
        <f t="shared" si="444"/>
        <v>0</v>
      </c>
      <c r="Y317" s="196">
        <f t="shared" si="445"/>
        <v>0</v>
      </c>
      <c r="Z317" s="196">
        <f t="shared" si="445"/>
        <v>0</v>
      </c>
      <c r="AA317" s="196">
        <f t="shared" si="445"/>
        <v>0</v>
      </c>
      <c r="AB317" s="196">
        <f t="shared" si="445"/>
        <v>0</v>
      </c>
      <c r="AC317" s="196">
        <f t="shared" si="445"/>
        <v>1.62194944491416</v>
      </c>
      <c r="AD317" s="196">
        <f t="shared" si="445"/>
        <v>0</v>
      </c>
      <c r="AE317" s="196">
        <f t="shared" si="445"/>
        <v>0</v>
      </c>
      <c r="AF317" s="196">
        <f t="shared" si="445"/>
        <v>0</v>
      </c>
      <c r="AG317" s="196">
        <f t="shared" si="445"/>
        <v>0</v>
      </c>
      <c r="AH317" s="196">
        <f t="shared" si="445"/>
        <v>0</v>
      </c>
      <c r="AI317" s="196">
        <f t="shared" si="446"/>
        <v>0</v>
      </c>
      <c r="AJ317" s="196">
        <f t="shared" si="446"/>
        <v>0</v>
      </c>
      <c r="AK317" s="196">
        <f t="shared" si="446"/>
        <v>0</v>
      </c>
      <c r="AL317" s="196">
        <f t="shared" si="446"/>
        <v>0</v>
      </c>
      <c r="AM317" s="196">
        <f t="shared" si="446"/>
        <v>0</v>
      </c>
      <c r="AN317" s="196">
        <f t="shared" si="446"/>
        <v>0</v>
      </c>
      <c r="AO317" s="196">
        <f t="shared" si="446"/>
        <v>0</v>
      </c>
      <c r="AP317" s="196">
        <f t="shared" si="446"/>
        <v>0</v>
      </c>
      <c r="AQ317" s="196">
        <f t="shared" si="446"/>
        <v>0</v>
      </c>
      <c r="AR317" s="196">
        <f t="shared" si="446"/>
        <v>0</v>
      </c>
      <c r="AS317" s="196">
        <f t="shared" si="447"/>
        <v>0</v>
      </c>
      <c r="AT317" s="196">
        <f t="shared" si="447"/>
        <v>0</v>
      </c>
      <c r="AU317" s="196">
        <f t="shared" si="447"/>
        <v>0</v>
      </c>
      <c r="AV317" s="196">
        <f t="shared" si="447"/>
        <v>0</v>
      </c>
      <c r="AW317" s="196">
        <f t="shared" si="447"/>
        <v>0</v>
      </c>
      <c r="AX317" s="196">
        <f t="shared" si="447"/>
        <v>0</v>
      </c>
      <c r="AY317" s="196">
        <f t="shared" si="447"/>
        <v>0</v>
      </c>
      <c r="AZ317" s="196">
        <f t="shared" si="447"/>
        <v>0</v>
      </c>
      <c r="BA317" s="196">
        <f t="shared" si="447"/>
        <v>0</v>
      </c>
      <c r="BB317" s="196">
        <f t="shared" si="447"/>
        <v>0</v>
      </c>
      <c r="BC317" s="196">
        <f t="shared" si="448"/>
        <v>0</v>
      </c>
      <c r="BD317" s="196">
        <f t="shared" si="448"/>
        <v>0</v>
      </c>
      <c r="BE317" s="196">
        <f t="shared" si="448"/>
        <v>0</v>
      </c>
      <c r="BF317" s="196">
        <f t="shared" si="448"/>
        <v>0</v>
      </c>
      <c r="BG317" s="196">
        <f t="shared" si="448"/>
        <v>0</v>
      </c>
      <c r="BH317" s="196">
        <f t="shared" si="448"/>
        <v>0</v>
      </c>
      <c r="BI317" s="196">
        <f t="shared" si="448"/>
        <v>0</v>
      </c>
      <c r="BJ317" s="196">
        <f t="shared" si="448"/>
        <v>0</v>
      </c>
      <c r="BK317" s="196">
        <f t="shared" si="448"/>
        <v>0</v>
      </c>
      <c r="BL317" s="196">
        <f t="shared" si="448"/>
        <v>0</v>
      </c>
      <c r="BM317" s="196">
        <f t="shared" si="448"/>
        <v>0</v>
      </c>
      <c r="BN317" s="196">
        <f t="shared" si="448"/>
        <v>0</v>
      </c>
      <c r="BO317" s="196">
        <f t="shared" si="448"/>
        <v>0</v>
      </c>
      <c r="BP317" s="196">
        <f t="shared" si="448"/>
        <v>0</v>
      </c>
      <c r="BQ317" s="196">
        <f t="shared" si="448"/>
        <v>0</v>
      </c>
    </row>
    <row r="318" spans="2:69" ht="13.5" customHeight="1">
      <c r="B318" s="14"/>
      <c r="C318" s="79" t="str">
        <f>'취득원가 및 VAT'!D40</f>
        <v>AMC매입보수</v>
      </c>
      <c r="D318" s="49"/>
      <c r="E318" s="49"/>
      <c r="F318" s="192">
        <f ca="1">'취득원가 및 VAT'!G40</f>
        <v>3222.5587386163011</v>
      </c>
      <c r="G318" s="192">
        <f ca="1">'취득원가 및 VAT'!M40</f>
        <v>261.34136786509924</v>
      </c>
      <c r="H318" s="192"/>
      <c r="I318" s="192"/>
      <c r="J318" s="192"/>
      <c r="K318" s="192"/>
      <c r="L318" s="192"/>
      <c r="M318" s="192">
        <f t="shared" ca="1" si="443"/>
        <v>261.34136786549578</v>
      </c>
      <c r="N318" s="192"/>
      <c r="O318" s="192">
        <f t="shared" ca="1" si="444"/>
        <v>78.402410359529782</v>
      </c>
      <c r="P318" s="192">
        <f t="shared" ca="1" si="444"/>
        <v>0</v>
      </c>
      <c r="Q318" s="192">
        <f t="shared" ca="1" si="444"/>
        <v>0</v>
      </c>
      <c r="R318" s="192">
        <f t="shared" ca="1" si="444"/>
        <v>78.402410359529782</v>
      </c>
      <c r="S318" s="192">
        <f t="shared" ca="1" si="444"/>
        <v>0</v>
      </c>
      <c r="T318" s="192">
        <f t="shared" ca="1" si="444"/>
        <v>0</v>
      </c>
      <c r="U318" s="192">
        <f t="shared" ca="1" si="444"/>
        <v>0</v>
      </c>
      <c r="V318" s="192">
        <f t="shared" ca="1" si="444"/>
        <v>0</v>
      </c>
      <c r="W318" s="192">
        <f t="shared" ca="1" si="444"/>
        <v>0</v>
      </c>
      <c r="X318" s="192">
        <f t="shared" ca="1" si="444"/>
        <v>0</v>
      </c>
      <c r="Y318" s="192">
        <f t="shared" ca="1" si="445"/>
        <v>0</v>
      </c>
      <c r="Z318" s="192">
        <f t="shared" ca="1" si="445"/>
        <v>0</v>
      </c>
      <c r="AA318" s="192">
        <f t="shared" ca="1" si="445"/>
        <v>0</v>
      </c>
      <c r="AB318" s="192">
        <f t="shared" ca="1" si="445"/>
        <v>0</v>
      </c>
      <c r="AC318" s="192">
        <f t="shared" ca="1" si="445"/>
        <v>0</v>
      </c>
      <c r="AD318" s="192">
        <f t="shared" ca="1" si="445"/>
        <v>104.53654714603971</v>
      </c>
      <c r="AE318" s="192">
        <f t="shared" ca="1" si="445"/>
        <v>0</v>
      </c>
      <c r="AF318" s="192">
        <f t="shared" ca="1" si="445"/>
        <v>0</v>
      </c>
      <c r="AG318" s="192">
        <f t="shared" ca="1" si="445"/>
        <v>0</v>
      </c>
      <c r="AH318" s="192">
        <f t="shared" ca="1" si="445"/>
        <v>0</v>
      </c>
      <c r="AI318" s="192">
        <f t="shared" ca="1" si="446"/>
        <v>0</v>
      </c>
      <c r="AJ318" s="192">
        <f t="shared" ca="1" si="446"/>
        <v>0</v>
      </c>
      <c r="AK318" s="192">
        <f t="shared" ca="1" si="446"/>
        <v>0</v>
      </c>
      <c r="AL318" s="192">
        <f t="shared" ca="1" si="446"/>
        <v>0</v>
      </c>
      <c r="AM318" s="192">
        <f t="shared" ca="1" si="446"/>
        <v>0</v>
      </c>
      <c r="AN318" s="192">
        <f t="shared" ca="1" si="446"/>
        <v>0</v>
      </c>
      <c r="AO318" s="192">
        <f t="shared" ca="1" si="446"/>
        <v>0</v>
      </c>
      <c r="AP318" s="192">
        <f t="shared" ca="1" si="446"/>
        <v>0</v>
      </c>
      <c r="AQ318" s="192">
        <f t="shared" ca="1" si="446"/>
        <v>0</v>
      </c>
      <c r="AR318" s="192">
        <f t="shared" ca="1" si="446"/>
        <v>0</v>
      </c>
      <c r="AS318" s="192">
        <f t="shared" ca="1" si="447"/>
        <v>0</v>
      </c>
      <c r="AT318" s="192">
        <f t="shared" ca="1" si="447"/>
        <v>0</v>
      </c>
      <c r="AU318" s="192">
        <f t="shared" ca="1" si="447"/>
        <v>0</v>
      </c>
      <c r="AV318" s="192">
        <f t="shared" ca="1" si="447"/>
        <v>0</v>
      </c>
      <c r="AW318" s="192">
        <f t="shared" ca="1" si="447"/>
        <v>0</v>
      </c>
      <c r="AX318" s="192">
        <f t="shared" ca="1" si="447"/>
        <v>0</v>
      </c>
      <c r="AY318" s="192">
        <f t="shared" ca="1" si="447"/>
        <v>0</v>
      </c>
      <c r="AZ318" s="192">
        <f t="shared" ca="1" si="447"/>
        <v>0</v>
      </c>
      <c r="BA318" s="192">
        <f t="shared" ca="1" si="447"/>
        <v>0</v>
      </c>
      <c r="BB318" s="192">
        <f t="shared" ca="1" si="447"/>
        <v>0</v>
      </c>
      <c r="BC318" s="192">
        <f t="shared" ca="1" si="448"/>
        <v>0</v>
      </c>
      <c r="BD318" s="192">
        <f t="shared" ca="1" si="448"/>
        <v>0</v>
      </c>
      <c r="BE318" s="192">
        <f t="shared" ca="1" si="448"/>
        <v>0</v>
      </c>
      <c r="BF318" s="192">
        <f t="shared" ca="1" si="448"/>
        <v>0</v>
      </c>
      <c r="BG318" s="192">
        <f t="shared" ca="1" si="448"/>
        <v>0</v>
      </c>
      <c r="BH318" s="192">
        <f t="shared" ca="1" si="448"/>
        <v>0</v>
      </c>
      <c r="BI318" s="192">
        <f t="shared" ca="1" si="448"/>
        <v>0</v>
      </c>
      <c r="BJ318" s="192">
        <f t="shared" ca="1" si="448"/>
        <v>0</v>
      </c>
      <c r="BK318" s="192">
        <f t="shared" ca="1" si="448"/>
        <v>0</v>
      </c>
      <c r="BL318" s="192">
        <f t="shared" ca="1" si="448"/>
        <v>0</v>
      </c>
      <c r="BM318" s="192">
        <f t="shared" ca="1" si="448"/>
        <v>0</v>
      </c>
      <c r="BN318" s="192">
        <f t="shared" ca="1" si="448"/>
        <v>0</v>
      </c>
      <c r="BO318" s="192">
        <f t="shared" ca="1" si="448"/>
        <v>0</v>
      </c>
      <c r="BP318" s="192">
        <f t="shared" ca="1" si="448"/>
        <v>0</v>
      </c>
      <c r="BQ318" s="192">
        <f t="shared" ca="1" si="448"/>
        <v>0</v>
      </c>
    </row>
    <row r="319" spans="2:69" ht="13.5" customHeight="1">
      <c r="B319" s="14"/>
      <c r="C319" s="79" t="str">
        <f>'취득원가 및 VAT'!D41</f>
        <v>사업타당성 용역비</v>
      </c>
      <c r="D319" s="49"/>
      <c r="E319" s="49"/>
      <c r="F319" s="192">
        <f>'취득원가 및 VAT'!G41</f>
        <v>70</v>
      </c>
      <c r="G319" s="192">
        <f>'취득원가 및 VAT'!M41</f>
        <v>5.6768230571995595</v>
      </c>
      <c r="H319" s="192"/>
      <c r="I319" s="192"/>
      <c r="J319" s="192"/>
      <c r="K319" s="192"/>
      <c r="L319" s="192"/>
      <c r="M319" s="192">
        <f t="shared" si="443"/>
        <v>5.6768230571995604</v>
      </c>
      <c r="N319" s="192"/>
      <c r="O319" s="192">
        <f t="shared" ref="O319:X328" si="449">IFERROR(SUMIF($C$13:$C$138,$C319,O$13:O$138)*($G319/$F319)+SUMIF($D$13:$D$138,$D319,O$13:O$138)*($G319/$F319),"")</f>
        <v>0</v>
      </c>
      <c r="P319" s="192">
        <f t="shared" si="449"/>
        <v>0</v>
      </c>
      <c r="Q319" s="192">
        <f t="shared" si="449"/>
        <v>0</v>
      </c>
      <c r="R319" s="192">
        <f t="shared" si="449"/>
        <v>2.8384115285997802</v>
      </c>
      <c r="S319" s="192">
        <f t="shared" si="449"/>
        <v>0</v>
      </c>
      <c r="T319" s="192">
        <f t="shared" si="449"/>
        <v>0</v>
      </c>
      <c r="U319" s="192">
        <f t="shared" si="449"/>
        <v>0</v>
      </c>
      <c r="V319" s="192">
        <f t="shared" si="449"/>
        <v>0</v>
      </c>
      <c r="W319" s="192">
        <f t="shared" si="449"/>
        <v>0</v>
      </c>
      <c r="X319" s="192">
        <f t="shared" si="449"/>
        <v>0</v>
      </c>
      <c r="Y319" s="192">
        <f t="shared" ref="Y319:AH328" si="450">IFERROR(SUMIF($C$13:$C$138,$C319,Y$13:Y$138)*($G319/$F319)+SUMIF($D$13:$D$138,$D319,Y$13:Y$138)*($G319/$F319),"")</f>
        <v>0</v>
      </c>
      <c r="Z319" s="192">
        <f t="shared" si="450"/>
        <v>0</v>
      </c>
      <c r="AA319" s="192">
        <f t="shared" si="450"/>
        <v>0</v>
      </c>
      <c r="AB319" s="192">
        <f t="shared" si="450"/>
        <v>0</v>
      </c>
      <c r="AC319" s="192">
        <f t="shared" si="450"/>
        <v>0</v>
      </c>
      <c r="AD319" s="192">
        <f t="shared" si="450"/>
        <v>2.8384115285997802</v>
      </c>
      <c r="AE319" s="192">
        <f t="shared" si="450"/>
        <v>0</v>
      </c>
      <c r="AF319" s="192">
        <f t="shared" si="450"/>
        <v>0</v>
      </c>
      <c r="AG319" s="192">
        <f t="shared" si="450"/>
        <v>0</v>
      </c>
      <c r="AH319" s="192">
        <f t="shared" si="450"/>
        <v>0</v>
      </c>
      <c r="AI319" s="192">
        <f t="shared" ref="AI319:AR328" si="451">IFERROR(SUMIF($C$13:$C$138,$C319,AI$13:AI$138)*($G319/$F319)+SUMIF($D$13:$D$138,$D319,AI$13:AI$138)*($G319/$F319),"")</f>
        <v>0</v>
      </c>
      <c r="AJ319" s="192">
        <f t="shared" si="451"/>
        <v>0</v>
      </c>
      <c r="AK319" s="192">
        <f t="shared" si="451"/>
        <v>0</v>
      </c>
      <c r="AL319" s="192">
        <f t="shared" si="451"/>
        <v>0</v>
      </c>
      <c r="AM319" s="192">
        <f t="shared" si="451"/>
        <v>0</v>
      </c>
      <c r="AN319" s="192">
        <f t="shared" si="451"/>
        <v>0</v>
      </c>
      <c r="AO319" s="192">
        <f t="shared" si="451"/>
        <v>0</v>
      </c>
      <c r="AP319" s="192">
        <f t="shared" si="451"/>
        <v>0</v>
      </c>
      <c r="AQ319" s="192">
        <f t="shared" si="451"/>
        <v>0</v>
      </c>
      <c r="AR319" s="192">
        <f t="shared" si="451"/>
        <v>0</v>
      </c>
      <c r="AS319" s="192">
        <f t="shared" ref="AS319:BB328" si="452">IFERROR(SUMIF($C$13:$C$138,$C319,AS$13:AS$138)*($G319/$F319)+SUMIF($D$13:$D$138,$D319,AS$13:AS$138)*($G319/$F319),"")</f>
        <v>0</v>
      </c>
      <c r="AT319" s="192">
        <f t="shared" si="452"/>
        <v>0</v>
      </c>
      <c r="AU319" s="192">
        <f t="shared" si="452"/>
        <v>0</v>
      </c>
      <c r="AV319" s="192">
        <f t="shared" si="452"/>
        <v>0</v>
      </c>
      <c r="AW319" s="192">
        <f t="shared" si="452"/>
        <v>0</v>
      </c>
      <c r="AX319" s="192">
        <f t="shared" si="452"/>
        <v>0</v>
      </c>
      <c r="AY319" s="192">
        <f t="shared" si="452"/>
        <v>0</v>
      </c>
      <c r="AZ319" s="192">
        <f t="shared" si="452"/>
        <v>0</v>
      </c>
      <c r="BA319" s="192">
        <f t="shared" si="452"/>
        <v>0</v>
      </c>
      <c r="BB319" s="192">
        <f t="shared" si="452"/>
        <v>0</v>
      </c>
      <c r="BC319" s="192">
        <f t="shared" ref="BC319:BQ328" si="453">IFERROR(SUMIF($C$13:$C$138,$C319,BC$13:BC$138)*($G319/$F319)+SUMIF($D$13:$D$138,$D319,BC$13:BC$138)*($G319/$F319),"")</f>
        <v>0</v>
      </c>
      <c r="BD319" s="192">
        <f t="shared" si="453"/>
        <v>0</v>
      </c>
      <c r="BE319" s="192">
        <f t="shared" si="453"/>
        <v>0</v>
      </c>
      <c r="BF319" s="192">
        <f t="shared" si="453"/>
        <v>0</v>
      </c>
      <c r="BG319" s="192">
        <f t="shared" si="453"/>
        <v>0</v>
      </c>
      <c r="BH319" s="192">
        <f t="shared" si="453"/>
        <v>0</v>
      </c>
      <c r="BI319" s="192">
        <f t="shared" si="453"/>
        <v>0</v>
      </c>
      <c r="BJ319" s="192">
        <f t="shared" si="453"/>
        <v>0</v>
      </c>
      <c r="BK319" s="192">
        <f t="shared" si="453"/>
        <v>0</v>
      </c>
      <c r="BL319" s="192">
        <f t="shared" si="453"/>
        <v>0</v>
      </c>
      <c r="BM319" s="192">
        <f t="shared" si="453"/>
        <v>0</v>
      </c>
      <c r="BN319" s="192">
        <f t="shared" si="453"/>
        <v>0</v>
      </c>
      <c r="BO319" s="192">
        <f t="shared" si="453"/>
        <v>0</v>
      </c>
      <c r="BP319" s="192">
        <f t="shared" si="453"/>
        <v>0</v>
      </c>
      <c r="BQ319" s="192">
        <f t="shared" si="453"/>
        <v>0</v>
      </c>
    </row>
    <row r="320" spans="2:69" ht="13.5" customHeight="1">
      <c r="B320" s="14"/>
      <c r="C320" s="79" t="str">
        <f>'취득원가 및 VAT'!D42</f>
        <v>법률자문</v>
      </c>
      <c r="D320" s="49"/>
      <c r="E320" s="49"/>
      <c r="F320" s="192">
        <f>'취득원가 및 VAT'!G42</f>
        <v>100</v>
      </c>
      <c r="G320" s="192">
        <f>'취득원가 및 VAT'!M42</f>
        <v>8.1097472245707998</v>
      </c>
      <c r="H320" s="192"/>
      <c r="I320" s="192"/>
      <c r="J320" s="192"/>
      <c r="K320" s="192"/>
      <c r="L320" s="192"/>
      <c r="M320" s="192">
        <f t="shared" si="443"/>
        <v>8.1097472245707998</v>
      </c>
      <c r="N320" s="192"/>
      <c r="O320" s="192">
        <f t="shared" si="449"/>
        <v>4.0548736122853999</v>
      </c>
      <c r="P320" s="192">
        <f t="shared" si="449"/>
        <v>0</v>
      </c>
      <c r="Q320" s="192">
        <f t="shared" si="449"/>
        <v>0</v>
      </c>
      <c r="R320" s="192">
        <f t="shared" si="449"/>
        <v>0</v>
      </c>
      <c r="S320" s="192">
        <f t="shared" si="449"/>
        <v>0</v>
      </c>
      <c r="T320" s="192">
        <f t="shared" si="449"/>
        <v>0</v>
      </c>
      <c r="U320" s="192">
        <f t="shared" si="449"/>
        <v>0</v>
      </c>
      <c r="V320" s="192">
        <f t="shared" si="449"/>
        <v>0</v>
      </c>
      <c r="W320" s="192">
        <f t="shared" si="449"/>
        <v>0</v>
      </c>
      <c r="X320" s="192">
        <f t="shared" si="449"/>
        <v>0</v>
      </c>
      <c r="Y320" s="192">
        <f t="shared" si="450"/>
        <v>0</v>
      </c>
      <c r="Z320" s="192">
        <f t="shared" si="450"/>
        <v>0</v>
      </c>
      <c r="AA320" s="192">
        <f t="shared" si="450"/>
        <v>0</v>
      </c>
      <c r="AB320" s="192">
        <f t="shared" si="450"/>
        <v>0</v>
      </c>
      <c r="AC320" s="192">
        <f t="shared" si="450"/>
        <v>0</v>
      </c>
      <c r="AD320" s="192">
        <f t="shared" si="450"/>
        <v>4.0548736122853999</v>
      </c>
      <c r="AE320" s="192">
        <f t="shared" si="450"/>
        <v>0</v>
      </c>
      <c r="AF320" s="192">
        <f t="shared" si="450"/>
        <v>0</v>
      </c>
      <c r="AG320" s="192">
        <f t="shared" si="450"/>
        <v>0</v>
      </c>
      <c r="AH320" s="192">
        <f t="shared" si="450"/>
        <v>0</v>
      </c>
      <c r="AI320" s="192">
        <f t="shared" si="451"/>
        <v>0</v>
      </c>
      <c r="AJ320" s="192">
        <f t="shared" si="451"/>
        <v>0</v>
      </c>
      <c r="AK320" s="192">
        <f t="shared" si="451"/>
        <v>0</v>
      </c>
      <c r="AL320" s="192">
        <f t="shared" si="451"/>
        <v>0</v>
      </c>
      <c r="AM320" s="192">
        <f t="shared" si="451"/>
        <v>0</v>
      </c>
      <c r="AN320" s="192">
        <f t="shared" si="451"/>
        <v>0</v>
      </c>
      <c r="AO320" s="192">
        <f t="shared" si="451"/>
        <v>0</v>
      </c>
      <c r="AP320" s="192">
        <f t="shared" si="451"/>
        <v>0</v>
      </c>
      <c r="AQ320" s="192">
        <f t="shared" si="451"/>
        <v>0</v>
      </c>
      <c r="AR320" s="192">
        <f t="shared" si="451"/>
        <v>0</v>
      </c>
      <c r="AS320" s="192">
        <f t="shared" si="452"/>
        <v>0</v>
      </c>
      <c r="AT320" s="192">
        <f t="shared" si="452"/>
        <v>0</v>
      </c>
      <c r="AU320" s="192">
        <f t="shared" si="452"/>
        <v>0</v>
      </c>
      <c r="AV320" s="192">
        <f t="shared" si="452"/>
        <v>0</v>
      </c>
      <c r="AW320" s="192">
        <f t="shared" si="452"/>
        <v>0</v>
      </c>
      <c r="AX320" s="192">
        <f t="shared" si="452"/>
        <v>0</v>
      </c>
      <c r="AY320" s="192">
        <f t="shared" si="452"/>
        <v>0</v>
      </c>
      <c r="AZ320" s="192">
        <f t="shared" si="452"/>
        <v>0</v>
      </c>
      <c r="BA320" s="192">
        <f t="shared" si="452"/>
        <v>0</v>
      </c>
      <c r="BB320" s="192">
        <f t="shared" si="452"/>
        <v>0</v>
      </c>
      <c r="BC320" s="192">
        <f t="shared" si="453"/>
        <v>0</v>
      </c>
      <c r="BD320" s="192">
        <f t="shared" si="453"/>
        <v>0</v>
      </c>
      <c r="BE320" s="192">
        <f t="shared" si="453"/>
        <v>0</v>
      </c>
      <c r="BF320" s="192">
        <f t="shared" si="453"/>
        <v>0</v>
      </c>
      <c r="BG320" s="192">
        <f t="shared" si="453"/>
        <v>0</v>
      </c>
      <c r="BH320" s="192">
        <f t="shared" si="453"/>
        <v>0</v>
      </c>
      <c r="BI320" s="192">
        <f t="shared" si="453"/>
        <v>0</v>
      </c>
      <c r="BJ320" s="192">
        <f t="shared" si="453"/>
        <v>0</v>
      </c>
      <c r="BK320" s="192">
        <f t="shared" si="453"/>
        <v>0</v>
      </c>
      <c r="BL320" s="192">
        <f t="shared" si="453"/>
        <v>0</v>
      </c>
      <c r="BM320" s="192">
        <f t="shared" si="453"/>
        <v>0</v>
      </c>
      <c r="BN320" s="192">
        <f t="shared" si="453"/>
        <v>0</v>
      </c>
      <c r="BO320" s="192">
        <f t="shared" si="453"/>
        <v>0</v>
      </c>
      <c r="BP320" s="192">
        <f t="shared" si="453"/>
        <v>0</v>
      </c>
      <c r="BQ320" s="192">
        <f t="shared" si="453"/>
        <v>0</v>
      </c>
    </row>
    <row r="321" spans="2:69" ht="13.5" customHeight="1">
      <c r="B321" s="14"/>
      <c r="C321" s="79" t="str">
        <f>'취득원가 및 VAT'!D43</f>
        <v>감정평가6)</v>
      </c>
      <c r="D321" s="49"/>
      <c r="E321" s="49"/>
      <c r="F321" s="192">
        <f>'취득원가 및 VAT'!G43</f>
        <v>77.193749999999994</v>
      </c>
      <c r="G321" s="192">
        <f>'취득원가 및 VAT'!M43</f>
        <v>7.7193749999999994</v>
      </c>
      <c r="H321" s="192"/>
      <c r="I321" s="192"/>
      <c r="J321" s="192"/>
      <c r="K321" s="192"/>
      <c r="L321" s="192"/>
      <c r="M321" s="192">
        <f t="shared" si="443"/>
        <v>7.7193749999999994</v>
      </c>
      <c r="N321" s="192"/>
      <c r="O321" s="192">
        <f t="shared" si="449"/>
        <v>7.7193749999999994</v>
      </c>
      <c r="P321" s="192">
        <f t="shared" si="449"/>
        <v>0</v>
      </c>
      <c r="Q321" s="192">
        <f t="shared" si="449"/>
        <v>0</v>
      </c>
      <c r="R321" s="192">
        <f t="shared" si="449"/>
        <v>0</v>
      </c>
      <c r="S321" s="192">
        <f t="shared" si="449"/>
        <v>0</v>
      </c>
      <c r="T321" s="192">
        <f t="shared" si="449"/>
        <v>0</v>
      </c>
      <c r="U321" s="192">
        <f t="shared" si="449"/>
        <v>0</v>
      </c>
      <c r="V321" s="192">
        <f t="shared" si="449"/>
        <v>0</v>
      </c>
      <c r="W321" s="192">
        <f t="shared" si="449"/>
        <v>0</v>
      </c>
      <c r="X321" s="192">
        <f t="shared" si="449"/>
        <v>0</v>
      </c>
      <c r="Y321" s="192">
        <f t="shared" si="450"/>
        <v>0</v>
      </c>
      <c r="Z321" s="192">
        <f t="shared" si="450"/>
        <v>0</v>
      </c>
      <c r="AA321" s="192">
        <f t="shared" si="450"/>
        <v>0</v>
      </c>
      <c r="AB321" s="192">
        <f t="shared" si="450"/>
        <v>0</v>
      </c>
      <c r="AC321" s="192">
        <f t="shared" si="450"/>
        <v>0</v>
      </c>
      <c r="AD321" s="192">
        <f t="shared" si="450"/>
        <v>0</v>
      </c>
      <c r="AE321" s="192">
        <f t="shared" si="450"/>
        <v>0</v>
      </c>
      <c r="AF321" s="192">
        <f t="shared" si="450"/>
        <v>0</v>
      </c>
      <c r="AG321" s="192">
        <f t="shared" si="450"/>
        <v>0</v>
      </c>
      <c r="AH321" s="192">
        <f t="shared" si="450"/>
        <v>0</v>
      </c>
      <c r="AI321" s="192">
        <f t="shared" si="451"/>
        <v>0</v>
      </c>
      <c r="AJ321" s="192">
        <f t="shared" si="451"/>
        <v>0</v>
      </c>
      <c r="AK321" s="192">
        <f t="shared" si="451"/>
        <v>0</v>
      </c>
      <c r="AL321" s="192">
        <f t="shared" si="451"/>
        <v>0</v>
      </c>
      <c r="AM321" s="192">
        <f t="shared" si="451"/>
        <v>0</v>
      </c>
      <c r="AN321" s="192">
        <f t="shared" si="451"/>
        <v>0</v>
      </c>
      <c r="AO321" s="192">
        <f t="shared" si="451"/>
        <v>0</v>
      </c>
      <c r="AP321" s="192">
        <f t="shared" si="451"/>
        <v>0</v>
      </c>
      <c r="AQ321" s="192">
        <f t="shared" si="451"/>
        <v>0</v>
      </c>
      <c r="AR321" s="192">
        <f t="shared" si="451"/>
        <v>0</v>
      </c>
      <c r="AS321" s="192">
        <f t="shared" si="452"/>
        <v>0</v>
      </c>
      <c r="AT321" s="192">
        <f t="shared" si="452"/>
        <v>0</v>
      </c>
      <c r="AU321" s="192">
        <f t="shared" si="452"/>
        <v>0</v>
      </c>
      <c r="AV321" s="192">
        <f t="shared" si="452"/>
        <v>0</v>
      </c>
      <c r="AW321" s="192">
        <f t="shared" si="452"/>
        <v>0</v>
      </c>
      <c r="AX321" s="192">
        <f t="shared" si="452"/>
        <v>0</v>
      </c>
      <c r="AY321" s="192">
        <f t="shared" si="452"/>
        <v>0</v>
      </c>
      <c r="AZ321" s="192">
        <f t="shared" si="452"/>
        <v>0</v>
      </c>
      <c r="BA321" s="192">
        <f t="shared" si="452"/>
        <v>0</v>
      </c>
      <c r="BB321" s="192">
        <f t="shared" si="452"/>
        <v>0</v>
      </c>
      <c r="BC321" s="192">
        <f t="shared" si="453"/>
        <v>0</v>
      </c>
      <c r="BD321" s="192">
        <f t="shared" si="453"/>
        <v>0</v>
      </c>
      <c r="BE321" s="192">
        <f t="shared" si="453"/>
        <v>0</v>
      </c>
      <c r="BF321" s="192">
        <f t="shared" si="453"/>
        <v>0</v>
      </c>
      <c r="BG321" s="192">
        <f t="shared" si="453"/>
        <v>0</v>
      </c>
      <c r="BH321" s="192">
        <f t="shared" si="453"/>
        <v>0</v>
      </c>
      <c r="BI321" s="192">
        <f t="shared" si="453"/>
        <v>0</v>
      </c>
      <c r="BJ321" s="192">
        <f t="shared" si="453"/>
        <v>0</v>
      </c>
      <c r="BK321" s="192">
        <f t="shared" si="453"/>
        <v>0</v>
      </c>
      <c r="BL321" s="192">
        <f t="shared" si="453"/>
        <v>0</v>
      </c>
      <c r="BM321" s="192">
        <f t="shared" si="453"/>
        <v>0</v>
      </c>
      <c r="BN321" s="192">
        <f t="shared" si="453"/>
        <v>0</v>
      </c>
      <c r="BO321" s="192">
        <f t="shared" si="453"/>
        <v>0</v>
      </c>
      <c r="BP321" s="192">
        <f t="shared" si="453"/>
        <v>0</v>
      </c>
      <c r="BQ321" s="192">
        <f t="shared" si="453"/>
        <v>0</v>
      </c>
    </row>
    <row r="322" spans="2:69" ht="13.5" customHeight="1">
      <c r="B322" s="14"/>
      <c r="C322" s="71" t="str">
        <f>'취득원가 및 VAT'!D44</f>
        <v>미술장식품 설치비</v>
      </c>
      <c r="D322" s="72"/>
      <c r="E322" s="72"/>
      <c r="F322" s="191">
        <f>'취득원가 및 VAT'!G44</f>
        <v>2161.4903296000002</v>
      </c>
      <c r="G322" s="191">
        <f>'취득원가 및 VAT'!M44</f>
        <v>175.29140201410223</v>
      </c>
      <c r="H322" s="191"/>
      <c r="I322" s="191"/>
      <c r="J322" s="191"/>
      <c r="K322" s="191"/>
      <c r="L322" s="191"/>
      <c r="M322" s="191">
        <f t="shared" si="443"/>
        <v>175.29140201410223</v>
      </c>
      <c r="N322" s="191"/>
      <c r="O322" s="191">
        <f t="shared" si="449"/>
        <v>0</v>
      </c>
      <c r="P322" s="191">
        <f t="shared" si="449"/>
        <v>0</v>
      </c>
      <c r="Q322" s="191">
        <f t="shared" si="449"/>
        <v>0</v>
      </c>
      <c r="R322" s="191">
        <f t="shared" si="449"/>
        <v>0</v>
      </c>
      <c r="S322" s="191">
        <f t="shared" si="449"/>
        <v>0</v>
      </c>
      <c r="T322" s="191">
        <f t="shared" si="449"/>
        <v>0</v>
      </c>
      <c r="U322" s="191">
        <f t="shared" si="449"/>
        <v>0</v>
      </c>
      <c r="V322" s="191">
        <f t="shared" si="449"/>
        <v>0</v>
      </c>
      <c r="W322" s="191">
        <f t="shared" si="449"/>
        <v>0</v>
      </c>
      <c r="X322" s="191">
        <f t="shared" si="449"/>
        <v>0</v>
      </c>
      <c r="Y322" s="191">
        <f t="shared" si="450"/>
        <v>0</v>
      </c>
      <c r="Z322" s="191">
        <f t="shared" si="450"/>
        <v>0</v>
      </c>
      <c r="AA322" s="191">
        <f t="shared" si="450"/>
        <v>0</v>
      </c>
      <c r="AB322" s="191">
        <f t="shared" si="450"/>
        <v>0</v>
      </c>
      <c r="AC322" s="191">
        <f t="shared" si="450"/>
        <v>0</v>
      </c>
      <c r="AD322" s="191">
        <f t="shared" si="450"/>
        <v>0</v>
      </c>
      <c r="AE322" s="191">
        <f t="shared" si="450"/>
        <v>0</v>
      </c>
      <c r="AF322" s="191">
        <f t="shared" si="450"/>
        <v>0</v>
      </c>
      <c r="AG322" s="191">
        <f t="shared" si="450"/>
        <v>0</v>
      </c>
      <c r="AH322" s="191">
        <f t="shared" si="450"/>
        <v>0</v>
      </c>
      <c r="AI322" s="191">
        <f t="shared" si="451"/>
        <v>0</v>
      </c>
      <c r="AJ322" s="191">
        <f t="shared" si="451"/>
        <v>0</v>
      </c>
      <c r="AK322" s="191">
        <f t="shared" si="451"/>
        <v>0</v>
      </c>
      <c r="AL322" s="191">
        <f t="shared" si="451"/>
        <v>0</v>
      </c>
      <c r="AM322" s="191">
        <f t="shared" si="451"/>
        <v>0</v>
      </c>
      <c r="AN322" s="191">
        <f t="shared" si="451"/>
        <v>0</v>
      </c>
      <c r="AO322" s="191">
        <f t="shared" si="451"/>
        <v>0</v>
      </c>
      <c r="AP322" s="191">
        <f t="shared" si="451"/>
        <v>0</v>
      </c>
      <c r="AQ322" s="191">
        <f t="shared" si="451"/>
        <v>0</v>
      </c>
      <c r="AR322" s="191">
        <f t="shared" si="451"/>
        <v>0</v>
      </c>
      <c r="AS322" s="191">
        <f t="shared" si="452"/>
        <v>0</v>
      </c>
      <c r="AT322" s="191">
        <f t="shared" si="452"/>
        <v>0</v>
      </c>
      <c r="AU322" s="191">
        <f t="shared" si="452"/>
        <v>0</v>
      </c>
      <c r="AV322" s="191">
        <f t="shared" si="452"/>
        <v>0</v>
      </c>
      <c r="AW322" s="191">
        <f t="shared" si="452"/>
        <v>0</v>
      </c>
      <c r="AX322" s="191">
        <f t="shared" si="452"/>
        <v>0</v>
      </c>
      <c r="AY322" s="191">
        <f t="shared" si="452"/>
        <v>0</v>
      </c>
      <c r="AZ322" s="191">
        <f t="shared" si="452"/>
        <v>0</v>
      </c>
      <c r="BA322" s="191">
        <f t="shared" si="452"/>
        <v>0</v>
      </c>
      <c r="BB322" s="191">
        <f t="shared" si="452"/>
        <v>0</v>
      </c>
      <c r="BC322" s="191">
        <f t="shared" si="453"/>
        <v>0</v>
      </c>
      <c r="BD322" s="191">
        <f t="shared" si="453"/>
        <v>0</v>
      </c>
      <c r="BE322" s="191">
        <f t="shared" si="453"/>
        <v>0</v>
      </c>
      <c r="BF322" s="191">
        <f t="shared" si="453"/>
        <v>0</v>
      </c>
      <c r="BG322" s="191">
        <f t="shared" si="453"/>
        <v>0</v>
      </c>
      <c r="BH322" s="191">
        <f t="shared" si="453"/>
        <v>0</v>
      </c>
      <c r="BI322" s="191">
        <f t="shared" si="453"/>
        <v>0</v>
      </c>
      <c r="BJ322" s="191">
        <f t="shared" si="453"/>
        <v>175.29140201410223</v>
      </c>
      <c r="BK322" s="191">
        <f t="shared" si="453"/>
        <v>0</v>
      </c>
      <c r="BL322" s="191">
        <f t="shared" si="453"/>
        <v>0</v>
      </c>
      <c r="BM322" s="191">
        <f t="shared" si="453"/>
        <v>0</v>
      </c>
      <c r="BN322" s="191">
        <f t="shared" si="453"/>
        <v>0</v>
      </c>
      <c r="BO322" s="191">
        <f t="shared" si="453"/>
        <v>0</v>
      </c>
      <c r="BP322" s="191">
        <f t="shared" si="453"/>
        <v>0</v>
      </c>
      <c r="BQ322" s="191">
        <f t="shared" si="453"/>
        <v>0</v>
      </c>
    </row>
    <row r="323" spans="2:69" ht="13.5" customHeight="1">
      <c r="B323" s="14"/>
      <c r="C323" s="71" t="str">
        <f>'취득원가 및 VAT'!D45</f>
        <v>용역 예비비</v>
      </c>
      <c r="D323" s="72"/>
      <c r="E323" s="72"/>
      <c r="F323" s="191">
        <f>'취득원가 및 VAT'!G45</f>
        <v>300</v>
      </c>
      <c r="G323" s="191">
        <f>'취득원가 및 VAT'!M45</f>
        <v>24.329241673712396</v>
      </c>
      <c r="H323" s="191"/>
      <c r="I323" s="191"/>
      <c r="J323" s="191"/>
      <c r="K323" s="191"/>
      <c r="L323" s="191"/>
      <c r="M323" s="191">
        <f t="shared" si="443"/>
        <v>24.329241673712392</v>
      </c>
      <c r="N323" s="191"/>
      <c r="O323" s="191">
        <f t="shared" si="449"/>
        <v>0</v>
      </c>
      <c r="P323" s="191">
        <f t="shared" si="449"/>
        <v>0</v>
      </c>
      <c r="Q323" s="191">
        <f t="shared" si="449"/>
        <v>0</v>
      </c>
      <c r="R323" s="191">
        <f t="shared" si="449"/>
        <v>2.0274368061426995</v>
      </c>
      <c r="S323" s="191">
        <f t="shared" si="449"/>
        <v>2.0274368061426995</v>
      </c>
      <c r="T323" s="191">
        <f t="shared" si="449"/>
        <v>2.0274368061426995</v>
      </c>
      <c r="U323" s="191">
        <f t="shared" si="449"/>
        <v>2.0274368061426995</v>
      </c>
      <c r="V323" s="191">
        <f t="shared" si="449"/>
        <v>2.0274368061426995</v>
      </c>
      <c r="W323" s="191">
        <f t="shared" si="449"/>
        <v>2.0274368061426995</v>
      </c>
      <c r="X323" s="191">
        <f t="shared" si="449"/>
        <v>2.0274368061426995</v>
      </c>
      <c r="Y323" s="191">
        <f t="shared" si="450"/>
        <v>2.0274368061426995</v>
      </c>
      <c r="Z323" s="191">
        <f t="shared" si="450"/>
        <v>2.0274368061426995</v>
      </c>
      <c r="AA323" s="191">
        <f t="shared" si="450"/>
        <v>2.0274368061426995</v>
      </c>
      <c r="AB323" s="191">
        <f t="shared" si="450"/>
        <v>2.0274368061426995</v>
      </c>
      <c r="AC323" s="191">
        <f t="shared" si="450"/>
        <v>2.0274368061426995</v>
      </c>
      <c r="AD323" s="191">
        <f t="shared" si="450"/>
        <v>0</v>
      </c>
      <c r="AE323" s="191">
        <f t="shared" si="450"/>
        <v>0</v>
      </c>
      <c r="AF323" s="191">
        <f t="shared" si="450"/>
        <v>0</v>
      </c>
      <c r="AG323" s="191">
        <f t="shared" si="450"/>
        <v>0</v>
      </c>
      <c r="AH323" s="191">
        <f t="shared" si="450"/>
        <v>0</v>
      </c>
      <c r="AI323" s="191">
        <f t="shared" si="451"/>
        <v>0</v>
      </c>
      <c r="AJ323" s="191">
        <f t="shared" si="451"/>
        <v>0</v>
      </c>
      <c r="AK323" s="191">
        <f t="shared" si="451"/>
        <v>0</v>
      </c>
      <c r="AL323" s="191">
        <f t="shared" si="451"/>
        <v>0</v>
      </c>
      <c r="AM323" s="191">
        <f t="shared" si="451"/>
        <v>0</v>
      </c>
      <c r="AN323" s="191">
        <f t="shared" si="451"/>
        <v>0</v>
      </c>
      <c r="AO323" s="191">
        <f t="shared" si="451"/>
        <v>0</v>
      </c>
      <c r="AP323" s="191">
        <f t="shared" si="451"/>
        <v>0</v>
      </c>
      <c r="AQ323" s="191">
        <f t="shared" si="451"/>
        <v>0</v>
      </c>
      <c r="AR323" s="191">
        <f t="shared" si="451"/>
        <v>0</v>
      </c>
      <c r="AS323" s="191">
        <f t="shared" si="452"/>
        <v>0</v>
      </c>
      <c r="AT323" s="191">
        <f t="shared" si="452"/>
        <v>0</v>
      </c>
      <c r="AU323" s="191">
        <f t="shared" si="452"/>
        <v>0</v>
      </c>
      <c r="AV323" s="191">
        <f t="shared" si="452"/>
        <v>0</v>
      </c>
      <c r="AW323" s="191">
        <f t="shared" si="452"/>
        <v>0</v>
      </c>
      <c r="AX323" s="191">
        <f t="shared" si="452"/>
        <v>0</v>
      </c>
      <c r="AY323" s="191">
        <f t="shared" si="452"/>
        <v>0</v>
      </c>
      <c r="AZ323" s="191">
        <f t="shared" si="452"/>
        <v>0</v>
      </c>
      <c r="BA323" s="191">
        <f t="shared" si="452"/>
        <v>0</v>
      </c>
      <c r="BB323" s="191">
        <f t="shared" si="452"/>
        <v>0</v>
      </c>
      <c r="BC323" s="191">
        <f t="shared" si="453"/>
        <v>0</v>
      </c>
      <c r="BD323" s="191">
        <f t="shared" si="453"/>
        <v>0</v>
      </c>
      <c r="BE323" s="191">
        <f t="shared" si="453"/>
        <v>0</v>
      </c>
      <c r="BF323" s="191">
        <f t="shared" si="453"/>
        <v>0</v>
      </c>
      <c r="BG323" s="191">
        <f t="shared" si="453"/>
        <v>0</v>
      </c>
      <c r="BH323" s="191">
        <f t="shared" si="453"/>
        <v>0</v>
      </c>
      <c r="BI323" s="191">
        <f t="shared" si="453"/>
        <v>0</v>
      </c>
      <c r="BJ323" s="191">
        <f t="shared" si="453"/>
        <v>0</v>
      </c>
      <c r="BK323" s="191">
        <f t="shared" si="453"/>
        <v>0</v>
      </c>
      <c r="BL323" s="191">
        <f t="shared" si="453"/>
        <v>0</v>
      </c>
      <c r="BM323" s="191">
        <f t="shared" si="453"/>
        <v>0</v>
      </c>
      <c r="BN323" s="191">
        <f t="shared" si="453"/>
        <v>0</v>
      </c>
      <c r="BO323" s="191">
        <f t="shared" si="453"/>
        <v>0</v>
      </c>
      <c r="BP323" s="191">
        <f t="shared" si="453"/>
        <v>0</v>
      </c>
      <c r="BQ323" s="191">
        <f t="shared" si="453"/>
        <v>0</v>
      </c>
    </row>
    <row r="324" spans="2:69" ht="13.5" customHeight="1">
      <c r="B324" s="80" t="str">
        <f>'취득원가 및 VAT'!C46</f>
        <v>제세공과금</v>
      </c>
      <c r="C324" s="80"/>
      <c r="D324" s="80"/>
      <c r="E324" s="80"/>
      <c r="F324" s="80">
        <f ca="1">'취득원가 및 VAT'!G46</f>
        <v>30553.282675976196</v>
      </c>
      <c r="G324" s="80">
        <f ca="1">'취득원가 및 VAT'!M46</f>
        <v>0</v>
      </c>
      <c r="H324" s="80"/>
      <c r="I324" s="80"/>
      <c r="J324" s="80"/>
      <c r="K324" s="80"/>
      <c r="L324" s="80"/>
      <c r="M324" s="80">
        <f t="shared" ca="1" si="443"/>
        <v>0</v>
      </c>
      <c r="N324" s="80"/>
      <c r="O324" s="80">
        <f t="shared" ca="1" si="449"/>
        <v>0</v>
      </c>
      <c r="P324" s="80">
        <f t="shared" ca="1" si="449"/>
        <v>0</v>
      </c>
      <c r="Q324" s="80">
        <f t="shared" ca="1" si="449"/>
        <v>0</v>
      </c>
      <c r="R324" s="80">
        <f t="shared" ca="1" si="449"/>
        <v>0</v>
      </c>
      <c r="S324" s="80">
        <f t="shared" ca="1" si="449"/>
        <v>0</v>
      </c>
      <c r="T324" s="80">
        <f t="shared" ca="1" si="449"/>
        <v>0</v>
      </c>
      <c r="U324" s="80">
        <f t="shared" ca="1" si="449"/>
        <v>0</v>
      </c>
      <c r="V324" s="80">
        <f t="shared" ca="1" si="449"/>
        <v>0</v>
      </c>
      <c r="W324" s="80">
        <f t="shared" ca="1" si="449"/>
        <v>0</v>
      </c>
      <c r="X324" s="80">
        <f t="shared" ca="1" si="449"/>
        <v>0</v>
      </c>
      <c r="Y324" s="80">
        <f t="shared" ca="1" si="450"/>
        <v>0</v>
      </c>
      <c r="Z324" s="80">
        <f t="shared" ca="1" si="450"/>
        <v>0</v>
      </c>
      <c r="AA324" s="80">
        <f t="shared" ca="1" si="450"/>
        <v>0</v>
      </c>
      <c r="AB324" s="80">
        <f t="shared" ca="1" si="450"/>
        <v>0</v>
      </c>
      <c r="AC324" s="80">
        <f t="shared" ca="1" si="450"/>
        <v>0</v>
      </c>
      <c r="AD324" s="80">
        <f t="shared" ca="1" si="450"/>
        <v>0</v>
      </c>
      <c r="AE324" s="80">
        <f t="shared" ca="1" si="450"/>
        <v>0</v>
      </c>
      <c r="AF324" s="80">
        <f t="shared" ca="1" si="450"/>
        <v>0</v>
      </c>
      <c r="AG324" s="80">
        <f t="shared" ca="1" si="450"/>
        <v>0</v>
      </c>
      <c r="AH324" s="80">
        <f t="shared" ca="1" si="450"/>
        <v>0</v>
      </c>
      <c r="AI324" s="80">
        <f t="shared" ca="1" si="451"/>
        <v>0</v>
      </c>
      <c r="AJ324" s="80">
        <f t="shared" ca="1" si="451"/>
        <v>0</v>
      </c>
      <c r="AK324" s="80">
        <f t="shared" ca="1" si="451"/>
        <v>0</v>
      </c>
      <c r="AL324" s="80">
        <f t="shared" ca="1" si="451"/>
        <v>0</v>
      </c>
      <c r="AM324" s="80">
        <f t="shared" ca="1" si="451"/>
        <v>0</v>
      </c>
      <c r="AN324" s="80">
        <f t="shared" ca="1" si="451"/>
        <v>0</v>
      </c>
      <c r="AO324" s="80">
        <f t="shared" ca="1" si="451"/>
        <v>0</v>
      </c>
      <c r="AP324" s="80">
        <f t="shared" ca="1" si="451"/>
        <v>0</v>
      </c>
      <c r="AQ324" s="80">
        <f t="shared" ca="1" si="451"/>
        <v>0</v>
      </c>
      <c r="AR324" s="80">
        <f t="shared" ca="1" si="451"/>
        <v>0</v>
      </c>
      <c r="AS324" s="80">
        <f t="shared" ca="1" si="452"/>
        <v>0</v>
      </c>
      <c r="AT324" s="80">
        <f t="shared" ca="1" si="452"/>
        <v>0</v>
      </c>
      <c r="AU324" s="80">
        <f t="shared" ca="1" si="452"/>
        <v>0</v>
      </c>
      <c r="AV324" s="80">
        <f t="shared" ca="1" si="452"/>
        <v>0</v>
      </c>
      <c r="AW324" s="80">
        <f t="shared" ca="1" si="452"/>
        <v>0</v>
      </c>
      <c r="AX324" s="80">
        <f t="shared" ca="1" si="452"/>
        <v>0</v>
      </c>
      <c r="AY324" s="80">
        <f t="shared" ca="1" si="452"/>
        <v>0</v>
      </c>
      <c r="AZ324" s="80">
        <f t="shared" ca="1" si="452"/>
        <v>0</v>
      </c>
      <c r="BA324" s="80">
        <f t="shared" ca="1" si="452"/>
        <v>0</v>
      </c>
      <c r="BB324" s="80">
        <f t="shared" ca="1" si="452"/>
        <v>0</v>
      </c>
      <c r="BC324" s="80">
        <f t="shared" ca="1" si="453"/>
        <v>0</v>
      </c>
      <c r="BD324" s="80">
        <f t="shared" ca="1" si="453"/>
        <v>0</v>
      </c>
      <c r="BE324" s="80">
        <f t="shared" ca="1" si="453"/>
        <v>0</v>
      </c>
      <c r="BF324" s="80">
        <f t="shared" ca="1" si="453"/>
        <v>0</v>
      </c>
      <c r="BG324" s="80">
        <f t="shared" ca="1" si="453"/>
        <v>0</v>
      </c>
      <c r="BH324" s="80">
        <f t="shared" ca="1" si="453"/>
        <v>0</v>
      </c>
      <c r="BI324" s="80">
        <f t="shared" ca="1" si="453"/>
        <v>0</v>
      </c>
      <c r="BJ324" s="80">
        <f t="shared" ca="1" si="453"/>
        <v>0</v>
      </c>
      <c r="BK324" s="80">
        <f t="shared" ca="1" si="453"/>
        <v>0</v>
      </c>
      <c r="BL324" s="80">
        <f t="shared" ca="1" si="453"/>
        <v>0</v>
      </c>
      <c r="BM324" s="80">
        <f t="shared" ca="1" si="453"/>
        <v>0</v>
      </c>
      <c r="BN324" s="80">
        <f t="shared" ca="1" si="453"/>
        <v>0</v>
      </c>
      <c r="BO324" s="80">
        <f t="shared" ca="1" si="453"/>
        <v>0</v>
      </c>
      <c r="BP324" s="80">
        <f t="shared" ca="1" si="453"/>
        <v>0</v>
      </c>
      <c r="BQ324" s="80">
        <f t="shared" ca="1" si="453"/>
        <v>0</v>
      </c>
    </row>
    <row r="325" spans="2:69" ht="13.5" customHeight="1">
      <c r="B325" s="14"/>
      <c r="C325" s="71" t="str">
        <f>'취득원가 및 VAT'!D47</f>
        <v>각종 부담금</v>
      </c>
      <c r="D325" s="72"/>
      <c r="E325" s="72"/>
      <c r="F325" s="72">
        <f ca="1">'취득원가 및 VAT'!G47</f>
        <v>17931.61090381239</v>
      </c>
      <c r="G325" s="72">
        <f ca="1">'취득원가 및 VAT'!M47</f>
        <v>0</v>
      </c>
      <c r="H325" s="72"/>
      <c r="I325" s="72"/>
      <c r="J325" s="72"/>
      <c r="K325" s="72"/>
      <c r="L325" s="72"/>
      <c r="M325" s="72">
        <f t="shared" ca="1" si="443"/>
        <v>0</v>
      </c>
      <c r="N325" s="72"/>
      <c r="O325" s="72">
        <f t="shared" ca="1" si="449"/>
        <v>0</v>
      </c>
      <c r="P325" s="72">
        <f t="shared" ca="1" si="449"/>
        <v>0</v>
      </c>
      <c r="Q325" s="72">
        <f t="shared" ca="1" si="449"/>
        <v>0</v>
      </c>
      <c r="R325" s="72">
        <f t="shared" ca="1" si="449"/>
        <v>0</v>
      </c>
      <c r="S325" s="72">
        <f t="shared" ca="1" si="449"/>
        <v>0</v>
      </c>
      <c r="T325" s="72">
        <f t="shared" ca="1" si="449"/>
        <v>0</v>
      </c>
      <c r="U325" s="72">
        <f t="shared" ca="1" si="449"/>
        <v>0</v>
      </c>
      <c r="V325" s="72">
        <f t="shared" ca="1" si="449"/>
        <v>0</v>
      </c>
      <c r="W325" s="72">
        <f t="shared" ca="1" si="449"/>
        <v>0</v>
      </c>
      <c r="X325" s="72">
        <f t="shared" ca="1" si="449"/>
        <v>0</v>
      </c>
      <c r="Y325" s="72">
        <f t="shared" ca="1" si="450"/>
        <v>0</v>
      </c>
      <c r="Z325" s="72">
        <f t="shared" ca="1" si="450"/>
        <v>0</v>
      </c>
      <c r="AA325" s="72">
        <f t="shared" ca="1" si="450"/>
        <v>0</v>
      </c>
      <c r="AB325" s="72">
        <f t="shared" ca="1" si="450"/>
        <v>0</v>
      </c>
      <c r="AC325" s="72">
        <f t="shared" ca="1" si="450"/>
        <v>0</v>
      </c>
      <c r="AD325" s="72">
        <f t="shared" ca="1" si="450"/>
        <v>0</v>
      </c>
      <c r="AE325" s="72">
        <f t="shared" ca="1" si="450"/>
        <v>0</v>
      </c>
      <c r="AF325" s="72">
        <f t="shared" ca="1" si="450"/>
        <v>0</v>
      </c>
      <c r="AG325" s="72">
        <f t="shared" ca="1" si="450"/>
        <v>0</v>
      </c>
      <c r="AH325" s="72">
        <f t="shared" ca="1" si="450"/>
        <v>0</v>
      </c>
      <c r="AI325" s="72">
        <f t="shared" ca="1" si="451"/>
        <v>0</v>
      </c>
      <c r="AJ325" s="72">
        <f t="shared" ca="1" si="451"/>
        <v>0</v>
      </c>
      <c r="AK325" s="72">
        <f t="shared" ca="1" si="451"/>
        <v>0</v>
      </c>
      <c r="AL325" s="72">
        <f t="shared" ca="1" si="451"/>
        <v>0</v>
      </c>
      <c r="AM325" s="72">
        <f t="shared" ca="1" si="451"/>
        <v>0</v>
      </c>
      <c r="AN325" s="72">
        <f t="shared" ca="1" si="451"/>
        <v>0</v>
      </c>
      <c r="AO325" s="72">
        <f t="shared" ca="1" si="451"/>
        <v>0</v>
      </c>
      <c r="AP325" s="72">
        <f t="shared" ca="1" si="451"/>
        <v>0</v>
      </c>
      <c r="AQ325" s="72">
        <f t="shared" ca="1" si="451"/>
        <v>0</v>
      </c>
      <c r="AR325" s="72">
        <f t="shared" ca="1" si="451"/>
        <v>0</v>
      </c>
      <c r="AS325" s="72">
        <f t="shared" ca="1" si="452"/>
        <v>0</v>
      </c>
      <c r="AT325" s="72">
        <f t="shared" ca="1" si="452"/>
        <v>0</v>
      </c>
      <c r="AU325" s="72">
        <f t="shared" ca="1" si="452"/>
        <v>0</v>
      </c>
      <c r="AV325" s="72">
        <f t="shared" ca="1" si="452"/>
        <v>0</v>
      </c>
      <c r="AW325" s="72">
        <f t="shared" ca="1" si="452"/>
        <v>0</v>
      </c>
      <c r="AX325" s="72">
        <f t="shared" ca="1" si="452"/>
        <v>0</v>
      </c>
      <c r="AY325" s="72">
        <f t="shared" ca="1" si="452"/>
        <v>0</v>
      </c>
      <c r="AZ325" s="72">
        <f t="shared" ca="1" si="452"/>
        <v>0</v>
      </c>
      <c r="BA325" s="72">
        <f t="shared" ca="1" si="452"/>
        <v>0</v>
      </c>
      <c r="BB325" s="72">
        <f t="shared" ca="1" si="452"/>
        <v>0</v>
      </c>
      <c r="BC325" s="72">
        <f t="shared" ca="1" si="453"/>
        <v>0</v>
      </c>
      <c r="BD325" s="72">
        <f t="shared" ca="1" si="453"/>
        <v>0</v>
      </c>
      <c r="BE325" s="72">
        <f t="shared" ca="1" si="453"/>
        <v>0</v>
      </c>
      <c r="BF325" s="72">
        <f t="shared" ca="1" si="453"/>
        <v>0</v>
      </c>
      <c r="BG325" s="72">
        <f t="shared" ca="1" si="453"/>
        <v>0</v>
      </c>
      <c r="BH325" s="72">
        <f t="shared" ca="1" si="453"/>
        <v>0</v>
      </c>
      <c r="BI325" s="72">
        <f t="shared" ca="1" si="453"/>
        <v>0</v>
      </c>
      <c r="BJ325" s="72">
        <f t="shared" ca="1" si="453"/>
        <v>0</v>
      </c>
      <c r="BK325" s="72">
        <f t="shared" ca="1" si="453"/>
        <v>0</v>
      </c>
      <c r="BL325" s="72">
        <f t="shared" ca="1" si="453"/>
        <v>0</v>
      </c>
      <c r="BM325" s="72">
        <f t="shared" ca="1" si="453"/>
        <v>0</v>
      </c>
      <c r="BN325" s="72">
        <f t="shared" ca="1" si="453"/>
        <v>0</v>
      </c>
      <c r="BO325" s="72">
        <f t="shared" ca="1" si="453"/>
        <v>0</v>
      </c>
      <c r="BP325" s="72">
        <f t="shared" ca="1" si="453"/>
        <v>0</v>
      </c>
      <c r="BQ325" s="72">
        <f t="shared" ca="1" si="453"/>
        <v>0</v>
      </c>
    </row>
    <row r="326" spans="2:69" ht="13.5" customHeight="1">
      <c r="C326" s="31"/>
      <c r="D326" s="30" t="str">
        <f>'취득원가 및 VAT'!E48</f>
        <v>인입공사분담금</v>
      </c>
      <c r="E326" s="22"/>
      <c r="F326" s="22">
        <f>'취득원가 및 VAT'!G48</f>
        <v>2880.6016250000002</v>
      </c>
      <c r="G326" s="22">
        <f>'취득원가 및 VAT'!M48</f>
        <v>233.60951033437888</v>
      </c>
      <c r="H326" s="22"/>
      <c r="I326" s="22"/>
      <c r="J326" s="22"/>
      <c r="K326" s="22"/>
      <c r="L326" s="22"/>
      <c r="M326" s="22">
        <f t="shared" si="443"/>
        <v>233.60951033437888</v>
      </c>
      <c r="N326" s="22"/>
      <c r="O326" s="22">
        <f t="shared" si="449"/>
        <v>0</v>
      </c>
      <c r="P326" s="22">
        <f t="shared" si="449"/>
        <v>0</v>
      </c>
      <c r="Q326" s="22">
        <f t="shared" si="449"/>
        <v>0</v>
      </c>
      <c r="R326" s="22">
        <f t="shared" si="449"/>
        <v>0</v>
      </c>
      <c r="S326" s="22">
        <f t="shared" si="449"/>
        <v>0</v>
      </c>
      <c r="T326" s="22">
        <f t="shared" si="449"/>
        <v>0</v>
      </c>
      <c r="U326" s="22">
        <f t="shared" si="449"/>
        <v>0</v>
      </c>
      <c r="V326" s="22">
        <f t="shared" si="449"/>
        <v>0</v>
      </c>
      <c r="W326" s="22">
        <f t="shared" si="449"/>
        <v>0</v>
      </c>
      <c r="X326" s="22">
        <f t="shared" si="449"/>
        <v>0</v>
      </c>
      <c r="Y326" s="22">
        <f t="shared" si="450"/>
        <v>0</v>
      </c>
      <c r="Z326" s="22">
        <f t="shared" si="450"/>
        <v>0</v>
      </c>
      <c r="AA326" s="22">
        <f t="shared" si="450"/>
        <v>0</v>
      </c>
      <c r="AB326" s="22">
        <f t="shared" si="450"/>
        <v>0</v>
      </c>
      <c r="AC326" s="22">
        <f t="shared" si="450"/>
        <v>0</v>
      </c>
      <c r="AD326" s="22">
        <f t="shared" si="450"/>
        <v>0</v>
      </c>
      <c r="AE326" s="22">
        <f t="shared" si="450"/>
        <v>0</v>
      </c>
      <c r="AF326" s="22">
        <f t="shared" si="450"/>
        <v>0</v>
      </c>
      <c r="AG326" s="22">
        <f t="shared" si="450"/>
        <v>0</v>
      </c>
      <c r="AH326" s="22">
        <f t="shared" si="450"/>
        <v>0</v>
      </c>
      <c r="AI326" s="22">
        <f t="shared" si="451"/>
        <v>0</v>
      </c>
      <c r="AJ326" s="22">
        <f t="shared" si="451"/>
        <v>0</v>
      </c>
      <c r="AK326" s="22">
        <f t="shared" si="451"/>
        <v>0</v>
      </c>
      <c r="AL326" s="22">
        <f t="shared" si="451"/>
        <v>0</v>
      </c>
      <c r="AM326" s="22">
        <f t="shared" si="451"/>
        <v>0</v>
      </c>
      <c r="AN326" s="22">
        <f t="shared" si="451"/>
        <v>0</v>
      </c>
      <c r="AO326" s="22">
        <f t="shared" si="451"/>
        <v>0</v>
      </c>
      <c r="AP326" s="22">
        <f t="shared" si="451"/>
        <v>0</v>
      </c>
      <c r="AQ326" s="22">
        <f t="shared" si="451"/>
        <v>0</v>
      </c>
      <c r="AR326" s="22">
        <f t="shared" si="451"/>
        <v>0</v>
      </c>
      <c r="AS326" s="22">
        <f t="shared" si="452"/>
        <v>0</v>
      </c>
      <c r="AT326" s="22">
        <f t="shared" si="452"/>
        <v>0</v>
      </c>
      <c r="AU326" s="22">
        <f t="shared" si="452"/>
        <v>0</v>
      </c>
      <c r="AV326" s="22">
        <f t="shared" si="452"/>
        <v>0</v>
      </c>
      <c r="AW326" s="22">
        <f t="shared" si="452"/>
        <v>0</v>
      </c>
      <c r="AX326" s="22">
        <f t="shared" si="452"/>
        <v>0</v>
      </c>
      <c r="AY326" s="22">
        <f t="shared" si="452"/>
        <v>0</v>
      </c>
      <c r="AZ326" s="22">
        <f t="shared" si="452"/>
        <v>0</v>
      </c>
      <c r="BA326" s="22">
        <f t="shared" si="452"/>
        <v>0</v>
      </c>
      <c r="BB326" s="22">
        <f t="shared" si="452"/>
        <v>0</v>
      </c>
      <c r="BC326" s="22">
        <f t="shared" si="453"/>
        <v>0</v>
      </c>
      <c r="BD326" s="22">
        <f t="shared" si="453"/>
        <v>0</v>
      </c>
      <c r="BE326" s="22">
        <f t="shared" si="453"/>
        <v>0</v>
      </c>
      <c r="BF326" s="22">
        <f t="shared" si="453"/>
        <v>0</v>
      </c>
      <c r="BG326" s="22">
        <f t="shared" si="453"/>
        <v>0</v>
      </c>
      <c r="BH326" s="22">
        <f t="shared" si="453"/>
        <v>0</v>
      </c>
      <c r="BI326" s="22">
        <f t="shared" si="453"/>
        <v>0</v>
      </c>
      <c r="BJ326" s="22">
        <f t="shared" si="453"/>
        <v>233.60951033437888</v>
      </c>
      <c r="BK326" s="22">
        <f t="shared" si="453"/>
        <v>0</v>
      </c>
      <c r="BL326" s="22">
        <f t="shared" si="453"/>
        <v>0</v>
      </c>
      <c r="BM326" s="22">
        <f t="shared" si="453"/>
        <v>0</v>
      </c>
      <c r="BN326" s="22">
        <f t="shared" si="453"/>
        <v>0</v>
      </c>
      <c r="BO326" s="22">
        <f t="shared" si="453"/>
        <v>0</v>
      </c>
      <c r="BP326" s="22">
        <f t="shared" si="453"/>
        <v>0</v>
      </c>
      <c r="BQ326" s="22">
        <f t="shared" si="453"/>
        <v>0</v>
      </c>
    </row>
    <row r="327" spans="2:69" ht="13.5" customHeight="1">
      <c r="C327" s="31"/>
      <c r="D327" s="31" t="str">
        <f>'취득원가 및 VAT'!E49</f>
        <v>광역교통시설부담금</v>
      </c>
      <c r="E327" s="32"/>
      <c r="F327" s="32">
        <f>'취득원가 및 VAT'!G49</f>
        <v>6734.7551647999999</v>
      </c>
      <c r="G327" s="32">
        <f>'취득원가 및 VAT'!M49</f>
        <v>0</v>
      </c>
      <c r="H327" s="32"/>
      <c r="I327" s="32"/>
      <c r="J327" s="32"/>
      <c r="K327" s="32"/>
      <c r="L327" s="32"/>
      <c r="M327" s="32">
        <f t="shared" si="443"/>
        <v>0</v>
      </c>
      <c r="N327" s="32"/>
      <c r="O327" s="32">
        <f t="shared" si="449"/>
        <v>0</v>
      </c>
      <c r="P327" s="32">
        <f t="shared" si="449"/>
        <v>0</v>
      </c>
      <c r="Q327" s="32">
        <f t="shared" si="449"/>
        <v>0</v>
      </c>
      <c r="R327" s="32">
        <f t="shared" si="449"/>
        <v>0</v>
      </c>
      <c r="S327" s="32">
        <f t="shared" si="449"/>
        <v>0</v>
      </c>
      <c r="T327" s="32">
        <f t="shared" si="449"/>
        <v>0</v>
      </c>
      <c r="U327" s="32">
        <f t="shared" si="449"/>
        <v>0</v>
      </c>
      <c r="V327" s="32">
        <f t="shared" si="449"/>
        <v>0</v>
      </c>
      <c r="W327" s="32">
        <f t="shared" si="449"/>
        <v>0</v>
      </c>
      <c r="X327" s="32">
        <f t="shared" si="449"/>
        <v>0</v>
      </c>
      <c r="Y327" s="32">
        <f t="shared" si="450"/>
        <v>0</v>
      </c>
      <c r="Z327" s="32">
        <f t="shared" si="450"/>
        <v>0</v>
      </c>
      <c r="AA327" s="32">
        <f t="shared" si="450"/>
        <v>0</v>
      </c>
      <c r="AB327" s="32">
        <f t="shared" si="450"/>
        <v>0</v>
      </c>
      <c r="AC327" s="32">
        <f t="shared" si="450"/>
        <v>0</v>
      </c>
      <c r="AD327" s="32">
        <f t="shared" si="450"/>
        <v>0</v>
      </c>
      <c r="AE327" s="32">
        <f t="shared" si="450"/>
        <v>0</v>
      </c>
      <c r="AF327" s="32">
        <f t="shared" si="450"/>
        <v>0</v>
      </c>
      <c r="AG327" s="32">
        <f t="shared" si="450"/>
        <v>0</v>
      </c>
      <c r="AH327" s="32">
        <f t="shared" si="450"/>
        <v>0</v>
      </c>
      <c r="AI327" s="32">
        <f t="shared" si="451"/>
        <v>0</v>
      </c>
      <c r="AJ327" s="32">
        <f t="shared" si="451"/>
        <v>0</v>
      </c>
      <c r="AK327" s="32">
        <f t="shared" si="451"/>
        <v>0</v>
      </c>
      <c r="AL327" s="32">
        <f t="shared" si="451"/>
        <v>0</v>
      </c>
      <c r="AM327" s="32">
        <f t="shared" si="451"/>
        <v>0</v>
      </c>
      <c r="AN327" s="32">
        <f t="shared" si="451"/>
        <v>0</v>
      </c>
      <c r="AO327" s="32">
        <f t="shared" si="451"/>
        <v>0</v>
      </c>
      <c r="AP327" s="32">
        <f t="shared" si="451"/>
        <v>0</v>
      </c>
      <c r="AQ327" s="32">
        <f t="shared" si="451"/>
        <v>0</v>
      </c>
      <c r="AR327" s="32">
        <f t="shared" si="451"/>
        <v>0</v>
      </c>
      <c r="AS327" s="32">
        <f t="shared" si="452"/>
        <v>0</v>
      </c>
      <c r="AT327" s="32">
        <f t="shared" si="452"/>
        <v>0</v>
      </c>
      <c r="AU327" s="32">
        <f t="shared" si="452"/>
        <v>0</v>
      </c>
      <c r="AV327" s="32">
        <f t="shared" si="452"/>
        <v>0</v>
      </c>
      <c r="AW327" s="32">
        <f t="shared" si="452"/>
        <v>0</v>
      </c>
      <c r="AX327" s="32">
        <f t="shared" si="452"/>
        <v>0</v>
      </c>
      <c r="AY327" s="32">
        <f t="shared" si="452"/>
        <v>0</v>
      </c>
      <c r="AZ327" s="32">
        <f t="shared" si="452"/>
        <v>0</v>
      </c>
      <c r="BA327" s="32">
        <f t="shared" si="452"/>
        <v>0</v>
      </c>
      <c r="BB327" s="32">
        <f t="shared" si="452"/>
        <v>0</v>
      </c>
      <c r="BC327" s="32">
        <f t="shared" si="453"/>
        <v>0</v>
      </c>
      <c r="BD327" s="32">
        <f t="shared" si="453"/>
        <v>0</v>
      </c>
      <c r="BE327" s="32">
        <f t="shared" si="453"/>
        <v>0</v>
      </c>
      <c r="BF327" s="32">
        <f t="shared" si="453"/>
        <v>0</v>
      </c>
      <c r="BG327" s="32">
        <f t="shared" si="453"/>
        <v>0</v>
      </c>
      <c r="BH327" s="32">
        <f t="shared" si="453"/>
        <v>0</v>
      </c>
      <c r="BI327" s="32">
        <f t="shared" si="453"/>
        <v>0</v>
      </c>
      <c r="BJ327" s="32">
        <f t="shared" si="453"/>
        <v>0</v>
      </c>
      <c r="BK327" s="32">
        <f t="shared" si="453"/>
        <v>0</v>
      </c>
      <c r="BL327" s="32">
        <f t="shared" si="453"/>
        <v>0</v>
      </c>
      <c r="BM327" s="32">
        <f t="shared" si="453"/>
        <v>0</v>
      </c>
      <c r="BN327" s="32">
        <f t="shared" si="453"/>
        <v>0</v>
      </c>
      <c r="BO327" s="32">
        <f t="shared" si="453"/>
        <v>0</v>
      </c>
      <c r="BP327" s="32">
        <f t="shared" si="453"/>
        <v>0</v>
      </c>
      <c r="BQ327" s="32">
        <f t="shared" si="453"/>
        <v>0</v>
      </c>
    </row>
    <row r="328" spans="2:69" ht="13.5" customHeight="1">
      <c r="C328" s="31"/>
      <c r="D328" s="31" t="str">
        <f>'취득원가 및 VAT'!E50</f>
        <v>학교용지부담금</v>
      </c>
      <c r="E328" s="32"/>
      <c r="F328" s="32">
        <f ca="1">'취득원가 및 VAT'!G50</f>
        <v>5614.6785534608707</v>
      </c>
      <c r="G328" s="32">
        <f ca="1">'취득원가 및 VAT'!M50</f>
        <v>0</v>
      </c>
      <c r="H328" s="32"/>
      <c r="I328" s="32"/>
      <c r="J328" s="32"/>
      <c r="K328" s="32"/>
      <c r="L328" s="32"/>
      <c r="M328" s="32">
        <f t="shared" ca="1" si="443"/>
        <v>0</v>
      </c>
      <c r="N328" s="32"/>
      <c r="O328" s="32">
        <f t="shared" ca="1" si="449"/>
        <v>0</v>
      </c>
      <c r="P328" s="32">
        <f t="shared" ca="1" si="449"/>
        <v>0</v>
      </c>
      <c r="Q328" s="32">
        <f t="shared" ca="1" si="449"/>
        <v>0</v>
      </c>
      <c r="R328" s="32">
        <f t="shared" ca="1" si="449"/>
        <v>0</v>
      </c>
      <c r="S328" s="32">
        <f t="shared" ca="1" si="449"/>
        <v>0</v>
      </c>
      <c r="T328" s="32">
        <f t="shared" ca="1" si="449"/>
        <v>0</v>
      </c>
      <c r="U328" s="32">
        <f t="shared" ca="1" si="449"/>
        <v>0</v>
      </c>
      <c r="V328" s="32">
        <f t="shared" ca="1" si="449"/>
        <v>0</v>
      </c>
      <c r="W328" s="32">
        <f t="shared" ca="1" si="449"/>
        <v>0</v>
      </c>
      <c r="X328" s="32">
        <f t="shared" ca="1" si="449"/>
        <v>0</v>
      </c>
      <c r="Y328" s="32">
        <f t="shared" ca="1" si="450"/>
        <v>0</v>
      </c>
      <c r="Z328" s="32">
        <f t="shared" ca="1" si="450"/>
        <v>0</v>
      </c>
      <c r="AA328" s="32">
        <f t="shared" ca="1" si="450"/>
        <v>0</v>
      </c>
      <c r="AB328" s="32">
        <f t="shared" ca="1" si="450"/>
        <v>0</v>
      </c>
      <c r="AC328" s="32">
        <f t="shared" ca="1" si="450"/>
        <v>0</v>
      </c>
      <c r="AD328" s="32">
        <f t="shared" ca="1" si="450"/>
        <v>0</v>
      </c>
      <c r="AE328" s="32">
        <f t="shared" ca="1" si="450"/>
        <v>0</v>
      </c>
      <c r="AF328" s="32">
        <f t="shared" ca="1" si="450"/>
        <v>0</v>
      </c>
      <c r="AG328" s="32">
        <f t="shared" ca="1" si="450"/>
        <v>0</v>
      </c>
      <c r="AH328" s="32">
        <f t="shared" ca="1" si="450"/>
        <v>0</v>
      </c>
      <c r="AI328" s="32">
        <f t="shared" ca="1" si="451"/>
        <v>0</v>
      </c>
      <c r="AJ328" s="32">
        <f t="shared" ca="1" si="451"/>
        <v>0</v>
      </c>
      <c r="AK328" s="32">
        <f t="shared" ca="1" si="451"/>
        <v>0</v>
      </c>
      <c r="AL328" s="32">
        <f t="shared" ca="1" si="451"/>
        <v>0</v>
      </c>
      <c r="AM328" s="32">
        <f t="shared" ca="1" si="451"/>
        <v>0</v>
      </c>
      <c r="AN328" s="32">
        <f t="shared" ca="1" si="451"/>
        <v>0</v>
      </c>
      <c r="AO328" s="32">
        <f t="shared" ca="1" si="451"/>
        <v>0</v>
      </c>
      <c r="AP328" s="32">
        <f t="shared" ca="1" si="451"/>
        <v>0</v>
      </c>
      <c r="AQ328" s="32">
        <f t="shared" ca="1" si="451"/>
        <v>0</v>
      </c>
      <c r="AR328" s="32">
        <f t="shared" ca="1" si="451"/>
        <v>0</v>
      </c>
      <c r="AS328" s="32">
        <f t="shared" ca="1" si="452"/>
        <v>0</v>
      </c>
      <c r="AT328" s="32">
        <f t="shared" ca="1" si="452"/>
        <v>0</v>
      </c>
      <c r="AU328" s="32">
        <f t="shared" ca="1" si="452"/>
        <v>0</v>
      </c>
      <c r="AV328" s="32">
        <f t="shared" ca="1" si="452"/>
        <v>0</v>
      </c>
      <c r="AW328" s="32">
        <f t="shared" ca="1" si="452"/>
        <v>0</v>
      </c>
      <c r="AX328" s="32">
        <f t="shared" ca="1" si="452"/>
        <v>0</v>
      </c>
      <c r="AY328" s="32">
        <f t="shared" ca="1" si="452"/>
        <v>0</v>
      </c>
      <c r="AZ328" s="32">
        <f t="shared" ca="1" si="452"/>
        <v>0</v>
      </c>
      <c r="BA328" s="32">
        <f t="shared" ca="1" si="452"/>
        <v>0</v>
      </c>
      <c r="BB328" s="32">
        <f t="shared" ca="1" si="452"/>
        <v>0</v>
      </c>
      <c r="BC328" s="32">
        <f t="shared" ca="1" si="453"/>
        <v>0</v>
      </c>
      <c r="BD328" s="32">
        <f t="shared" ca="1" si="453"/>
        <v>0</v>
      </c>
      <c r="BE328" s="32">
        <f t="shared" ca="1" si="453"/>
        <v>0</v>
      </c>
      <c r="BF328" s="32">
        <f t="shared" ca="1" si="453"/>
        <v>0</v>
      </c>
      <c r="BG328" s="32">
        <f t="shared" ca="1" si="453"/>
        <v>0</v>
      </c>
      <c r="BH328" s="32">
        <f t="shared" ca="1" si="453"/>
        <v>0</v>
      </c>
      <c r="BI328" s="32">
        <f t="shared" ca="1" si="453"/>
        <v>0</v>
      </c>
      <c r="BJ328" s="32">
        <f t="shared" ca="1" si="453"/>
        <v>0</v>
      </c>
      <c r="BK328" s="32">
        <f t="shared" ca="1" si="453"/>
        <v>0</v>
      </c>
      <c r="BL328" s="32">
        <f t="shared" ca="1" si="453"/>
        <v>0</v>
      </c>
      <c r="BM328" s="32">
        <f t="shared" ca="1" si="453"/>
        <v>0</v>
      </c>
      <c r="BN328" s="32">
        <f t="shared" ca="1" si="453"/>
        <v>0</v>
      </c>
      <c r="BO328" s="32">
        <f t="shared" ca="1" si="453"/>
        <v>0</v>
      </c>
      <c r="BP328" s="32">
        <f t="shared" ca="1" si="453"/>
        <v>0</v>
      </c>
      <c r="BQ328" s="32">
        <f t="shared" ca="1" si="453"/>
        <v>0</v>
      </c>
    </row>
    <row r="329" spans="2:69" ht="13.5" customHeight="1">
      <c r="C329" s="54"/>
      <c r="D329" s="33" t="str">
        <f>'취득원가 및 VAT'!E51</f>
        <v>매입VAT불공제분8)</v>
      </c>
      <c r="E329" s="24"/>
      <c r="F329" s="24">
        <f ca="1">'취득원가 및 VAT'!G51</f>
        <v>2701.5755605481058</v>
      </c>
      <c r="G329" s="24">
        <f ca="1">'취득원가 및 VAT'!M51</f>
        <v>0</v>
      </c>
      <c r="H329" s="24"/>
      <c r="I329" s="24"/>
      <c r="J329" s="24"/>
      <c r="K329" s="24"/>
      <c r="L329" s="24"/>
      <c r="M329" s="24">
        <f t="shared" ca="1" si="443"/>
        <v>0</v>
      </c>
      <c r="N329" s="24"/>
      <c r="O329" s="24">
        <f t="shared" ref="O329:X338" ca="1" si="454">IFERROR(SUMIF($C$13:$C$138,$C329,O$13:O$138)*($G329/$F329)+SUMIF($D$13:$D$138,$D329,O$13:O$138)*($G329/$F329),"")</f>
        <v>0</v>
      </c>
      <c r="P329" s="24">
        <f t="shared" ca="1" si="454"/>
        <v>0</v>
      </c>
      <c r="Q329" s="24">
        <f t="shared" ca="1" si="454"/>
        <v>0</v>
      </c>
      <c r="R329" s="24">
        <f t="shared" ca="1" si="454"/>
        <v>0</v>
      </c>
      <c r="S329" s="24">
        <f t="shared" ca="1" si="454"/>
        <v>0</v>
      </c>
      <c r="T329" s="24">
        <f t="shared" ca="1" si="454"/>
        <v>0</v>
      </c>
      <c r="U329" s="24">
        <f t="shared" ca="1" si="454"/>
        <v>0</v>
      </c>
      <c r="V329" s="24">
        <f t="shared" ca="1" si="454"/>
        <v>0</v>
      </c>
      <c r="W329" s="24">
        <f t="shared" ca="1" si="454"/>
        <v>0</v>
      </c>
      <c r="X329" s="24">
        <f t="shared" ca="1" si="454"/>
        <v>0</v>
      </c>
      <c r="Y329" s="24">
        <f t="shared" ref="Y329:AH338" ca="1" si="455">IFERROR(SUMIF($C$13:$C$138,$C329,Y$13:Y$138)*($G329/$F329)+SUMIF($D$13:$D$138,$D329,Y$13:Y$138)*($G329/$F329),"")</f>
        <v>0</v>
      </c>
      <c r="Z329" s="24">
        <f t="shared" ca="1" si="455"/>
        <v>0</v>
      </c>
      <c r="AA329" s="24">
        <f t="shared" ca="1" si="455"/>
        <v>0</v>
      </c>
      <c r="AB329" s="24">
        <f t="shared" ca="1" si="455"/>
        <v>0</v>
      </c>
      <c r="AC329" s="24">
        <f t="shared" ca="1" si="455"/>
        <v>0</v>
      </c>
      <c r="AD329" s="24">
        <f t="shared" ca="1" si="455"/>
        <v>0</v>
      </c>
      <c r="AE329" s="24">
        <f t="shared" ca="1" si="455"/>
        <v>0</v>
      </c>
      <c r="AF329" s="24">
        <f t="shared" ca="1" si="455"/>
        <v>0</v>
      </c>
      <c r="AG329" s="24">
        <f t="shared" ca="1" si="455"/>
        <v>0</v>
      </c>
      <c r="AH329" s="24">
        <f t="shared" ca="1" si="455"/>
        <v>0</v>
      </c>
      <c r="AI329" s="24">
        <f t="shared" ref="AI329:AR338" ca="1" si="456">IFERROR(SUMIF($C$13:$C$138,$C329,AI$13:AI$138)*($G329/$F329)+SUMIF($D$13:$D$138,$D329,AI$13:AI$138)*($G329/$F329),"")</f>
        <v>0</v>
      </c>
      <c r="AJ329" s="24">
        <f t="shared" ca="1" si="456"/>
        <v>0</v>
      </c>
      <c r="AK329" s="24">
        <f t="shared" ca="1" si="456"/>
        <v>0</v>
      </c>
      <c r="AL329" s="24">
        <f t="shared" ca="1" si="456"/>
        <v>0</v>
      </c>
      <c r="AM329" s="24">
        <f t="shared" ca="1" si="456"/>
        <v>0</v>
      </c>
      <c r="AN329" s="24">
        <f t="shared" ca="1" si="456"/>
        <v>0</v>
      </c>
      <c r="AO329" s="24">
        <f t="shared" ca="1" si="456"/>
        <v>0</v>
      </c>
      <c r="AP329" s="24">
        <f t="shared" ca="1" si="456"/>
        <v>0</v>
      </c>
      <c r="AQ329" s="24">
        <f t="shared" ca="1" si="456"/>
        <v>0</v>
      </c>
      <c r="AR329" s="24">
        <f t="shared" ca="1" si="456"/>
        <v>0</v>
      </c>
      <c r="AS329" s="24">
        <f t="shared" ref="AS329:BB338" ca="1" si="457">IFERROR(SUMIF($C$13:$C$138,$C329,AS$13:AS$138)*($G329/$F329)+SUMIF($D$13:$D$138,$D329,AS$13:AS$138)*($G329/$F329),"")</f>
        <v>0</v>
      </c>
      <c r="AT329" s="24">
        <f t="shared" ca="1" si="457"/>
        <v>0</v>
      </c>
      <c r="AU329" s="24">
        <f t="shared" ca="1" si="457"/>
        <v>0</v>
      </c>
      <c r="AV329" s="24">
        <f t="shared" ca="1" si="457"/>
        <v>0</v>
      </c>
      <c r="AW329" s="24">
        <f t="shared" ca="1" si="457"/>
        <v>0</v>
      </c>
      <c r="AX329" s="24">
        <f t="shared" ca="1" si="457"/>
        <v>0</v>
      </c>
      <c r="AY329" s="24">
        <f t="shared" ca="1" si="457"/>
        <v>0</v>
      </c>
      <c r="AZ329" s="24">
        <f t="shared" ca="1" si="457"/>
        <v>0</v>
      </c>
      <c r="BA329" s="24">
        <f t="shared" ca="1" si="457"/>
        <v>0</v>
      </c>
      <c r="BB329" s="24">
        <f t="shared" ca="1" si="457"/>
        <v>0</v>
      </c>
      <c r="BC329" s="24">
        <f t="shared" ref="BC329:BQ338" ca="1" si="458">IFERROR(SUMIF($C$13:$C$138,$C329,BC$13:BC$138)*($G329/$F329)+SUMIF($D$13:$D$138,$D329,BC$13:BC$138)*($G329/$F329),"")</f>
        <v>0</v>
      </c>
      <c r="BD329" s="24">
        <f t="shared" ca="1" si="458"/>
        <v>0</v>
      </c>
      <c r="BE329" s="24">
        <f t="shared" ca="1" si="458"/>
        <v>0</v>
      </c>
      <c r="BF329" s="24">
        <f t="shared" ca="1" si="458"/>
        <v>0</v>
      </c>
      <c r="BG329" s="24">
        <f t="shared" ca="1" si="458"/>
        <v>0</v>
      </c>
      <c r="BH329" s="24">
        <f t="shared" ca="1" si="458"/>
        <v>0</v>
      </c>
      <c r="BI329" s="24">
        <f t="shared" ca="1" si="458"/>
        <v>0</v>
      </c>
      <c r="BJ329" s="24">
        <f t="shared" ca="1" si="458"/>
        <v>0</v>
      </c>
      <c r="BK329" s="24">
        <f t="shared" ca="1" si="458"/>
        <v>0</v>
      </c>
      <c r="BL329" s="24">
        <f t="shared" ca="1" si="458"/>
        <v>0</v>
      </c>
      <c r="BM329" s="24">
        <f t="shared" ca="1" si="458"/>
        <v>0</v>
      </c>
      <c r="BN329" s="24">
        <f t="shared" ca="1" si="458"/>
        <v>0</v>
      </c>
      <c r="BO329" s="24">
        <f t="shared" ca="1" si="458"/>
        <v>0</v>
      </c>
      <c r="BP329" s="24">
        <f t="shared" ca="1" si="458"/>
        <v>0</v>
      </c>
      <c r="BQ329" s="24">
        <f t="shared" ca="1" si="458"/>
        <v>0</v>
      </c>
    </row>
    <row r="330" spans="2:69" ht="13.5" customHeight="1">
      <c r="B330" s="14"/>
      <c r="C330" s="76" t="str">
        <f>'취득원가 및 VAT'!D52</f>
        <v>토지보유세</v>
      </c>
      <c r="D330" s="77"/>
      <c r="E330" s="77"/>
      <c r="F330" s="77">
        <f>'취득원가 및 VAT'!G52</f>
        <v>1704.970002795033</v>
      </c>
      <c r="G330" s="77">
        <f>'취득원가 및 VAT'!M52</f>
        <v>0</v>
      </c>
      <c r="H330" s="77"/>
      <c r="I330" s="77"/>
      <c r="J330" s="77"/>
      <c r="K330" s="77"/>
      <c r="L330" s="77"/>
      <c r="M330" s="77">
        <f t="shared" si="443"/>
        <v>0</v>
      </c>
      <c r="N330" s="77"/>
      <c r="O330" s="77">
        <f t="shared" si="454"/>
        <v>0</v>
      </c>
      <c r="P330" s="77">
        <f t="shared" si="454"/>
        <v>0</v>
      </c>
      <c r="Q330" s="77">
        <f t="shared" si="454"/>
        <v>0</v>
      </c>
      <c r="R330" s="77">
        <f t="shared" si="454"/>
        <v>0</v>
      </c>
      <c r="S330" s="77">
        <f t="shared" si="454"/>
        <v>0</v>
      </c>
      <c r="T330" s="77">
        <f t="shared" si="454"/>
        <v>0</v>
      </c>
      <c r="U330" s="77">
        <f t="shared" si="454"/>
        <v>0</v>
      </c>
      <c r="V330" s="77">
        <f t="shared" si="454"/>
        <v>0</v>
      </c>
      <c r="W330" s="77">
        <f t="shared" si="454"/>
        <v>0</v>
      </c>
      <c r="X330" s="77">
        <f t="shared" si="454"/>
        <v>0</v>
      </c>
      <c r="Y330" s="77">
        <f t="shared" si="455"/>
        <v>0</v>
      </c>
      <c r="Z330" s="77">
        <f t="shared" si="455"/>
        <v>0</v>
      </c>
      <c r="AA330" s="77">
        <f t="shared" si="455"/>
        <v>0</v>
      </c>
      <c r="AB330" s="77">
        <f t="shared" si="455"/>
        <v>0</v>
      </c>
      <c r="AC330" s="77">
        <f t="shared" si="455"/>
        <v>0</v>
      </c>
      <c r="AD330" s="77">
        <f t="shared" si="455"/>
        <v>0</v>
      </c>
      <c r="AE330" s="77">
        <f t="shared" si="455"/>
        <v>0</v>
      </c>
      <c r="AF330" s="77">
        <f t="shared" si="455"/>
        <v>0</v>
      </c>
      <c r="AG330" s="77">
        <f t="shared" si="455"/>
        <v>0</v>
      </c>
      <c r="AH330" s="77">
        <f t="shared" si="455"/>
        <v>0</v>
      </c>
      <c r="AI330" s="77">
        <f t="shared" si="456"/>
        <v>0</v>
      </c>
      <c r="AJ330" s="77">
        <f t="shared" si="456"/>
        <v>0</v>
      </c>
      <c r="AK330" s="77">
        <f t="shared" si="456"/>
        <v>0</v>
      </c>
      <c r="AL330" s="77">
        <f t="shared" si="456"/>
        <v>0</v>
      </c>
      <c r="AM330" s="77">
        <f t="shared" si="456"/>
        <v>0</v>
      </c>
      <c r="AN330" s="77">
        <f t="shared" si="456"/>
        <v>0</v>
      </c>
      <c r="AO330" s="77">
        <f t="shared" si="456"/>
        <v>0</v>
      </c>
      <c r="AP330" s="77">
        <f t="shared" si="456"/>
        <v>0</v>
      </c>
      <c r="AQ330" s="77">
        <f t="shared" si="456"/>
        <v>0</v>
      </c>
      <c r="AR330" s="77">
        <f t="shared" si="456"/>
        <v>0</v>
      </c>
      <c r="AS330" s="77">
        <f t="shared" si="457"/>
        <v>0</v>
      </c>
      <c r="AT330" s="77">
        <f t="shared" si="457"/>
        <v>0</v>
      </c>
      <c r="AU330" s="77">
        <f t="shared" si="457"/>
        <v>0</v>
      </c>
      <c r="AV330" s="77">
        <f t="shared" si="457"/>
        <v>0</v>
      </c>
      <c r="AW330" s="77">
        <f t="shared" si="457"/>
        <v>0</v>
      </c>
      <c r="AX330" s="77">
        <f t="shared" si="457"/>
        <v>0</v>
      </c>
      <c r="AY330" s="77">
        <f t="shared" si="457"/>
        <v>0</v>
      </c>
      <c r="AZ330" s="77">
        <f t="shared" si="457"/>
        <v>0</v>
      </c>
      <c r="BA330" s="77">
        <f t="shared" si="457"/>
        <v>0</v>
      </c>
      <c r="BB330" s="77">
        <f t="shared" si="457"/>
        <v>0</v>
      </c>
      <c r="BC330" s="77">
        <f t="shared" si="458"/>
        <v>0</v>
      </c>
      <c r="BD330" s="77">
        <f t="shared" si="458"/>
        <v>0</v>
      </c>
      <c r="BE330" s="77">
        <f t="shared" si="458"/>
        <v>0</v>
      </c>
      <c r="BF330" s="77">
        <f t="shared" si="458"/>
        <v>0</v>
      </c>
      <c r="BG330" s="77">
        <f t="shared" si="458"/>
        <v>0</v>
      </c>
      <c r="BH330" s="77">
        <f t="shared" si="458"/>
        <v>0</v>
      </c>
      <c r="BI330" s="77">
        <f t="shared" si="458"/>
        <v>0</v>
      </c>
      <c r="BJ330" s="77">
        <f t="shared" si="458"/>
        <v>0</v>
      </c>
      <c r="BK330" s="77">
        <f t="shared" si="458"/>
        <v>0</v>
      </c>
      <c r="BL330" s="77">
        <f t="shared" si="458"/>
        <v>0</v>
      </c>
      <c r="BM330" s="77">
        <f t="shared" si="458"/>
        <v>0</v>
      </c>
      <c r="BN330" s="77">
        <f t="shared" si="458"/>
        <v>0</v>
      </c>
      <c r="BO330" s="77">
        <f t="shared" si="458"/>
        <v>0</v>
      </c>
      <c r="BP330" s="77">
        <f t="shared" si="458"/>
        <v>0</v>
      </c>
      <c r="BQ330" s="77">
        <f t="shared" si="458"/>
        <v>0</v>
      </c>
    </row>
    <row r="331" spans="2:69" ht="13.5" customHeight="1">
      <c r="C331" s="31"/>
      <c r="D331" s="30" t="str">
        <f>'취득원가 및 VAT'!E53</f>
        <v>재산세</v>
      </c>
      <c r="E331" s="22"/>
      <c r="F331" s="22">
        <f>'취득원가 및 VAT'!G53</f>
        <v>0</v>
      </c>
      <c r="G331" s="22">
        <f>'취득원가 및 VAT'!M53</f>
        <v>0</v>
      </c>
      <c r="H331" s="22"/>
      <c r="I331" s="22"/>
      <c r="J331" s="22"/>
      <c r="K331" s="22"/>
      <c r="L331" s="22"/>
      <c r="M331" s="22">
        <f t="shared" si="443"/>
        <v>0</v>
      </c>
      <c r="N331" s="22"/>
      <c r="O331" s="22" t="str">
        <f t="shared" si="454"/>
        <v/>
      </c>
      <c r="P331" s="22" t="str">
        <f t="shared" si="454"/>
        <v/>
      </c>
      <c r="Q331" s="22" t="str">
        <f t="shared" si="454"/>
        <v/>
      </c>
      <c r="R331" s="22" t="str">
        <f t="shared" si="454"/>
        <v/>
      </c>
      <c r="S331" s="22" t="str">
        <f t="shared" si="454"/>
        <v/>
      </c>
      <c r="T331" s="22" t="str">
        <f t="shared" si="454"/>
        <v/>
      </c>
      <c r="U331" s="22" t="str">
        <f t="shared" si="454"/>
        <v/>
      </c>
      <c r="V331" s="22" t="str">
        <f t="shared" si="454"/>
        <v/>
      </c>
      <c r="W331" s="22" t="str">
        <f t="shared" si="454"/>
        <v/>
      </c>
      <c r="X331" s="22" t="str">
        <f t="shared" si="454"/>
        <v/>
      </c>
      <c r="Y331" s="22" t="str">
        <f t="shared" si="455"/>
        <v/>
      </c>
      <c r="Z331" s="22" t="str">
        <f t="shared" si="455"/>
        <v/>
      </c>
      <c r="AA331" s="22" t="str">
        <f t="shared" si="455"/>
        <v/>
      </c>
      <c r="AB331" s="22" t="str">
        <f t="shared" si="455"/>
        <v/>
      </c>
      <c r="AC331" s="22" t="str">
        <f t="shared" si="455"/>
        <v/>
      </c>
      <c r="AD331" s="22" t="str">
        <f t="shared" si="455"/>
        <v/>
      </c>
      <c r="AE331" s="22" t="str">
        <f t="shared" si="455"/>
        <v/>
      </c>
      <c r="AF331" s="22" t="str">
        <f t="shared" si="455"/>
        <v/>
      </c>
      <c r="AG331" s="22" t="str">
        <f t="shared" si="455"/>
        <v/>
      </c>
      <c r="AH331" s="22" t="str">
        <f t="shared" si="455"/>
        <v/>
      </c>
      <c r="AI331" s="22" t="str">
        <f t="shared" si="456"/>
        <v/>
      </c>
      <c r="AJ331" s="22" t="str">
        <f t="shared" si="456"/>
        <v/>
      </c>
      <c r="AK331" s="22" t="str">
        <f t="shared" si="456"/>
        <v/>
      </c>
      <c r="AL331" s="22" t="str">
        <f t="shared" si="456"/>
        <v/>
      </c>
      <c r="AM331" s="22" t="str">
        <f t="shared" si="456"/>
        <v/>
      </c>
      <c r="AN331" s="22" t="str">
        <f t="shared" si="456"/>
        <v/>
      </c>
      <c r="AO331" s="22" t="str">
        <f t="shared" si="456"/>
        <v/>
      </c>
      <c r="AP331" s="22" t="str">
        <f t="shared" si="456"/>
        <v/>
      </c>
      <c r="AQ331" s="22" t="str">
        <f t="shared" si="456"/>
        <v/>
      </c>
      <c r="AR331" s="22" t="str">
        <f t="shared" si="456"/>
        <v/>
      </c>
      <c r="AS331" s="22" t="str">
        <f t="shared" si="457"/>
        <v/>
      </c>
      <c r="AT331" s="22" t="str">
        <f t="shared" si="457"/>
        <v/>
      </c>
      <c r="AU331" s="22" t="str">
        <f t="shared" si="457"/>
        <v/>
      </c>
      <c r="AV331" s="22" t="str">
        <f t="shared" si="457"/>
        <v/>
      </c>
      <c r="AW331" s="22" t="str">
        <f t="shared" si="457"/>
        <v/>
      </c>
      <c r="AX331" s="22" t="str">
        <f t="shared" si="457"/>
        <v/>
      </c>
      <c r="AY331" s="22" t="str">
        <f t="shared" si="457"/>
        <v/>
      </c>
      <c r="AZ331" s="22" t="str">
        <f t="shared" si="457"/>
        <v/>
      </c>
      <c r="BA331" s="22" t="str">
        <f t="shared" si="457"/>
        <v/>
      </c>
      <c r="BB331" s="22" t="str">
        <f t="shared" si="457"/>
        <v/>
      </c>
      <c r="BC331" s="22" t="str">
        <f t="shared" si="458"/>
        <v/>
      </c>
      <c r="BD331" s="22" t="str">
        <f t="shared" si="458"/>
        <v/>
      </c>
      <c r="BE331" s="22" t="str">
        <f t="shared" si="458"/>
        <v/>
      </c>
      <c r="BF331" s="22" t="str">
        <f t="shared" si="458"/>
        <v/>
      </c>
      <c r="BG331" s="22" t="str">
        <f t="shared" si="458"/>
        <v/>
      </c>
      <c r="BH331" s="22" t="str">
        <f t="shared" si="458"/>
        <v/>
      </c>
      <c r="BI331" s="22" t="str">
        <f t="shared" si="458"/>
        <v/>
      </c>
      <c r="BJ331" s="22" t="str">
        <f t="shared" si="458"/>
        <v/>
      </c>
      <c r="BK331" s="22" t="str">
        <f t="shared" si="458"/>
        <v/>
      </c>
      <c r="BL331" s="22" t="str">
        <f t="shared" si="458"/>
        <v/>
      </c>
      <c r="BM331" s="22" t="str">
        <f t="shared" si="458"/>
        <v/>
      </c>
      <c r="BN331" s="22" t="str">
        <f t="shared" si="458"/>
        <v/>
      </c>
      <c r="BO331" s="22" t="str">
        <f t="shared" si="458"/>
        <v/>
      </c>
      <c r="BP331" s="22" t="str">
        <f t="shared" si="458"/>
        <v/>
      </c>
      <c r="BQ331" s="22" t="str">
        <f t="shared" si="458"/>
        <v/>
      </c>
    </row>
    <row r="332" spans="2:69" ht="13.5" customHeight="1">
      <c r="C332" s="33"/>
      <c r="D332" s="33" t="str">
        <f>'취득원가 및 VAT'!E54</f>
        <v>종합부동산세</v>
      </c>
      <c r="E332" s="24"/>
      <c r="F332" s="24">
        <f>'취득원가 및 VAT'!G54</f>
        <v>0</v>
      </c>
      <c r="G332" s="24">
        <f>'취득원가 및 VAT'!M54</f>
        <v>0</v>
      </c>
      <c r="H332" s="24"/>
      <c r="I332" s="24"/>
      <c r="J332" s="24"/>
      <c r="K332" s="24"/>
      <c r="L332" s="24"/>
      <c r="M332" s="24">
        <f t="shared" si="443"/>
        <v>0</v>
      </c>
      <c r="N332" s="24"/>
      <c r="O332" s="24" t="str">
        <f t="shared" si="454"/>
        <v/>
      </c>
      <c r="P332" s="24" t="str">
        <f t="shared" si="454"/>
        <v/>
      </c>
      <c r="Q332" s="24" t="str">
        <f t="shared" si="454"/>
        <v/>
      </c>
      <c r="R332" s="24" t="str">
        <f t="shared" si="454"/>
        <v/>
      </c>
      <c r="S332" s="24" t="str">
        <f t="shared" si="454"/>
        <v/>
      </c>
      <c r="T332" s="24" t="str">
        <f t="shared" si="454"/>
        <v/>
      </c>
      <c r="U332" s="24" t="str">
        <f t="shared" si="454"/>
        <v/>
      </c>
      <c r="V332" s="24" t="str">
        <f t="shared" si="454"/>
        <v/>
      </c>
      <c r="W332" s="24" t="str">
        <f t="shared" si="454"/>
        <v/>
      </c>
      <c r="X332" s="24" t="str">
        <f t="shared" si="454"/>
        <v/>
      </c>
      <c r="Y332" s="24" t="str">
        <f t="shared" si="455"/>
        <v/>
      </c>
      <c r="Z332" s="24" t="str">
        <f t="shared" si="455"/>
        <v/>
      </c>
      <c r="AA332" s="24" t="str">
        <f t="shared" si="455"/>
        <v/>
      </c>
      <c r="AB332" s="24" t="str">
        <f t="shared" si="455"/>
        <v/>
      </c>
      <c r="AC332" s="24" t="str">
        <f t="shared" si="455"/>
        <v/>
      </c>
      <c r="AD332" s="24" t="str">
        <f t="shared" si="455"/>
        <v/>
      </c>
      <c r="AE332" s="24" t="str">
        <f t="shared" si="455"/>
        <v/>
      </c>
      <c r="AF332" s="24" t="str">
        <f t="shared" si="455"/>
        <v/>
      </c>
      <c r="AG332" s="24" t="str">
        <f t="shared" si="455"/>
        <v/>
      </c>
      <c r="AH332" s="24" t="str">
        <f t="shared" si="455"/>
        <v/>
      </c>
      <c r="AI332" s="24" t="str">
        <f t="shared" si="456"/>
        <v/>
      </c>
      <c r="AJ332" s="24" t="str">
        <f t="shared" si="456"/>
        <v/>
      </c>
      <c r="AK332" s="24" t="str">
        <f t="shared" si="456"/>
        <v/>
      </c>
      <c r="AL332" s="24" t="str">
        <f t="shared" si="456"/>
        <v/>
      </c>
      <c r="AM332" s="24" t="str">
        <f t="shared" si="456"/>
        <v/>
      </c>
      <c r="AN332" s="24" t="str">
        <f t="shared" si="456"/>
        <v/>
      </c>
      <c r="AO332" s="24" t="str">
        <f t="shared" si="456"/>
        <v/>
      </c>
      <c r="AP332" s="24" t="str">
        <f t="shared" si="456"/>
        <v/>
      </c>
      <c r="AQ332" s="24" t="str">
        <f t="shared" si="456"/>
        <v/>
      </c>
      <c r="AR332" s="24" t="str">
        <f t="shared" si="456"/>
        <v/>
      </c>
      <c r="AS332" s="24" t="str">
        <f t="shared" si="457"/>
        <v/>
      </c>
      <c r="AT332" s="24" t="str">
        <f t="shared" si="457"/>
        <v/>
      </c>
      <c r="AU332" s="24" t="str">
        <f t="shared" si="457"/>
        <v/>
      </c>
      <c r="AV332" s="24" t="str">
        <f t="shared" si="457"/>
        <v/>
      </c>
      <c r="AW332" s="24" t="str">
        <f t="shared" si="457"/>
        <v/>
      </c>
      <c r="AX332" s="24" t="str">
        <f t="shared" si="457"/>
        <v/>
      </c>
      <c r="AY332" s="24" t="str">
        <f t="shared" si="457"/>
        <v/>
      </c>
      <c r="AZ332" s="24" t="str">
        <f t="shared" si="457"/>
        <v/>
      </c>
      <c r="BA332" s="24" t="str">
        <f t="shared" si="457"/>
        <v/>
      </c>
      <c r="BB332" s="24" t="str">
        <f t="shared" si="457"/>
        <v/>
      </c>
      <c r="BC332" s="24" t="str">
        <f t="shared" si="458"/>
        <v/>
      </c>
      <c r="BD332" s="24" t="str">
        <f t="shared" si="458"/>
        <v/>
      </c>
      <c r="BE332" s="24" t="str">
        <f t="shared" si="458"/>
        <v/>
      </c>
      <c r="BF332" s="24" t="str">
        <f t="shared" si="458"/>
        <v/>
      </c>
      <c r="BG332" s="24" t="str">
        <f t="shared" si="458"/>
        <v/>
      </c>
      <c r="BH332" s="24" t="str">
        <f t="shared" si="458"/>
        <v/>
      </c>
      <c r="BI332" s="24" t="str">
        <f t="shared" si="458"/>
        <v/>
      </c>
      <c r="BJ332" s="24" t="str">
        <f t="shared" si="458"/>
        <v/>
      </c>
      <c r="BK332" s="24" t="str">
        <f t="shared" si="458"/>
        <v/>
      </c>
      <c r="BL332" s="24" t="str">
        <f t="shared" si="458"/>
        <v/>
      </c>
      <c r="BM332" s="24" t="str">
        <f t="shared" si="458"/>
        <v/>
      </c>
      <c r="BN332" s="24" t="str">
        <f t="shared" si="458"/>
        <v/>
      </c>
      <c r="BO332" s="24" t="str">
        <f t="shared" si="458"/>
        <v/>
      </c>
      <c r="BP332" s="24" t="str">
        <f t="shared" si="458"/>
        <v/>
      </c>
      <c r="BQ332" s="24" t="str">
        <f t="shared" si="458"/>
        <v/>
      </c>
    </row>
    <row r="333" spans="2:69" ht="13.5" customHeight="1">
      <c r="B333" s="14"/>
      <c r="C333" s="76" t="str">
        <f>'취득원가 및 VAT'!D55</f>
        <v>소유권 보전등기 관련</v>
      </c>
      <c r="D333" s="77"/>
      <c r="E333" s="77"/>
      <c r="F333" s="77">
        <f ca="1">'취득원가 및 VAT'!G55</f>
        <v>10916.701768196453</v>
      </c>
      <c r="G333" s="77">
        <f ca="1">'취득원가 및 VAT'!M55</f>
        <v>0</v>
      </c>
      <c r="H333" s="77"/>
      <c r="I333" s="77"/>
      <c r="J333" s="77"/>
      <c r="K333" s="77"/>
      <c r="L333" s="77"/>
      <c r="M333" s="77">
        <f t="shared" ca="1" si="443"/>
        <v>0</v>
      </c>
      <c r="N333" s="77"/>
      <c r="O333" s="77">
        <f t="shared" ca="1" si="454"/>
        <v>0</v>
      </c>
      <c r="P333" s="77">
        <f t="shared" ca="1" si="454"/>
        <v>0</v>
      </c>
      <c r="Q333" s="77">
        <f t="shared" ca="1" si="454"/>
        <v>0</v>
      </c>
      <c r="R333" s="77">
        <f t="shared" ca="1" si="454"/>
        <v>0</v>
      </c>
      <c r="S333" s="77">
        <f t="shared" ca="1" si="454"/>
        <v>0</v>
      </c>
      <c r="T333" s="77">
        <f t="shared" ca="1" si="454"/>
        <v>0</v>
      </c>
      <c r="U333" s="77">
        <f t="shared" ca="1" si="454"/>
        <v>0</v>
      </c>
      <c r="V333" s="77">
        <f t="shared" ca="1" si="454"/>
        <v>0</v>
      </c>
      <c r="W333" s="77">
        <f t="shared" ca="1" si="454"/>
        <v>0</v>
      </c>
      <c r="X333" s="77">
        <f t="shared" ca="1" si="454"/>
        <v>0</v>
      </c>
      <c r="Y333" s="77">
        <f t="shared" ca="1" si="455"/>
        <v>0</v>
      </c>
      <c r="Z333" s="77">
        <f t="shared" ca="1" si="455"/>
        <v>0</v>
      </c>
      <c r="AA333" s="77">
        <f t="shared" ca="1" si="455"/>
        <v>0</v>
      </c>
      <c r="AB333" s="77">
        <f t="shared" ca="1" si="455"/>
        <v>0</v>
      </c>
      <c r="AC333" s="77">
        <f t="shared" ca="1" si="455"/>
        <v>0</v>
      </c>
      <c r="AD333" s="77">
        <f t="shared" ca="1" si="455"/>
        <v>0</v>
      </c>
      <c r="AE333" s="77">
        <f t="shared" ca="1" si="455"/>
        <v>0</v>
      </c>
      <c r="AF333" s="77">
        <f t="shared" ca="1" si="455"/>
        <v>0</v>
      </c>
      <c r="AG333" s="77">
        <f t="shared" ca="1" si="455"/>
        <v>0</v>
      </c>
      <c r="AH333" s="77">
        <f t="shared" ca="1" si="455"/>
        <v>0</v>
      </c>
      <c r="AI333" s="77">
        <f t="shared" ca="1" si="456"/>
        <v>0</v>
      </c>
      <c r="AJ333" s="77">
        <f t="shared" ca="1" si="456"/>
        <v>0</v>
      </c>
      <c r="AK333" s="77">
        <f t="shared" ca="1" si="456"/>
        <v>0</v>
      </c>
      <c r="AL333" s="77">
        <f t="shared" ca="1" si="456"/>
        <v>0</v>
      </c>
      <c r="AM333" s="77">
        <f t="shared" ca="1" si="456"/>
        <v>0</v>
      </c>
      <c r="AN333" s="77">
        <f t="shared" ca="1" si="456"/>
        <v>0</v>
      </c>
      <c r="AO333" s="77">
        <f t="shared" ca="1" si="456"/>
        <v>0</v>
      </c>
      <c r="AP333" s="77">
        <f t="shared" ca="1" si="456"/>
        <v>0</v>
      </c>
      <c r="AQ333" s="77">
        <f t="shared" ca="1" si="456"/>
        <v>0</v>
      </c>
      <c r="AR333" s="77">
        <f t="shared" ca="1" si="456"/>
        <v>0</v>
      </c>
      <c r="AS333" s="77">
        <f t="shared" ca="1" si="457"/>
        <v>0</v>
      </c>
      <c r="AT333" s="77">
        <f t="shared" ca="1" si="457"/>
        <v>0</v>
      </c>
      <c r="AU333" s="77">
        <f t="shared" ca="1" si="457"/>
        <v>0</v>
      </c>
      <c r="AV333" s="77">
        <f t="shared" ca="1" si="457"/>
        <v>0</v>
      </c>
      <c r="AW333" s="77">
        <f t="shared" ca="1" si="457"/>
        <v>0</v>
      </c>
      <c r="AX333" s="77">
        <f t="shared" ca="1" si="457"/>
        <v>0</v>
      </c>
      <c r="AY333" s="77">
        <f t="shared" ca="1" si="457"/>
        <v>0</v>
      </c>
      <c r="AZ333" s="77">
        <f t="shared" ca="1" si="457"/>
        <v>0</v>
      </c>
      <c r="BA333" s="77">
        <f t="shared" ca="1" si="457"/>
        <v>0</v>
      </c>
      <c r="BB333" s="77">
        <f t="shared" ca="1" si="457"/>
        <v>0</v>
      </c>
      <c r="BC333" s="77">
        <f t="shared" ca="1" si="458"/>
        <v>0</v>
      </c>
      <c r="BD333" s="77">
        <f t="shared" ca="1" si="458"/>
        <v>0</v>
      </c>
      <c r="BE333" s="77">
        <f t="shared" ca="1" si="458"/>
        <v>0</v>
      </c>
      <c r="BF333" s="77">
        <f t="shared" ca="1" si="458"/>
        <v>0</v>
      </c>
      <c r="BG333" s="77">
        <f t="shared" ca="1" si="458"/>
        <v>0</v>
      </c>
      <c r="BH333" s="77">
        <f t="shared" ca="1" si="458"/>
        <v>0</v>
      </c>
      <c r="BI333" s="77">
        <f t="shared" ca="1" si="458"/>
        <v>0</v>
      </c>
      <c r="BJ333" s="77">
        <f t="shared" ca="1" si="458"/>
        <v>0</v>
      </c>
      <c r="BK333" s="77">
        <f t="shared" ca="1" si="458"/>
        <v>0</v>
      </c>
      <c r="BL333" s="77">
        <f t="shared" ca="1" si="458"/>
        <v>0</v>
      </c>
      <c r="BM333" s="77">
        <f t="shared" ca="1" si="458"/>
        <v>0</v>
      </c>
      <c r="BN333" s="77">
        <f t="shared" ca="1" si="458"/>
        <v>0</v>
      </c>
      <c r="BO333" s="77">
        <f t="shared" ca="1" si="458"/>
        <v>0</v>
      </c>
      <c r="BP333" s="77">
        <f t="shared" ca="1" si="458"/>
        <v>0</v>
      </c>
      <c r="BQ333" s="77">
        <f t="shared" ca="1" si="458"/>
        <v>0</v>
      </c>
    </row>
    <row r="334" spans="2:69" ht="13.5" customHeight="1">
      <c r="C334" s="31"/>
      <c r="D334" s="30" t="str">
        <f>'취득원가 및 VAT'!E56</f>
        <v>건물 취득세</v>
      </c>
      <c r="E334" s="22"/>
      <c r="F334" s="22">
        <f>'취득원가 및 VAT'!G56</f>
        <v>0</v>
      </c>
      <c r="G334" s="22">
        <f>'취득원가 및 VAT'!M56</f>
        <v>0</v>
      </c>
      <c r="H334" s="22"/>
      <c r="I334" s="22"/>
      <c r="J334" s="22"/>
      <c r="K334" s="22"/>
      <c r="L334" s="22"/>
      <c r="M334" s="22">
        <f t="shared" si="443"/>
        <v>0</v>
      </c>
      <c r="N334" s="22"/>
      <c r="O334" s="22" t="str">
        <f t="shared" si="454"/>
        <v/>
      </c>
      <c r="P334" s="22" t="str">
        <f t="shared" si="454"/>
        <v/>
      </c>
      <c r="Q334" s="22" t="str">
        <f t="shared" si="454"/>
        <v/>
      </c>
      <c r="R334" s="22" t="str">
        <f t="shared" si="454"/>
        <v/>
      </c>
      <c r="S334" s="22" t="str">
        <f t="shared" si="454"/>
        <v/>
      </c>
      <c r="T334" s="22" t="str">
        <f t="shared" si="454"/>
        <v/>
      </c>
      <c r="U334" s="22" t="str">
        <f t="shared" si="454"/>
        <v/>
      </c>
      <c r="V334" s="22" t="str">
        <f t="shared" si="454"/>
        <v/>
      </c>
      <c r="W334" s="22" t="str">
        <f t="shared" si="454"/>
        <v/>
      </c>
      <c r="X334" s="22" t="str">
        <f t="shared" si="454"/>
        <v/>
      </c>
      <c r="Y334" s="22" t="str">
        <f t="shared" si="455"/>
        <v/>
      </c>
      <c r="Z334" s="22" t="str">
        <f t="shared" si="455"/>
        <v/>
      </c>
      <c r="AA334" s="22" t="str">
        <f t="shared" si="455"/>
        <v/>
      </c>
      <c r="AB334" s="22" t="str">
        <f t="shared" si="455"/>
        <v/>
      </c>
      <c r="AC334" s="22" t="str">
        <f t="shared" si="455"/>
        <v/>
      </c>
      <c r="AD334" s="22" t="str">
        <f t="shared" si="455"/>
        <v/>
      </c>
      <c r="AE334" s="22" t="str">
        <f t="shared" si="455"/>
        <v/>
      </c>
      <c r="AF334" s="22" t="str">
        <f t="shared" si="455"/>
        <v/>
      </c>
      <c r="AG334" s="22" t="str">
        <f t="shared" si="455"/>
        <v/>
      </c>
      <c r="AH334" s="22" t="str">
        <f t="shared" si="455"/>
        <v/>
      </c>
      <c r="AI334" s="22" t="str">
        <f t="shared" si="456"/>
        <v/>
      </c>
      <c r="AJ334" s="22" t="str">
        <f t="shared" si="456"/>
        <v/>
      </c>
      <c r="AK334" s="22" t="str">
        <f t="shared" si="456"/>
        <v/>
      </c>
      <c r="AL334" s="22" t="str">
        <f t="shared" si="456"/>
        <v/>
      </c>
      <c r="AM334" s="22" t="str">
        <f t="shared" si="456"/>
        <v/>
      </c>
      <c r="AN334" s="22" t="str">
        <f t="shared" si="456"/>
        <v/>
      </c>
      <c r="AO334" s="22" t="str">
        <f t="shared" si="456"/>
        <v/>
      </c>
      <c r="AP334" s="22" t="str">
        <f t="shared" si="456"/>
        <v/>
      </c>
      <c r="AQ334" s="22" t="str">
        <f t="shared" si="456"/>
        <v/>
      </c>
      <c r="AR334" s="22" t="str">
        <f t="shared" si="456"/>
        <v/>
      </c>
      <c r="AS334" s="22" t="str">
        <f t="shared" si="457"/>
        <v/>
      </c>
      <c r="AT334" s="22" t="str">
        <f t="shared" si="457"/>
        <v/>
      </c>
      <c r="AU334" s="22" t="str">
        <f t="shared" si="457"/>
        <v/>
      </c>
      <c r="AV334" s="22" t="str">
        <f t="shared" si="457"/>
        <v/>
      </c>
      <c r="AW334" s="22" t="str">
        <f t="shared" si="457"/>
        <v/>
      </c>
      <c r="AX334" s="22" t="str">
        <f t="shared" si="457"/>
        <v/>
      </c>
      <c r="AY334" s="22" t="str">
        <f t="shared" si="457"/>
        <v/>
      </c>
      <c r="AZ334" s="22" t="str">
        <f t="shared" si="457"/>
        <v/>
      </c>
      <c r="BA334" s="22" t="str">
        <f t="shared" si="457"/>
        <v/>
      </c>
      <c r="BB334" s="22" t="str">
        <f t="shared" si="457"/>
        <v/>
      </c>
      <c r="BC334" s="22" t="str">
        <f t="shared" si="458"/>
        <v/>
      </c>
      <c r="BD334" s="22" t="str">
        <f t="shared" si="458"/>
        <v/>
      </c>
      <c r="BE334" s="22" t="str">
        <f t="shared" si="458"/>
        <v/>
      </c>
      <c r="BF334" s="22" t="str">
        <f t="shared" si="458"/>
        <v/>
      </c>
      <c r="BG334" s="22" t="str">
        <f t="shared" si="458"/>
        <v/>
      </c>
      <c r="BH334" s="22" t="str">
        <f t="shared" si="458"/>
        <v/>
      </c>
      <c r="BI334" s="22" t="str">
        <f t="shared" si="458"/>
        <v/>
      </c>
      <c r="BJ334" s="22" t="str">
        <f t="shared" si="458"/>
        <v/>
      </c>
      <c r="BK334" s="22" t="str">
        <f t="shared" si="458"/>
        <v/>
      </c>
      <c r="BL334" s="22" t="str">
        <f t="shared" si="458"/>
        <v/>
      </c>
      <c r="BM334" s="22" t="str">
        <f t="shared" si="458"/>
        <v/>
      </c>
      <c r="BN334" s="22" t="str">
        <f t="shared" si="458"/>
        <v/>
      </c>
      <c r="BO334" s="22" t="str">
        <f t="shared" si="458"/>
        <v/>
      </c>
      <c r="BP334" s="22" t="str">
        <f t="shared" si="458"/>
        <v/>
      </c>
      <c r="BQ334" s="22" t="str">
        <f t="shared" si="458"/>
        <v/>
      </c>
    </row>
    <row r="335" spans="2:69" ht="13.5" customHeight="1">
      <c r="C335" s="54"/>
      <c r="D335" s="33" t="str">
        <f>'취득원가 및 VAT'!E57</f>
        <v>법무사 수수료</v>
      </c>
      <c r="E335" s="24"/>
      <c r="F335" s="24">
        <f ca="1">'취득원가 및 VAT'!G57</f>
        <v>40.784767579366772</v>
      </c>
      <c r="G335" s="24">
        <f ca="1">'취득원가 및 VAT'!M57</f>
        <v>3.3075415568153477</v>
      </c>
      <c r="H335" s="24"/>
      <c r="I335" s="24"/>
      <c r="J335" s="24"/>
      <c r="K335" s="24"/>
      <c r="L335" s="24"/>
      <c r="M335" s="24">
        <f t="shared" ca="1" si="443"/>
        <v>3.3075415568153481</v>
      </c>
      <c r="N335" s="24"/>
      <c r="O335" s="24">
        <f t="shared" ca="1" si="454"/>
        <v>0</v>
      </c>
      <c r="P335" s="24">
        <f t="shared" ca="1" si="454"/>
        <v>0</v>
      </c>
      <c r="Q335" s="24">
        <f t="shared" ca="1" si="454"/>
        <v>0</v>
      </c>
      <c r="R335" s="24">
        <f t="shared" ca="1" si="454"/>
        <v>0</v>
      </c>
      <c r="S335" s="24">
        <f t="shared" ca="1" si="454"/>
        <v>0</v>
      </c>
      <c r="T335" s="24">
        <f t="shared" ca="1" si="454"/>
        <v>0</v>
      </c>
      <c r="U335" s="24">
        <f t="shared" ca="1" si="454"/>
        <v>0</v>
      </c>
      <c r="V335" s="24">
        <f t="shared" ca="1" si="454"/>
        <v>0</v>
      </c>
      <c r="W335" s="24">
        <f t="shared" ca="1" si="454"/>
        <v>0</v>
      </c>
      <c r="X335" s="24">
        <f t="shared" ca="1" si="454"/>
        <v>0</v>
      </c>
      <c r="Y335" s="24">
        <f t="shared" ca="1" si="455"/>
        <v>0</v>
      </c>
      <c r="Z335" s="24">
        <f t="shared" ca="1" si="455"/>
        <v>0</v>
      </c>
      <c r="AA335" s="24">
        <f t="shared" ca="1" si="455"/>
        <v>0</v>
      </c>
      <c r="AB335" s="24">
        <f t="shared" ca="1" si="455"/>
        <v>0</v>
      </c>
      <c r="AC335" s="24">
        <f t="shared" ca="1" si="455"/>
        <v>0</v>
      </c>
      <c r="AD335" s="24">
        <f t="shared" ca="1" si="455"/>
        <v>0</v>
      </c>
      <c r="AE335" s="24">
        <f t="shared" ca="1" si="455"/>
        <v>0</v>
      </c>
      <c r="AF335" s="24">
        <f t="shared" ca="1" si="455"/>
        <v>0</v>
      </c>
      <c r="AG335" s="24">
        <f t="shared" ca="1" si="455"/>
        <v>0</v>
      </c>
      <c r="AH335" s="24">
        <f t="shared" ca="1" si="455"/>
        <v>0</v>
      </c>
      <c r="AI335" s="24">
        <f t="shared" ca="1" si="456"/>
        <v>0</v>
      </c>
      <c r="AJ335" s="24">
        <f t="shared" ca="1" si="456"/>
        <v>0</v>
      </c>
      <c r="AK335" s="24">
        <f t="shared" ca="1" si="456"/>
        <v>0</v>
      </c>
      <c r="AL335" s="24">
        <f t="shared" ca="1" si="456"/>
        <v>0</v>
      </c>
      <c r="AM335" s="24">
        <f t="shared" ca="1" si="456"/>
        <v>0</v>
      </c>
      <c r="AN335" s="24">
        <f t="shared" ca="1" si="456"/>
        <v>0</v>
      </c>
      <c r="AO335" s="24">
        <f t="shared" ca="1" si="456"/>
        <v>0</v>
      </c>
      <c r="AP335" s="24">
        <f t="shared" ca="1" si="456"/>
        <v>0</v>
      </c>
      <c r="AQ335" s="24">
        <f t="shared" ca="1" si="456"/>
        <v>0</v>
      </c>
      <c r="AR335" s="24">
        <f t="shared" ca="1" si="456"/>
        <v>0</v>
      </c>
      <c r="AS335" s="24">
        <f t="shared" ca="1" si="457"/>
        <v>0</v>
      </c>
      <c r="AT335" s="24">
        <f t="shared" ca="1" si="457"/>
        <v>0</v>
      </c>
      <c r="AU335" s="24">
        <f t="shared" ca="1" si="457"/>
        <v>0</v>
      </c>
      <c r="AV335" s="24">
        <f t="shared" ca="1" si="457"/>
        <v>0</v>
      </c>
      <c r="AW335" s="24">
        <f t="shared" ca="1" si="457"/>
        <v>0</v>
      </c>
      <c r="AX335" s="24">
        <f t="shared" ca="1" si="457"/>
        <v>0</v>
      </c>
      <c r="AY335" s="24">
        <f t="shared" ca="1" si="457"/>
        <v>0</v>
      </c>
      <c r="AZ335" s="24">
        <f t="shared" ca="1" si="457"/>
        <v>0</v>
      </c>
      <c r="BA335" s="24">
        <f t="shared" ca="1" si="457"/>
        <v>0</v>
      </c>
      <c r="BB335" s="24">
        <f t="shared" ca="1" si="457"/>
        <v>0</v>
      </c>
      <c r="BC335" s="24">
        <f t="shared" ca="1" si="458"/>
        <v>0</v>
      </c>
      <c r="BD335" s="24">
        <f t="shared" ca="1" si="458"/>
        <v>0</v>
      </c>
      <c r="BE335" s="24">
        <f t="shared" ca="1" si="458"/>
        <v>0</v>
      </c>
      <c r="BF335" s="24">
        <f t="shared" ca="1" si="458"/>
        <v>0</v>
      </c>
      <c r="BG335" s="24">
        <f t="shared" ca="1" si="458"/>
        <v>0</v>
      </c>
      <c r="BH335" s="24">
        <f t="shared" ca="1" si="458"/>
        <v>0</v>
      </c>
      <c r="BI335" s="24">
        <f t="shared" ca="1" si="458"/>
        <v>0</v>
      </c>
      <c r="BJ335" s="24">
        <f t="shared" ca="1" si="458"/>
        <v>0</v>
      </c>
      <c r="BK335" s="24">
        <f t="shared" ca="1" si="458"/>
        <v>0</v>
      </c>
      <c r="BL335" s="24">
        <f t="shared" ca="1" si="458"/>
        <v>0</v>
      </c>
      <c r="BM335" s="24">
        <f t="shared" ca="1" si="458"/>
        <v>3.3075415564680593</v>
      </c>
      <c r="BN335" s="24">
        <f t="shared" ca="1" si="458"/>
        <v>0</v>
      </c>
      <c r="BO335" s="24">
        <f t="shared" ca="1" si="458"/>
        <v>0</v>
      </c>
      <c r="BP335" s="24">
        <f t="shared" ca="1" si="458"/>
        <v>0</v>
      </c>
      <c r="BQ335" s="24">
        <f t="shared" ca="1" si="458"/>
        <v>0</v>
      </c>
    </row>
    <row r="336" spans="2:69" ht="13.5" customHeight="1">
      <c r="B336" s="80" t="str">
        <f>'취득원가 및 VAT'!C58</f>
        <v>판매 및 관리비</v>
      </c>
      <c r="C336" s="80"/>
      <c r="D336" s="80"/>
      <c r="E336" s="80"/>
      <c r="F336" s="80">
        <f ca="1">'취득원가 및 VAT'!G58</f>
        <v>56071.781584520504</v>
      </c>
      <c r="G336" s="80">
        <f ca="1">'취득원가 및 VAT'!M58</f>
        <v>0</v>
      </c>
      <c r="H336" s="80"/>
      <c r="I336" s="80"/>
      <c r="J336" s="80"/>
      <c r="K336" s="80"/>
      <c r="L336" s="80"/>
      <c r="M336" s="80">
        <f t="shared" ca="1" si="443"/>
        <v>0</v>
      </c>
      <c r="N336" s="80"/>
      <c r="O336" s="80">
        <f t="shared" ca="1" si="454"/>
        <v>0</v>
      </c>
      <c r="P336" s="80">
        <f t="shared" ca="1" si="454"/>
        <v>0</v>
      </c>
      <c r="Q336" s="80">
        <f t="shared" ca="1" si="454"/>
        <v>0</v>
      </c>
      <c r="R336" s="80">
        <f t="shared" ca="1" si="454"/>
        <v>0</v>
      </c>
      <c r="S336" s="80">
        <f t="shared" ca="1" si="454"/>
        <v>0</v>
      </c>
      <c r="T336" s="80">
        <f t="shared" ca="1" si="454"/>
        <v>0</v>
      </c>
      <c r="U336" s="80">
        <f t="shared" ca="1" si="454"/>
        <v>0</v>
      </c>
      <c r="V336" s="80">
        <f t="shared" ca="1" si="454"/>
        <v>0</v>
      </c>
      <c r="W336" s="80">
        <f t="shared" ca="1" si="454"/>
        <v>0</v>
      </c>
      <c r="X336" s="80">
        <f t="shared" ca="1" si="454"/>
        <v>0</v>
      </c>
      <c r="Y336" s="80">
        <f t="shared" ca="1" si="455"/>
        <v>0</v>
      </c>
      <c r="Z336" s="80">
        <f t="shared" ca="1" si="455"/>
        <v>0</v>
      </c>
      <c r="AA336" s="80">
        <f t="shared" ca="1" si="455"/>
        <v>0</v>
      </c>
      <c r="AB336" s="80">
        <f t="shared" ca="1" si="455"/>
        <v>0</v>
      </c>
      <c r="AC336" s="80">
        <f t="shared" ca="1" si="455"/>
        <v>0</v>
      </c>
      <c r="AD336" s="80">
        <f t="shared" ca="1" si="455"/>
        <v>0</v>
      </c>
      <c r="AE336" s="80">
        <f t="shared" ca="1" si="455"/>
        <v>0</v>
      </c>
      <c r="AF336" s="80">
        <f t="shared" ca="1" si="455"/>
        <v>0</v>
      </c>
      <c r="AG336" s="80">
        <f t="shared" ca="1" si="455"/>
        <v>0</v>
      </c>
      <c r="AH336" s="80">
        <f t="shared" ca="1" si="455"/>
        <v>0</v>
      </c>
      <c r="AI336" s="80">
        <f t="shared" ca="1" si="456"/>
        <v>0</v>
      </c>
      <c r="AJ336" s="80">
        <f t="shared" ca="1" si="456"/>
        <v>0</v>
      </c>
      <c r="AK336" s="80">
        <f t="shared" ca="1" si="456"/>
        <v>0</v>
      </c>
      <c r="AL336" s="80">
        <f t="shared" ca="1" si="456"/>
        <v>0</v>
      </c>
      <c r="AM336" s="80">
        <f t="shared" ca="1" si="456"/>
        <v>0</v>
      </c>
      <c r="AN336" s="80">
        <f t="shared" ca="1" si="456"/>
        <v>0</v>
      </c>
      <c r="AO336" s="80">
        <f t="shared" ca="1" si="456"/>
        <v>0</v>
      </c>
      <c r="AP336" s="80">
        <f t="shared" ca="1" si="456"/>
        <v>0</v>
      </c>
      <c r="AQ336" s="80">
        <f t="shared" ca="1" si="456"/>
        <v>0</v>
      </c>
      <c r="AR336" s="80">
        <f t="shared" ca="1" si="456"/>
        <v>0</v>
      </c>
      <c r="AS336" s="80">
        <f t="shared" ca="1" si="457"/>
        <v>0</v>
      </c>
      <c r="AT336" s="80">
        <f t="shared" ca="1" si="457"/>
        <v>0</v>
      </c>
      <c r="AU336" s="80">
        <f t="shared" ca="1" si="457"/>
        <v>0</v>
      </c>
      <c r="AV336" s="80">
        <f t="shared" ca="1" si="457"/>
        <v>0</v>
      </c>
      <c r="AW336" s="80">
        <f t="shared" ca="1" si="457"/>
        <v>0</v>
      </c>
      <c r="AX336" s="80">
        <f t="shared" ca="1" si="457"/>
        <v>0</v>
      </c>
      <c r="AY336" s="80">
        <f t="shared" ca="1" si="457"/>
        <v>0</v>
      </c>
      <c r="AZ336" s="80">
        <f t="shared" ca="1" si="457"/>
        <v>0</v>
      </c>
      <c r="BA336" s="80">
        <f t="shared" ca="1" si="457"/>
        <v>0</v>
      </c>
      <c r="BB336" s="80">
        <f t="shared" ca="1" si="457"/>
        <v>0</v>
      </c>
      <c r="BC336" s="80">
        <f t="shared" ca="1" si="458"/>
        <v>0</v>
      </c>
      <c r="BD336" s="80">
        <f t="shared" ca="1" si="458"/>
        <v>0</v>
      </c>
      <c r="BE336" s="80">
        <f t="shared" ca="1" si="458"/>
        <v>0</v>
      </c>
      <c r="BF336" s="80">
        <f t="shared" ca="1" si="458"/>
        <v>0</v>
      </c>
      <c r="BG336" s="80">
        <f t="shared" ca="1" si="458"/>
        <v>0</v>
      </c>
      <c r="BH336" s="80">
        <f t="shared" ca="1" si="458"/>
        <v>0</v>
      </c>
      <c r="BI336" s="80">
        <f t="shared" ca="1" si="458"/>
        <v>0</v>
      </c>
      <c r="BJ336" s="80">
        <f t="shared" ca="1" si="458"/>
        <v>0</v>
      </c>
      <c r="BK336" s="80">
        <f t="shared" ca="1" si="458"/>
        <v>0</v>
      </c>
      <c r="BL336" s="80">
        <f t="shared" ca="1" si="458"/>
        <v>0</v>
      </c>
      <c r="BM336" s="80">
        <f t="shared" ca="1" si="458"/>
        <v>0</v>
      </c>
      <c r="BN336" s="80">
        <f t="shared" ca="1" si="458"/>
        <v>0</v>
      </c>
      <c r="BO336" s="80">
        <f t="shared" ca="1" si="458"/>
        <v>0</v>
      </c>
      <c r="BP336" s="80">
        <f t="shared" ca="1" si="458"/>
        <v>0</v>
      </c>
      <c r="BQ336" s="80">
        <f t="shared" ca="1" si="458"/>
        <v>0</v>
      </c>
    </row>
    <row r="337" spans="2:69" ht="13.5" customHeight="1">
      <c r="B337" s="14"/>
      <c r="C337" s="71" t="str">
        <f>'취득원가 및 VAT'!D59</f>
        <v>판매비</v>
      </c>
      <c r="D337" s="72"/>
      <c r="E337" s="72"/>
      <c r="F337" s="72">
        <f ca="1">'취득원가 및 VAT'!G59</f>
        <v>50023.781584520504</v>
      </c>
      <c r="G337" s="72">
        <f ca="1">'취득원가 및 VAT'!M59</f>
        <v>0</v>
      </c>
      <c r="H337" s="72"/>
      <c r="I337" s="72"/>
      <c r="J337" s="72"/>
      <c r="K337" s="72"/>
      <c r="L337" s="72"/>
      <c r="M337" s="72">
        <f t="shared" ca="1" si="443"/>
        <v>0</v>
      </c>
      <c r="N337" s="72"/>
      <c r="O337" s="72">
        <f t="shared" ca="1" si="454"/>
        <v>0</v>
      </c>
      <c r="P337" s="72">
        <f t="shared" ca="1" si="454"/>
        <v>0</v>
      </c>
      <c r="Q337" s="72">
        <f t="shared" ca="1" si="454"/>
        <v>0</v>
      </c>
      <c r="R337" s="72">
        <f t="shared" ca="1" si="454"/>
        <v>0</v>
      </c>
      <c r="S337" s="72">
        <f t="shared" ca="1" si="454"/>
        <v>0</v>
      </c>
      <c r="T337" s="72">
        <f t="shared" ca="1" si="454"/>
        <v>0</v>
      </c>
      <c r="U337" s="72">
        <f t="shared" ca="1" si="454"/>
        <v>0</v>
      </c>
      <c r="V337" s="72">
        <f t="shared" ca="1" si="454"/>
        <v>0</v>
      </c>
      <c r="W337" s="72">
        <f t="shared" ca="1" si="454"/>
        <v>0</v>
      </c>
      <c r="X337" s="72">
        <f t="shared" ca="1" si="454"/>
        <v>0</v>
      </c>
      <c r="Y337" s="72">
        <f t="shared" ca="1" si="455"/>
        <v>0</v>
      </c>
      <c r="Z337" s="72">
        <f t="shared" ca="1" si="455"/>
        <v>0</v>
      </c>
      <c r="AA337" s="72">
        <f t="shared" ca="1" si="455"/>
        <v>0</v>
      </c>
      <c r="AB337" s="72">
        <f t="shared" ca="1" si="455"/>
        <v>0</v>
      </c>
      <c r="AC337" s="72">
        <f t="shared" ca="1" si="455"/>
        <v>0</v>
      </c>
      <c r="AD337" s="72">
        <f t="shared" ca="1" si="455"/>
        <v>0</v>
      </c>
      <c r="AE337" s="72">
        <f t="shared" ca="1" si="455"/>
        <v>0</v>
      </c>
      <c r="AF337" s="72">
        <f t="shared" ca="1" si="455"/>
        <v>0</v>
      </c>
      <c r="AG337" s="72">
        <f t="shared" ca="1" si="455"/>
        <v>0</v>
      </c>
      <c r="AH337" s="72">
        <f t="shared" ca="1" si="455"/>
        <v>0</v>
      </c>
      <c r="AI337" s="72">
        <f t="shared" ca="1" si="456"/>
        <v>0</v>
      </c>
      <c r="AJ337" s="72">
        <f t="shared" ca="1" si="456"/>
        <v>0</v>
      </c>
      <c r="AK337" s="72">
        <f t="shared" ca="1" si="456"/>
        <v>0</v>
      </c>
      <c r="AL337" s="72">
        <f t="shared" ca="1" si="456"/>
        <v>0</v>
      </c>
      <c r="AM337" s="72">
        <f t="shared" ca="1" si="456"/>
        <v>0</v>
      </c>
      <c r="AN337" s="72">
        <f t="shared" ca="1" si="456"/>
        <v>0</v>
      </c>
      <c r="AO337" s="72">
        <f t="shared" ca="1" si="456"/>
        <v>0</v>
      </c>
      <c r="AP337" s="72">
        <f t="shared" ca="1" si="456"/>
        <v>0</v>
      </c>
      <c r="AQ337" s="72">
        <f t="shared" ca="1" si="456"/>
        <v>0</v>
      </c>
      <c r="AR337" s="72">
        <f t="shared" ca="1" si="456"/>
        <v>0</v>
      </c>
      <c r="AS337" s="72">
        <f t="shared" ca="1" si="457"/>
        <v>0</v>
      </c>
      <c r="AT337" s="72">
        <f t="shared" ca="1" si="457"/>
        <v>0</v>
      </c>
      <c r="AU337" s="72">
        <f t="shared" ca="1" si="457"/>
        <v>0</v>
      </c>
      <c r="AV337" s="72">
        <f t="shared" ca="1" si="457"/>
        <v>0</v>
      </c>
      <c r="AW337" s="72">
        <f t="shared" ca="1" si="457"/>
        <v>0</v>
      </c>
      <c r="AX337" s="72">
        <f t="shared" ca="1" si="457"/>
        <v>0</v>
      </c>
      <c r="AY337" s="72">
        <f t="shared" ca="1" si="457"/>
        <v>0</v>
      </c>
      <c r="AZ337" s="72">
        <f t="shared" ca="1" si="457"/>
        <v>0</v>
      </c>
      <c r="BA337" s="72">
        <f t="shared" ca="1" si="457"/>
        <v>0</v>
      </c>
      <c r="BB337" s="72">
        <f t="shared" ca="1" si="457"/>
        <v>0</v>
      </c>
      <c r="BC337" s="72">
        <f t="shared" ca="1" si="458"/>
        <v>0</v>
      </c>
      <c r="BD337" s="72">
        <f t="shared" ca="1" si="458"/>
        <v>0</v>
      </c>
      <c r="BE337" s="72">
        <f t="shared" ca="1" si="458"/>
        <v>0</v>
      </c>
      <c r="BF337" s="72">
        <f t="shared" ca="1" si="458"/>
        <v>0</v>
      </c>
      <c r="BG337" s="72">
        <f t="shared" ca="1" si="458"/>
        <v>0</v>
      </c>
      <c r="BH337" s="72">
        <f t="shared" ca="1" si="458"/>
        <v>0</v>
      </c>
      <c r="BI337" s="72">
        <f t="shared" ca="1" si="458"/>
        <v>0</v>
      </c>
      <c r="BJ337" s="72">
        <f t="shared" ca="1" si="458"/>
        <v>0</v>
      </c>
      <c r="BK337" s="72">
        <f t="shared" ca="1" si="458"/>
        <v>0</v>
      </c>
      <c r="BL337" s="72">
        <f t="shared" ca="1" si="458"/>
        <v>0</v>
      </c>
      <c r="BM337" s="72">
        <f t="shared" ca="1" si="458"/>
        <v>0</v>
      </c>
      <c r="BN337" s="72">
        <f t="shared" ca="1" si="458"/>
        <v>0</v>
      </c>
      <c r="BO337" s="72">
        <f t="shared" ca="1" si="458"/>
        <v>0</v>
      </c>
      <c r="BP337" s="72">
        <f t="shared" ca="1" si="458"/>
        <v>0</v>
      </c>
      <c r="BQ337" s="72">
        <f t="shared" ca="1" si="458"/>
        <v>0</v>
      </c>
    </row>
    <row r="338" spans="2:69" ht="13.5" customHeight="1">
      <c r="C338" s="31"/>
      <c r="D338" s="30" t="str">
        <f>'취득원가 및 VAT'!E60</f>
        <v>M/H부지 임차료</v>
      </c>
      <c r="E338" s="22"/>
      <c r="F338" s="22">
        <f>'취득원가 및 VAT'!G60</f>
        <v>165</v>
      </c>
      <c r="G338" s="22">
        <f>'취득원가 및 VAT'!M60</f>
        <v>13.381082920541818</v>
      </c>
      <c r="H338" s="22"/>
      <c r="I338" s="22"/>
      <c r="J338" s="22"/>
      <c r="K338" s="22"/>
      <c r="L338" s="22"/>
      <c r="M338" s="22">
        <f t="shared" si="443"/>
        <v>13.381082920541807</v>
      </c>
      <c r="N338" s="22"/>
      <c r="O338" s="22">
        <f t="shared" si="454"/>
        <v>0</v>
      </c>
      <c r="P338" s="22">
        <f t="shared" si="454"/>
        <v>0</v>
      </c>
      <c r="Q338" s="22">
        <f t="shared" si="454"/>
        <v>0</v>
      </c>
      <c r="R338" s="22">
        <f t="shared" si="454"/>
        <v>0</v>
      </c>
      <c r="S338" s="22">
        <f t="shared" si="454"/>
        <v>0</v>
      </c>
      <c r="T338" s="22">
        <f t="shared" si="454"/>
        <v>0</v>
      </c>
      <c r="U338" s="22">
        <f t="shared" si="454"/>
        <v>0</v>
      </c>
      <c r="V338" s="22">
        <f t="shared" si="454"/>
        <v>0</v>
      </c>
      <c r="W338" s="22">
        <f t="shared" si="454"/>
        <v>0</v>
      </c>
      <c r="X338" s="22">
        <f t="shared" si="454"/>
        <v>0</v>
      </c>
      <c r="Y338" s="22">
        <f t="shared" si="455"/>
        <v>0</v>
      </c>
      <c r="Z338" s="22">
        <f t="shared" si="455"/>
        <v>0</v>
      </c>
      <c r="AA338" s="22">
        <f t="shared" si="455"/>
        <v>0</v>
      </c>
      <c r="AB338" s="22">
        <f t="shared" si="455"/>
        <v>0</v>
      </c>
      <c r="AC338" s="22">
        <f t="shared" si="455"/>
        <v>0</v>
      </c>
      <c r="AD338" s="22">
        <f t="shared" si="455"/>
        <v>0</v>
      </c>
      <c r="AE338" s="22">
        <f t="shared" si="455"/>
        <v>0.4054873612285399</v>
      </c>
      <c r="AF338" s="22">
        <f t="shared" si="455"/>
        <v>0.4054873612285399</v>
      </c>
      <c r="AG338" s="22">
        <f t="shared" si="455"/>
        <v>0.4054873612285399</v>
      </c>
      <c r="AH338" s="22">
        <f t="shared" si="455"/>
        <v>0.4054873612285399</v>
      </c>
      <c r="AI338" s="22">
        <f t="shared" si="456"/>
        <v>0.4054873612285399</v>
      </c>
      <c r="AJ338" s="22">
        <f t="shared" si="456"/>
        <v>0.4054873612285399</v>
      </c>
      <c r="AK338" s="22">
        <f t="shared" si="456"/>
        <v>0.4054873612285399</v>
      </c>
      <c r="AL338" s="22">
        <f t="shared" si="456"/>
        <v>0.4054873612285399</v>
      </c>
      <c r="AM338" s="22">
        <f t="shared" si="456"/>
        <v>0.4054873612285399</v>
      </c>
      <c r="AN338" s="22">
        <f t="shared" si="456"/>
        <v>0.4054873612285399</v>
      </c>
      <c r="AO338" s="22">
        <f t="shared" si="456"/>
        <v>0.4054873612285399</v>
      </c>
      <c r="AP338" s="22">
        <f t="shared" si="456"/>
        <v>0.4054873612285399</v>
      </c>
      <c r="AQ338" s="22">
        <f t="shared" si="456"/>
        <v>0.4054873612285399</v>
      </c>
      <c r="AR338" s="22">
        <f t="shared" si="456"/>
        <v>0.4054873612285399</v>
      </c>
      <c r="AS338" s="22">
        <f t="shared" si="457"/>
        <v>0.4054873612285399</v>
      </c>
      <c r="AT338" s="22">
        <f t="shared" si="457"/>
        <v>0.4054873612285399</v>
      </c>
      <c r="AU338" s="22">
        <f t="shared" si="457"/>
        <v>0.4054873612285399</v>
      </c>
      <c r="AV338" s="22">
        <f t="shared" si="457"/>
        <v>0.4054873612285399</v>
      </c>
      <c r="AW338" s="22">
        <f t="shared" si="457"/>
        <v>0.4054873612285399</v>
      </c>
      <c r="AX338" s="22">
        <f t="shared" si="457"/>
        <v>0.4054873612285399</v>
      </c>
      <c r="AY338" s="22">
        <f t="shared" si="457"/>
        <v>0.4054873612285399</v>
      </c>
      <c r="AZ338" s="22">
        <f t="shared" si="457"/>
        <v>0.4054873612285399</v>
      </c>
      <c r="BA338" s="22">
        <f t="shared" si="457"/>
        <v>0.4054873612285399</v>
      </c>
      <c r="BB338" s="22">
        <f t="shared" si="457"/>
        <v>0.4054873612285399</v>
      </c>
      <c r="BC338" s="22">
        <f t="shared" si="458"/>
        <v>0.4054873612285399</v>
      </c>
      <c r="BD338" s="22">
        <f t="shared" si="458"/>
        <v>0.4054873612285399</v>
      </c>
      <c r="BE338" s="22">
        <f t="shared" si="458"/>
        <v>0.4054873612285399</v>
      </c>
      <c r="BF338" s="22">
        <f t="shared" si="458"/>
        <v>0.4054873612285399</v>
      </c>
      <c r="BG338" s="22">
        <f t="shared" si="458"/>
        <v>0.4054873612285399</v>
      </c>
      <c r="BH338" s="22">
        <f t="shared" si="458"/>
        <v>0.4054873612285399</v>
      </c>
      <c r="BI338" s="22">
        <f t="shared" si="458"/>
        <v>0.4054873612285399</v>
      </c>
      <c r="BJ338" s="22">
        <f t="shared" si="458"/>
        <v>0.4054873612285399</v>
      </c>
      <c r="BK338" s="22">
        <f t="shared" si="458"/>
        <v>0.4054873612285399</v>
      </c>
      <c r="BL338" s="22">
        <f t="shared" si="458"/>
        <v>0</v>
      </c>
      <c r="BM338" s="22">
        <f t="shared" si="458"/>
        <v>0</v>
      </c>
      <c r="BN338" s="22">
        <f t="shared" si="458"/>
        <v>0</v>
      </c>
      <c r="BO338" s="22">
        <f t="shared" si="458"/>
        <v>0</v>
      </c>
      <c r="BP338" s="22">
        <f t="shared" si="458"/>
        <v>0</v>
      </c>
      <c r="BQ338" s="22">
        <f t="shared" si="458"/>
        <v>0</v>
      </c>
    </row>
    <row r="339" spans="2:69" ht="13.5" customHeight="1">
      <c r="C339" s="31"/>
      <c r="D339" s="31" t="str">
        <f>'취득원가 및 VAT'!E61</f>
        <v>M/H건설비</v>
      </c>
      <c r="E339" s="32"/>
      <c r="F339" s="32">
        <f>'취득원가 및 VAT'!G61</f>
        <v>2310</v>
      </c>
      <c r="G339" s="32">
        <f>'취득원가 및 VAT'!M61</f>
        <v>187.33516088758546</v>
      </c>
      <c r="H339" s="32"/>
      <c r="I339" s="32"/>
      <c r="J339" s="32"/>
      <c r="K339" s="32"/>
      <c r="L339" s="32"/>
      <c r="M339" s="32">
        <f t="shared" si="443"/>
        <v>187.33516088758546</v>
      </c>
      <c r="N339" s="32"/>
      <c r="O339" s="32">
        <f t="shared" ref="O339:X351" si="459">IFERROR(SUMIF($C$13:$C$138,$C339,O$13:O$138)*($G339/$F339)+SUMIF($D$13:$D$138,$D339,O$13:O$138)*($G339/$F339),"")</f>
        <v>0</v>
      </c>
      <c r="P339" s="32">
        <f t="shared" si="459"/>
        <v>0</v>
      </c>
      <c r="Q339" s="32">
        <f t="shared" si="459"/>
        <v>0</v>
      </c>
      <c r="R339" s="32">
        <f t="shared" si="459"/>
        <v>0</v>
      </c>
      <c r="S339" s="32">
        <f t="shared" si="459"/>
        <v>0</v>
      </c>
      <c r="T339" s="32">
        <f t="shared" si="459"/>
        <v>0</v>
      </c>
      <c r="U339" s="32">
        <f t="shared" si="459"/>
        <v>0</v>
      </c>
      <c r="V339" s="32">
        <f t="shared" si="459"/>
        <v>0</v>
      </c>
      <c r="W339" s="32">
        <f t="shared" si="459"/>
        <v>0</v>
      </c>
      <c r="X339" s="32">
        <f t="shared" si="459"/>
        <v>0</v>
      </c>
      <c r="Y339" s="32">
        <f t="shared" ref="Y339:AH351" si="460">IFERROR(SUMIF($C$13:$C$138,$C339,Y$13:Y$138)*($G339/$F339)+SUMIF($D$13:$D$138,$D339,Y$13:Y$138)*($G339/$F339),"")</f>
        <v>0</v>
      </c>
      <c r="Z339" s="32">
        <f t="shared" si="460"/>
        <v>0</v>
      </c>
      <c r="AA339" s="32">
        <f t="shared" si="460"/>
        <v>0</v>
      </c>
      <c r="AB339" s="32">
        <f t="shared" si="460"/>
        <v>187.33516088758546</v>
      </c>
      <c r="AC339" s="32">
        <f t="shared" si="460"/>
        <v>0</v>
      </c>
      <c r="AD339" s="32">
        <f t="shared" si="460"/>
        <v>0</v>
      </c>
      <c r="AE339" s="32">
        <f t="shared" si="460"/>
        <v>0</v>
      </c>
      <c r="AF339" s="32">
        <f t="shared" si="460"/>
        <v>0</v>
      </c>
      <c r="AG339" s="32">
        <f t="shared" si="460"/>
        <v>0</v>
      </c>
      <c r="AH339" s="32">
        <f t="shared" si="460"/>
        <v>0</v>
      </c>
      <c r="AI339" s="32">
        <f t="shared" ref="AI339:AR351" si="461">IFERROR(SUMIF($C$13:$C$138,$C339,AI$13:AI$138)*($G339/$F339)+SUMIF($D$13:$D$138,$D339,AI$13:AI$138)*($G339/$F339),"")</f>
        <v>0</v>
      </c>
      <c r="AJ339" s="32">
        <f t="shared" si="461"/>
        <v>0</v>
      </c>
      <c r="AK339" s="32">
        <f t="shared" si="461"/>
        <v>0</v>
      </c>
      <c r="AL339" s="32">
        <f t="shared" si="461"/>
        <v>0</v>
      </c>
      <c r="AM339" s="32">
        <f t="shared" si="461"/>
        <v>0</v>
      </c>
      <c r="AN339" s="32">
        <f t="shared" si="461"/>
        <v>0</v>
      </c>
      <c r="AO339" s="32">
        <f t="shared" si="461"/>
        <v>0</v>
      </c>
      <c r="AP339" s="32">
        <f t="shared" si="461"/>
        <v>0</v>
      </c>
      <c r="AQ339" s="32">
        <f t="shared" si="461"/>
        <v>0</v>
      </c>
      <c r="AR339" s="32">
        <f t="shared" si="461"/>
        <v>0</v>
      </c>
      <c r="AS339" s="32">
        <f t="shared" ref="AS339:BB351" si="462">IFERROR(SUMIF($C$13:$C$138,$C339,AS$13:AS$138)*($G339/$F339)+SUMIF($D$13:$D$138,$D339,AS$13:AS$138)*($G339/$F339),"")</f>
        <v>0</v>
      </c>
      <c r="AT339" s="32">
        <f t="shared" si="462"/>
        <v>0</v>
      </c>
      <c r="AU339" s="32">
        <f t="shared" si="462"/>
        <v>0</v>
      </c>
      <c r="AV339" s="32">
        <f t="shared" si="462"/>
        <v>0</v>
      </c>
      <c r="AW339" s="32">
        <f t="shared" si="462"/>
        <v>0</v>
      </c>
      <c r="AX339" s="32">
        <f t="shared" si="462"/>
        <v>0</v>
      </c>
      <c r="AY339" s="32">
        <f t="shared" si="462"/>
        <v>0</v>
      </c>
      <c r="AZ339" s="32">
        <f t="shared" si="462"/>
        <v>0</v>
      </c>
      <c r="BA339" s="32">
        <f t="shared" si="462"/>
        <v>0</v>
      </c>
      <c r="BB339" s="32">
        <f t="shared" si="462"/>
        <v>0</v>
      </c>
      <c r="BC339" s="32">
        <f t="shared" ref="BC339:BQ351" si="463">IFERROR(SUMIF($C$13:$C$138,$C339,BC$13:BC$138)*($G339/$F339)+SUMIF($D$13:$D$138,$D339,BC$13:BC$138)*($G339/$F339),"")</f>
        <v>0</v>
      </c>
      <c r="BD339" s="32">
        <f t="shared" si="463"/>
        <v>0</v>
      </c>
      <c r="BE339" s="32">
        <f t="shared" si="463"/>
        <v>0</v>
      </c>
      <c r="BF339" s="32">
        <f t="shared" si="463"/>
        <v>0</v>
      </c>
      <c r="BG339" s="32">
        <f t="shared" si="463"/>
        <v>0</v>
      </c>
      <c r="BH339" s="32">
        <f t="shared" si="463"/>
        <v>0</v>
      </c>
      <c r="BI339" s="32">
        <f t="shared" si="463"/>
        <v>0</v>
      </c>
      <c r="BJ339" s="32">
        <f t="shared" si="463"/>
        <v>0</v>
      </c>
      <c r="BK339" s="32">
        <f t="shared" si="463"/>
        <v>0</v>
      </c>
      <c r="BL339" s="32">
        <f t="shared" si="463"/>
        <v>0</v>
      </c>
      <c r="BM339" s="32">
        <f t="shared" si="463"/>
        <v>0</v>
      </c>
      <c r="BN339" s="32">
        <f t="shared" si="463"/>
        <v>0</v>
      </c>
      <c r="BO339" s="32">
        <f t="shared" si="463"/>
        <v>0</v>
      </c>
      <c r="BP339" s="32">
        <f t="shared" si="463"/>
        <v>0</v>
      </c>
      <c r="BQ339" s="32">
        <f t="shared" si="463"/>
        <v>0</v>
      </c>
    </row>
    <row r="340" spans="2:69" ht="13.5" customHeight="1">
      <c r="C340" s="31"/>
      <c r="D340" s="31" t="str">
        <f>'취득원가 및 VAT'!E62</f>
        <v>M/H운영비</v>
      </c>
      <c r="E340" s="32"/>
      <c r="F340" s="32">
        <f>'취득원가 및 VAT'!G62</f>
        <v>75</v>
      </c>
      <c r="G340" s="32">
        <f>'취득원가 및 VAT'!M62</f>
        <v>6.0823104184280989</v>
      </c>
      <c r="H340" s="32"/>
      <c r="I340" s="32"/>
      <c r="J340" s="32"/>
      <c r="K340" s="32"/>
      <c r="L340" s="32"/>
      <c r="M340" s="32">
        <f t="shared" si="443"/>
        <v>6.0823104184280972</v>
      </c>
      <c r="N340" s="32"/>
      <c r="O340" s="32">
        <f t="shared" si="459"/>
        <v>0</v>
      </c>
      <c r="P340" s="32">
        <f t="shared" si="459"/>
        <v>0</v>
      </c>
      <c r="Q340" s="32">
        <f t="shared" si="459"/>
        <v>0</v>
      </c>
      <c r="R340" s="32">
        <f t="shared" si="459"/>
        <v>0</v>
      </c>
      <c r="S340" s="32">
        <f t="shared" si="459"/>
        <v>0</v>
      </c>
      <c r="T340" s="32">
        <f t="shared" si="459"/>
        <v>0</v>
      </c>
      <c r="U340" s="32">
        <f t="shared" si="459"/>
        <v>0</v>
      </c>
      <c r="V340" s="32">
        <f t="shared" si="459"/>
        <v>0</v>
      </c>
      <c r="W340" s="32">
        <f t="shared" si="459"/>
        <v>0</v>
      </c>
      <c r="X340" s="32">
        <f t="shared" si="459"/>
        <v>0</v>
      </c>
      <c r="Y340" s="32">
        <f t="shared" si="460"/>
        <v>0</v>
      </c>
      <c r="Z340" s="32">
        <f t="shared" si="460"/>
        <v>0</v>
      </c>
      <c r="AA340" s="32">
        <f t="shared" si="460"/>
        <v>0</v>
      </c>
      <c r="AB340" s="32">
        <f t="shared" si="460"/>
        <v>0</v>
      </c>
      <c r="AC340" s="32">
        <f t="shared" si="460"/>
        <v>0</v>
      </c>
      <c r="AD340" s="32">
        <f t="shared" si="460"/>
        <v>0</v>
      </c>
      <c r="AE340" s="32">
        <f t="shared" si="460"/>
        <v>0.4054873612285399</v>
      </c>
      <c r="AF340" s="32">
        <f t="shared" si="460"/>
        <v>0.4054873612285399</v>
      </c>
      <c r="AG340" s="32">
        <f t="shared" si="460"/>
        <v>0.4054873612285399</v>
      </c>
      <c r="AH340" s="32">
        <f t="shared" si="460"/>
        <v>0.4054873612285399</v>
      </c>
      <c r="AI340" s="32">
        <f t="shared" si="461"/>
        <v>0.4054873612285399</v>
      </c>
      <c r="AJ340" s="32">
        <f t="shared" si="461"/>
        <v>0.4054873612285399</v>
      </c>
      <c r="AK340" s="32">
        <f t="shared" si="461"/>
        <v>0.4054873612285399</v>
      </c>
      <c r="AL340" s="32">
        <f t="shared" si="461"/>
        <v>0.4054873612285399</v>
      </c>
      <c r="AM340" s="32">
        <f t="shared" si="461"/>
        <v>0.4054873612285399</v>
      </c>
      <c r="AN340" s="32">
        <f t="shared" si="461"/>
        <v>0.4054873612285399</v>
      </c>
      <c r="AO340" s="32">
        <f t="shared" si="461"/>
        <v>0.4054873612285399</v>
      </c>
      <c r="AP340" s="32">
        <f t="shared" si="461"/>
        <v>0.4054873612285399</v>
      </c>
      <c r="AQ340" s="32">
        <f t="shared" si="461"/>
        <v>0</v>
      </c>
      <c r="AR340" s="32">
        <f t="shared" si="461"/>
        <v>0</v>
      </c>
      <c r="AS340" s="32">
        <f t="shared" si="462"/>
        <v>0</v>
      </c>
      <c r="AT340" s="32">
        <f t="shared" si="462"/>
        <v>0</v>
      </c>
      <c r="AU340" s="32">
        <f t="shared" si="462"/>
        <v>0</v>
      </c>
      <c r="AV340" s="32">
        <f t="shared" si="462"/>
        <v>0</v>
      </c>
      <c r="AW340" s="32">
        <f t="shared" si="462"/>
        <v>0</v>
      </c>
      <c r="AX340" s="32">
        <f t="shared" si="462"/>
        <v>0</v>
      </c>
      <c r="AY340" s="32">
        <f t="shared" si="462"/>
        <v>0</v>
      </c>
      <c r="AZ340" s="32">
        <f t="shared" si="462"/>
        <v>0</v>
      </c>
      <c r="BA340" s="32">
        <f t="shared" si="462"/>
        <v>0</v>
      </c>
      <c r="BB340" s="32">
        <f t="shared" si="462"/>
        <v>0</v>
      </c>
      <c r="BC340" s="32">
        <f t="shared" si="463"/>
        <v>0</v>
      </c>
      <c r="BD340" s="32">
        <f t="shared" si="463"/>
        <v>0</v>
      </c>
      <c r="BE340" s="32">
        <f t="shared" si="463"/>
        <v>0</v>
      </c>
      <c r="BF340" s="32">
        <f t="shared" si="463"/>
        <v>0</v>
      </c>
      <c r="BG340" s="32">
        <f t="shared" si="463"/>
        <v>0</v>
      </c>
      <c r="BH340" s="32">
        <f t="shared" si="463"/>
        <v>0</v>
      </c>
      <c r="BI340" s="32">
        <f t="shared" si="463"/>
        <v>0.4054873612285399</v>
      </c>
      <c r="BJ340" s="32">
        <f t="shared" si="463"/>
        <v>0.4054873612285399</v>
      </c>
      <c r="BK340" s="32">
        <f t="shared" si="463"/>
        <v>0.4054873612285399</v>
      </c>
      <c r="BL340" s="32">
        <f t="shared" si="463"/>
        <v>0</v>
      </c>
      <c r="BM340" s="32">
        <f t="shared" si="463"/>
        <v>0</v>
      </c>
      <c r="BN340" s="32">
        <f t="shared" si="463"/>
        <v>0</v>
      </c>
      <c r="BO340" s="32">
        <f t="shared" si="463"/>
        <v>0</v>
      </c>
      <c r="BP340" s="32">
        <f t="shared" si="463"/>
        <v>0</v>
      </c>
      <c r="BQ340" s="32">
        <f t="shared" si="463"/>
        <v>0</v>
      </c>
    </row>
    <row r="341" spans="2:69" ht="13.5" customHeight="1">
      <c r="C341" s="31"/>
      <c r="D341" s="31" t="str">
        <f>'취득원가 및 VAT'!E63</f>
        <v>광고선전비</v>
      </c>
      <c r="E341" s="32"/>
      <c r="F341" s="32">
        <f ca="1">'취득원가 및 VAT'!G63</f>
        <v>3674.384470913044</v>
      </c>
      <c r="G341" s="32">
        <f ca="1">'취득원가 및 VAT'!M63</f>
        <v>297.983292649931</v>
      </c>
      <c r="H341" s="32"/>
      <c r="I341" s="32"/>
      <c r="J341" s="32"/>
      <c r="K341" s="32"/>
      <c r="L341" s="32"/>
      <c r="M341" s="32">
        <f t="shared" ca="1" si="443"/>
        <v>297.98329264993089</v>
      </c>
      <c r="N341" s="32"/>
      <c r="O341" s="32">
        <f t="shared" ca="1" si="459"/>
        <v>0</v>
      </c>
      <c r="P341" s="32">
        <f t="shared" ca="1" si="459"/>
        <v>0</v>
      </c>
      <c r="Q341" s="32">
        <f t="shared" ca="1" si="459"/>
        <v>0</v>
      </c>
      <c r="R341" s="32">
        <f t="shared" ca="1" si="459"/>
        <v>0</v>
      </c>
      <c r="S341" s="32">
        <f t="shared" ca="1" si="459"/>
        <v>0</v>
      </c>
      <c r="T341" s="32">
        <f t="shared" ca="1" si="459"/>
        <v>0</v>
      </c>
      <c r="U341" s="32">
        <f t="shared" ca="1" si="459"/>
        <v>0</v>
      </c>
      <c r="V341" s="32">
        <f t="shared" ca="1" si="459"/>
        <v>0</v>
      </c>
      <c r="W341" s="32">
        <f t="shared" ca="1" si="459"/>
        <v>0</v>
      </c>
      <c r="X341" s="32">
        <f t="shared" ca="1" si="459"/>
        <v>0</v>
      </c>
      <c r="Y341" s="32">
        <f t="shared" ca="1" si="460"/>
        <v>0</v>
      </c>
      <c r="Z341" s="32">
        <f t="shared" ca="1" si="460"/>
        <v>0</v>
      </c>
      <c r="AA341" s="32">
        <f t="shared" ca="1" si="460"/>
        <v>0</v>
      </c>
      <c r="AB341" s="32">
        <f t="shared" ca="1" si="460"/>
        <v>0</v>
      </c>
      <c r="AC341" s="32">
        <f t="shared" ca="1" si="460"/>
        <v>0</v>
      </c>
      <c r="AD341" s="32">
        <f t="shared" ca="1" si="460"/>
        <v>0</v>
      </c>
      <c r="AE341" s="32">
        <f t="shared" ca="1" si="460"/>
        <v>2.3715429070722118</v>
      </c>
      <c r="AF341" s="32">
        <f t="shared" ca="1" si="460"/>
        <v>2.3715429070722118</v>
      </c>
      <c r="AG341" s="32">
        <f t="shared" ca="1" si="460"/>
        <v>2.3715429070722118</v>
      </c>
      <c r="AH341" s="32">
        <f t="shared" ca="1" si="460"/>
        <v>11.85771453536106</v>
      </c>
      <c r="AI341" s="32">
        <f t="shared" ca="1" si="461"/>
        <v>4.7430858141444237</v>
      </c>
      <c r="AJ341" s="32">
        <f t="shared" ca="1" si="461"/>
        <v>4.7430858141444237</v>
      </c>
      <c r="AK341" s="32">
        <f t="shared" ca="1" si="461"/>
        <v>21.343886163649902</v>
      </c>
      <c r="AL341" s="32">
        <f t="shared" ca="1" si="461"/>
        <v>7.1146287212166364</v>
      </c>
      <c r="AM341" s="32">
        <f t="shared" ca="1" si="461"/>
        <v>7.1146287212166364</v>
      </c>
      <c r="AN341" s="32">
        <f t="shared" ca="1" si="461"/>
        <v>30.83005779193876</v>
      </c>
      <c r="AO341" s="32">
        <f t="shared" ca="1" si="461"/>
        <v>9.4861716282888473</v>
      </c>
      <c r="AP341" s="32">
        <f t="shared" ca="1" si="461"/>
        <v>9.4861716282888473</v>
      </c>
      <c r="AQ341" s="32">
        <f t="shared" ca="1" si="461"/>
        <v>28.458514884866545</v>
      </c>
      <c r="AR341" s="32">
        <f t="shared" ca="1" si="461"/>
        <v>0</v>
      </c>
      <c r="AS341" s="32">
        <f t="shared" ca="1" si="462"/>
        <v>0</v>
      </c>
      <c r="AT341" s="32">
        <f t="shared" ca="1" si="462"/>
        <v>28.458514884866545</v>
      </c>
      <c r="AU341" s="32">
        <f t="shared" ca="1" si="462"/>
        <v>0</v>
      </c>
      <c r="AV341" s="32">
        <f t="shared" ca="1" si="462"/>
        <v>0</v>
      </c>
      <c r="AW341" s="32">
        <f t="shared" ca="1" si="462"/>
        <v>28.458514884866545</v>
      </c>
      <c r="AX341" s="32">
        <f t="shared" ca="1" si="462"/>
        <v>0</v>
      </c>
      <c r="AY341" s="32">
        <f t="shared" ca="1" si="462"/>
        <v>0</v>
      </c>
      <c r="AZ341" s="32">
        <f t="shared" ca="1" si="462"/>
        <v>0</v>
      </c>
      <c r="BA341" s="32">
        <f t="shared" ca="1" si="462"/>
        <v>0</v>
      </c>
      <c r="BB341" s="32">
        <f t="shared" ca="1" si="462"/>
        <v>0</v>
      </c>
      <c r="BC341" s="32">
        <f t="shared" ca="1" si="463"/>
        <v>0</v>
      </c>
      <c r="BD341" s="32">
        <f t="shared" ca="1" si="463"/>
        <v>0</v>
      </c>
      <c r="BE341" s="32">
        <f t="shared" ca="1" si="463"/>
        <v>0</v>
      </c>
      <c r="BF341" s="32">
        <f t="shared" ca="1" si="463"/>
        <v>0</v>
      </c>
      <c r="BG341" s="32">
        <f t="shared" ca="1" si="463"/>
        <v>0</v>
      </c>
      <c r="BH341" s="32">
        <f t="shared" ca="1" si="463"/>
        <v>0</v>
      </c>
      <c r="BI341" s="32">
        <f t="shared" ca="1" si="463"/>
        <v>0.44660479337551673</v>
      </c>
      <c r="BJ341" s="32">
        <f t="shared" ca="1" si="463"/>
        <v>1.3398143801265501</v>
      </c>
      <c r="BK341" s="32">
        <f t="shared" ca="1" si="463"/>
        <v>2.233023966877584</v>
      </c>
      <c r="BL341" s="32">
        <f t="shared" ca="1" si="463"/>
        <v>1.3398143801265505</v>
      </c>
      <c r="BM341" s="32">
        <f t="shared" ca="1" si="463"/>
        <v>93.414430935358936</v>
      </c>
      <c r="BN341" s="32">
        <f t="shared" ca="1" si="463"/>
        <v>0</v>
      </c>
      <c r="BO341" s="32">
        <f t="shared" ca="1" si="463"/>
        <v>0</v>
      </c>
      <c r="BP341" s="32">
        <f t="shared" ca="1" si="463"/>
        <v>0</v>
      </c>
      <c r="BQ341" s="32">
        <f t="shared" ca="1" si="463"/>
        <v>0</v>
      </c>
    </row>
    <row r="342" spans="2:69" ht="13.5" customHeight="1">
      <c r="C342" s="31"/>
      <c r="D342" s="31" t="str">
        <f>'취득원가 및 VAT'!E64</f>
        <v>분양대행 수수료</v>
      </c>
      <c r="E342" s="32"/>
      <c r="F342" s="32">
        <f ca="1">'취득원가 및 VAT'!G64</f>
        <v>8670.4519418260879</v>
      </c>
      <c r="G342" s="32">
        <f ca="1">'취득원가 및 VAT'!M64</f>
        <v>703.15173570998616</v>
      </c>
      <c r="H342" s="32"/>
      <c r="I342" s="32"/>
      <c r="J342" s="32"/>
      <c r="K342" s="32"/>
      <c r="L342" s="32"/>
      <c r="M342" s="32">
        <f t="shared" ca="1" si="443"/>
        <v>703.15173570998616</v>
      </c>
      <c r="N342" s="32"/>
      <c r="O342" s="32">
        <f t="shared" ca="1" si="459"/>
        <v>0</v>
      </c>
      <c r="P342" s="32">
        <f t="shared" ca="1" si="459"/>
        <v>0</v>
      </c>
      <c r="Q342" s="32">
        <f t="shared" ca="1" si="459"/>
        <v>0</v>
      </c>
      <c r="R342" s="32">
        <f t="shared" ca="1" si="459"/>
        <v>0</v>
      </c>
      <c r="S342" s="32">
        <f t="shared" ca="1" si="459"/>
        <v>0</v>
      </c>
      <c r="T342" s="32">
        <f t="shared" ca="1" si="459"/>
        <v>0</v>
      </c>
      <c r="U342" s="32">
        <f t="shared" ca="1" si="459"/>
        <v>0</v>
      </c>
      <c r="V342" s="32">
        <f t="shared" ca="1" si="459"/>
        <v>0</v>
      </c>
      <c r="W342" s="32">
        <f t="shared" ca="1" si="459"/>
        <v>0</v>
      </c>
      <c r="X342" s="32">
        <f t="shared" ca="1" si="459"/>
        <v>0</v>
      </c>
      <c r="Y342" s="32">
        <f t="shared" ca="1" si="460"/>
        <v>0</v>
      </c>
      <c r="Z342" s="32">
        <f t="shared" ca="1" si="460"/>
        <v>0</v>
      </c>
      <c r="AA342" s="32">
        <f t="shared" ca="1" si="460"/>
        <v>0</v>
      </c>
      <c r="AB342" s="32">
        <f t="shared" ca="1" si="460"/>
        <v>0</v>
      </c>
      <c r="AC342" s="32">
        <f t="shared" ca="1" si="460"/>
        <v>0</v>
      </c>
      <c r="AD342" s="32">
        <f t="shared" ca="1" si="460"/>
        <v>0</v>
      </c>
      <c r="AE342" s="32">
        <f t="shared" ca="1" si="460"/>
        <v>47.430858141444254</v>
      </c>
      <c r="AF342" s="32">
        <f t="shared" ca="1" si="460"/>
        <v>47.430858141444254</v>
      </c>
      <c r="AG342" s="32">
        <f t="shared" ca="1" si="460"/>
        <v>47.430858141444254</v>
      </c>
      <c r="AH342" s="32">
        <f t="shared" ca="1" si="460"/>
        <v>47.430858141444254</v>
      </c>
      <c r="AI342" s="32">
        <f t="shared" ca="1" si="461"/>
        <v>47.430858141444254</v>
      </c>
      <c r="AJ342" s="32">
        <f t="shared" ca="1" si="461"/>
        <v>47.430858141444254</v>
      </c>
      <c r="AK342" s="32">
        <f t="shared" ca="1" si="461"/>
        <v>47.430858141444254</v>
      </c>
      <c r="AL342" s="32">
        <f t="shared" ca="1" si="461"/>
        <v>47.430858141444254</v>
      </c>
      <c r="AM342" s="32">
        <f t="shared" ca="1" si="461"/>
        <v>47.430858141444254</v>
      </c>
      <c r="AN342" s="32">
        <f t="shared" ca="1" si="461"/>
        <v>47.430858141444254</v>
      </c>
      <c r="AO342" s="32">
        <f t="shared" ca="1" si="461"/>
        <v>47.430858141444254</v>
      </c>
      <c r="AP342" s="32">
        <f t="shared" ca="1" si="461"/>
        <v>47.430858141444254</v>
      </c>
      <c r="AQ342" s="32">
        <f t="shared" ca="1" si="461"/>
        <v>0</v>
      </c>
      <c r="AR342" s="32">
        <f t="shared" ca="1" si="461"/>
        <v>0</v>
      </c>
      <c r="AS342" s="32">
        <f t="shared" ca="1" si="462"/>
        <v>0</v>
      </c>
      <c r="AT342" s="32">
        <f t="shared" ca="1" si="462"/>
        <v>0</v>
      </c>
      <c r="AU342" s="32">
        <f t="shared" ca="1" si="462"/>
        <v>0</v>
      </c>
      <c r="AV342" s="32">
        <f t="shared" ca="1" si="462"/>
        <v>0</v>
      </c>
      <c r="AW342" s="32">
        <f t="shared" ca="1" si="462"/>
        <v>0</v>
      </c>
      <c r="AX342" s="32">
        <f t="shared" ca="1" si="462"/>
        <v>0</v>
      </c>
      <c r="AY342" s="32">
        <f t="shared" ca="1" si="462"/>
        <v>0</v>
      </c>
      <c r="AZ342" s="32">
        <f t="shared" ca="1" si="462"/>
        <v>0</v>
      </c>
      <c r="BA342" s="32">
        <f t="shared" ca="1" si="462"/>
        <v>0</v>
      </c>
      <c r="BB342" s="32">
        <f t="shared" ca="1" si="462"/>
        <v>0</v>
      </c>
      <c r="BC342" s="32">
        <f t="shared" ca="1" si="463"/>
        <v>0</v>
      </c>
      <c r="BD342" s="32">
        <f t="shared" ca="1" si="463"/>
        <v>0</v>
      </c>
      <c r="BE342" s="32">
        <f t="shared" ca="1" si="463"/>
        <v>0</v>
      </c>
      <c r="BF342" s="32">
        <f t="shared" ca="1" si="463"/>
        <v>0</v>
      </c>
      <c r="BG342" s="32">
        <f t="shared" ca="1" si="463"/>
        <v>0</v>
      </c>
      <c r="BH342" s="32">
        <f t="shared" ca="1" si="463"/>
        <v>0</v>
      </c>
      <c r="BI342" s="32">
        <f t="shared" ca="1" si="463"/>
        <v>44.660479337551699</v>
      </c>
      <c r="BJ342" s="32">
        <f t="shared" ca="1" si="463"/>
        <v>44.660479337551699</v>
      </c>
      <c r="BK342" s="32">
        <f t="shared" ca="1" si="463"/>
        <v>44.660479337551699</v>
      </c>
      <c r="BL342" s="32">
        <f t="shared" ca="1" si="463"/>
        <v>0</v>
      </c>
      <c r="BM342" s="32">
        <f t="shared" ca="1" si="463"/>
        <v>0</v>
      </c>
      <c r="BN342" s="32">
        <f t="shared" ca="1" si="463"/>
        <v>0</v>
      </c>
      <c r="BO342" s="32">
        <f t="shared" ca="1" si="463"/>
        <v>0</v>
      </c>
      <c r="BP342" s="32">
        <f t="shared" ca="1" si="463"/>
        <v>0</v>
      </c>
      <c r="BQ342" s="32">
        <f t="shared" ca="1" si="463"/>
        <v>0</v>
      </c>
    </row>
    <row r="343" spans="2:69" ht="13.5" customHeight="1">
      <c r="C343" s="31"/>
      <c r="D343" s="31" t="str">
        <f>'취득원가 및 VAT'!E65</f>
        <v>분양보증 수수료</v>
      </c>
      <c r="E343" s="32"/>
      <c r="F343" s="32">
        <f ca="1">'취득원가 및 VAT'!G65</f>
        <v>2414.6922339567409</v>
      </c>
      <c r="G343" s="32">
        <f ca="1">'취득원가 및 VAT'!M65</f>
        <v>195.82543642523345</v>
      </c>
      <c r="H343" s="32"/>
      <c r="I343" s="32"/>
      <c r="J343" s="32"/>
      <c r="K343" s="32"/>
      <c r="L343" s="32"/>
      <c r="M343" s="32">
        <f t="shared" ca="1" si="443"/>
        <v>195.82543642523345</v>
      </c>
      <c r="N343" s="32"/>
      <c r="O343" s="32">
        <f t="shared" ca="1" si="459"/>
        <v>0</v>
      </c>
      <c r="P343" s="32">
        <f t="shared" ca="1" si="459"/>
        <v>0</v>
      </c>
      <c r="Q343" s="32">
        <f t="shared" ca="1" si="459"/>
        <v>0</v>
      </c>
      <c r="R343" s="32">
        <f t="shared" ca="1" si="459"/>
        <v>0</v>
      </c>
      <c r="S343" s="32">
        <f t="shared" ca="1" si="459"/>
        <v>0</v>
      </c>
      <c r="T343" s="32">
        <f t="shared" ca="1" si="459"/>
        <v>0</v>
      </c>
      <c r="U343" s="32">
        <f t="shared" ca="1" si="459"/>
        <v>0</v>
      </c>
      <c r="V343" s="32">
        <f t="shared" ca="1" si="459"/>
        <v>0</v>
      </c>
      <c r="W343" s="32">
        <f t="shared" ca="1" si="459"/>
        <v>0</v>
      </c>
      <c r="X343" s="32">
        <f t="shared" ca="1" si="459"/>
        <v>0</v>
      </c>
      <c r="Y343" s="32">
        <f t="shared" ca="1" si="460"/>
        <v>0</v>
      </c>
      <c r="Z343" s="32">
        <f t="shared" ca="1" si="460"/>
        <v>0</v>
      </c>
      <c r="AA343" s="32">
        <f t="shared" ca="1" si="460"/>
        <v>0</v>
      </c>
      <c r="AB343" s="32">
        <f t="shared" ca="1" si="460"/>
        <v>0</v>
      </c>
      <c r="AC343" s="32">
        <f t="shared" ca="1" si="460"/>
        <v>0</v>
      </c>
      <c r="AD343" s="32">
        <f t="shared" ca="1" si="460"/>
        <v>0</v>
      </c>
      <c r="AE343" s="32">
        <f t="shared" ca="1" si="460"/>
        <v>195.82543642523345</v>
      </c>
      <c r="AF343" s="32">
        <f t="shared" ca="1" si="460"/>
        <v>0</v>
      </c>
      <c r="AG343" s="32">
        <f t="shared" ca="1" si="460"/>
        <v>0</v>
      </c>
      <c r="AH343" s="32">
        <f t="shared" ca="1" si="460"/>
        <v>0</v>
      </c>
      <c r="AI343" s="32">
        <f t="shared" ca="1" si="461"/>
        <v>0</v>
      </c>
      <c r="AJ343" s="32">
        <f t="shared" ca="1" si="461"/>
        <v>0</v>
      </c>
      <c r="AK343" s="32">
        <f t="shared" ca="1" si="461"/>
        <v>0</v>
      </c>
      <c r="AL343" s="32">
        <f t="shared" ca="1" si="461"/>
        <v>0</v>
      </c>
      <c r="AM343" s="32">
        <f t="shared" ca="1" si="461"/>
        <v>0</v>
      </c>
      <c r="AN343" s="32">
        <f t="shared" ca="1" si="461"/>
        <v>0</v>
      </c>
      <c r="AO343" s="32">
        <f t="shared" ca="1" si="461"/>
        <v>0</v>
      </c>
      <c r="AP343" s="32">
        <f t="shared" ca="1" si="461"/>
        <v>0</v>
      </c>
      <c r="AQ343" s="32">
        <f t="shared" ca="1" si="461"/>
        <v>0</v>
      </c>
      <c r="AR343" s="32">
        <f t="shared" ca="1" si="461"/>
        <v>0</v>
      </c>
      <c r="AS343" s="32">
        <f t="shared" ca="1" si="462"/>
        <v>0</v>
      </c>
      <c r="AT343" s="32">
        <f t="shared" ca="1" si="462"/>
        <v>0</v>
      </c>
      <c r="AU343" s="32">
        <f t="shared" ca="1" si="462"/>
        <v>0</v>
      </c>
      <c r="AV343" s="32">
        <f t="shared" ca="1" si="462"/>
        <v>0</v>
      </c>
      <c r="AW343" s="32">
        <f t="shared" ca="1" si="462"/>
        <v>0</v>
      </c>
      <c r="AX343" s="32">
        <f t="shared" ca="1" si="462"/>
        <v>0</v>
      </c>
      <c r="AY343" s="32">
        <f t="shared" ca="1" si="462"/>
        <v>0</v>
      </c>
      <c r="AZ343" s="32">
        <f t="shared" ca="1" si="462"/>
        <v>0</v>
      </c>
      <c r="BA343" s="32">
        <f t="shared" ca="1" si="462"/>
        <v>0</v>
      </c>
      <c r="BB343" s="32">
        <f t="shared" ca="1" si="462"/>
        <v>0</v>
      </c>
      <c r="BC343" s="32">
        <f t="shared" ca="1" si="463"/>
        <v>0</v>
      </c>
      <c r="BD343" s="32">
        <f t="shared" ca="1" si="463"/>
        <v>0</v>
      </c>
      <c r="BE343" s="32">
        <f t="shared" ca="1" si="463"/>
        <v>0</v>
      </c>
      <c r="BF343" s="32">
        <f t="shared" ca="1" si="463"/>
        <v>0</v>
      </c>
      <c r="BG343" s="32">
        <f t="shared" ca="1" si="463"/>
        <v>0</v>
      </c>
      <c r="BH343" s="32">
        <f t="shared" ca="1" si="463"/>
        <v>0</v>
      </c>
      <c r="BI343" s="32">
        <f t="shared" ca="1" si="463"/>
        <v>0</v>
      </c>
      <c r="BJ343" s="32">
        <f t="shared" ca="1" si="463"/>
        <v>0</v>
      </c>
      <c r="BK343" s="32">
        <f t="shared" ca="1" si="463"/>
        <v>0</v>
      </c>
      <c r="BL343" s="32">
        <f t="shared" ca="1" si="463"/>
        <v>0</v>
      </c>
      <c r="BM343" s="32">
        <f t="shared" ca="1" si="463"/>
        <v>0</v>
      </c>
      <c r="BN343" s="32">
        <f t="shared" ca="1" si="463"/>
        <v>0</v>
      </c>
      <c r="BO343" s="32">
        <f t="shared" ca="1" si="463"/>
        <v>0</v>
      </c>
      <c r="BP343" s="32">
        <f t="shared" ca="1" si="463"/>
        <v>0</v>
      </c>
      <c r="BQ343" s="32">
        <f t="shared" ca="1" si="463"/>
        <v>0</v>
      </c>
    </row>
    <row r="344" spans="2:69" ht="13.5" customHeight="1">
      <c r="C344" s="54"/>
      <c r="D344" s="33" t="str">
        <f>'취득원가 및 VAT'!E66</f>
        <v>중도금 이자비용7)</v>
      </c>
      <c r="E344" s="24"/>
      <c r="F344" s="24">
        <f ca="1">'취득원가 및 VAT'!G66</f>
        <v>32714.252937824636</v>
      </c>
      <c r="G344" s="24">
        <f ca="1">'취득원가 및 VAT'!M66</f>
        <v>0</v>
      </c>
      <c r="H344" s="24"/>
      <c r="I344" s="24"/>
      <c r="J344" s="24"/>
      <c r="K344" s="24"/>
      <c r="L344" s="24"/>
      <c r="M344" s="24">
        <f t="shared" ca="1" si="443"/>
        <v>0</v>
      </c>
      <c r="N344" s="24"/>
      <c r="O344" s="24">
        <f t="shared" ca="1" si="459"/>
        <v>0</v>
      </c>
      <c r="P344" s="24">
        <f t="shared" ca="1" si="459"/>
        <v>0</v>
      </c>
      <c r="Q344" s="24">
        <f t="shared" ca="1" si="459"/>
        <v>0</v>
      </c>
      <c r="R344" s="24">
        <f t="shared" ca="1" si="459"/>
        <v>0</v>
      </c>
      <c r="S344" s="24">
        <f t="shared" ca="1" si="459"/>
        <v>0</v>
      </c>
      <c r="T344" s="24">
        <f t="shared" ca="1" si="459"/>
        <v>0</v>
      </c>
      <c r="U344" s="24">
        <f t="shared" ca="1" si="459"/>
        <v>0</v>
      </c>
      <c r="V344" s="24">
        <f t="shared" ca="1" si="459"/>
        <v>0</v>
      </c>
      <c r="W344" s="24">
        <f t="shared" ca="1" si="459"/>
        <v>0</v>
      </c>
      <c r="X344" s="24">
        <f t="shared" ca="1" si="459"/>
        <v>0</v>
      </c>
      <c r="Y344" s="24">
        <f t="shared" ca="1" si="460"/>
        <v>0</v>
      </c>
      <c r="Z344" s="24">
        <f t="shared" ca="1" si="460"/>
        <v>0</v>
      </c>
      <c r="AA344" s="24">
        <f t="shared" ca="1" si="460"/>
        <v>0</v>
      </c>
      <c r="AB344" s="24">
        <f t="shared" ca="1" si="460"/>
        <v>0</v>
      </c>
      <c r="AC344" s="24">
        <f t="shared" ca="1" si="460"/>
        <v>0</v>
      </c>
      <c r="AD344" s="24">
        <f t="shared" ca="1" si="460"/>
        <v>0</v>
      </c>
      <c r="AE344" s="24">
        <f t="shared" ca="1" si="460"/>
        <v>0</v>
      </c>
      <c r="AF344" s="24">
        <f t="shared" ca="1" si="460"/>
        <v>0</v>
      </c>
      <c r="AG344" s="24">
        <f t="shared" ca="1" si="460"/>
        <v>0</v>
      </c>
      <c r="AH344" s="24">
        <f t="shared" ca="1" si="460"/>
        <v>0</v>
      </c>
      <c r="AI344" s="24">
        <f t="shared" ca="1" si="461"/>
        <v>0</v>
      </c>
      <c r="AJ344" s="24">
        <f t="shared" ca="1" si="461"/>
        <v>0</v>
      </c>
      <c r="AK344" s="24">
        <f t="shared" ca="1" si="461"/>
        <v>0</v>
      </c>
      <c r="AL344" s="24">
        <f t="shared" ca="1" si="461"/>
        <v>0</v>
      </c>
      <c r="AM344" s="24">
        <f t="shared" ca="1" si="461"/>
        <v>0</v>
      </c>
      <c r="AN344" s="24">
        <f t="shared" ca="1" si="461"/>
        <v>0</v>
      </c>
      <c r="AO344" s="24">
        <f t="shared" ca="1" si="461"/>
        <v>0</v>
      </c>
      <c r="AP344" s="24">
        <f t="shared" ca="1" si="461"/>
        <v>0</v>
      </c>
      <c r="AQ344" s="24">
        <f t="shared" ca="1" si="461"/>
        <v>0</v>
      </c>
      <c r="AR344" s="24">
        <f t="shared" ca="1" si="461"/>
        <v>0</v>
      </c>
      <c r="AS344" s="24">
        <f t="shared" ca="1" si="462"/>
        <v>0</v>
      </c>
      <c r="AT344" s="24">
        <f t="shared" ca="1" si="462"/>
        <v>0</v>
      </c>
      <c r="AU344" s="24">
        <f t="shared" ca="1" si="462"/>
        <v>0</v>
      </c>
      <c r="AV344" s="24">
        <f t="shared" ca="1" si="462"/>
        <v>0</v>
      </c>
      <c r="AW344" s="24">
        <f t="shared" ca="1" si="462"/>
        <v>0</v>
      </c>
      <c r="AX344" s="24">
        <f t="shared" ca="1" si="462"/>
        <v>0</v>
      </c>
      <c r="AY344" s="24">
        <f t="shared" ca="1" si="462"/>
        <v>0</v>
      </c>
      <c r="AZ344" s="24">
        <f t="shared" ca="1" si="462"/>
        <v>0</v>
      </c>
      <c r="BA344" s="24">
        <f t="shared" ca="1" si="462"/>
        <v>0</v>
      </c>
      <c r="BB344" s="24">
        <f t="shared" ca="1" si="462"/>
        <v>0</v>
      </c>
      <c r="BC344" s="24">
        <f t="shared" ca="1" si="463"/>
        <v>0</v>
      </c>
      <c r="BD344" s="24">
        <f t="shared" ca="1" si="463"/>
        <v>0</v>
      </c>
      <c r="BE344" s="24">
        <f t="shared" ca="1" si="463"/>
        <v>0</v>
      </c>
      <c r="BF344" s="24">
        <f t="shared" ca="1" si="463"/>
        <v>0</v>
      </c>
      <c r="BG344" s="24">
        <f t="shared" ca="1" si="463"/>
        <v>0</v>
      </c>
      <c r="BH344" s="24">
        <f t="shared" ca="1" si="463"/>
        <v>0</v>
      </c>
      <c r="BI344" s="24">
        <f t="shared" ca="1" si="463"/>
        <v>0</v>
      </c>
      <c r="BJ344" s="24">
        <f t="shared" ca="1" si="463"/>
        <v>0</v>
      </c>
      <c r="BK344" s="24">
        <f t="shared" ca="1" si="463"/>
        <v>0</v>
      </c>
      <c r="BL344" s="24">
        <f t="shared" ca="1" si="463"/>
        <v>0</v>
      </c>
      <c r="BM344" s="24">
        <f t="shared" ca="1" si="463"/>
        <v>0</v>
      </c>
      <c r="BN344" s="24">
        <f t="shared" ca="1" si="463"/>
        <v>0</v>
      </c>
      <c r="BO344" s="24">
        <f t="shared" ca="1" si="463"/>
        <v>0</v>
      </c>
      <c r="BP344" s="24">
        <f t="shared" ca="1" si="463"/>
        <v>0</v>
      </c>
      <c r="BQ344" s="24">
        <f t="shared" ca="1" si="463"/>
        <v>0</v>
      </c>
    </row>
    <row r="345" spans="2:69" ht="13.5" customHeight="1">
      <c r="B345" s="14"/>
      <c r="C345" s="76" t="str">
        <f>'취득원가 및 VAT'!D67</f>
        <v>관리운영비</v>
      </c>
      <c r="D345" s="77"/>
      <c r="E345" s="77"/>
      <c r="F345" s="77">
        <f>'취득원가 및 VAT'!G67</f>
        <v>6048</v>
      </c>
      <c r="G345" s="77">
        <f>'취득원가 및 VAT'!M67</f>
        <v>0</v>
      </c>
      <c r="H345" s="77"/>
      <c r="I345" s="77"/>
      <c r="J345" s="77"/>
      <c r="K345" s="77"/>
      <c r="L345" s="77"/>
      <c r="M345" s="77">
        <f t="shared" si="443"/>
        <v>0</v>
      </c>
      <c r="N345" s="77"/>
      <c r="O345" s="77">
        <f t="shared" si="459"/>
        <v>0</v>
      </c>
      <c r="P345" s="77">
        <f t="shared" si="459"/>
        <v>0</v>
      </c>
      <c r="Q345" s="77">
        <f t="shared" si="459"/>
        <v>0</v>
      </c>
      <c r="R345" s="77">
        <f t="shared" si="459"/>
        <v>0</v>
      </c>
      <c r="S345" s="77">
        <f t="shared" si="459"/>
        <v>0</v>
      </c>
      <c r="T345" s="77">
        <f t="shared" si="459"/>
        <v>0</v>
      </c>
      <c r="U345" s="77">
        <f t="shared" si="459"/>
        <v>0</v>
      </c>
      <c r="V345" s="77">
        <f t="shared" si="459"/>
        <v>0</v>
      </c>
      <c r="W345" s="77">
        <f t="shared" si="459"/>
        <v>0</v>
      </c>
      <c r="X345" s="77">
        <f t="shared" si="459"/>
        <v>0</v>
      </c>
      <c r="Y345" s="77">
        <f t="shared" si="460"/>
        <v>0</v>
      </c>
      <c r="Z345" s="77">
        <f t="shared" si="460"/>
        <v>0</v>
      </c>
      <c r="AA345" s="77">
        <f t="shared" si="460"/>
        <v>0</v>
      </c>
      <c r="AB345" s="77">
        <f t="shared" si="460"/>
        <v>0</v>
      </c>
      <c r="AC345" s="77">
        <f t="shared" si="460"/>
        <v>0</v>
      </c>
      <c r="AD345" s="77">
        <f t="shared" si="460"/>
        <v>0</v>
      </c>
      <c r="AE345" s="77">
        <f t="shared" si="460"/>
        <v>0</v>
      </c>
      <c r="AF345" s="77">
        <f t="shared" si="460"/>
        <v>0</v>
      </c>
      <c r="AG345" s="77">
        <f t="shared" si="460"/>
        <v>0</v>
      </c>
      <c r="AH345" s="77">
        <f t="shared" si="460"/>
        <v>0</v>
      </c>
      <c r="AI345" s="77">
        <f t="shared" si="461"/>
        <v>0</v>
      </c>
      <c r="AJ345" s="77">
        <f t="shared" si="461"/>
        <v>0</v>
      </c>
      <c r="AK345" s="77">
        <f t="shared" si="461"/>
        <v>0</v>
      </c>
      <c r="AL345" s="77">
        <f t="shared" si="461"/>
        <v>0</v>
      </c>
      <c r="AM345" s="77">
        <f t="shared" si="461"/>
        <v>0</v>
      </c>
      <c r="AN345" s="77">
        <f t="shared" si="461"/>
        <v>0</v>
      </c>
      <c r="AO345" s="77">
        <f t="shared" si="461"/>
        <v>0</v>
      </c>
      <c r="AP345" s="77">
        <f t="shared" si="461"/>
        <v>0</v>
      </c>
      <c r="AQ345" s="77">
        <f t="shared" si="461"/>
        <v>0</v>
      </c>
      <c r="AR345" s="77">
        <f t="shared" si="461"/>
        <v>0</v>
      </c>
      <c r="AS345" s="77">
        <f t="shared" si="462"/>
        <v>0</v>
      </c>
      <c r="AT345" s="77">
        <f t="shared" si="462"/>
        <v>0</v>
      </c>
      <c r="AU345" s="77">
        <f t="shared" si="462"/>
        <v>0</v>
      </c>
      <c r="AV345" s="77">
        <f t="shared" si="462"/>
        <v>0</v>
      </c>
      <c r="AW345" s="77">
        <f t="shared" si="462"/>
        <v>0</v>
      </c>
      <c r="AX345" s="77">
        <f t="shared" si="462"/>
        <v>0</v>
      </c>
      <c r="AY345" s="77">
        <f t="shared" si="462"/>
        <v>0</v>
      </c>
      <c r="AZ345" s="77">
        <f t="shared" si="462"/>
        <v>0</v>
      </c>
      <c r="BA345" s="77">
        <f t="shared" si="462"/>
        <v>0</v>
      </c>
      <c r="BB345" s="77">
        <f t="shared" si="462"/>
        <v>0</v>
      </c>
      <c r="BC345" s="77">
        <f t="shared" si="463"/>
        <v>0</v>
      </c>
      <c r="BD345" s="77">
        <f t="shared" si="463"/>
        <v>0</v>
      </c>
      <c r="BE345" s="77">
        <f t="shared" si="463"/>
        <v>0</v>
      </c>
      <c r="BF345" s="77">
        <f t="shared" si="463"/>
        <v>0</v>
      </c>
      <c r="BG345" s="77">
        <f t="shared" si="463"/>
        <v>0</v>
      </c>
      <c r="BH345" s="77">
        <f t="shared" si="463"/>
        <v>0</v>
      </c>
      <c r="BI345" s="77">
        <f t="shared" si="463"/>
        <v>0</v>
      </c>
      <c r="BJ345" s="77">
        <f t="shared" si="463"/>
        <v>0</v>
      </c>
      <c r="BK345" s="77">
        <f t="shared" si="463"/>
        <v>0</v>
      </c>
      <c r="BL345" s="77">
        <f t="shared" si="463"/>
        <v>0</v>
      </c>
      <c r="BM345" s="77">
        <f t="shared" si="463"/>
        <v>0</v>
      </c>
      <c r="BN345" s="77">
        <f t="shared" si="463"/>
        <v>0</v>
      </c>
      <c r="BO345" s="77">
        <f t="shared" si="463"/>
        <v>0</v>
      </c>
      <c r="BP345" s="77">
        <f t="shared" si="463"/>
        <v>0</v>
      </c>
      <c r="BQ345" s="77">
        <f t="shared" si="463"/>
        <v>0</v>
      </c>
    </row>
    <row r="346" spans="2:69" ht="13.5" customHeight="1">
      <c r="C346" s="31"/>
      <c r="D346" s="30" t="str">
        <f>'취득원가 및 VAT'!E68</f>
        <v>PMC운영비</v>
      </c>
      <c r="E346" s="22"/>
      <c r="F346" s="22">
        <f>'취득원가 및 VAT'!G68</f>
        <v>2700</v>
      </c>
      <c r="G346" s="22">
        <f>'취득원가 및 VAT'!M68</f>
        <v>218.96317506341157</v>
      </c>
      <c r="H346" s="22"/>
      <c r="I346" s="22"/>
      <c r="J346" s="22"/>
      <c r="K346" s="22"/>
      <c r="L346" s="22"/>
      <c r="M346" s="22">
        <f t="shared" si="443"/>
        <v>218.96317506341177</v>
      </c>
      <c r="N346" s="22"/>
      <c r="O346" s="22">
        <f t="shared" si="459"/>
        <v>4.054873612285399</v>
      </c>
      <c r="P346" s="22">
        <f t="shared" si="459"/>
        <v>4.054873612285399</v>
      </c>
      <c r="Q346" s="22">
        <f t="shared" si="459"/>
        <v>4.054873612285399</v>
      </c>
      <c r="R346" s="22">
        <f t="shared" si="459"/>
        <v>4.054873612285399</v>
      </c>
      <c r="S346" s="22">
        <f t="shared" si="459"/>
        <v>4.054873612285399</v>
      </c>
      <c r="T346" s="22">
        <f t="shared" si="459"/>
        <v>4.054873612285399</v>
      </c>
      <c r="U346" s="22">
        <f t="shared" si="459"/>
        <v>4.054873612285399</v>
      </c>
      <c r="V346" s="22">
        <f t="shared" si="459"/>
        <v>4.054873612285399</v>
      </c>
      <c r="W346" s="22">
        <f t="shared" si="459"/>
        <v>4.054873612285399</v>
      </c>
      <c r="X346" s="22">
        <f t="shared" si="459"/>
        <v>4.054873612285399</v>
      </c>
      <c r="Y346" s="22">
        <f t="shared" si="460"/>
        <v>4.054873612285399</v>
      </c>
      <c r="Z346" s="22">
        <f t="shared" si="460"/>
        <v>4.054873612285399</v>
      </c>
      <c r="AA346" s="22">
        <f t="shared" si="460"/>
        <v>4.054873612285399</v>
      </c>
      <c r="AB346" s="22">
        <f t="shared" si="460"/>
        <v>4.054873612285399</v>
      </c>
      <c r="AC346" s="22">
        <f t="shared" si="460"/>
        <v>4.054873612285399</v>
      </c>
      <c r="AD346" s="22">
        <f t="shared" si="460"/>
        <v>4.054873612285399</v>
      </c>
      <c r="AE346" s="22">
        <f t="shared" si="460"/>
        <v>4.054873612285399</v>
      </c>
      <c r="AF346" s="22">
        <f t="shared" si="460"/>
        <v>4.054873612285399</v>
      </c>
      <c r="AG346" s="22">
        <f t="shared" si="460"/>
        <v>4.054873612285399</v>
      </c>
      <c r="AH346" s="22">
        <f t="shared" si="460"/>
        <v>4.054873612285399</v>
      </c>
      <c r="AI346" s="22">
        <f t="shared" si="461"/>
        <v>4.054873612285399</v>
      </c>
      <c r="AJ346" s="22">
        <f t="shared" si="461"/>
        <v>4.054873612285399</v>
      </c>
      <c r="AK346" s="22">
        <f t="shared" si="461"/>
        <v>4.054873612285399</v>
      </c>
      <c r="AL346" s="22">
        <f t="shared" si="461"/>
        <v>4.054873612285399</v>
      </c>
      <c r="AM346" s="22">
        <f t="shared" si="461"/>
        <v>4.054873612285399</v>
      </c>
      <c r="AN346" s="22">
        <f t="shared" si="461"/>
        <v>4.054873612285399</v>
      </c>
      <c r="AO346" s="22">
        <f t="shared" si="461"/>
        <v>4.054873612285399</v>
      </c>
      <c r="AP346" s="22">
        <f t="shared" si="461"/>
        <v>4.054873612285399</v>
      </c>
      <c r="AQ346" s="22">
        <f t="shared" si="461"/>
        <v>4.054873612285399</v>
      </c>
      <c r="AR346" s="22">
        <f t="shared" si="461"/>
        <v>4.054873612285399</v>
      </c>
      <c r="AS346" s="22">
        <f t="shared" si="462"/>
        <v>4.054873612285399</v>
      </c>
      <c r="AT346" s="22">
        <f t="shared" si="462"/>
        <v>4.054873612285399</v>
      </c>
      <c r="AU346" s="22">
        <f t="shared" si="462"/>
        <v>4.054873612285399</v>
      </c>
      <c r="AV346" s="22">
        <f t="shared" si="462"/>
        <v>4.054873612285399</v>
      </c>
      <c r="AW346" s="22">
        <f t="shared" si="462"/>
        <v>4.054873612285399</v>
      </c>
      <c r="AX346" s="22">
        <f t="shared" si="462"/>
        <v>4.054873612285399</v>
      </c>
      <c r="AY346" s="22">
        <f t="shared" si="462"/>
        <v>4.054873612285399</v>
      </c>
      <c r="AZ346" s="22">
        <f t="shared" si="462"/>
        <v>4.054873612285399</v>
      </c>
      <c r="BA346" s="22">
        <f t="shared" si="462"/>
        <v>4.054873612285399</v>
      </c>
      <c r="BB346" s="22">
        <f t="shared" si="462"/>
        <v>4.054873612285399</v>
      </c>
      <c r="BC346" s="22">
        <f t="shared" si="463"/>
        <v>4.054873612285399</v>
      </c>
      <c r="BD346" s="22">
        <f t="shared" si="463"/>
        <v>4.054873612285399</v>
      </c>
      <c r="BE346" s="22">
        <f t="shared" si="463"/>
        <v>4.054873612285399</v>
      </c>
      <c r="BF346" s="22">
        <f t="shared" si="463"/>
        <v>4.054873612285399</v>
      </c>
      <c r="BG346" s="22">
        <f t="shared" si="463"/>
        <v>4.054873612285399</v>
      </c>
      <c r="BH346" s="22">
        <f t="shared" si="463"/>
        <v>4.054873612285399</v>
      </c>
      <c r="BI346" s="22">
        <f t="shared" si="463"/>
        <v>4.054873612285399</v>
      </c>
      <c r="BJ346" s="22">
        <f t="shared" si="463"/>
        <v>4.054873612285399</v>
      </c>
      <c r="BK346" s="22">
        <f t="shared" si="463"/>
        <v>4.054873612285399</v>
      </c>
      <c r="BL346" s="22">
        <f t="shared" si="463"/>
        <v>4.054873612285399</v>
      </c>
      <c r="BM346" s="22">
        <f t="shared" si="463"/>
        <v>4.054873612285399</v>
      </c>
      <c r="BN346" s="22">
        <f t="shared" si="463"/>
        <v>4.054873612285399</v>
      </c>
      <c r="BO346" s="22">
        <f t="shared" si="463"/>
        <v>4.054873612285399</v>
      </c>
      <c r="BP346" s="22">
        <f t="shared" si="463"/>
        <v>4.054873612285399</v>
      </c>
      <c r="BQ346" s="22">
        <f t="shared" si="463"/>
        <v>0</v>
      </c>
    </row>
    <row r="347" spans="2:69" ht="13.5" customHeight="1">
      <c r="C347" s="31"/>
      <c r="D347" s="31" t="str">
        <f>'취득원가 및 VAT'!E69</f>
        <v>AMC수수료</v>
      </c>
      <c r="E347" s="32"/>
      <c r="F347" s="32">
        <f>'취득원가 및 VAT'!G69</f>
        <v>2700</v>
      </c>
      <c r="G347" s="32">
        <f>'취득원가 및 VAT'!M69</f>
        <v>218.96317506341157</v>
      </c>
      <c r="H347" s="32"/>
      <c r="I347" s="32"/>
      <c r="J347" s="32"/>
      <c r="K347" s="32"/>
      <c r="L347" s="32"/>
      <c r="M347" s="32">
        <f t="shared" si="443"/>
        <v>218.96317506341177</v>
      </c>
      <c r="N347" s="32"/>
      <c r="O347" s="32">
        <f t="shared" si="459"/>
        <v>4.054873612285399</v>
      </c>
      <c r="P347" s="32">
        <f t="shared" si="459"/>
        <v>4.054873612285399</v>
      </c>
      <c r="Q347" s="32">
        <f t="shared" si="459"/>
        <v>4.054873612285399</v>
      </c>
      <c r="R347" s="32">
        <f t="shared" si="459"/>
        <v>4.054873612285399</v>
      </c>
      <c r="S347" s="32">
        <f t="shared" si="459"/>
        <v>4.054873612285399</v>
      </c>
      <c r="T347" s="32">
        <f t="shared" si="459"/>
        <v>4.054873612285399</v>
      </c>
      <c r="U347" s="32">
        <f t="shared" si="459"/>
        <v>4.054873612285399</v>
      </c>
      <c r="V347" s="32">
        <f t="shared" si="459"/>
        <v>4.054873612285399</v>
      </c>
      <c r="W347" s="32">
        <f t="shared" si="459"/>
        <v>4.054873612285399</v>
      </c>
      <c r="X347" s="32">
        <f t="shared" si="459"/>
        <v>4.054873612285399</v>
      </c>
      <c r="Y347" s="32">
        <f t="shared" si="460"/>
        <v>4.054873612285399</v>
      </c>
      <c r="Z347" s="32">
        <f t="shared" si="460"/>
        <v>4.054873612285399</v>
      </c>
      <c r="AA347" s="32">
        <f t="shared" si="460"/>
        <v>4.054873612285399</v>
      </c>
      <c r="AB347" s="32">
        <f t="shared" si="460"/>
        <v>4.054873612285399</v>
      </c>
      <c r="AC347" s="32">
        <f t="shared" si="460"/>
        <v>4.054873612285399</v>
      </c>
      <c r="AD347" s="32">
        <f t="shared" si="460"/>
        <v>4.054873612285399</v>
      </c>
      <c r="AE347" s="32">
        <f t="shared" si="460"/>
        <v>4.054873612285399</v>
      </c>
      <c r="AF347" s="32">
        <f t="shared" si="460"/>
        <v>4.054873612285399</v>
      </c>
      <c r="AG347" s="32">
        <f t="shared" si="460"/>
        <v>4.054873612285399</v>
      </c>
      <c r="AH347" s="32">
        <f t="shared" si="460"/>
        <v>4.054873612285399</v>
      </c>
      <c r="AI347" s="32">
        <f t="shared" si="461"/>
        <v>4.054873612285399</v>
      </c>
      <c r="AJ347" s="32">
        <f t="shared" si="461"/>
        <v>4.054873612285399</v>
      </c>
      <c r="AK347" s="32">
        <f t="shared" si="461"/>
        <v>4.054873612285399</v>
      </c>
      <c r="AL347" s="32">
        <f t="shared" si="461"/>
        <v>4.054873612285399</v>
      </c>
      <c r="AM347" s="32">
        <f t="shared" si="461"/>
        <v>4.054873612285399</v>
      </c>
      <c r="AN347" s="32">
        <f t="shared" si="461"/>
        <v>4.054873612285399</v>
      </c>
      <c r="AO347" s="32">
        <f t="shared" si="461"/>
        <v>4.054873612285399</v>
      </c>
      <c r="AP347" s="32">
        <f t="shared" si="461"/>
        <v>4.054873612285399</v>
      </c>
      <c r="AQ347" s="32">
        <f t="shared" si="461"/>
        <v>4.054873612285399</v>
      </c>
      <c r="AR347" s="32">
        <f t="shared" si="461"/>
        <v>4.054873612285399</v>
      </c>
      <c r="AS347" s="32">
        <f t="shared" si="462"/>
        <v>4.054873612285399</v>
      </c>
      <c r="AT347" s="32">
        <f t="shared" si="462"/>
        <v>4.054873612285399</v>
      </c>
      <c r="AU347" s="32">
        <f t="shared" si="462"/>
        <v>4.054873612285399</v>
      </c>
      <c r="AV347" s="32">
        <f t="shared" si="462"/>
        <v>4.054873612285399</v>
      </c>
      <c r="AW347" s="32">
        <f t="shared" si="462"/>
        <v>4.054873612285399</v>
      </c>
      <c r="AX347" s="32">
        <f t="shared" si="462"/>
        <v>4.054873612285399</v>
      </c>
      <c r="AY347" s="32">
        <f t="shared" si="462"/>
        <v>4.054873612285399</v>
      </c>
      <c r="AZ347" s="32">
        <f t="shared" si="462"/>
        <v>4.054873612285399</v>
      </c>
      <c r="BA347" s="32">
        <f t="shared" si="462"/>
        <v>4.054873612285399</v>
      </c>
      <c r="BB347" s="32">
        <f t="shared" si="462"/>
        <v>4.054873612285399</v>
      </c>
      <c r="BC347" s="32">
        <f t="shared" si="463"/>
        <v>4.054873612285399</v>
      </c>
      <c r="BD347" s="32">
        <f t="shared" si="463"/>
        <v>4.054873612285399</v>
      </c>
      <c r="BE347" s="32">
        <f t="shared" si="463"/>
        <v>4.054873612285399</v>
      </c>
      <c r="BF347" s="32">
        <f t="shared" si="463"/>
        <v>4.054873612285399</v>
      </c>
      <c r="BG347" s="32">
        <f t="shared" si="463"/>
        <v>4.054873612285399</v>
      </c>
      <c r="BH347" s="32">
        <f t="shared" si="463"/>
        <v>4.054873612285399</v>
      </c>
      <c r="BI347" s="32">
        <f t="shared" si="463"/>
        <v>4.054873612285399</v>
      </c>
      <c r="BJ347" s="32">
        <f t="shared" si="463"/>
        <v>4.054873612285399</v>
      </c>
      <c r="BK347" s="32">
        <f t="shared" si="463"/>
        <v>4.054873612285399</v>
      </c>
      <c r="BL347" s="32">
        <f t="shared" si="463"/>
        <v>4.054873612285399</v>
      </c>
      <c r="BM347" s="32">
        <f t="shared" si="463"/>
        <v>4.054873612285399</v>
      </c>
      <c r="BN347" s="32">
        <f t="shared" si="463"/>
        <v>4.054873612285399</v>
      </c>
      <c r="BO347" s="32">
        <f t="shared" si="463"/>
        <v>4.054873612285399</v>
      </c>
      <c r="BP347" s="32">
        <f t="shared" si="463"/>
        <v>4.054873612285399</v>
      </c>
      <c r="BQ347" s="32">
        <f t="shared" si="463"/>
        <v>0</v>
      </c>
    </row>
    <row r="348" spans="2:69" ht="13.5" customHeight="1">
      <c r="C348" s="31"/>
      <c r="D348" s="31" t="str">
        <f>'취득원가 및 VAT'!E70</f>
        <v>자금관리사무수탁</v>
      </c>
      <c r="E348" s="32"/>
      <c r="F348" s="32">
        <f>'취득원가 및 VAT'!G70</f>
        <v>270</v>
      </c>
      <c r="G348" s="32">
        <f>'취득원가 및 VAT'!M70</f>
        <v>21.896317506341159</v>
      </c>
      <c r="H348" s="32"/>
      <c r="I348" s="32"/>
      <c r="J348" s="32"/>
      <c r="K348" s="32"/>
      <c r="L348" s="32"/>
      <c r="M348" s="32">
        <f t="shared" si="443"/>
        <v>21.89631750634117</v>
      </c>
      <c r="N348" s="32"/>
      <c r="O348" s="32">
        <f t="shared" si="459"/>
        <v>0.40548736122854001</v>
      </c>
      <c r="P348" s="32">
        <f t="shared" si="459"/>
        <v>0.40548736122854001</v>
      </c>
      <c r="Q348" s="32">
        <f t="shared" si="459"/>
        <v>0.40548736122854001</v>
      </c>
      <c r="R348" s="32">
        <f t="shared" si="459"/>
        <v>0.40548736122854001</v>
      </c>
      <c r="S348" s="32">
        <f t="shared" si="459"/>
        <v>0.40548736122854001</v>
      </c>
      <c r="T348" s="32">
        <f t="shared" si="459"/>
        <v>0.40548736122854001</v>
      </c>
      <c r="U348" s="32">
        <f t="shared" si="459"/>
        <v>0.40548736122854001</v>
      </c>
      <c r="V348" s="32">
        <f t="shared" si="459"/>
        <v>0.40548736122854001</v>
      </c>
      <c r="W348" s="32">
        <f t="shared" si="459"/>
        <v>0.40548736122854001</v>
      </c>
      <c r="X348" s="32">
        <f t="shared" si="459"/>
        <v>0.40548736122854001</v>
      </c>
      <c r="Y348" s="32">
        <f t="shared" si="460"/>
        <v>0.40548736122854001</v>
      </c>
      <c r="Z348" s="32">
        <f t="shared" si="460"/>
        <v>0.40548736122854001</v>
      </c>
      <c r="AA348" s="32">
        <f t="shared" si="460"/>
        <v>0.40548736122854001</v>
      </c>
      <c r="AB348" s="32">
        <f t="shared" si="460"/>
        <v>0.40548736122854001</v>
      </c>
      <c r="AC348" s="32">
        <f t="shared" si="460"/>
        <v>0.40548736122854001</v>
      </c>
      <c r="AD348" s="32">
        <f t="shared" si="460"/>
        <v>0.40548736122854001</v>
      </c>
      <c r="AE348" s="32">
        <f t="shared" si="460"/>
        <v>0.40548736122854001</v>
      </c>
      <c r="AF348" s="32">
        <f t="shared" si="460"/>
        <v>0.40548736122854001</v>
      </c>
      <c r="AG348" s="32">
        <f t="shared" si="460"/>
        <v>0.40548736122854001</v>
      </c>
      <c r="AH348" s="32">
        <f t="shared" si="460"/>
        <v>0.40548736122854001</v>
      </c>
      <c r="AI348" s="32">
        <f t="shared" si="461"/>
        <v>0.40548736122854001</v>
      </c>
      <c r="AJ348" s="32">
        <f t="shared" si="461"/>
        <v>0.40548736122854001</v>
      </c>
      <c r="AK348" s="32">
        <f t="shared" si="461"/>
        <v>0.40548736122854001</v>
      </c>
      <c r="AL348" s="32">
        <f t="shared" si="461"/>
        <v>0.40548736122854001</v>
      </c>
      <c r="AM348" s="32">
        <f t="shared" si="461"/>
        <v>0.40548736122854001</v>
      </c>
      <c r="AN348" s="32">
        <f t="shared" si="461"/>
        <v>0.40548736122854001</v>
      </c>
      <c r="AO348" s="32">
        <f t="shared" si="461"/>
        <v>0.40548736122854001</v>
      </c>
      <c r="AP348" s="32">
        <f t="shared" si="461"/>
        <v>0.40548736122854001</v>
      </c>
      <c r="AQ348" s="32">
        <f t="shared" si="461"/>
        <v>0.40548736122854001</v>
      </c>
      <c r="AR348" s="32">
        <f t="shared" si="461"/>
        <v>0.40548736122854001</v>
      </c>
      <c r="AS348" s="32">
        <f t="shared" si="462"/>
        <v>0.40548736122854001</v>
      </c>
      <c r="AT348" s="32">
        <f t="shared" si="462"/>
        <v>0.40548736122854001</v>
      </c>
      <c r="AU348" s="32">
        <f t="shared" si="462"/>
        <v>0.40548736122854001</v>
      </c>
      <c r="AV348" s="32">
        <f t="shared" si="462"/>
        <v>0.40548736122854001</v>
      </c>
      <c r="AW348" s="32">
        <f t="shared" si="462"/>
        <v>0.40548736122854001</v>
      </c>
      <c r="AX348" s="32">
        <f t="shared" si="462"/>
        <v>0.40548736122854001</v>
      </c>
      <c r="AY348" s="32">
        <f t="shared" si="462"/>
        <v>0.40548736122854001</v>
      </c>
      <c r="AZ348" s="32">
        <f t="shared" si="462"/>
        <v>0.40548736122854001</v>
      </c>
      <c r="BA348" s="32">
        <f t="shared" si="462"/>
        <v>0.40548736122854001</v>
      </c>
      <c r="BB348" s="32">
        <f t="shared" si="462"/>
        <v>0.40548736122854001</v>
      </c>
      <c r="BC348" s="32">
        <f t="shared" si="463"/>
        <v>0.40548736122854001</v>
      </c>
      <c r="BD348" s="32">
        <f t="shared" si="463"/>
        <v>0.40548736122854001</v>
      </c>
      <c r="BE348" s="32">
        <f t="shared" si="463"/>
        <v>0.40548736122854001</v>
      </c>
      <c r="BF348" s="32">
        <f t="shared" si="463"/>
        <v>0.40548736122854001</v>
      </c>
      <c r="BG348" s="32">
        <f t="shared" si="463"/>
        <v>0.40548736122854001</v>
      </c>
      <c r="BH348" s="32">
        <f t="shared" si="463"/>
        <v>0.40548736122854001</v>
      </c>
      <c r="BI348" s="32">
        <f t="shared" si="463"/>
        <v>0.40548736122854001</v>
      </c>
      <c r="BJ348" s="32">
        <f t="shared" si="463"/>
        <v>0.40548736122854001</v>
      </c>
      <c r="BK348" s="32">
        <f t="shared" si="463"/>
        <v>0.40548736122854001</v>
      </c>
      <c r="BL348" s="32">
        <f t="shared" si="463"/>
        <v>0.40548736122854001</v>
      </c>
      <c r="BM348" s="32">
        <f t="shared" si="463"/>
        <v>0.40548736122854001</v>
      </c>
      <c r="BN348" s="32">
        <f t="shared" si="463"/>
        <v>0.40548736122854001</v>
      </c>
      <c r="BO348" s="32">
        <f t="shared" si="463"/>
        <v>0.40548736122854001</v>
      </c>
      <c r="BP348" s="32">
        <f t="shared" si="463"/>
        <v>0.40548736122854001</v>
      </c>
      <c r="BQ348" s="32">
        <f t="shared" si="463"/>
        <v>0</v>
      </c>
    </row>
    <row r="349" spans="2:69" ht="13.5" customHeight="1">
      <c r="C349" s="31"/>
      <c r="D349" s="31" t="str">
        <f>'취득원가 및 VAT'!E71</f>
        <v>회계감사</v>
      </c>
      <c r="E349" s="32"/>
      <c r="F349" s="32">
        <f>'취득원가 및 VAT'!G71</f>
        <v>54</v>
      </c>
      <c r="G349" s="32">
        <f>'취득원가 및 VAT'!M71</f>
        <v>4.3792635012682322</v>
      </c>
      <c r="H349" s="32"/>
      <c r="I349" s="32"/>
      <c r="J349" s="32"/>
      <c r="K349" s="32"/>
      <c r="L349" s="32"/>
      <c r="M349" s="32">
        <f t="shared" si="443"/>
        <v>4.3792635012682339</v>
      </c>
      <c r="N349" s="32"/>
      <c r="O349" s="32">
        <f t="shared" si="459"/>
        <v>8.1097472245707999E-2</v>
      </c>
      <c r="P349" s="32">
        <f t="shared" si="459"/>
        <v>8.1097472245707999E-2</v>
      </c>
      <c r="Q349" s="32">
        <f t="shared" si="459"/>
        <v>8.1097472245707999E-2</v>
      </c>
      <c r="R349" s="32">
        <f t="shared" si="459"/>
        <v>8.1097472245707999E-2</v>
      </c>
      <c r="S349" s="32">
        <f t="shared" si="459"/>
        <v>8.1097472245707999E-2</v>
      </c>
      <c r="T349" s="32">
        <f t="shared" si="459"/>
        <v>8.1097472245707999E-2</v>
      </c>
      <c r="U349" s="32">
        <f t="shared" si="459"/>
        <v>8.1097472245707999E-2</v>
      </c>
      <c r="V349" s="32">
        <f t="shared" si="459"/>
        <v>8.1097472245707999E-2</v>
      </c>
      <c r="W349" s="32">
        <f t="shared" si="459"/>
        <v>8.1097472245707999E-2</v>
      </c>
      <c r="X349" s="32">
        <f t="shared" si="459"/>
        <v>8.1097472245707999E-2</v>
      </c>
      <c r="Y349" s="32">
        <f t="shared" si="460"/>
        <v>8.1097472245707999E-2</v>
      </c>
      <c r="Z349" s="32">
        <f t="shared" si="460"/>
        <v>8.1097472245707999E-2</v>
      </c>
      <c r="AA349" s="32">
        <f t="shared" si="460"/>
        <v>8.1097472245707999E-2</v>
      </c>
      <c r="AB349" s="32">
        <f t="shared" si="460"/>
        <v>8.1097472245707999E-2</v>
      </c>
      <c r="AC349" s="32">
        <f t="shared" si="460"/>
        <v>8.1097472245707999E-2</v>
      </c>
      <c r="AD349" s="32">
        <f t="shared" si="460"/>
        <v>8.1097472245707999E-2</v>
      </c>
      <c r="AE349" s="32">
        <f t="shared" si="460"/>
        <v>8.1097472245707999E-2</v>
      </c>
      <c r="AF349" s="32">
        <f t="shared" si="460"/>
        <v>8.1097472245707999E-2</v>
      </c>
      <c r="AG349" s="32">
        <f t="shared" si="460"/>
        <v>8.1097472245707999E-2</v>
      </c>
      <c r="AH349" s="32">
        <f t="shared" si="460"/>
        <v>8.1097472245707999E-2</v>
      </c>
      <c r="AI349" s="32">
        <f t="shared" si="461"/>
        <v>8.1097472245707999E-2</v>
      </c>
      <c r="AJ349" s="32">
        <f t="shared" si="461"/>
        <v>8.1097472245707999E-2</v>
      </c>
      <c r="AK349" s="32">
        <f t="shared" si="461"/>
        <v>8.1097472245707999E-2</v>
      </c>
      <c r="AL349" s="32">
        <f t="shared" si="461"/>
        <v>8.1097472245707999E-2</v>
      </c>
      <c r="AM349" s="32">
        <f t="shared" si="461"/>
        <v>8.1097472245707999E-2</v>
      </c>
      <c r="AN349" s="32">
        <f t="shared" si="461"/>
        <v>8.1097472245707999E-2</v>
      </c>
      <c r="AO349" s="32">
        <f t="shared" si="461"/>
        <v>8.1097472245707999E-2</v>
      </c>
      <c r="AP349" s="32">
        <f t="shared" si="461"/>
        <v>8.1097472245707999E-2</v>
      </c>
      <c r="AQ349" s="32">
        <f t="shared" si="461"/>
        <v>8.1097472245707999E-2</v>
      </c>
      <c r="AR349" s="32">
        <f t="shared" si="461"/>
        <v>8.1097472245707999E-2</v>
      </c>
      <c r="AS349" s="32">
        <f t="shared" si="462"/>
        <v>8.1097472245707999E-2</v>
      </c>
      <c r="AT349" s="32">
        <f t="shared" si="462"/>
        <v>8.1097472245707999E-2</v>
      </c>
      <c r="AU349" s="32">
        <f t="shared" si="462"/>
        <v>8.1097472245707999E-2</v>
      </c>
      <c r="AV349" s="32">
        <f t="shared" si="462"/>
        <v>8.1097472245707999E-2</v>
      </c>
      <c r="AW349" s="32">
        <f t="shared" si="462"/>
        <v>8.1097472245707999E-2</v>
      </c>
      <c r="AX349" s="32">
        <f t="shared" si="462"/>
        <v>8.1097472245707999E-2</v>
      </c>
      <c r="AY349" s="32">
        <f t="shared" si="462"/>
        <v>8.1097472245707999E-2</v>
      </c>
      <c r="AZ349" s="32">
        <f t="shared" si="462"/>
        <v>8.1097472245707999E-2</v>
      </c>
      <c r="BA349" s="32">
        <f t="shared" si="462"/>
        <v>8.1097472245707999E-2</v>
      </c>
      <c r="BB349" s="32">
        <f t="shared" si="462"/>
        <v>8.1097472245707999E-2</v>
      </c>
      <c r="BC349" s="32">
        <f t="shared" si="463"/>
        <v>8.1097472245707999E-2</v>
      </c>
      <c r="BD349" s="32">
        <f t="shared" si="463"/>
        <v>8.1097472245707999E-2</v>
      </c>
      <c r="BE349" s="32">
        <f t="shared" si="463"/>
        <v>8.1097472245707999E-2</v>
      </c>
      <c r="BF349" s="32">
        <f t="shared" si="463"/>
        <v>8.1097472245707999E-2</v>
      </c>
      <c r="BG349" s="32">
        <f t="shared" si="463"/>
        <v>8.1097472245707999E-2</v>
      </c>
      <c r="BH349" s="32">
        <f t="shared" si="463"/>
        <v>8.1097472245707999E-2</v>
      </c>
      <c r="BI349" s="32">
        <f t="shared" si="463"/>
        <v>8.1097472245707999E-2</v>
      </c>
      <c r="BJ349" s="32">
        <f t="shared" si="463"/>
        <v>8.1097472245707999E-2</v>
      </c>
      <c r="BK349" s="32">
        <f t="shared" si="463"/>
        <v>8.1097472245707999E-2</v>
      </c>
      <c r="BL349" s="32">
        <f t="shared" si="463"/>
        <v>8.1097472245707999E-2</v>
      </c>
      <c r="BM349" s="32">
        <f t="shared" si="463"/>
        <v>8.1097472245707999E-2</v>
      </c>
      <c r="BN349" s="32">
        <f t="shared" si="463"/>
        <v>8.1097472245707999E-2</v>
      </c>
      <c r="BO349" s="32">
        <f t="shared" si="463"/>
        <v>8.1097472245707999E-2</v>
      </c>
      <c r="BP349" s="32">
        <f t="shared" si="463"/>
        <v>8.1097472245707999E-2</v>
      </c>
      <c r="BQ349" s="32">
        <f t="shared" si="463"/>
        <v>0</v>
      </c>
    </row>
    <row r="350" spans="2:69" ht="13.5" customHeight="1">
      <c r="C350" s="31"/>
      <c r="D350" s="31" t="str">
        <f>'취득원가 및 VAT'!E72</f>
        <v>세무용역</v>
      </c>
      <c r="E350" s="32"/>
      <c r="F350" s="32">
        <f>'취득원가 및 VAT'!G72</f>
        <v>54</v>
      </c>
      <c r="G350" s="32">
        <f>'취득원가 및 VAT'!M72</f>
        <v>4.3792635012682322</v>
      </c>
      <c r="H350" s="32"/>
      <c r="I350" s="32"/>
      <c r="J350" s="32"/>
      <c r="K350" s="32"/>
      <c r="L350" s="32"/>
      <c r="M350" s="32">
        <f t="shared" si="443"/>
        <v>4.3792635012682339</v>
      </c>
      <c r="N350" s="32"/>
      <c r="O350" s="32">
        <f t="shared" si="459"/>
        <v>8.1097472245707999E-2</v>
      </c>
      <c r="P350" s="32">
        <f t="shared" si="459"/>
        <v>8.1097472245707999E-2</v>
      </c>
      <c r="Q350" s="32">
        <f t="shared" si="459"/>
        <v>8.1097472245707999E-2</v>
      </c>
      <c r="R350" s="32">
        <f t="shared" si="459"/>
        <v>8.1097472245707999E-2</v>
      </c>
      <c r="S350" s="32">
        <f t="shared" si="459"/>
        <v>8.1097472245707999E-2</v>
      </c>
      <c r="T350" s="32">
        <f t="shared" si="459"/>
        <v>8.1097472245707999E-2</v>
      </c>
      <c r="U350" s="32">
        <f t="shared" si="459"/>
        <v>8.1097472245707999E-2</v>
      </c>
      <c r="V350" s="32">
        <f t="shared" si="459"/>
        <v>8.1097472245707999E-2</v>
      </c>
      <c r="W350" s="32">
        <f t="shared" si="459"/>
        <v>8.1097472245707999E-2</v>
      </c>
      <c r="X350" s="32">
        <f t="shared" si="459"/>
        <v>8.1097472245707999E-2</v>
      </c>
      <c r="Y350" s="32">
        <f t="shared" si="460"/>
        <v>8.1097472245707999E-2</v>
      </c>
      <c r="Z350" s="32">
        <f t="shared" si="460"/>
        <v>8.1097472245707999E-2</v>
      </c>
      <c r="AA350" s="32">
        <f t="shared" si="460"/>
        <v>8.1097472245707999E-2</v>
      </c>
      <c r="AB350" s="32">
        <f t="shared" si="460"/>
        <v>8.1097472245707999E-2</v>
      </c>
      <c r="AC350" s="32">
        <f t="shared" si="460"/>
        <v>8.1097472245707999E-2</v>
      </c>
      <c r="AD350" s="32">
        <f t="shared" si="460"/>
        <v>8.1097472245707999E-2</v>
      </c>
      <c r="AE350" s="32">
        <f t="shared" si="460"/>
        <v>8.1097472245707999E-2</v>
      </c>
      <c r="AF350" s="32">
        <f t="shared" si="460"/>
        <v>8.1097472245707999E-2</v>
      </c>
      <c r="AG350" s="32">
        <f t="shared" si="460"/>
        <v>8.1097472245707999E-2</v>
      </c>
      <c r="AH350" s="32">
        <f t="shared" si="460"/>
        <v>8.1097472245707999E-2</v>
      </c>
      <c r="AI350" s="32">
        <f t="shared" si="461"/>
        <v>8.1097472245707999E-2</v>
      </c>
      <c r="AJ350" s="32">
        <f t="shared" si="461"/>
        <v>8.1097472245707999E-2</v>
      </c>
      <c r="AK350" s="32">
        <f t="shared" si="461"/>
        <v>8.1097472245707999E-2</v>
      </c>
      <c r="AL350" s="32">
        <f t="shared" si="461"/>
        <v>8.1097472245707999E-2</v>
      </c>
      <c r="AM350" s="32">
        <f t="shared" si="461"/>
        <v>8.1097472245707999E-2</v>
      </c>
      <c r="AN350" s="32">
        <f t="shared" si="461"/>
        <v>8.1097472245707999E-2</v>
      </c>
      <c r="AO350" s="32">
        <f t="shared" si="461"/>
        <v>8.1097472245707999E-2</v>
      </c>
      <c r="AP350" s="32">
        <f t="shared" si="461"/>
        <v>8.1097472245707999E-2</v>
      </c>
      <c r="AQ350" s="32">
        <f t="shared" si="461"/>
        <v>8.1097472245707999E-2</v>
      </c>
      <c r="AR350" s="32">
        <f t="shared" si="461"/>
        <v>8.1097472245707999E-2</v>
      </c>
      <c r="AS350" s="32">
        <f t="shared" si="462"/>
        <v>8.1097472245707999E-2</v>
      </c>
      <c r="AT350" s="32">
        <f t="shared" si="462"/>
        <v>8.1097472245707999E-2</v>
      </c>
      <c r="AU350" s="32">
        <f t="shared" si="462"/>
        <v>8.1097472245707999E-2</v>
      </c>
      <c r="AV350" s="32">
        <f t="shared" si="462"/>
        <v>8.1097472245707999E-2</v>
      </c>
      <c r="AW350" s="32">
        <f t="shared" si="462"/>
        <v>8.1097472245707999E-2</v>
      </c>
      <c r="AX350" s="32">
        <f t="shared" si="462"/>
        <v>8.1097472245707999E-2</v>
      </c>
      <c r="AY350" s="32">
        <f t="shared" si="462"/>
        <v>8.1097472245707999E-2</v>
      </c>
      <c r="AZ350" s="32">
        <f t="shared" si="462"/>
        <v>8.1097472245707999E-2</v>
      </c>
      <c r="BA350" s="32">
        <f t="shared" si="462"/>
        <v>8.1097472245707999E-2</v>
      </c>
      <c r="BB350" s="32">
        <f t="shared" si="462"/>
        <v>8.1097472245707999E-2</v>
      </c>
      <c r="BC350" s="32">
        <f t="shared" si="463"/>
        <v>8.1097472245707999E-2</v>
      </c>
      <c r="BD350" s="32">
        <f t="shared" si="463"/>
        <v>8.1097472245707999E-2</v>
      </c>
      <c r="BE350" s="32">
        <f t="shared" si="463"/>
        <v>8.1097472245707999E-2</v>
      </c>
      <c r="BF350" s="32">
        <f t="shared" si="463"/>
        <v>8.1097472245707999E-2</v>
      </c>
      <c r="BG350" s="32">
        <f t="shared" si="463"/>
        <v>8.1097472245707999E-2</v>
      </c>
      <c r="BH350" s="32">
        <f t="shared" si="463"/>
        <v>8.1097472245707999E-2</v>
      </c>
      <c r="BI350" s="32">
        <f t="shared" si="463"/>
        <v>8.1097472245707999E-2</v>
      </c>
      <c r="BJ350" s="32">
        <f t="shared" si="463"/>
        <v>8.1097472245707999E-2</v>
      </c>
      <c r="BK350" s="32">
        <f t="shared" si="463"/>
        <v>8.1097472245707999E-2</v>
      </c>
      <c r="BL350" s="32">
        <f t="shared" si="463"/>
        <v>8.1097472245707999E-2</v>
      </c>
      <c r="BM350" s="32">
        <f t="shared" si="463"/>
        <v>8.1097472245707999E-2</v>
      </c>
      <c r="BN350" s="32">
        <f t="shared" si="463"/>
        <v>8.1097472245707999E-2</v>
      </c>
      <c r="BO350" s="32">
        <f t="shared" si="463"/>
        <v>8.1097472245707999E-2</v>
      </c>
      <c r="BP350" s="32">
        <f t="shared" si="463"/>
        <v>8.1097472245707999E-2</v>
      </c>
      <c r="BQ350" s="32">
        <f t="shared" si="463"/>
        <v>0</v>
      </c>
    </row>
    <row r="351" spans="2:69" ht="13.5" customHeight="1">
      <c r="B351" s="34"/>
      <c r="C351" s="54"/>
      <c r="D351" s="33" t="str">
        <f>'취득원가 및 VAT'!E73</f>
        <v>관리/운영예비비</v>
      </c>
      <c r="E351" s="24"/>
      <c r="F351" s="24">
        <f>'취득원가 및 VAT'!G73</f>
        <v>270</v>
      </c>
      <c r="G351" s="24">
        <f>'취득원가 및 VAT'!M73</f>
        <v>21.896317506341159</v>
      </c>
      <c r="H351" s="24"/>
      <c r="I351" s="24"/>
      <c r="J351" s="24"/>
      <c r="K351" s="24"/>
      <c r="L351" s="24"/>
      <c r="M351" s="24">
        <f t="shared" si="443"/>
        <v>21.89631750634117</v>
      </c>
      <c r="N351" s="24"/>
      <c r="O351" s="24">
        <f t="shared" si="459"/>
        <v>0.40548736122854001</v>
      </c>
      <c r="P351" s="24">
        <f t="shared" si="459"/>
        <v>0.40548736122854001</v>
      </c>
      <c r="Q351" s="24">
        <f t="shared" si="459"/>
        <v>0.40548736122854001</v>
      </c>
      <c r="R351" s="24">
        <f t="shared" si="459"/>
        <v>0.40548736122854001</v>
      </c>
      <c r="S351" s="24">
        <f t="shared" si="459"/>
        <v>0.40548736122854001</v>
      </c>
      <c r="T351" s="24">
        <f t="shared" si="459"/>
        <v>0.40548736122854001</v>
      </c>
      <c r="U351" s="24">
        <f t="shared" si="459"/>
        <v>0.40548736122854001</v>
      </c>
      <c r="V351" s="24">
        <f t="shared" si="459"/>
        <v>0.40548736122854001</v>
      </c>
      <c r="W351" s="24">
        <f t="shared" si="459"/>
        <v>0.40548736122854001</v>
      </c>
      <c r="X351" s="24">
        <f t="shared" si="459"/>
        <v>0.40548736122854001</v>
      </c>
      <c r="Y351" s="24">
        <f t="shared" si="460"/>
        <v>0.40548736122854001</v>
      </c>
      <c r="Z351" s="24">
        <f t="shared" si="460"/>
        <v>0.40548736122854001</v>
      </c>
      <c r="AA351" s="24">
        <f t="shared" si="460"/>
        <v>0.40548736122854001</v>
      </c>
      <c r="AB351" s="24">
        <f t="shared" si="460"/>
        <v>0.40548736122854001</v>
      </c>
      <c r="AC351" s="24">
        <f t="shared" si="460"/>
        <v>0.40548736122854001</v>
      </c>
      <c r="AD351" s="24">
        <f t="shared" si="460"/>
        <v>0.40548736122854001</v>
      </c>
      <c r="AE351" s="24">
        <f t="shared" si="460"/>
        <v>0.40548736122854001</v>
      </c>
      <c r="AF351" s="24">
        <f t="shared" si="460"/>
        <v>0.40548736122854001</v>
      </c>
      <c r="AG351" s="24">
        <f t="shared" si="460"/>
        <v>0.40548736122854001</v>
      </c>
      <c r="AH351" s="24">
        <f t="shared" si="460"/>
        <v>0.40548736122854001</v>
      </c>
      <c r="AI351" s="24">
        <f t="shared" si="461"/>
        <v>0.40548736122854001</v>
      </c>
      <c r="AJ351" s="24">
        <f t="shared" si="461"/>
        <v>0.40548736122854001</v>
      </c>
      <c r="AK351" s="24">
        <f t="shared" si="461"/>
        <v>0.40548736122854001</v>
      </c>
      <c r="AL351" s="24">
        <f t="shared" si="461"/>
        <v>0.40548736122854001</v>
      </c>
      <c r="AM351" s="24">
        <f t="shared" si="461"/>
        <v>0.40548736122854001</v>
      </c>
      <c r="AN351" s="24">
        <f t="shared" si="461"/>
        <v>0.40548736122854001</v>
      </c>
      <c r="AO351" s="24">
        <f t="shared" si="461"/>
        <v>0.40548736122854001</v>
      </c>
      <c r="AP351" s="24">
        <f t="shared" si="461"/>
        <v>0.40548736122854001</v>
      </c>
      <c r="AQ351" s="24">
        <f t="shared" si="461"/>
        <v>0.40548736122854001</v>
      </c>
      <c r="AR351" s="24">
        <f t="shared" si="461"/>
        <v>0.40548736122854001</v>
      </c>
      <c r="AS351" s="24">
        <f t="shared" si="462"/>
        <v>0.40548736122854001</v>
      </c>
      <c r="AT351" s="24">
        <f t="shared" si="462"/>
        <v>0.40548736122854001</v>
      </c>
      <c r="AU351" s="24">
        <f t="shared" si="462"/>
        <v>0.40548736122854001</v>
      </c>
      <c r="AV351" s="24">
        <f t="shared" si="462"/>
        <v>0.40548736122854001</v>
      </c>
      <c r="AW351" s="24">
        <f t="shared" si="462"/>
        <v>0.40548736122854001</v>
      </c>
      <c r="AX351" s="24">
        <f t="shared" si="462"/>
        <v>0.40548736122854001</v>
      </c>
      <c r="AY351" s="24">
        <f t="shared" si="462"/>
        <v>0.40548736122854001</v>
      </c>
      <c r="AZ351" s="24">
        <f t="shared" si="462"/>
        <v>0.40548736122854001</v>
      </c>
      <c r="BA351" s="24">
        <f t="shared" si="462"/>
        <v>0.40548736122854001</v>
      </c>
      <c r="BB351" s="24">
        <f t="shared" si="462"/>
        <v>0.40548736122854001</v>
      </c>
      <c r="BC351" s="24">
        <f t="shared" si="463"/>
        <v>0.40548736122854001</v>
      </c>
      <c r="BD351" s="24">
        <f t="shared" si="463"/>
        <v>0.40548736122854001</v>
      </c>
      <c r="BE351" s="24">
        <f t="shared" si="463"/>
        <v>0.40548736122854001</v>
      </c>
      <c r="BF351" s="24">
        <f t="shared" si="463"/>
        <v>0.40548736122854001</v>
      </c>
      <c r="BG351" s="24">
        <f t="shared" si="463"/>
        <v>0.40548736122854001</v>
      </c>
      <c r="BH351" s="24">
        <f t="shared" si="463"/>
        <v>0.40548736122854001</v>
      </c>
      <c r="BI351" s="24">
        <f t="shared" si="463"/>
        <v>0.40548736122854001</v>
      </c>
      <c r="BJ351" s="24">
        <f t="shared" si="463"/>
        <v>0.40548736122854001</v>
      </c>
      <c r="BK351" s="24">
        <f t="shared" si="463"/>
        <v>0.40548736122854001</v>
      </c>
      <c r="BL351" s="24">
        <f t="shared" si="463"/>
        <v>0.40548736122854001</v>
      </c>
      <c r="BM351" s="24">
        <f t="shared" si="463"/>
        <v>0.40548736122854001</v>
      </c>
      <c r="BN351" s="24">
        <f t="shared" si="463"/>
        <v>0.40548736122854001</v>
      </c>
      <c r="BO351" s="24">
        <f t="shared" si="463"/>
        <v>0.40548736122854001</v>
      </c>
      <c r="BP351" s="24">
        <f t="shared" si="463"/>
        <v>0.40548736122854001</v>
      </c>
      <c r="BQ351" s="24">
        <f t="shared" si="463"/>
        <v>0</v>
      </c>
    </row>
    <row r="352" spans="2:69" ht="13.5" customHeight="1">
      <c r="B352" s="167" t="str">
        <f>'취득원가 및 VAT'!C74</f>
        <v>총 사업비</v>
      </c>
      <c r="C352" s="167"/>
      <c r="D352" s="167"/>
      <c r="E352" s="197" t="b">
        <f ca="1">ABS(F352-F139)&lt;0.001</f>
        <v>1</v>
      </c>
      <c r="F352" s="167">
        <f ca="1">F336+F324+F310+F307+F298</f>
        <v>537093.12310158601</v>
      </c>
      <c r="G352" s="167">
        <f ca="1">SUM(G298:G351)</f>
        <v>2701.575560547376</v>
      </c>
      <c r="H352" s="167"/>
      <c r="I352" s="167"/>
      <c r="J352" s="167"/>
      <c r="K352" s="167"/>
      <c r="L352" s="197" t="b">
        <f ca="1">ABS(M352-G352)&lt;0.001</f>
        <v>1</v>
      </c>
      <c r="M352" s="167">
        <f t="shared" ca="1" si="443"/>
        <v>2701.5755605477716</v>
      </c>
      <c r="N352" s="167"/>
      <c r="O352" s="167">
        <f ca="1">SUM(O299:O351)</f>
        <v>127.22958332190997</v>
      </c>
      <c r="P352" s="167">
        <f t="shared" ref="P352:BQ352" ca="1" si="464">SUM(P299:P351)</f>
        <v>9.0829168915192913</v>
      </c>
      <c r="Q352" s="167">
        <f t="shared" ca="1" si="464"/>
        <v>9.0829168915192913</v>
      </c>
      <c r="R352" s="167">
        <f t="shared" ca="1" si="464"/>
        <v>118.05860981829444</v>
      </c>
      <c r="S352" s="167">
        <f t="shared" ca="1" si="464"/>
        <v>11.110353697661992</v>
      </c>
      <c r="T352" s="167">
        <f t="shared" ca="1" si="464"/>
        <v>11.110353697661992</v>
      </c>
      <c r="U352" s="167">
        <f t="shared" ca="1" si="464"/>
        <v>11.110353697661992</v>
      </c>
      <c r="V352" s="167">
        <f t="shared" ca="1" si="464"/>
        <v>11.110353697661992</v>
      </c>
      <c r="W352" s="167">
        <f t="shared" ca="1" si="464"/>
        <v>11.110353697661992</v>
      </c>
      <c r="X352" s="167">
        <f t="shared" ca="1" si="464"/>
        <v>11.110353697661992</v>
      </c>
      <c r="Y352" s="167">
        <f t="shared" ca="1" si="464"/>
        <v>11.110353697661992</v>
      </c>
      <c r="Z352" s="167">
        <f t="shared" ca="1" si="464"/>
        <v>11.110353697661992</v>
      </c>
      <c r="AA352" s="167">
        <f t="shared" ca="1" si="464"/>
        <v>11.110353697661992</v>
      </c>
      <c r="AB352" s="167">
        <f t="shared" ca="1" si="464"/>
        <v>198.44551458524751</v>
      </c>
      <c r="AC352" s="167">
        <f t="shared" ca="1" si="464"/>
        <v>45.386932674332506</v>
      </c>
      <c r="AD352" s="167">
        <f t="shared" ca="1" si="464"/>
        <v>120.51274917844418</v>
      </c>
      <c r="AE352" s="167">
        <f t="shared" ca="1" si="464"/>
        <v>255.52172908772633</v>
      </c>
      <c r="AF352" s="167">
        <f t="shared" ca="1" si="464"/>
        <v>59.696292662492837</v>
      </c>
      <c r="AG352" s="167">
        <f t="shared" ca="1" si="464"/>
        <v>59.696292662492837</v>
      </c>
      <c r="AH352" s="167">
        <f t="shared" ca="1" si="464"/>
        <v>69.182464290781681</v>
      </c>
      <c r="AI352" s="167">
        <f t="shared" ca="1" si="464"/>
        <v>62.067835569565048</v>
      </c>
      <c r="AJ352" s="167">
        <f t="shared" ca="1" si="464"/>
        <v>62.067835569565048</v>
      </c>
      <c r="AK352" s="167">
        <f t="shared" ca="1" si="464"/>
        <v>78.668635919070525</v>
      </c>
      <c r="AL352" s="167">
        <f t="shared" ca="1" si="464"/>
        <v>64.439378476637259</v>
      </c>
      <c r="AM352" s="167">
        <f t="shared" ca="1" si="464"/>
        <v>64.439378476637259</v>
      </c>
      <c r="AN352" s="167">
        <f t="shared" ca="1" si="464"/>
        <v>88.154807547359383</v>
      </c>
      <c r="AO352" s="167">
        <f t="shared" ca="1" si="464"/>
        <v>66.810921383709456</v>
      </c>
      <c r="AP352" s="167">
        <f t="shared" ca="1" si="464"/>
        <v>66.810921383709456</v>
      </c>
      <c r="AQ352" s="167">
        <f t="shared" ca="1" si="464"/>
        <v>37.94691913761438</v>
      </c>
      <c r="AR352" s="167">
        <f t="shared" ca="1" si="464"/>
        <v>9.4884042527478307</v>
      </c>
      <c r="AS352" s="167">
        <f t="shared" ca="1" si="464"/>
        <v>9.4884042527478307</v>
      </c>
      <c r="AT352" s="167">
        <f t="shared" ca="1" si="464"/>
        <v>37.94691913761438</v>
      </c>
      <c r="AU352" s="167">
        <f t="shared" ca="1" si="464"/>
        <v>9.4884042527478307</v>
      </c>
      <c r="AV352" s="167">
        <f t="shared" ca="1" si="464"/>
        <v>9.4884042527478307</v>
      </c>
      <c r="AW352" s="167">
        <f t="shared" ca="1" si="464"/>
        <v>37.94691913761438</v>
      </c>
      <c r="AX352" s="167">
        <f t="shared" ca="1" si="464"/>
        <v>9.4884042527478307</v>
      </c>
      <c r="AY352" s="167">
        <f t="shared" ca="1" si="464"/>
        <v>9.4884042527478307</v>
      </c>
      <c r="AZ352" s="167">
        <f t="shared" ca="1" si="464"/>
        <v>9.4884042527478307</v>
      </c>
      <c r="BA352" s="167">
        <f t="shared" ca="1" si="464"/>
        <v>9.4884042527478307</v>
      </c>
      <c r="BB352" s="167">
        <f t="shared" ca="1" si="464"/>
        <v>9.4884042527478307</v>
      </c>
      <c r="BC352" s="167">
        <f t="shared" ca="1" si="464"/>
        <v>9.4884042527478307</v>
      </c>
      <c r="BD352" s="167">
        <f t="shared" ca="1" si="464"/>
        <v>9.4884042527478307</v>
      </c>
      <c r="BE352" s="167">
        <f t="shared" ca="1" si="464"/>
        <v>9.4884042527478307</v>
      </c>
      <c r="BF352" s="167">
        <f t="shared" ca="1" si="464"/>
        <v>9.4884042527478307</v>
      </c>
      <c r="BG352" s="167">
        <f t="shared" ca="1" si="464"/>
        <v>9.4884042527478307</v>
      </c>
      <c r="BH352" s="167">
        <f t="shared" ca="1" si="464"/>
        <v>9.4884042527478307</v>
      </c>
      <c r="BI352" s="167">
        <f t="shared" ca="1" si="464"/>
        <v>55.000975744903585</v>
      </c>
      <c r="BJ352" s="167">
        <f t="shared" ca="1" si="464"/>
        <v>464.79509768013577</v>
      </c>
      <c r="BK352" s="167">
        <f t="shared" ca="1" si="464"/>
        <v>56.787394918405653</v>
      </c>
      <c r="BL352" s="167">
        <f t="shared" ca="1" si="464"/>
        <v>10.422731271645841</v>
      </c>
      <c r="BM352" s="167">
        <f t="shared" ca="1" si="464"/>
        <v>105.80488938334628</v>
      </c>
      <c r="BN352" s="167">
        <f t="shared" ca="1" si="464"/>
        <v>9.0829168915192913</v>
      </c>
      <c r="BO352" s="167">
        <f t="shared" ca="1" si="464"/>
        <v>9.0829168915192913</v>
      </c>
      <c r="BP352" s="167">
        <f t="shared" ca="1" si="464"/>
        <v>9.0829168915192913</v>
      </c>
      <c r="BQ352" s="167">
        <f t="shared" ca="1" si="464"/>
        <v>0</v>
      </c>
    </row>
    <row r="354" spans="2:69" ht="13.5" customHeight="1">
      <c r="B354" s="1" t="s">
        <v>417</v>
      </c>
    </row>
    <row r="355" spans="2:69" s="11" customFormat="1" ht="13.5" customHeight="1" outlineLevel="1">
      <c r="D355" s="11" t="s">
        <v>376</v>
      </c>
      <c r="E355" s="11" t="s">
        <v>377</v>
      </c>
      <c r="L355" s="11" t="s">
        <v>422</v>
      </c>
      <c r="M355" s="11">
        <f>SUM(N355:XFD355)</f>
        <v>16</v>
      </c>
      <c r="O355" s="11">
        <f t="shared" ref="O355:AT355" si="465">(O$11&gt;=$D$356)*(O$11&lt;=$E$356)*1</f>
        <v>1</v>
      </c>
      <c r="P355" s="11">
        <f t="shared" si="465"/>
        <v>1</v>
      </c>
      <c r="Q355" s="11">
        <f t="shared" si="465"/>
        <v>1</v>
      </c>
      <c r="R355" s="11">
        <f t="shared" si="465"/>
        <v>1</v>
      </c>
      <c r="S355" s="11">
        <f t="shared" si="465"/>
        <v>1</v>
      </c>
      <c r="T355" s="11">
        <f t="shared" si="465"/>
        <v>1</v>
      </c>
      <c r="U355" s="11">
        <f t="shared" si="465"/>
        <v>1</v>
      </c>
      <c r="V355" s="11">
        <f t="shared" si="465"/>
        <v>1</v>
      </c>
      <c r="W355" s="11">
        <f t="shared" si="465"/>
        <v>1</v>
      </c>
      <c r="X355" s="11">
        <f t="shared" si="465"/>
        <v>1</v>
      </c>
      <c r="Y355" s="11">
        <f t="shared" si="465"/>
        <v>1</v>
      </c>
      <c r="Z355" s="11">
        <f t="shared" si="465"/>
        <v>1</v>
      </c>
      <c r="AA355" s="11">
        <f t="shared" si="465"/>
        <v>1</v>
      </c>
      <c r="AB355" s="11">
        <f t="shared" si="465"/>
        <v>1</v>
      </c>
      <c r="AC355" s="11">
        <f t="shared" si="465"/>
        <v>1</v>
      </c>
      <c r="AD355" s="11">
        <f t="shared" si="465"/>
        <v>1</v>
      </c>
      <c r="AE355" s="11">
        <f t="shared" si="465"/>
        <v>0</v>
      </c>
      <c r="AF355" s="11">
        <f t="shared" si="465"/>
        <v>0</v>
      </c>
      <c r="AG355" s="11">
        <f t="shared" si="465"/>
        <v>0</v>
      </c>
      <c r="AH355" s="11">
        <f t="shared" si="465"/>
        <v>0</v>
      </c>
      <c r="AI355" s="11">
        <f t="shared" si="465"/>
        <v>0</v>
      </c>
      <c r="AJ355" s="11">
        <f t="shared" si="465"/>
        <v>0</v>
      </c>
      <c r="AK355" s="11">
        <f t="shared" si="465"/>
        <v>0</v>
      </c>
      <c r="AL355" s="11">
        <f t="shared" si="465"/>
        <v>0</v>
      </c>
      <c r="AM355" s="11">
        <f t="shared" si="465"/>
        <v>0</v>
      </c>
      <c r="AN355" s="11">
        <f t="shared" si="465"/>
        <v>0</v>
      </c>
      <c r="AO355" s="11">
        <f t="shared" si="465"/>
        <v>0</v>
      </c>
      <c r="AP355" s="11">
        <f t="shared" si="465"/>
        <v>0</v>
      </c>
      <c r="AQ355" s="11">
        <f t="shared" si="465"/>
        <v>0</v>
      </c>
      <c r="AR355" s="11">
        <f t="shared" si="465"/>
        <v>0</v>
      </c>
      <c r="AS355" s="11">
        <f t="shared" si="465"/>
        <v>0</v>
      </c>
      <c r="AT355" s="11">
        <f t="shared" si="465"/>
        <v>0</v>
      </c>
      <c r="AU355" s="11">
        <f t="shared" ref="AU355:BQ355" si="466">(AU$11&gt;=$D$356)*(AU$11&lt;=$E$356)*1</f>
        <v>0</v>
      </c>
      <c r="AV355" s="11">
        <f t="shared" si="466"/>
        <v>0</v>
      </c>
      <c r="AW355" s="11">
        <f t="shared" si="466"/>
        <v>0</v>
      </c>
      <c r="AX355" s="11">
        <f t="shared" si="466"/>
        <v>0</v>
      </c>
      <c r="AY355" s="11">
        <f t="shared" si="466"/>
        <v>0</v>
      </c>
      <c r="AZ355" s="11">
        <f t="shared" si="466"/>
        <v>0</v>
      </c>
      <c r="BA355" s="11">
        <f t="shared" si="466"/>
        <v>0</v>
      </c>
      <c r="BB355" s="11">
        <f t="shared" si="466"/>
        <v>0</v>
      </c>
      <c r="BC355" s="11">
        <f t="shared" si="466"/>
        <v>0</v>
      </c>
      <c r="BD355" s="11">
        <f t="shared" si="466"/>
        <v>0</v>
      </c>
      <c r="BE355" s="11">
        <f t="shared" si="466"/>
        <v>0</v>
      </c>
      <c r="BF355" s="11">
        <f t="shared" si="466"/>
        <v>0</v>
      </c>
      <c r="BG355" s="11">
        <f t="shared" si="466"/>
        <v>0</v>
      </c>
      <c r="BH355" s="11">
        <f t="shared" si="466"/>
        <v>0</v>
      </c>
      <c r="BI355" s="11">
        <f t="shared" si="466"/>
        <v>0</v>
      </c>
      <c r="BJ355" s="11">
        <f t="shared" si="466"/>
        <v>0</v>
      </c>
      <c r="BK355" s="11">
        <f t="shared" si="466"/>
        <v>0</v>
      </c>
      <c r="BL355" s="11">
        <f t="shared" si="466"/>
        <v>0</v>
      </c>
      <c r="BM355" s="11">
        <f t="shared" si="466"/>
        <v>0</v>
      </c>
      <c r="BN355" s="11">
        <f t="shared" si="466"/>
        <v>0</v>
      </c>
      <c r="BO355" s="11">
        <f t="shared" si="466"/>
        <v>0</v>
      </c>
      <c r="BP355" s="11">
        <f t="shared" si="466"/>
        <v>0</v>
      </c>
      <c r="BQ355" s="11">
        <f t="shared" si="466"/>
        <v>0</v>
      </c>
    </row>
    <row r="356" spans="2:69" s="11" customFormat="1" ht="13.5" customHeight="1" outlineLevel="1">
      <c r="D356" s="295">
        <f>'A&amp;R'!V35</f>
        <v>44377</v>
      </c>
      <c r="E356" s="295">
        <f>'A&amp;R'!W35</f>
        <v>44834</v>
      </c>
      <c r="L356" s="11" t="s">
        <v>423</v>
      </c>
      <c r="O356" s="11">
        <f>SUM($O355:O355)*O355</f>
        <v>1</v>
      </c>
      <c r="P356" s="11">
        <f>SUM($O355:P355)*P355</f>
        <v>2</v>
      </c>
      <c r="Q356" s="11">
        <f>SUM($O355:Q355)*Q355</f>
        <v>3</v>
      </c>
      <c r="R356" s="11">
        <f>SUM($O355:R355)*R355</f>
        <v>4</v>
      </c>
      <c r="S356" s="11">
        <f>SUM($O355:S355)*S355</f>
        <v>5</v>
      </c>
      <c r="T356" s="11">
        <f>SUM($O355:T355)*T355</f>
        <v>6</v>
      </c>
      <c r="U356" s="11">
        <f>SUM($O355:U355)*U355</f>
        <v>7</v>
      </c>
      <c r="V356" s="11">
        <f>SUM($O355:V355)*V355</f>
        <v>8</v>
      </c>
      <c r="W356" s="11">
        <f>SUM($O355:W355)*W355</f>
        <v>9</v>
      </c>
      <c r="X356" s="11">
        <f>SUM($O355:X355)*X355</f>
        <v>10</v>
      </c>
      <c r="Y356" s="11">
        <f>SUM($O355:Y355)*Y355</f>
        <v>11</v>
      </c>
      <c r="Z356" s="11">
        <f>SUM($O355:Z355)*Z355</f>
        <v>12</v>
      </c>
      <c r="AA356" s="11">
        <f>SUM($O355:AA355)*AA355</f>
        <v>13</v>
      </c>
      <c r="AB356" s="11">
        <f>SUM($O355:AB355)*AB355</f>
        <v>14</v>
      </c>
      <c r="AC356" s="11">
        <f>SUM($O355:AC355)*AC355</f>
        <v>15</v>
      </c>
      <c r="AD356" s="11">
        <f>SUM($O355:AD355)*AD355</f>
        <v>16</v>
      </c>
      <c r="AE356" s="11">
        <f>SUM($O355:AE355)*AE355</f>
        <v>0</v>
      </c>
      <c r="AF356" s="11">
        <f>SUM($O355:AF355)*AF355</f>
        <v>0</v>
      </c>
      <c r="AG356" s="11">
        <f>SUM($O355:AG355)*AG355</f>
        <v>0</v>
      </c>
      <c r="AH356" s="11">
        <f>SUM($O355:AH355)*AH355</f>
        <v>0</v>
      </c>
      <c r="AI356" s="11">
        <f>SUM($O355:AI355)*AI355</f>
        <v>0</v>
      </c>
      <c r="AJ356" s="11">
        <f>SUM($O355:AJ355)*AJ355</f>
        <v>0</v>
      </c>
      <c r="AK356" s="11">
        <f>SUM($O355:AK355)*AK355</f>
        <v>0</v>
      </c>
      <c r="AL356" s="11">
        <f>SUM($O355:AL355)*AL355</f>
        <v>0</v>
      </c>
      <c r="AM356" s="11">
        <f>SUM($O355:AM355)*AM355</f>
        <v>0</v>
      </c>
      <c r="AN356" s="11">
        <f>SUM($O355:AN355)*AN355</f>
        <v>0</v>
      </c>
      <c r="AO356" s="11">
        <f>SUM($O355:AO355)*AO355</f>
        <v>0</v>
      </c>
      <c r="AP356" s="11">
        <f>SUM($O355:AP355)*AP355</f>
        <v>0</v>
      </c>
      <c r="AQ356" s="11">
        <f>SUM($O355:AQ355)*AQ355</f>
        <v>0</v>
      </c>
      <c r="AR356" s="11">
        <f>SUM($O355:AR355)*AR355</f>
        <v>0</v>
      </c>
      <c r="AS356" s="11">
        <f>SUM($O355:AS355)*AS355</f>
        <v>0</v>
      </c>
      <c r="AT356" s="11">
        <f>SUM($O355:AT355)*AT355</f>
        <v>0</v>
      </c>
      <c r="AU356" s="11">
        <f>SUM($O355:AU355)*AU355</f>
        <v>0</v>
      </c>
      <c r="AV356" s="11">
        <f>SUM($O355:AV355)*AV355</f>
        <v>0</v>
      </c>
      <c r="AW356" s="11">
        <f>SUM($O355:AW355)*AW355</f>
        <v>0</v>
      </c>
      <c r="AX356" s="11">
        <f>SUM($O355:AX355)*AX355</f>
        <v>0</v>
      </c>
      <c r="AY356" s="11">
        <f>SUM($O355:AY355)*AY355</f>
        <v>0</v>
      </c>
      <c r="AZ356" s="11">
        <f>SUM($O355:AZ355)*AZ355</f>
        <v>0</v>
      </c>
      <c r="BA356" s="11">
        <f>SUM($O355:BA355)*BA355</f>
        <v>0</v>
      </c>
      <c r="BB356" s="11">
        <f>SUM($O355:BB355)*BB355</f>
        <v>0</v>
      </c>
      <c r="BC356" s="11">
        <f>SUM($O355:BC355)*BC355</f>
        <v>0</v>
      </c>
      <c r="BD356" s="11">
        <f>SUM($O355:BD355)*BD355</f>
        <v>0</v>
      </c>
      <c r="BE356" s="11">
        <f>SUM($O355:BE355)*BE355</f>
        <v>0</v>
      </c>
      <c r="BF356" s="11">
        <f>SUM($O355:BF355)*BF355</f>
        <v>0</v>
      </c>
      <c r="BG356" s="11">
        <f>SUM($O355:BG355)*BG355</f>
        <v>0</v>
      </c>
      <c r="BH356" s="11">
        <f>SUM($O355:BH355)*BH355</f>
        <v>0</v>
      </c>
      <c r="BI356" s="11">
        <f>SUM($O355:BI355)*BI355</f>
        <v>0</v>
      </c>
      <c r="BJ356" s="11">
        <f>SUM($O355:BJ355)*BJ355</f>
        <v>0</v>
      </c>
      <c r="BK356" s="11">
        <f>SUM($O355:BK355)*BK355</f>
        <v>0</v>
      </c>
      <c r="BL356" s="11">
        <f>SUM($O355:BL355)*BL355</f>
        <v>0</v>
      </c>
      <c r="BM356" s="11">
        <f>SUM($O355:BM355)*BM355</f>
        <v>0</v>
      </c>
      <c r="BN356" s="11">
        <f>SUM($O355:BN355)*BN355</f>
        <v>0</v>
      </c>
      <c r="BO356" s="11">
        <f>SUM($O355:BO355)*BO355</f>
        <v>0</v>
      </c>
      <c r="BP356" s="11">
        <f>SUM($O355:BP355)*BP355</f>
        <v>0</v>
      </c>
      <c r="BQ356" s="11">
        <f>SUM($O355:BQ355)*BQ355</f>
        <v>0</v>
      </c>
    </row>
    <row r="357" spans="2:69" s="11" customFormat="1" ht="13.5" customHeight="1" outlineLevel="1">
      <c r="L357" s="11" t="s">
        <v>424</v>
      </c>
      <c r="O357" s="11">
        <f t="shared" ref="O357" si="467">(MOD(N356,$E$366)=0)*1</f>
        <v>1</v>
      </c>
      <c r="P357" s="11">
        <f>(MOD(O356,$E$366)=0)*1</f>
        <v>0</v>
      </c>
      <c r="Q357" s="11">
        <f t="shared" ref="Q357:BQ357" si="468">(MOD(P356,$E$366)=0)*1</f>
        <v>0</v>
      </c>
      <c r="R357" s="11">
        <f t="shared" si="468"/>
        <v>1</v>
      </c>
      <c r="S357" s="11">
        <f t="shared" si="468"/>
        <v>0</v>
      </c>
      <c r="T357" s="11">
        <f t="shared" si="468"/>
        <v>0</v>
      </c>
      <c r="U357" s="11">
        <f t="shared" si="468"/>
        <v>1</v>
      </c>
      <c r="V357" s="11">
        <f t="shared" si="468"/>
        <v>0</v>
      </c>
      <c r="W357" s="11">
        <f t="shared" si="468"/>
        <v>0</v>
      </c>
      <c r="X357" s="11">
        <f t="shared" si="468"/>
        <v>1</v>
      </c>
      <c r="Y357" s="11">
        <f t="shared" si="468"/>
        <v>0</v>
      </c>
      <c r="Z357" s="11">
        <f t="shared" si="468"/>
        <v>0</v>
      </c>
      <c r="AA357" s="11">
        <f t="shared" si="468"/>
        <v>1</v>
      </c>
      <c r="AB357" s="11">
        <f t="shared" si="468"/>
        <v>0</v>
      </c>
      <c r="AC357" s="11">
        <f t="shared" si="468"/>
        <v>0</v>
      </c>
      <c r="AD357" s="11">
        <f t="shared" si="468"/>
        <v>1</v>
      </c>
      <c r="AE357" s="11">
        <f t="shared" si="468"/>
        <v>0</v>
      </c>
      <c r="AF357" s="11">
        <f t="shared" si="468"/>
        <v>1</v>
      </c>
      <c r="AG357" s="11">
        <f t="shared" si="468"/>
        <v>1</v>
      </c>
      <c r="AH357" s="11">
        <f t="shared" si="468"/>
        <v>1</v>
      </c>
      <c r="AI357" s="11">
        <f t="shared" si="468"/>
        <v>1</v>
      </c>
      <c r="AJ357" s="11">
        <f t="shared" si="468"/>
        <v>1</v>
      </c>
      <c r="AK357" s="11">
        <f t="shared" si="468"/>
        <v>1</v>
      </c>
      <c r="AL357" s="11">
        <f t="shared" si="468"/>
        <v>1</v>
      </c>
      <c r="AM357" s="11">
        <f t="shared" si="468"/>
        <v>1</v>
      </c>
      <c r="AN357" s="11">
        <f t="shared" si="468"/>
        <v>1</v>
      </c>
      <c r="AO357" s="11">
        <f t="shared" si="468"/>
        <v>1</v>
      </c>
      <c r="AP357" s="11">
        <f t="shared" si="468"/>
        <v>1</v>
      </c>
      <c r="AQ357" s="11">
        <f t="shared" si="468"/>
        <v>1</v>
      </c>
      <c r="AR357" s="11">
        <f t="shared" si="468"/>
        <v>1</v>
      </c>
      <c r="AS357" s="11">
        <f t="shared" si="468"/>
        <v>1</v>
      </c>
      <c r="AT357" s="11">
        <f t="shared" si="468"/>
        <v>1</v>
      </c>
      <c r="AU357" s="11">
        <f t="shared" si="468"/>
        <v>1</v>
      </c>
      <c r="AV357" s="11">
        <f t="shared" si="468"/>
        <v>1</v>
      </c>
      <c r="AW357" s="11">
        <f t="shared" si="468"/>
        <v>1</v>
      </c>
      <c r="AX357" s="11">
        <f t="shared" si="468"/>
        <v>1</v>
      </c>
      <c r="AY357" s="11">
        <f t="shared" si="468"/>
        <v>1</v>
      </c>
      <c r="AZ357" s="11">
        <f t="shared" si="468"/>
        <v>1</v>
      </c>
      <c r="BA357" s="11">
        <f t="shared" si="468"/>
        <v>1</v>
      </c>
      <c r="BB357" s="11">
        <f t="shared" si="468"/>
        <v>1</v>
      </c>
      <c r="BC357" s="11">
        <f t="shared" si="468"/>
        <v>1</v>
      </c>
      <c r="BD357" s="11">
        <f t="shared" si="468"/>
        <v>1</v>
      </c>
      <c r="BE357" s="11">
        <f t="shared" si="468"/>
        <v>1</v>
      </c>
      <c r="BF357" s="11">
        <f t="shared" si="468"/>
        <v>1</v>
      </c>
      <c r="BG357" s="11">
        <f t="shared" si="468"/>
        <v>1</v>
      </c>
      <c r="BH357" s="11">
        <f t="shared" si="468"/>
        <v>1</v>
      </c>
      <c r="BI357" s="11">
        <f t="shared" si="468"/>
        <v>1</v>
      </c>
      <c r="BJ357" s="11">
        <f t="shared" si="468"/>
        <v>1</v>
      </c>
      <c r="BK357" s="11">
        <f t="shared" si="468"/>
        <v>1</v>
      </c>
      <c r="BL357" s="11">
        <f t="shared" si="468"/>
        <v>1</v>
      </c>
      <c r="BM357" s="11">
        <f t="shared" si="468"/>
        <v>1</v>
      </c>
      <c r="BN357" s="11">
        <f t="shared" si="468"/>
        <v>1</v>
      </c>
      <c r="BO357" s="11">
        <f t="shared" si="468"/>
        <v>1</v>
      </c>
      <c r="BP357" s="11">
        <f t="shared" si="468"/>
        <v>1</v>
      </c>
      <c r="BQ357" s="11">
        <f t="shared" si="468"/>
        <v>1</v>
      </c>
    </row>
    <row r="358" spans="2:69" s="11" customFormat="1" ht="13.5" customHeight="1" outlineLevel="1">
      <c r="L358" s="11" t="s">
        <v>425</v>
      </c>
      <c r="O358" s="11">
        <f t="shared" ref="O358:AT358" si="469">IF(AND(OR(O357=1,O11=$E$356),NOT(O356=1)),1,0)</f>
        <v>0</v>
      </c>
      <c r="P358" s="11">
        <f t="shared" si="469"/>
        <v>0</v>
      </c>
      <c r="Q358" s="11">
        <f t="shared" si="469"/>
        <v>0</v>
      </c>
      <c r="R358" s="11">
        <f t="shared" si="469"/>
        <v>1</v>
      </c>
      <c r="S358" s="11">
        <f t="shared" si="469"/>
        <v>0</v>
      </c>
      <c r="T358" s="11">
        <f t="shared" si="469"/>
        <v>0</v>
      </c>
      <c r="U358" s="11">
        <f t="shared" si="469"/>
        <v>1</v>
      </c>
      <c r="V358" s="11">
        <f t="shared" si="469"/>
        <v>0</v>
      </c>
      <c r="W358" s="11">
        <f t="shared" si="469"/>
        <v>0</v>
      </c>
      <c r="X358" s="11">
        <f t="shared" si="469"/>
        <v>1</v>
      </c>
      <c r="Y358" s="11">
        <f t="shared" si="469"/>
        <v>0</v>
      </c>
      <c r="Z358" s="11">
        <f t="shared" si="469"/>
        <v>0</v>
      </c>
      <c r="AA358" s="11">
        <f t="shared" si="469"/>
        <v>1</v>
      </c>
      <c r="AB358" s="11">
        <f t="shared" si="469"/>
        <v>0</v>
      </c>
      <c r="AC358" s="11">
        <f t="shared" si="469"/>
        <v>0</v>
      </c>
      <c r="AD358" s="11">
        <f t="shared" si="469"/>
        <v>1</v>
      </c>
      <c r="AE358" s="11">
        <f t="shared" si="469"/>
        <v>0</v>
      </c>
      <c r="AF358" s="11">
        <f t="shared" si="469"/>
        <v>1</v>
      </c>
      <c r="AG358" s="11">
        <f t="shared" si="469"/>
        <v>1</v>
      </c>
      <c r="AH358" s="11">
        <f t="shared" si="469"/>
        <v>1</v>
      </c>
      <c r="AI358" s="11">
        <f t="shared" si="469"/>
        <v>1</v>
      </c>
      <c r="AJ358" s="11">
        <f t="shared" si="469"/>
        <v>1</v>
      </c>
      <c r="AK358" s="11">
        <f t="shared" si="469"/>
        <v>1</v>
      </c>
      <c r="AL358" s="11">
        <f t="shared" si="469"/>
        <v>1</v>
      </c>
      <c r="AM358" s="11">
        <f t="shared" si="469"/>
        <v>1</v>
      </c>
      <c r="AN358" s="11">
        <f t="shared" si="469"/>
        <v>1</v>
      </c>
      <c r="AO358" s="11">
        <f t="shared" si="469"/>
        <v>1</v>
      </c>
      <c r="AP358" s="11">
        <f t="shared" si="469"/>
        <v>1</v>
      </c>
      <c r="AQ358" s="11">
        <f t="shared" si="469"/>
        <v>1</v>
      </c>
      <c r="AR358" s="11">
        <f t="shared" si="469"/>
        <v>1</v>
      </c>
      <c r="AS358" s="11">
        <f t="shared" si="469"/>
        <v>1</v>
      </c>
      <c r="AT358" s="11">
        <f t="shared" si="469"/>
        <v>1</v>
      </c>
      <c r="AU358" s="11">
        <f t="shared" ref="AU358:BQ358" si="470">IF(AND(OR(AU357=1,AU11=$E$356),NOT(AU356=1)),1,0)</f>
        <v>1</v>
      </c>
      <c r="AV358" s="11">
        <f t="shared" si="470"/>
        <v>1</v>
      </c>
      <c r="AW358" s="11">
        <f t="shared" si="470"/>
        <v>1</v>
      </c>
      <c r="AX358" s="11">
        <f t="shared" si="470"/>
        <v>1</v>
      </c>
      <c r="AY358" s="11">
        <f t="shared" si="470"/>
        <v>1</v>
      </c>
      <c r="AZ358" s="11">
        <f t="shared" si="470"/>
        <v>1</v>
      </c>
      <c r="BA358" s="11">
        <f t="shared" si="470"/>
        <v>1</v>
      </c>
      <c r="BB358" s="11">
        <f t="shared" si="470"/>
        <v>1</v>
      </c>
      <c r="BC358" s="11">
        <f t="shared" si="470"/>
        <v>1</v>
      </c>
      <c r="BD358" s="11">
        <f t="shared" si="470"/>
        <v>1</v>
      </c>
      <c r="BE358" s="11">
        <f t="shared" si="470"/>
        <v>1</v>
      </c>
      <c r="BF358" s="11">
        <f t="shared" si="470"/>
        <v>1</v>
      </c>
      <c r="BG358" s="11">
        <f t="shared" si="470"/>
        <v>1</v>
      </c>
      <c r="BH358" s="11">
        <f t="shared" si="470"/>
        <v>1</v>
      </c>
      <c r="BI358" s="11">
        <f t="shared" si="470"/>
        <v>1</v>
      </c>
      <c r="BJ358" s="11">
        <f t="shared" si="470"/>
        <v>1</v>
      </c>
      <c r="BK358" s="11">
        <f t="shared" si="470"/>
        <v>1</v>
      </c>
      <c r="BL358" s="11">
        <f t="shared" si="470"/>
        <v>1</v>
      </c>
      <c r="BM358" s="11">
        <f t="shared" si="470"/>
        <v>1</v>
      </c>
      <c r="BN358" s="11">
        <f t="shared" si="470"/>
        <v>1</v>
      </c>
      <c r="BO358" s="11">
        <f t="shared" si="470"/>
        <v>1</v>
      </c>
      <c r="BP358" s="11">
        <f t="shared" si="470"/>
        <v>1</v>
      </c>
      <c r="BQ358" s="11">
        <f t="shared" si="470"/>
        <v>1</v>
      </c>
    </row>
    <row r="359" spans="2:69" s="11" customFormat="1" ht="13.5" customHeight="1"/>
    <row r="360" spans="2:69" ht="13.5" customHeight="1">
      <c r="C360" s="1" t="s">
        <v>350</v>
      </c>
      <c r="O360" s="1">
        <v>0</v>
      </c>
      <c r="P360" s="1">
        <f>O363</f>
        <v>77500</v>
      </c>
      <c r="Q360" s="1">
        <f t="shared" ref="Q360:BQ360" si="471">P363</f>
        <v>77500</v>
      </c>
      <c r="R360" s="1">
        <f t="shared" si="471"/>
        <v>77500</v>
      </c>
      <c r="S360" s="1">
        <f t="shared" si="471"/>
        <v>77500</v>
      </c>
      <c r="T360" s="1">
        <f t="shared" si="471"/>
        <v>77500</v>
      </c>
      <c r="U360" s="1">
        <f t="shared" si="471"/>
        <v>77500</v>
      </c>
      <c r="V360" s="1">
        <f t="shared" si="471"/>
        <v>77500</v>
      </c>
      <c r="W360" s="1">
        <f t="shared" si="471"/>
        <v>77500</v>
      </c>
      <c r="X360" s="1">
        <f t="shared" si="471"/>
        <v>77500</v>
      </c>
      <c r="Y360" s="1">
        <f t="shared" si="471"/>
        <v>77500</v>
      </c>
      <c r="Z360" s="1">
        <f t="shared" si="471"/>
        <v>77500</v>
      </c>
      <c r="AA360" s="1">
        <f t="shared" si="471"/>
        <v>77500</v>
      </c>
      <c r="AB360" s="1">
        <f t="shared" si="471"/>
        <v>77500</v>
      </c>
      <c r="AC360" s="1">
        <f t="shared" si="471"/>
        <v>77500</v>
      </c>
      <c r="AD360" s="1">
        <f t="shared" si="471"/>
        <v>77500</v>
      </c>
      <c r="AE360" s="1">
        <f t="shared" si="471"/>
        <v>0</v>
      </c>
      <c r="AF360" s="1">
        <f t="shared" si="471"/>
        <v>0</v>
      </c>
      <c r="AG360" s="1">
        <f t="shared" si="471"/>
        <v>0</v>
      </c>
      <c r="AH360" s="1">
        <f t="shared" si="471"/>
        <v>0</v>
      </c>
      <c r="AI360" s="1">
        <f t="shared" si="471"/>
        <v>0</v>
      </c>
      <c r="AJ360" s="1">
        <f t="shared" si="471"/>
        <v>0</v>
      </c>
      <c r="AK360" s="1">
        <f t="shared" si="471"/>
        <v>0</v>
      </c>
      <c r="AL360" s="1">
        <f t="shared" si="471"/>
        <v>0</v>
      </c>
      <c r="AM360" s="1">
        <f t="shared" si="471"/>
        <v>0</v>
      </c>
      <c r="AN360" s="1">
        <f t="shared" si="471"/>
        <v>0</v>
      </c>
      <c r="AO360" s="1">
        <f t="shared" si="471"/>
        <v>0</v>
      </c>
      <c r="AP360" s="1">
        <f t="shared" si="471"/>
        <v>0</v>
      </c>
      <c r="AQ360" s="1">
        <f t="shared" si="471"/>
        <v>0</v>
      </c>
      <c r="AR360" s="1">
        <f t="shared" si="471"/>
        <v>0</v>
      </c>
      <c r="AS360" s="1">
        <f t="shared" si="471"/>
        <v>0</v>
      </c>
      <c r="AT360" s="1">
        <f t="shared" si="471"/>
        <v>0</v>
      </c>
      <c r="AU360" s="1">
        <f t="shared" si="471"/>
        <v>0</v>
      </c>
      <c r="AV360" s="1">
        <f t="shared" si="471"/>
        <v>0</v>
      </c>
      <c r="AW360" s="1">
        <f t="shared" si="471"/>
        <v>0</v>
      </c>
      <c r="AX360" s="1">
        <f t="shared" si="471"/>
        <v>0</v>
      </c>
      <c r="AY360" s="1">
        <f t="shared" si="471"/>
        <v>0</v>
      </c>
      <c r="AZ360" s="1">
        <f t="shared" si="471"/>
        <v>0</v>
      </c>
      <c r="BA360" s="1">
        <f t="shared" si="471"/>
        <v>0</v>
      </c>
      <c r="BB360" s="1">
        <f t="shared" si="471"/>
        <v>0</v>
      </c>
      <c r="BC360" s="1">
        <f t="shared" si="471"/>
        <v>0</v>
      </c>
      <c r="BD360" s="1">
        <f t="shared" si="471"/>
        <v>0</v>
      </c>
      <c r="BE360" s="1">
        <f t="shared" si="471"/>
        <v>0</v>
      </c>
      <c r="BF360" s="1">
        <f t="shared" si="471"/>
        <v>0</v>
      </c>
      <c r="BG360" s="1">
        <f t="shared" si="471"/>
        <v>0</v>
      </c>
      <c r="BH360" s="1">
        <f t="shared" si="471"/>
        <v>0</v>
      </c>
      <c r="BI360" s="1">
        <f t="shared" si="471"/>
        <v>0</v>
      </c>
      <c r="BJ360" s="1">
        <f t="shared" si="471"/>
        <v>0</v>
      </c>
      <c r="BK360" s="1">
        <f t="shared" si="471"/>
        <v>0</v>
      </c>
      <c r="BL360" s="1">
        <f t="shared" si="471"/>
        <v>0</v>
      </c>
      <c r="BM360" s="1">
        <f t="shared" si="471"/>
        <v>0</v>
      </c>
      <c r="BN360" s="1">
        <f t="shared" si="471"/>
        <v>0</v>
      </c>
      <c r="BO360" s="1">
        <f t="shared" si="471"/>
        <v>0</v>
      </c>
      <c r="BP360" s="1">
        <f t="shared" si="471"/>
        <v>0</v>
      </c>
      <c r="BQ360" s="1">
        <f t="shared" si="471"/>
        <v>0</v>
      </c>
    </row>
    <row r="361" spans="2:69" ht="13.5" customHeight="1">
      <c r="C361" s="1" t="s">
        <v>418</v>
      </c>
      <c r="O361" s="1">
        <f>현금흐름!I34</f>
        <v>77500</v>
      </c>
      <c r="P361" s="1">
        <f>현금흐름!J34</f>
        <v>0</v>
      </c>
      <c r="Q361" s="1">
        <f>현금흐름!K34</f>
        <v>0</v>
      </c>
      <c r="R361" s="1">
        <f>현금흐름!L34</f>
        <v>0</v>
      </c>
      <c r="S361" s="1">
        <f>현금흐름!M34</f>
        <v>0</v>
      </c>
      <c r="T361" s="1">
        <f>현금흐름!N34</f>
        <v>0</v>
      </c>
      <c r="U361" s="1">
        <f>현금흐름!O34</f>
        <v>0</v>
      </c>
      <c r="V361" s="1">
        <f>현금흐름!P34</f>
        <v>0</v>
      </c>
      <c r="W361" s="1">
        <f>현금흐름!Q34</f>
        <v>0</v>
      </c>
      <c r="X361" s="1">
        <f>현금흐름!R34</f>
        <v>0</v>
      </c>
      <c r="Y361" s="1">
        <f>현금흐름!S34</f>
        <v>0</v>
      </c>
      <c r="Z361" s="1">
        <f>현금흐름!T34</f>
        <v>0</v>
      </c>
      <c r="AA361" s="1">
        <f>현금흐름!U34</f>
        <v>0</v>
      </c>
      <c r="AB361" s="1">
        <f>현금흐름!V34</f>
        <v>0</v>
      </c>
      <c r="AC361" s="1">
        <f>현금흐름!W34</f>
        <v>0</v>
      </c>
      <c r="AD361" s="1">
        <f>현금흐름!X34</f>
        <v>0</v>
      </c>
      <c r="AE361" s="1">
        <f>현금흐름!Y34</f>
        <v>0</v>
      </c>
      <c r="AF361" s="1">
        <f>현금흐름!Z34</f>
        <v>0</v>
      </c>
      <c r="AG361" s="1">
        <f>현금흐름!AA34</f>
        <v>0</v>
      </c>
      <c r="AH361" s="1">
        <f>현금흐름!AB34</f>
        <v>0</v>
      </c>
      <c r="AI361" s="1">
        <f>현금흐름!AC34</f>
        <v>0</v>
      </c>
      <c r="AJ361" s="1">
        <f>현금흐름!AD34</f>
        <v>0</v>
      </c>
      <c r="AK361" s="1">
        <f>현금흐름!AE34</f>
        <v>0</v>
      </c>
      <c r="AL361" s="1">
        <f>현금흐름!AF34</f>
        <v>0</v>
      </c>
      <c r="AM361" s="1">
        <f>현금흐름!AG34</f>
        <v>0</v>
      </c>
      <c r="AN361" s="1">
        <f>현금흐름!AH34</f>
        <v>0</v>
      </c>
      <c r="AO361" s="1">
        <f>현금흐름!AI34</f>
        <v>0</v>
      </c>
      <c r="AP361" s="1">
        <f>현금흐름!AJ34</f>
        <v>0</v>
      </c>
      <c r="AQ361" s="1">
        <f>현금흐름!AK34</f>
        <v>0</v>
      </c>
      <c r="AR361" s="1">
        <f>현금흐름!AL34</f>
        <v>0</v>
      </c>
      <c r="AS361" s="1">
        <f>현금흐름!AM34</f>
        <v>0</v>
      </c>
      <c r="AT361" s="1">
        <f>현금흐름!AN34</f>
        <v>0</v>
      </c>
      <c r="AU361" s="1">
        <f>현금흐름!AO34</f>
        <v>0</v>
      </c>
      <c r="AV361" s="1">
        <f>현금흐름!AP34</f>
        <v>0</v>
      </c>
      <c r="AW361" s="1">
        <f>현금흐름!AQ34</f>
        <v>0</v>
      </c>
      <c r="AX361" s="1">
        <f>현금흐름!AR34</f>
        <v>0</v>
      </c>
      <c r="AY361" s="1">
        <f>현금흐름!AS34</f>
        <v>0</v>
      </c>
      <c r="AZ361" s="1">
        <f>현금흐름!AT34</f>
        <v>0</v>
      </c>
      <c r="BA361" s="1">
        <f>현금흐름!AU34</f>
        <v>0</v>
      </c>
      <c r="BB361" s="1">
        <f>현금흐름!AV34</f>
        <v>0</v>
      </c>
      <c r="BC361" s="1">
        <f>현금흐름!AW34</f>
        <v>0</v>
      </c>
      <c r="BD361" s="1">
        <f>현금흐름!AX34</f>
        <v>0</v>
      </c>
      <c r="BE361" s="1">
        <f>현금흐름!AY34</f>
        <v>0</v>
      </c>
      <c r="BF361" s="1">
        <f>현금흐름!AZ34</f>
        <v>0</v>
      </c>
      <c r="BG361" s="1">
        <f>현금흐름!BA34</f>
        <v>0</v>
      </c>
      <c r="BH361" s="1">
        <f>현금흐름!BB34</f>
        <v>0</v>
      </c>
      <c r="BI361" s="1">
        <f>현금흐름!BC34</f>
        <v>0</v>
      </c>
      <c r="BJ361" s="1">
        <f>현금흐름!BD34</f>
        <v>0</v>
      </c>
      <c r="BK361" s="1">
        <f>현금흐름!BE34</f>
        <v>0</v>
      </c>
      <c r="BL361" s="1">
        <f>현금흐름!BF34</f>
        <v>0</v>
      </c>
      <c r="BM361" s="1">
        <f>현금흐름!BG34</f>
        <v>0</v>
      </c>
      <c r="BN361" s="1">
        <f>현금흐름!BH34</f>
        <v>0</v>
      </c>
      <c r="BO361" s="1">
        <f>현금흐름!BI34</f>
        <v>0</v>
      </c>
      <c r="BP361" s="1">
        <f>현금흐름!BJ34</f>
        <v>0</v>
      </c>
      <c r="BQ361" s="1">
        <f>현금흐름!BK34</f>
        <v>0</v>
      </c>
    </row>
    <row r="362" spans="2:69" ht="13.5" customHeight="1">
      <c r="C362" s="1" t="s">
        <v>419</v>
      </c>
      <c r="O362" s="1">
        <f>현금흐름!I37</f>
        <v>0</v>
      </c>
      <c r="P362" s="1">
        <f>현금흐름!J37</f>
        <v>0</v>
      </c>
      <c r="Q362" s="1">
        <f>현금흐름!K37</f>
        <v>0</v>
      </c>
      <c r="R362" s="1">
        <f>현금흐름!L37</f>
        <v>0</v>
      </c>
      <c r="S362" s="1">
        <f>현금흐름!M37</f>
        <v>0</v>
      </c>
      <c r="T362" s="1">
        <f>현금흐름!N37</f>
        <v>0</v>
      </c>
      <c r="U362" s="1">
        <f>현금흐름!O37</f>
        <v>0</v>
      </c>
      <c r="V362" s="1">
        <f>현금흐름!P37</f>
        <v>0</v>
      </c>
      <c r="W362" s="1">
        <f>현금흐름!Q37</f>
        <v>0</v>
      </c>
      <c r="X362" s="1">
        <f>현금흐름!R37</f>
        <v>0</v>
      </c>
      <c r="Y362" s="1">
        <f>현금흐름!S37</f>
        <v>0</v>
      </c>
      <c r="Z362" s="1">
        <f>현금흐름!T37</f>
        <v>0</v>
      </c>
      <c r="AA362" s="1">
        <f>현금흐름!U37</f>
        <v>0</v>
      </c>
      <c r="AB362" s="1">
        <f>현금흐름!V37</f>
        <v>0</v>
      </c>
      <c r="AC362" s="1">
        <f>현금흐름!W37</f>
        <v>0</v>
      </c>
      <c r="AD362" s="1">
        <f>현금흐름!X37</f>
        <v>-77500</v>
      </c>
      <c r="AE362" s="1">
        <f>현금흐름!Y37</f>
        <v>0</v>
      </c>
      <c r="AF362" s="1">
        <f>현금흐름!Z37</f>
        <v>0</v>
      </c>
      <c r="AG362" s="1">
        <f>현금흐름!AA37</f>
        <v>0</v>
      </c>
      <c r="AH362" s="1">
        <f>현금흐름!AB37</f>
        <v>0</v>
      </c>
      <c r="AI362" s="1">
        <f>현금흐름!AC37</f>
        <v>0</v>
      </c>
      <c r="AJ362" s="1">
        <f>현금흐름!AD37</f>
        <v>0</v>
      </c>
      <c r="AK362" s="1">
        <f>현금흐름!AE37</f>
        <v>0</v>
      </c>
      <c r="AL362" s="1">
        <f>현금흐름!AF37</f>
        <v>0</v>
      </c>
      <c r="AM362" s="1">
        <f>현금흐름!AG37</f>
        <v>0</v>
      </c>
      <c r="AN362" s="1">
        <f>현금흐름!AH37</f>
        <v>0</v>
      </c>
      <c r="AO362" s="1">
        <f>현금흐름!AI37</f>
        <v>0</v>
      </c>
      <c r="AP362" s="1">
        <f>현금흐름!AJ37</f>
        <v>0</v>
      </c>
      <c r="AQ362" s="1">
        <f>현금흐름!AK37</f>
        <v>0</v>
      </c>
      <c r="AR362" s="1">
        <f>현금흐름!AL37</f>
        <v>0</v>
      </c>
      <c r="AS362" s="1">
        <f>현금흐름!AM37</f>
        <v>0</v>
      </c>
      <c r="AT362" s="1">
        <f>현금흐름!AN37</f>
        <v>0</v>
      </c>
      <c r="AU362" s="1">
        <f>현금흐름!AO37</f>
        <v>0</v>
      </c>
      <c r="AV362" s="1">
        <f>현금흐름!AP37</f>
        <v>0</v>
      </c>
      <c r="AW362" s="1">
        <f>현금흐름!AQ37</f>
        <v>0</v>
      </c>
      <c r="AX362" s="1">
        <f>현금흐름!AR37</f>
        <v>0</v>
      </c>
      <c r="AY362" s="1">
        <f>현금흐름!AS37</f>
        <v>0</v>
      </c>
      <c r="AZ362" s="1">
        <f>현금흐름!AT37</f>
        <v>0</v>
      </c>
      <c r="BA362" s="1">
        <f>현금흐름!AU37</f>
        <v>0</v>
      </c>
      <c r="BB362" s="1">
        <f>현금흐름!AV37</f>
        <v>0</v>
      </c>
      <c r="BC362" s="1">
        <f>현금흐름!AW37</f>
        <v>0</v>
      </c>
      <c r="BD362" s="1">
        <f>현금흐름!AX37</f>
        <v>0</v>
      </c>
      <c r="BE362" s="1">
        <f>현금흐름!AY37</f>
        <v>0</v>
      </c>
      <c r="BF362" s="1">
        <f>현금흐름!AZ37</f>
        <v>0</v>
      </c>
      <c r="BG362" s="1">
        <f>현금흐름!BA37</f>
        <v>0</v>
      </c>
      <c r="BH362" s="1">
        <f>현금흐름!BB37</f>
        <v>0</v>
      </c>
      <c r="BI362" s="1">
        <f>현금흐름!BC37</f>
        <v>0</v>
      </c>
      <c r="BJ362" s="1">
        <f>현금흐름!BD37</f>
        <v>0</v>
      </c>
      <c r="BK362" s="1">
        <f>현금흐름!BE37</f>
        <v>0</v>
      </c>
      <c r="BL362" s="1">
        <f>현금흐름!BF37</f>
        <v>0</v>
      </c>
      <c r="BM362" s="1">
        <f>현금흐름!BG37</f>
        <v>0</v>
      </c>
      <c r="BN362" s="1">
        <f>현금흐름!BH37</f>
        <v>0</v>
      </c>
      <c r="BO362" s="1">
        <f>현금흐름!BI37</f>
        <v>0</v>
      </c>
      <c r="BP362" s="1">
        <f>현금흐름!BJ37</f>
        <v>0</v>
      </c>
      <c r="BQ362" s="1">
        <f>현금흐름!BK37</f>
        <v>0</v>
      </c>
    </row>
    <row r="363" spans="2:69" ht="13.5" customHeight="1">
      <c r="C363" s="22" t="s">
        <v>352</v>
      </c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>
        <f>SUM(O360:O362)</f>
        <v>77500</v>
      </c>
      <c r="P363" s="22">
        <f t="shared" ref="P363" si="472">SUM(P360:P362)</f>
        <v>77500</v>
      </c>
      <c r="Q363" s="22">
        <f t="shared" ref="Q363" si="473">SUM(Q360:Q362)</f>
        <v>77500</v>
      </c>
      <c r="R363" s="22">
        <f t="shared" ref="R363" si="474">SUM(R360:R362)</f>
        <v>77500</v>
      </c>
      <c r="S363" s="22">
        <f t="shared" ref="S363" si="475">SUM(S360:S362)</f>
        <v>77500</v>
      </c>
      <c r="T363" s="22">
        <f t="shared" ref="T363" si="476">SUM(T360:T362)</f>
        <v>77500</v>
      </c>
      <c r="U363" s="22">
        <f t="shared" ref="U363" si="477">SUM(U360:U362)</f>
        <v>77500</v>
      </c>
      <c r="V363" s="22">
        <f t="shared" ref="V363" si="478">SUM(V360:V362)</f>
        <v>77500</v>
      </c>
      <c r="W363" s="22">
        <f t="shared" ref="W363" si="479">SUM(W360:W362)</f>
        <v>77500</v>
      </c>
      <c r="X363" s="22">
        <f t="shared" ref="X363" si="480">SUM(X360:X362)</f>
        <v>77500</v>
      </c>
      <c r="Y363" s="22">
        <f t="shared" ref="Y363" si="481">SUM(Y360:Y362)</f>
        <v>77500</v>
      </c>
      <c r="Z363" s="22">
        <f t="shared" ref="Z363" si="482">SUM(Z360:Z362)</f>
        <v>77500</v>
      </c>
      <c r="AA363" s="22">
        <f t="shared" ref="AA363" si="483">SUM(AA360:AA362)</f>
        <v>77500</v>
      </c>
      <c r="AB363" s="22">
        <f t="shared" ref="AB363" si="484">SUM(AB360:AB362)</f>
        <v>77500</v>
      </c>
      <c r="AC363" s="22">
        <f t="shared" ref="AC363" si="485">SUM(AC360:AC362)</f>
        <v>77500</v>
      </c>
      <c r="AD363" s="22">
        <f t="shared" ref="AD363" si="486">SUM(AD360:AD362)</f>
        <v>0</v>
      </c>
      <c r="AE363" s="22">
        <f t="shared" ref="AE363" si="487">SUM(AE360:AE362)</f>
        <v>0</v>
      </c>
      <c r="AF363" s="22">
        <f t="shared" ref="AF363" si="488">SUM(AF360:AF362)</f>
        <v>0</v>
      </c>
      <c r="AG363" s="22">
        <f t="shared" ref="AG363" si="489">SUM(AG360:AG362)</f>
        <v>0</v>
      </c>
      <c r="AH363" s="22">
        <f t="shared" ref="AH363" si="490">SUM(AH360:AH362)</f>
        <v>0</v>
      </c>
      <c r="AI363" s="22">
        <f t="shared" ref="AI363" si="491">SUM(AI360:AI362)</f>
        <v>0</v>
      </c>
      <c r="AJ363" s="22">
        <f t="shared" ref="AJ363" si="492">SUM(AJ360:AJ362)</f>
        <v>0</v>
      </c>
      <c r="AK363" s="22">
        <f t="shared" ref="AK363" si="493">SUM(AK360:AK362)</f>
        <v>0</v>
      </c>
      <c r="AL363" s="22">
        <f t="shared" ref="AL363" si="494">SUM(AL360:AL362)</f>
        <v>0</v>
      </c>
      <c r="AM363" s="22">
        <f t="shared" ref="AM363" si="495">SUM(AM360:AM362)</f>
        <v>0</v>
      </c>
      <c r="AN363" s="22">
        <f t="shared" ref="AN363" si="496">SUM(AN360:AN362)</f>
        <v>0</v>
      </c>
      <c r="AO363" s="22">
        <f t="shared" ref="AO363" si="497">SUM(AO360:AO362)</f>
        <v>0</v>
      </c>
      <c r="AP363" s="22">
        <f t="shared" ref="AP363" si="498">SUM(AP360:AP362)</f>
        <v>0</v>
      </c>
      <c r="AQ363" s="22">
        <f t="shared" ref="AQ363" si="499">SUM(AQ360:AQ362)</f>
        <v>0</v>
      </c>
      <c r="AR363" s="22">
        <f t="shared" ref="AR363" si="500">SUM(AR360:AR362)</f>
        <v>0</v>
      </c>
      <c r="AS363" s="22">
        <f t="shared" ref="AS363" si="501">SUM(AS360:AS362)</f>
        <v>0</v>
      </c>
      <c r="AT363" s="22">
        <f t="shared" ref="AT363" si="502">SUM(AT360:AT362)</f>
        <v>0</v>
      </c>
      <c r="AU363" s="22">
        <f t="shared" ref="AU363" si="503">SUM(AU360:AU362)</f>
        <v>0</v>
      </c>
      <c r="AV363" s="22">
        <f t="shared" ref="AV363" si="504">SUM(AV360:AV362)</f>
        <v>0</v>
      </c>
      <c r="AW363" s="22">
        <f t="shared" ref="AW363" si="505">SUM(AW360:AW362)</f>
        <v>0</v>
      </c>
      <c r="AX363" s="22">
        <f t="shared" ref="AX363" si="506">SUM(AX360:AX362)</f>
        <v>0</v>
      </c>
      <c r="AY363" s="22">
        <f t="shared" ref="AY363" si="507">SUM(AY360:AY362)</f>
        <v>0</v>
      </c>
      <c r="AZ363" s="22">
        <f t="shared" ref="AZ363" si="508">SUM(AZ360:AZ362)</f>
        <v>0</v>
      </c>
      <c r="BA363" s="22">
        <f t="shared" ref="BA363" si="509">SUM(BA360:BA362)</f>
        <v>0</v>
      </c>
      <c r="BB363" s="22">
        <f t="shared" ref="BB363" si="510">SUM(BB360:BB362)</f>
        <v>0</v>
      </c>
      <c r="BC363" s="22">
        <f t="shared" ref="BC363" si="511">SUM(BC360:BC362)</f>
        <v>0</v>
      </c>
      <c r="BD363" s="22">
        <f t="shared" ref="BD363" si="512">SUM(BD360:BD362)</f>
        <v>0</v>
      </c>
      <c r="BE363" s="22">
        <f t="shared" ref="BE363" si="513">SUM(BE360:BE362)</f>
        <v>0</v>
      </c>
      <c r="BF363" s="22">
        <f t="shared" ref="BF363" si="514">SUM(BF360:BF362)</f>
        <v>0</v>
      </c>
      <c r="BG363" s="22">
        <f t="shared" ref="BG363" si="515">SUM(BG360:BG362)</f>
        <v>0</v>
      </c>
      <c r="BH363" s="22">
        <f t="shared" ref="BH363" si="516">SUM(BH360:BH362)</f>
        <v>0</v>
      </c>
      <c r="BI363" s="22">
        <f t="shared" ref="BI363" si="517">SUM(BI360:BI362)</f>
        <v>0</v>
      </c>
      <c r="BJ363" s="22">
        <f t="shared" ref="BJ363" si="518">SUM(BJ360:BJ362)</f>
        <v>0</v>
      </c>
      <c r="BK363" s="22">
        <f t="shared" ref="BK363" si="519">SUM(BK360:BK362)</f>
        <v>0</v>
      </c>
      <c r="BL363" s="22">
        <f t="shared" ref="BL363" si="520">SUM(BL360:BL362)</f>
        <v>0</v>
      </c>
      <c r="BM363" s="22">
        <f t="shared" ref="BM363" si="521">SUM(BM360:BM362)</f>
        <v>0</v>
      </c>
      <c r="BN363" s="22">
        <f t="shared" ref="BN363" si="522">SUM(BN360:BN362)</f>
        <v>0</v>
      </c>
      <c r="BO363" s="22">
        <f t="shared" ref="BO363" si="523">SUM(BO360:BO362)</f>
        <v>0</v>
      </c>
      <c r="BP363" s="22">
        <f t="shared" ref="BP363" si="524">SUM(BP360:BP362)</f>
        <v>0</v>
      </c>
      <c r="BQ363" s="22">
        <f t="shared" ref="BQ363" si="525">SUM(BQ360:BQ362)</f>
        <v>0</v>
      </c>
    </row>
    <row r="364" spans="2:69" ht="13.5" customHeight="1">
      <c r="C364" s="414" t="s">
        <v>518</v>
      </c>
      <c r="D364" s="414"/>
      <c r="E364" s="414"/>
      <c r="F364" s="414"/>
      <c r="G364" s="414"/>
      <c r="H364" s="414"/>
      <c r="I364" s="414"/>
      <c r="J364" s="414"/>
      <c r="K364" s="414"/>
      <c r="L364" s="414"/>
      <c r="M364" s="414"/>
      <c r="N364" s="414"/>
      <c r="O364" s="414">
        <f>MAX(O360,O363)</f>
        <v>77500</v>
      </c>
      <c r="P364" s="414">
        <f t="shared" ref="P364:BQ364" si="526">MAX(P360,P363)</f>
        <v>77500</v>
      </c>
      <c r="Q364" s="414">
        <f t="shared" si="526"/>
        <v>77500</v>
      </c>
      <c r="R364" s="414">
        <f t="shared" si="526"/>
        <v>77500</v>
      </c>
      <c r="S364" s="414">
        <f t="shared" si="526"/>
        <v>77500</v>
      </c>
      <c r="T364" s="414">
        <f t="shared" si="526"/>
        <v>77500</v>
      </c>
      <c r="U364" s="414">
        <f t="shared" si="526"/>
        <v>77500</v>
      </c>
      <c r="V364" s="414">
        <f t="shared" si="526"/>
        <v>77500</v>
      </c>
      <c r="W364" s="414">
        <f t="shared" si="526"/>
        <v>77500</v>
      </c>
      <c r="X364" s="414">
        <f t="shared" si="526"/>
        <v>77500</v>
      </c>
      <c r="Y364" s="414">
        <f t="shared" si="526"/>
        <v>77500</v>
      </c>
      <c r="Z364" s="414">
        <f t="shared" si="526"/>
        <v>77500</v>
      </c>
      <c r="AA364" s="414">
        <f t="shared" si="526"/>
        <v>77500</v>
      </c>
      <c r="AB364" s="414">
        <f t="shared" si="526"/>
        <v>77500</v>
      </c>
      <c r="AC364" s="414">
        <f t="shared" si="526"/>
        <v>77500</v>
      </c>
      <c r="AD364" s="414">
        <f t="shared" si="526"/>
        <v>77500</v>
      </c>
      <c r="AE364" s="414">
        <f t="shared" si="526"/>
        <v>0</v>
      </c>
      <c r="AF364" s="414">
        <f t="shared" si="526"/>
        <v>0</v>
      </c>
      <c r="AG364" s="414">
        <f t="shared" si="526"/>
        <v>0</v>
      </c>
      <c r="AH364" s="414">
        <f t="shared" si="526"/>
        <v>0</v>
      </c>
      <c r="AI364" s="414">
        <f t="shared" si="526"/>
        <v>0</v>
      </c>
      <c r="AJ364" s="414">
        <f t="shared" si="526"/>
        <v>0</v>
      </c>
      <c r="AK364" s="414">
        <f t="shared" si="526"/>
        <v>0</v>
      </c>
      <c r="AL364" s="414">
        <f t="shared" si="526"/>
        <v>0</v>
      </c>
      <c r="AM364" s="414">
        <f t="shared" si="526"/>
        <v>0</v>
      </c>
      <c r="AN364" s="414">
        <f t="shared" si="526"/>
        <v>0</v>
      </c>
      <c r="AO364" s="414">
        <f t="shared" si="526"/>
        <v>0</v>
      </c>
      <c r="AP364" s="414">
        <f t="shared" si="526"/>
        <v>0</v>
      </c>
      <c r="AQ364" s="414">
        <f t="shared" si="526"/>
        <v>0</v>
      </c>
      <c r="AR364" s="414">
        <f t="shared" si="526"/>
        <v>0</v>
      </c>
      <c r="AS364" s="414">
        <f t="shared" si="526"/>
        <v>0</v>
      </c>
      <c r="AT364" s="414">
        <f t="shared" si="526"/>
        <v>0</v>
      </c>
      <c r="AU364" s="414">
        <f t="shared" si="526"/>
        <v>0</v>
      </c>
      <c r="AV364" s="414">
        <f t="shared" si="526"/>
        <v>0</v>
      </c>
      <c r="AW364" s="414">
        <f t="shared" si="526"/>
        <v>0</v>
      </c>
      <c r="AX364" s="414">
        <f t="shared" si="526"/>
        <v>0</v>
      </c>
      <c r="AY364" s="414">
        <f t="shared" si="526"/>
        <v>0</v>
      </c>
      <c r="AZ364" s="414">
        <f t="shared" si="526"/>
        <v>0</v>
      </c>
      <c r="BA364" s="414">
        <f t="shared" si="526"/>
        <v>0</v>
      </c>
      <c r="BB364" s="414">
        <f t="shared" si="526"/>
        <v>0</v>
      </c>
      <c r="BC364" s="414">
        <f t="shared" si="526"/>
        <v>0</v>
      </c>
      <c r="BD364" s="414">
        <f t="shared" si="526"/>
        <v>0</v>
      </c>
      <c r="BE364" s="414">
        <f t="shared" si="526"/>
        <v>0</v>
      </c>
      <c r="BF364" s="414">
        <f t="shared" si="526"/>
        <v>0</v>
      </c>
      <c r="BG364" s="414">
        <f t="shared" si="526"/>
        <v>0</v>
      </c>
      <c r="BH364" s="414">
        <f t="shared" si="526"/>
        <v>0</v>
      </c>
      <c r="BI364" s="414">
        <f t="shared" si="526"/>
        <v>0</v>
      </c>
      <c r="BJ364" s="414">
        <f t="shared" si="526"/>
        <v>0</v>
      </c>
      <c r="BK364" s="414">
        <f t="shared" si="526"/>
        <v>0</v>
      </c>
      <c r="BL364" s="414">
        <f t="shared" si="526"/>
        <v>0</v>
      </c>
      <c r="BM364" s="414">
        <f t="shared" si="526"/>
        <v>0</v>
      </c>
      <c r="BN364" s="414">
        <f t="shared" si="526"/>
        <v>0</v>
      </c>
      <c r="BO364" s="414">
        <f t="shared" si="526"/>
        <v>0</v>
      </c>
      <c r="BP364" s="414">
        <f t="shared" si="526"/>
        <v>0</v>
      </c>
      <c r="BQ364" s="414">
        <f t="shared" si="526"/>
        <v>0</v>
      </c>
    </row>
    <row r="365" spans="2:69" ht="13.5" customHeight="1">
      <c r="C365" s="102" t="s">
        <v>420</v>
      </c>
      <c r="D365" s="102"/>
      <c r="E365" s="294">
        <f>'A&amp;R'!Z35</f>
        <v>0.1</v>
      </c>
      <c r="F365" s="102"/>
      <c r="G365" s="102"/>
      <c r="H365" s="102"/>
      <c r="I365" s="102"/>
      <c r="J365" s="102"/>
      <c r="K365" s="102"/>
      <c r="L365" s="102"/>
      <c r="M365" s="102">
        <f>SUM(N365:XFD365)</f>
        <v>10333.333333333334</v>
      </c>
      <c r="N365" s="102"/>
      <c r="O365" s="102">
        <f>O364*$E$365/12</f>
        <v>645.83333333333337</v>
      </c>
      <c r="P365" s="102">
        <f t="shared" ref="P365:BQ365" si="527">P364*$E$365/12</f>
        <v>645.83333333333337</v>
      </c>
      <c r="Q365" s="102">
        <f t="shared" si="527"/>
        <v>645.83333333333337</v>
      </c>
      <c r="R365" s="102">
        <f t="shared" si="527"/>
        <v>645.83333333333337</v>
      </c>
      <c r="S365" s="102">
        <f t="shared" si="527"/>
        <v>645.83333333333337</v>
      </c>
      <c r="T365" s="102">
        <f t="shared" si="527"/>
        <v>645.83333333333337</v>
      </c>
      <c r="U365" s="102">
        <f t="shared" si="527"/>
        <v>645.83333333333337</v>
      </c>
      <c r="V365" s="102">
        <f t="shared" si="527"/>
        <v>645.83333333333337</v>
      </c>
      <c r="W365" s="102">
        <f t="shared" si="527"/>
        <v>645.83333333333337</v>
      </c>
      <c r="X365" s="102">
        <f t="shared" si="527"/>
        <v>645.83333333333337</v>
      </c>
      <c r="Y365" s="102">
        <f t="shared" si="527"/>
        <v>645.83333333333337</v>
      </c>
      <c r="Z365" s="102">
        <f t="shared" si="527"/>
        <v>645.83333333333337</v>
      </c>
      <c r="AA365" s="102">
        <f t="shared" si="527"/>
        <v>645.83333333333337</v>
      </c>
      <c r="AB365" s="102">
        <f t="shared" si="527"/>
        <v>645.83333333333337</v>
      </c>
      <c r="AC365" s="102">
        <f t="shared" si="527"/>
        <v>645.83333333333337</v>
      </c>
      <c r="AD365" s="102">
        <f t="shared" si="527"/>
        <v>645.83333333333337</v>
      </c>
      <c r="AE365" s="102">
        <f t="shared" si="527"/>
        <v>0</v>
      </c>
      <c r="AF365" s="102">
        <f t="shared" si="527"/>
        <v>0</v>
      </c>
      <c r="AG365" s="102">
        <f t="shared" si="527"/>
        <v>0</v>
      </c>
      <c r="AH365" s="102">
        <f t="shared" si="527"/>
        <v>0</v>
      </c>
      <c r="AI365" s="102">
        <f t="shared" si="527"/>
        <v>0</v>
      </c>
      <c r="AJ365" s="102">
        <f t="shared" si="527"/>
        <v>0</v>
      </c>
      <c r="AK365" s="102">
        <f t="shared" si="527"/>
        <v>0</v>
      </c>
      <c r="AL365" s="102">
        <f t="shared" si="527"/>
        <v>0</v>
      </c>
      <c r="AM365" s="102">
        <f t="shared" si="527"/>
        <v>0</v>
      </c>
      <c r="AN365" s="102">
        <f t="shared" si="527"/>
        <v>0</v>
      </c>
      <c r="AO365" s="102">
        <f t="shared" si="527"/>
        <v>0</v>
      </c>
      <c r="AP365" s="102">
        <f t="shared" si="527"/>
        <v>0</v>
      </c>
      <c r="AQ365" s="102">
        <f t="shared" si="527"/>
        <v>0</v>
      </c>
      <c r="AR365" s="102">
        <f t="shared" si="527"/>
        <v>0</v>
      </c>
      <c r="AS365" s="102">
        <f t="shared" si="527"/>
        <v>0</v>
      </c>
      <c r="AT365" s="102">
        <f t="shared" si="527"/>
        <v>0</v>
      </c>
      <c r="AU365" s="102">
        <f t="shared" si="527"/>
        <v>0</v>
      </c>
      <c r="AV365" s="102">
        <f t="shared" si="527"/>
        <v>0</v>
      </c>
      <c r="AW365" s="102">
        <f t="shared" si="527"/>
        <v>0</v>
      </c>
      <c r="AX365" s="102">
        <f t="shared" si="527"/>
        <v>0</v>
      </c>
      <c r="AY365" s="102">
        <f t="shared" si="527"/>
        <v>0</v>
      </c>
      <c r="AZ365" s="102">
        <f t="shared" si="527"/>
        <v>0</v>
      </c>
      <c r="BA365" s="102">
        <f t="shared" si="527"/>
        <v>0</v>
      </c>
      <c r="BB365" s="102">
        <f t="shared" si="527"/>
        <v>0</v>
      </c>
      <c r="BC365" s="102">
        <f t="shared" si="527"/>
        <v>0</v>
      </c>
      <c r="BD365" s="102">
        <f t="shared" si="527"/>
        <v>0</v>
      </c>
      <c r="BE365" s="102">
        <f t="shared" si="527"/>
        <v>0</v>
      </c>
      <c r="BF365" s="102">
        <f t="shared" si="527"/>
        <v>0</v>
      </c>
      <c r="BG365" s="102">
        <f t="shared" si="527"/>
        <v>0</v>
      </c>
      <c r="BH365" s="102">
        <f t="shared" si="527"/>
        <v>0</v>
      </c>
      <c r="BI365" s="102">
        <f t="shared" si="527"/>
        <v>0</v>
      </c>
      <c r="BJ365" s="102">
        <f t="shared" si="527"/>
        <v>0</v>
      </c>
      <c r="BK365" s="102">
        <f t="shared" si="527"/>
        <v>0</v>
      </c>
      <c r="BL365" s="102">
        <f t="shared" si="527"/>
        <v>0</v>
      </c>
      <c r="BM365" s="102">
        <f t="shared" si="527"/>
        <v>0</v>
      </c>
      <c r="BN365" s="102">
        <f t="shared" si="527"/>
        <v>0</v>
      </c>
      <c r="BO365" s="102">
        <f t="shared" si="527"/>
        <v>0</v>
      </c>
      <c r="BP365" s="102">
        <f t="shared" si="527"/>
        <v>0</v>
      </c>
      <c r="BQ365" s="102">
        <f t="shared" si="527"/>
        <v>0</v>
      </c>
    </row>
    <row r="366" spans="2:69" ht="13.5" customHeight="1">
      <c r="C366" s="139" t="s">
        <v>421</v>
      </c>
      <c r="D366" s="139"/>
      <c r="E366" s="296">
        <f>'A&amp;R'!AA35</f>
        <v>3</v>
      </c>
      <c r="F366" s="139"/>
      <c r="G366" s="139"/>
      <c r="H366" s="139"/>
      <c r="I366" s="139"/>
      <c r="J366" s="139"/>
      <c r="K366" s="139"/>
      <c r="L366" s="297" t="b">
        <f>ABS(M365-M366)&lt;0.001</f>
        <v>1</v>
      </c>
      <c r="M366" s="139">
        <f>SUM(N366:XFD366)</f>
        <v>10333.333333333334</v>
      </c>
      <c r="N366" s="139"/>
      <c r="O366" s="139">
        <f>(SUM($O365:O365)-SUM($N366:N366))*O358</f>
        <v>0</v>
      </c>
      <c r="P366" s="139">
        <f>(SUM($O365:P365)-SUM($N366:O366))*P358</f>
        <v>0</v>
      </c>
      <c r="Q366" s="139">
        <f>(SUM($O365:Q365)-SUM($N366:P366))*Q358</f>
        <v>0</v>
      </c>
      <c r="R366" s="139">
        <f>(SUM($O365:R365)-SUM($N366:Q366))*R358</f>
        <v>2583.3333333333335</v>
      </c>
      <c r="S366" s="139">
        <f>(SUM($O365:S365)-SUM($N366:R366))*S358</f>
        <v>0</v>
      </c>
      <c r="T366" s="139">
        <f>(SUM($O365:T365)-SUM($N366:S366))*T358</f>
        <v>0</v>
      </c>
      <c r="U366" s="139">
        <f>(SUM($O365:U365)-SUM($N366:T366))*U358</f>
        <v>1937.5000000000005</v>
      </c>
      <c r="V366" s="139">
        <f>(SUM($O365:V365)-SUM($N366:U366))*V358</f>
        <v>0</v>
      </c>
      <c r="W366" s="139">
        <f>(SUM($O365:W365)-SUM($N366:V366))*W358</f>
        <v>0</v>
      </c>
      <c r="X366" s="139">
        <f>(SUM($O365:X365)-SUM($N366:W366))*X358</f>
        <v>1937.4999999999991</v>
      </c>
      <c r="Y366" s="139">
        <f>(SUM($O365:Y365)-SUM($N366:X366))*Y358</f>
        <v>0</v>
      </c>
      <c r="Z366" s="139">
        <f>(SUM($O365:Z365)-SUM($N366:Y366))*Z358</f>
        <v>0</v>
      </c>
      <c r="AA366" s="139">
        <f>(SUM($O365:AA365)-SUM($N366:Z366))*AA358</f>
        <v>1937.4999999999991</v>
      </c>
      <c r="AB366" s="139">
        <f>(SUM($O365:AB365)-SUM($N366:AA366))*AB358</f>
        <v>0</v>
      </c>
      <c r="AC366" s="139">
        <f>(SUM($O365:AC365)-SUM($N366:AB366))*AC358</f>
        <v>0</v>
      </c>
      <c r="AD366" s="139">
        <f>(SUM($O365:AD365)-SUM($N366:AC366))*AD358</f>
        <v>1937.5000000000018</v>
      </c>
      <c r="AE366" s="139">
        <f>(SUM($O365:AE365)-SUM($N366:AD366))*AE358</f>
        <v>0</v>
      </c>
      <c r="AF366" s="139">
        <f>(SUM($O365:AF365)-SUM($N366:AE366))*AF358</f>
        <v>0</v>
      </c>
      <c r="AG366" s="139">
        <f>(SUM($O365:AG365)-SUM($N366:AF366))*AG358</f>
        <v>0</v>
      </c>
      <c r="AH366" s="139">
        <f>(SUM($O365:AH365)-SUM($N366:AG366))*AH358</f>
        <v>0</v>
      </c>
      <c r="AI366" s="139">
        <f>(SUM($O365:AI365)-SUM($N366:AH366))*AI358</f>
        <v>0</v>
      </c>
      <c r="AJ366" s="139">
        <f>(SUM($O365:AJ365)-SUM($N366:AI366))*AJ358</f>
        <v>0</v>
      </c>
      <c r="AK366" s="139">
        <f>(SUM($O365:AK365)-SUM($N366:AJ366))*AK358</f>
        <v>0</v>
      </c>
      <c r="AL366" s="139">
        <f>(SUM($O365:AL365)-SUM($N366:AK366))*AL358</f>
        <v>0</v>
      </c>
      <c r="AM366" s="139">
        <f>(SUM($O365:AM365)-SUM($N366:AL366))*AM358</f>
        <v>0</v>
      </c>
      <c r="AN366" s="139">
        <f>(SUM($O365:AN365)-SUM($N366:AM366))*AN358</f>
        <v>0</v>
      </c>
      <c r="AO366" s="139">
        <f>(SUM($O365:AO365)-SUM($N366:AN366))*AO358</f>
        <v>0</v>
      </c>
      <c r="AP366" s="139">
        <f>(SUM($O365:AP365)-SUM($N366:AO366))*AP358</f>
        <v>0</v>
      </c>
      <c r="AQ366" s="139">
        <f>(SUM($O365:AQ365)-SUM($N366:AP366))*AQ358</f>
        <v>0</v>
      </c>
      <c r="AR366" s="139">
        <f>(SUM($O365:AR365)-SUM($N366:AQ366))*AR358</f>
        <v>0</v>
      </c>
      <c r="AS366" s="139">
        <f>(SUM($O365:AS365)-SUM($N366:AR366))*AS358</f>
        <v>0</v>
      </c>
      <c r="AT366" s="139">
        <f>(SUM($O365:AT365)-SUM($N366:AS366))*AT358</f>
        <v>0</v>
      </c>
      <c r="AU366" s="139">
        <f>(SUM($O365:AU365)-SUM($N366:AT366))*AU358</f>
        <v>0</v>
      </c>
      <c r="AV366" s="139">
        <f>(SUM($O365:AV365)-SUM($N366:AU366))*AV358</f>
        <v>0</v>
      </c>
      <c r="AW366" s="139">
        <f>(SUM($O365:AW365)-SUM($N366:AV366))*AW358</f>
        <v>0</v>
      </c>
      <c r="AX366" s="139">
        <f>(SUM($O365:AX365)-SUM($N366:AW366))*AX358</f>
        <v>0</v>
      </c>
      <c r="AY366" s="139">
        <f>(SUM($O365:AY365)-SUM($N366:AX366))*AY358</f>
        <v>0</v>
      </c>
      <c r="AZ366" s="139">
        <f>(SUM($O365:AZ365)-SUM($N366:AY366))*AZ358</f>
        <v>0</v>
      </c>
      <c r="BA366" s="139">
        <f>(SUM($O365:BA365)-SUM($N366:AZ366))*BA358</f>
        <v>0</v>
      </c>
      <c r="BB366" s="139">
        <f>(SUM($O365:BB365)-SUM($N366:BA366))*BB358</f>
        <v>0</v>
      </c>
      <c r="BC366" s="139">
        <f>(SUM($O365:BC365)-SUM($N366:BB366))*BC358</f>
        <v>0</v>
      </c>
      <c r="BD366" s="139">
        <f>(SUM($O365:BD365)-SUM($N366:BC366))*BD358</f>
        <v>0</v>
      </c>
      <c r="BE366" s="139">
        <f>(SUM($O365:BE365)-SUM($N366:BD366))*BE358</f>
        <v>0</v>
      </c>
      <c r="BF366" s="139">
        <f>(SUM($O365:BF365)-SUM($N366:BE366))*BF358</f>
        <v>0</v>
      </c>
      <c r="BG366" s="139">
        <f>(SUM($O365:BG365)-SUM($N366:BF366))*BG358</f>
        <v>0</v>
      </c>
      <c r="BH366" s="139">
        <f>(SUM($O365:BH365)-SUM($N366:BG366))*BH358</f>
        <v>0</v>
      </c>
      <c r="BI366" s="139">
        <f>(SUM($O365:BI365)-SUM($N366:BH366))*BI358</f>
        <v>0</v>
      </c>
      <c r="BJ366" s="139">
        <f>(SUM($O365:BJ365)-SUM($N366:BI366))*BJ358</f>
        <v>0</v>
      </c>
      <c r="BK366" s="139">
        <f>(SUM($O365:BK365)-SUM($N366:BJ366))*BK358</f>
        <v>0</v>
      </c>
      <c r="BL366" s="139">
        <f>(SUM($O365:BL365)-SUM($N366:BK366))*BL358</f>
        <v>0</v>
      </c>
      <c r="BM366" s="139">
        <f>(SUM($O365:BM365)-SUM($N366:BL366))*BM358</f>
        <v>0</v>
      </c>
      <c r="BN366" s="139">
        <f>(SUM($O365:BN365)-SUM($N366:BM366))*BN358</f>
        <v>0</v>
      </c>
      <c r="BO366" s="139">
        <f>(SUM($O365:BO365)-SUM($N366:BN366))*BO358</f>
        <v>0</v>
      </c>
      <c r="BP366" s="139">
        <f>(SUM($O365:BP365)-SUM($N366:BO366))*BP358</f>
        <v>0</v>
      </c>
      <c r="BQ366" s="139">
        <f>(SUM($O365:BQ365)-SUM($N366:BP366))*BQ358</f>
        <v>0</v>
      </c>
    </row>
    <row r="368" spans="2:69" ht="13.5" customHeight="1">
      <c r="B368" s="1" t="s">
        <v>435</v>
      </c>
    </row>
    <row r="369" spans="3:69" ht="13.5" customHeight="1">
      <c r="C369" s="1" t="s">
        <v>386</v>
      </c>
    </row>
    <row r="370" spans="3:69" s="11" customFormat="1" ht="13.5" hidden="1" customHeight="1" outlineLevel="1">
      <c r="D370" s="11" t="s">
        <v>376</v>
      </c>
      <c r="E370" s="11" t="s">
        <v>377</v>
      </c>
      <c r="L370" s="11" t="s">
        <v>422</v>
      </c>
      <c r="M370" s="11">
        <f>SUM(N370:XFD370)</f>
        <v>39</v>
      </c>
      <c r="O370" s="11">
        <f t="shared" ref="O370:AT370" si="528">(O$11&gt;=$D$371)*(O$11&lt;=$E$371)*1</f>
        <v>0</v>
      </c>
      <c r="P370" s="11">
        <f t="shared" si="528"/>
        <v>0</v>
      </c>
      <c r="Q370" s="11">
        <f t="shared" si="528"/>
        <v>0</v>
      </c>
      <c r="R370" s="11">
        <f t="shared" si="528"/>
        <v>0</v>
      </c>
      <c r="S370" s="11">
        <f t="shared" si="528"/>
        <v>0</v>
      </c>
      <c r="T370" s="11">
        <f t="shared" si="528"/>
        <v>0</v>
      </c>
      <c r="U370" s="11">
        <f t="shared" si="528"/>
        <v>0</v>
      </c>
      <c r="V370" s="11">
        <f t="shared" si="528"/>
        <v>0</v>
      </c>
      <c r="W370" s="11">
        <f t="shared" si="528"/>
        <v>0</v>
      </c>
      <c r="X370" s="11">
        <f t="shared" si="528"/>
        <v>0</v>
      </c>
      <c r="Y370" s="11">
        <f t="shared" si="528"/>
        <v>0</v>
      </c>
      <c r="Z370" s="11">
        <f t="shared" si="528"/>
        <v>0</v>
      </c>
      <c r="AA370" s="11">
        <f t="shared" si="528"/>
        <v>0</v>
      </c>
      <c r="AB370" s="11">
        <f t="shared" si="528"/>
        <v>0</v>
      </c>
      <c r="AC370" s="11">
        <f t="shared" si="528"/>
        <v>0</v>
      </c>
      <c r="AD370" s="11">
        <f t="shared" si="528"/>
        <v>1</v>
      </c>
      <c r="AE370" s="11">
        <f t="shared" si="528"/>
        <v>1</v>
      </c>
      <c r="AF370" s="11">
        <f t="shared" si="528"/>
        <v>1</v>
      </c>
      <c r="AG370" s="11">
        <f t="shared" si="528"/>
        <v>1</v>
      </c>
      <c r="AH370" s="11">
        <f t="shared" si="528"/>
        <v>1</v>
      </c>
      <c r="AI370" s="11">
        <f t="shared" si="528"/>
        <v>1</v>
      </c>
      <c r="AJ370" s="11">
        <f t="shared" si="528"/>
        <v>1</v>
      </c>
      <c r="AK370" s="11">
        <f t="shared" si="528"/>
        <v>1</v>
      </c>
      <c r="AL370" s="11">
        <f t="shared" si="528"/>
        <v>1</v>
      </c>
      <c r="AM370" s="11">
        <f t="shared" si="528"/>
        <v>1</v>
      </c>
      <c r="AN370" s="11">
        <f t="shared" si="528"/>
        <v>1</v>
      </c>
      <c r="AO370" s="11">
        <f t="shared" si="528"/>
        <v>1</v>
      </c>
      <c r="AP370" s="11">
        <f t="shared" si="528"/>
        <v>1</v>
      </c>
      <c r="AQ370" s="11">
        <f t="shared" si="528"/>
        <v>1</v>
      </c>
      <c r="AR370" s="11">
        <f t="shared" si="528"/>
        <v>1</v>
      </c>
      <c r="AS370" s="11">
        <f t="shared" si="528"/>
        <v>1</v>
      </c>
      <c r="AT370" s="11">
        <f t="shared" si="528"/>
        <v>1</v>
      </c>
      <c r="AU370" s="11">
        <f t="shared" ref="AU370:BQ370" si="529">(AU$11&gt;=$D$371)*(AU$11&lt;=$E$371)*1</f>
        <v>1</v>
      </c>
      <c r="AV370" s="11">
        <f t="shared" si="529"/>
        <v>1</v>
      </c>
      <c r="AW370" s="11">
        <f t="shared" si="529"/>
        <v>1</v>
      </c>
      <c r="AX370" s="11">
        <f t="shared" si="529"/>
        <v>1</v>
      </c>
      <c r="AY370" s="11">
        <f t="shared" si="529"/>
        <v>1</v>
      </c>
      <c r="AZ370" s="11">
        <f t="shared" si="529"/>
        <v>1</v>
      </c>
      <c r="BA370" s="11">
        <f t="shared" si="529"/>
        <v>1</v>
      </c>
      <c r="BB370" s="11">
        <f t="shared" si="529"/>
        <v>1</v>
      </c>
      <c r="BC370" s="11">
        <f t="shared" si="529"/>
        <v>1</v>
      </c>
      <c r="BD370" s="11">
        <f t="shared" si="529"/>
        <v>1</v>
      </c>
      <c r="BE370" s="11">
        <f t="shared" si="529"/>
        <v>1</v>
      </c>
      <c r="BF370" s="11">
        <f t="shared" si="529"/>
        <v>1</v>
      </c>
      <c r="BG370" s="11">
        <f t="shared" si="529"/>
        <v>1</v>
      </c>
      <c r="BH370" s="11">
        <f t="shared" si="529"/>
        <v>1</v>
      </c>
      <c r="BI370" s="11">
        <f t="shared" si="529"/>
        <v>1</v>
      </c>
      <c r="BJ370" s="11">
        <f t="shared" si="529"/>
        <v>1</v>
      </c>
      <c r="BK370" s="11">
        <f t="shared" si="529"/>
        <v>1</v>
      </c>
      <c r="BL370" s="11">
        <f t="shared" si="529"/>
        <v>1</v>
      </c>
      <c r="BM370" s="11">
        <f t="shared" si="529"/>
        <v>1</v>
      </c>
      <c r="BN370" s="11">
        <f t="shared" si="529"/>
        <v>1</v>
      </c>
      <c r="BO370" s="11">
        <f t="shared" si="529"/>
        <v>1</v>
      </c>
      <c r="BP370" s="11">
        <f t="shared" si="529"/>
        <v>1</v>
      </c>
      <c r="BQ370" s="11">
        <f t="shared" si="529"/>
        <v>0</v>
      </c>
    </row>
    <row r="371" spans="3:69" s="11" customFormat="1" ht="13.5" hidden="1" customHeight="1" outlineLevel="1">
      <c r="D371" s="295">
        <f>'A&amp;R'!V37</f>
        <v>44834</v>
      </c>
      <c r="E371" s="295">
        <f>'A&amp;R'!W37</f>
        <v>45991</v>
      </c>
      <c r="L371" s="11" t="s">
        <v>423</v>
      </c>
      <c r="O371" s="11">
        <f>SUM($O370:O370)*O370</f>
        <v>0</v>
      </c>
      <c r="P371" s="11">
        <f>SUM($O370:P370)*P370</f>
        <v>0</v>
      </c>
      <c r="Q371" s="11">
        <f>SUM($O370:Q370)*Q370</f>
        <v>0</v>
      </c>
      <c r="R371" s="11">
        <f>SUM($O370:R370)*R370</f>
        <v>0</v>
      </c>
      <c r="S371" s="11">
        <f>SUM($O370:S370)*S370</f>
        <v>0</v>
      </c>
      <c r="T371" s="11">
        <f>SUM($O370:T370)*T370</f>
        <v>0</v>
      </c>
      <c r="U371" s="11">
        <f>SUM($O370:U370)*U370</f>
        <v>0</v>
      </c>
      <c r="V371" s="11">
        <f>SUM($O370:V370)*V370</f>
        <v>0</v>
      </c>
      <c r="W371" s="11">
        <f>SUM($O370:W370)*W370</f>
        <v>0</v>
      </c>
      <c r="X371" s="11">
        <f>SUM($O370:X370)*X370</f>
        <v>0</v>
      </c>
      <c r="Y371" s="11">
        <f>SUM($O370:Y370)*Y370</f>
        <v>0</v>
      </c>
      <c r="Z371" s="11">
        <f>SUM($O370:Z370)*Z370</f>
        <v>0</v>
      </c>
      <c r="AA371" s="11">
        <f>SUM($O370:AA370)*AA370</f>
        <v>0</v>
      </c>
      <c r="AB371" s="11">
        <f>SUM($O370:AB370)*AB370</f>
        <v>0</v>
      </c>
      <c r="AC371" s="11">
        <f>SUM($O370:AC370)*AC370</f>
        <v>0</v>
      </c>
      <c r="AD371" s="11">
        <f>SUM($O370:AD370)*AD370</f>
        <v>1</v>
      </c>
      <c r="AE371" s="11">
        <f>SUM($O370:AE370)*AE370</f>
        <v>2</v>
      </c>
      <c r="AF371" s="11">
        <f>SUM($O370:AF370)*AF370</f>
        <v>3</v>
      </c>
      <c r="AG371" s="11">
        <f>SUM($O370:AG370)*AG370</f>
        <v>4</v>
      </c>
      <c r="AH371" s="11">
        <f>SUM($O370:AH370)*AH370</f>
        <v>5</v>
      </c>
      <c r="AI371" s="11">
        <f>SUM($O370:AI370)*AI370</f>
        <v>6</v>
      </c>
      <c r="AJ371" s="11">
        <f>SUM($O370:AJ370)*AJ370</f>
        <v>7</v>
      </c>
      <c r="AK371" s="11">
        <f>SUM($O370:AK370)*AK370</f>
        <v>8</v>
      </c>
      <c r="AL371" s="11">
        <f>SUM($O370:AL370)*AL370</f>
        <v>9</v>
      </c>
      <c r="AM371" s="11">
        <f>SUM($O370:AM370)*AM370</f>
        <v>10</v>
      </c>
      <c r="AN371" s="11">
        <f>SUM($O370:AN370)*AN370</f>
        <v>11</v>
      </c>
      <c r="AO371" s="11">
        <f>SUM($O370:AO370)*AO370</f>
        <v>12</v>
      </c>
      <c r="AP371" s="11">
        <f>SUM($O370:AP370)*AP370</f>
        <v>13</v>
      </c>
      <c r="AQ371" s="11">
        <f>SUM($O370:AQ370)*AQ370</f>
        <v>14</v>
      </c>
      <c r="AR371" s="11">
        <f>SUM($O370:AR370)*AR370</f>
        <v>15</v>
      </c>
      <c r="AS371" s="11">
        <f>SUM($O370:AS370)*AS370</f>
        <v>16</v>
      </c>
      <c r="AT371" s="11">
        <f>SUM($O370:AT370)*AT370</f>
        <v>17</v>
      </c>
      <c r="AU371" s="11">
        <f>SUM($O370:AU370)*AU370</f>
        <v>18</v>
      </c>
      <c r="AV371" s="11">
        <f>SUM($O370:AV370)*AV370</f>
        <v>19</v>
      </c>
      <c r="AW371" s="11">
        <f>SUM($O370:AW370)*AW370</f>
        <v>20</v>
      </c>
      <c r="AX371" s="11">
        <f>SUM($O370:AX370)*AX370</f>
        <v>21</v>
      </c>
      <c r="AY371" s="11">
        <f>SUM($O370:AY370)*AY370</f>
        <v>22</v>
      </c>
      <c r="AZ371" s="11">
        <f>SUM($O370:AZ370)*AZ370</f>
        <v>23</v>
      </c>
      <c r="BA371" s="11">
        <f>SUM($O370:BA370)*BA370</f>
        <v>24</v>
      </c>
      <c r="BB371" s="11">
        <f>SUM($O370:BB370)*BB370</f>
        <v>25</v>
      </c>
      <c r="BC371" s="11">
        <f>SUM($O370:BC370)*BC370</f>
        <v>26</v>
      </c>
      <c r="BD371" s="11">
        <f>SUM($O370:BD370)*BD370</f>
        <v>27</v>
      </c>
      <c r="BE371" s="11">
        <f>SUM($O370:BE370)*BE370</f>
        <v>28</v>
      </c>
      <c r="BF371" s="11">
        <f>SUM($O370:BF370)*BF370</f>
        <v>29</v>
      </c>
      <c r="BG371" s="11">
        <f>SUM($O370:BG370)*BG370</f>
        <v>30</v>
      </c>
      <c r="BH371" s="11">
        <f>SUM($O370:BH370)*BH370</f>
        <v>31</v>
      </c>
      <c r="BI371" s="11">
        <f>SUM($O370:BI370)*BI370</f>
        <v>32</v>
      </c>
      <c r="BJ371" s="11">
        <f>SUM($O370:BJ370)*BJ370</f>
        <v>33</v>
      </c>
      <c r="BK371" s="11">
        <f>SUM($O370:BK370)*BK370</f>
        <v>34</v>
      </c>
      <c r="BL371" s="11">
        <f>SUM($O370:BL370)*BL370</f>
        <v>35</v>
      </c>
      <c r="BM371" s="11">
        <f>SUM($O370:BM370)*BM370</f>
        <v>36</v>
      </c>
      <c r="BN371" s="11">
        <f>SUM($O370:BN370)*BN370</f>
        <v>37</v>
      </c>
      <c r="BO371" s="11">
        <f>SUM($O370:BO370)*BO370</f>
        <v>38</v>
      </c>
      <c r="BP371" s="11">
        <f>SUM($O370:BP370)*BP370</f>
        <v>39</v>
      </c>
      <c r="BQ371" s="11">
        <f>SUM($O370:BQ370)*BQ370</f>
        <v>0</v>
      </c>
    </row>
    <row r="372" spans="3:69" s="11" customFormat="1" ht="13.5" hidden="1" customHeight="1" outlineLevel="1">
      <c r="L372" s="11" t="s">
        <v>424</v>
      </c>
      <c r="O372" s="11">
        <f t="shared" ref="O372:BQ372" si="530">(MOD(N371,$E$381)=0)*1</f>
        <v>1</v>
      </c>
      <c r="P372" s="11">
        <f t="shared" si="530"/>
        <v>1</v>
      </c>
      <c r="Q372" s="11">
        <f t="shared" si="530"/>
        <v>1</v>
      </c>
      <c r="R372" s="11">
        <f t="shared" si="530"/>
        <v>1</v>
      </c>
      <c r="S372" s="11">
        <f t="shared" si="530"/>
        <v>1</v>
      </c>
      <c r="T372" s="11">
        <f t="shared" si="530"/>
        <v>1</v>
      </c>
      <c r="U372" s="11">
        <f t="shared" si="530"/>
        <v>1</v>
      </c>
      <c r="V372" s="11">
        <f t="shared" si="530"/>
        <v>1</v>
      </c>
      <c r="W372" s="11">
        <f t="shared" si="530"/>
        <v>1</v>
      </c>
      <c r="X372" s="11">
        <f t="shared" si="530"/>
        <v>1</v>
      </c>
      <c r="Y372" s="11">
        <f t="shared" si="530"/>
        <v>1</v>
      </c>
      <c r="Z372" s="11">
        <f t="shared" si="530"/>
        <v>1</v>
      </c>
      <c r="AA372" s="11">
        <f t="shared" si="530"/>
        <v>1</v>
      </c>
      <c r="AB372" s="11">
        <f t="shared" si="530"/>
        <v>1</v>
      </c>
      <c r="AC372" s="11">
        <f t="shared" si="530"/>
        <v>1</v>
      </c>
      <c r="AD372" s="11">
        <f t="shared" si="530"/>
        <v>1</v>
      </c>
      <c r="AE372" s="11">
        <f t="shared" si="530"/>
        <v>0</v>
      </c>
      <c r="AF372" s="11">
        <f t="shared" si="530"/>
        <v>0</v>
      </c>
      <c r="AG372" s="11">
        <f t="shared" si="530"/>
        <v>1</v>
      </c>
      <c r="AH372" s="11">
        <f t="shared" si="530"/>
        <v>0</v>
      </c>
      <c r="AI372" s="11">
        <f t="shared" si="530"/>
        <v>0</v>
      </c>
      <c r="AJ372" s="11">
        <f t="shared" si="530"/>
        <v>1</v>
      </c>
      <c r="AK372" s="11">
        <f t="shared" si="530"/>
        <v>0</v>
      </c>
      <c r="AL372" s="11">
        <f t="shared" si="530"/>
        <v>0</v>
      </c>
      <c r="AM372" s="11">
        <f t="shared" si="530"/>
        <v>1</v>
      </c>
      <c r="AN372" s="11">
        <f t="shared" si="530"/>
        <v>0</v>
      </c>
      <c r="AO372" s="11">
        <f t="shared" si="530"/>
        <v>0</v>
      </c>
      <c r="AP372" s="11">
        <f t="shared" si="530"/>
        <v>1</v>
      </c>
      <c r="AQ372" s="11">
        <f t="shared" si="530"/>
        <v>0</v>
      </c>
      <c r="AR372" s="11">
        <f t="shared" si="530"/>
        <v>0</v>
      </c>
      <c r="AS372" s="11">
        <f t="shared" si="530"/>
        <v>1</v>
      </c>
      <c r="AT372" s="11">
        <f t="shared" si="530"/>
        <v>0</v>
      </c>
      <c r="AU372" s="11">
        <f t="shared" si="530"/>
        <v>0</v>
      </c>
      <c r="AV372" s="11">
        <f t="shared" si="530"/>
        <v>1</v>
      </c>
      <c r="AW372" s="11">
        <f t="shared" si="530"/>
        <v>0</v>
      </c>
      <c r="AX372" s="11">
        <f t="shared" si="530"/>
        <v>0</v>
      </c>
      <c r="AY372" s="11">
        <f t="shared" si="530"/>
        <v>1</v>
      </c>
      <c r="AZ372" s="11">
        <f t="shared" si="530"/>
        <v>0</v>
      </c>
      <c r="BA372" s="11">
        <f t="shared" si="530"/>
        <v>0</v>
      </c>
      <c r="BB372" s="11">
        <f t="shared" si="530"/>
        <v>1</v>
      </c>
      <c r="BC372" s="11">
        <f t="shared" si="530"/>
        <v>0</v>
      </c>
      <c r="BD372" s="11">
        <f t="shared" si="530"/>
        <v>0</v>
      </c>
      <c r="BE372" s="11">
        <f t="shared" si="530"/>
        <v>1</v>
      </c>
      <c r="BF372" s="11">
        <f t="shared" si="530"/>
        <v>0</v>
      </c>
      <c r="BG372" s="11">
        <f t="shared" si="530"/>
        <v>0</v>
      </c>
      <c r="BH372" s="11">
        <f t="shared" si="530"/>
        <v>1</v>
      </c>
      <c r="BI372" s="11">
        <f t="shared" si="530"/>
        <v>0</v>
      </c>
      <c r="BJ372" s="11">
        <f t="shared" si="530"/>
        <v>0</v>
      </c>
      <c r="BK372" s="11">
        <f t="shared" si="530"/>
        <v>1</v>
      </c>
      <c r="BL372" s="11">
        <f t="shared" si="530"/>
        <v>0</v>
      </c>
      <c r="BM372" s="11">
        <f t="shared" si="530"/>
        <v>0</v>
      </c>
      <c r="BN372" s="11">
        <f t="shared" si="530"/>
        <v>1</v>
      </c>
      <c r="BO372" s="11">
        <f t="shared" si="530"/>
        <v>0</v>
      </c>
      <c r="BP372" s="11">
        <f t="shared" si="530"/>
        <v>0</v>
      </c>
      <c r="BQ372" s="11">
        <f t="shared" si="530"/>
        <v>1</v>
      </c>
    </row>
    <row r="373" spans="3:69" s="11" customFormat="1" ht="13.5" hidden="1" customHeight="1" outlineLevel="1">
      <c r="L373" s="11" t="s">
        <v>425</v>
      </c>
      <c r="O373" s="11">
        <f t="shared" ref="O373:AT373" si="531">IF(AND(OR(O372=1,O$11=$E$371),NOT(O371=1)),1,0)</f>
        <v>1</v>
      </c>
      <c r="P373" s="11">
        <f t="shared" si="531"/>
        <v>1</v>
      </c>
      <c r="Q373" s="11">
        <f t="shared" si="531"/>
        <v>1</v>
      </c>
      <c r="R373" s="11">
        <f t="shared" si="531"/>
        <v>1</v>
      </c>
      <c r="S373" s="11">
        <f t="shared" si="531"/>
        <v>1</v>
      </c>
      <c r="T373" s="11">
        <f t="shared" si="531"/>
        <v>1</v>
      </c>
      <c r="U373" s="11">
        <f t="shared" si="531"/>
        <v>1</v>
      </c>
      <c r="V373" s="11">
        <f t="shared" si="531"/>
        <v>1</v>
      </c>
      <c r="W373" s="11">
        <f t="shared" si="531"/>
        <v>1</v>
      </c>
      <c r="X373" s="11">
        <f t="shared" si="531"/>
        <v>1</v>
      </c>
      <c r="Y373" s="11">
        <f t="shared" si="531"/>
        <v>1</v>
      </c>
      <c r="Z373" s="11">
        <f t="shared" si="531"/>
        <v>1</v>
      </c>
      <c r="AA373" s="11">
        <f t="shared" si="531"/>
        <v>1</v>
      </c>
      <c r="AB373" s="11">
        <f t="shared" si="531"/>
        <v>1</v>
      </c>
      <c r="AC373" s="11">
        <f t="shared" si="531"/>
        <v>1</v>
      </c>
      <c r="AD373" s="11">
        <f t="shared" si="531"/>
        <v>0</v>
      </c>
      <c r="AE373" s="11">
        <f t="shared" si="531"/>
        <v>0</v>
      </c>
      <c r="AF373" s="11">
        <f t="shared" si="531"/>
        <v>0</v>
      </c>
      <c r="AG373" s="11">
        <f t="shared" si="531"/>
        <v>1</v>
      </c>
      <c r="AH373" s="11">
        <f t="shared" si="531"/>
        <v>0</v>
      </c>
      <c r="AI373" s="11">
        <f t="shared" si="531"/>
        <v>0</v>
      </c>
      <c r="AJ373" s="11">
        <f t="shared" si="531"/>
        <v>1</v>
      </c>
      <c r="AK373" s="11">
        <f t="shared" si="531"/>
        <v>0</v>
      </c>
      <c r="AL373" s="11">
        <f t="shared" si="531"/>
        <v>0</v>
      </c>
      <c r="AM373" s="11">
        <f t="shared" si="531"/>
        <v>1</v>
      </c>
      <c r="AN373" s="11">
        <f t="shared" si="531"/>
        <v>0</v>
      </c>
      <c r="AO373" s="11">
        <f t="shared" si="531"/>
        <v>0</v>
      </c>
      <c r="AP373" s="11">
        <f t="shared" si="531"/>
        <v>1</v>
      </c>
      <c r="AQ373" s="11">
        <f t="shared" si="531"/>
        <v>0</v>
      </c>
      <c r="AR373" s="11">
        <f t="shared" si="531"/>
        <v>0</v>
      </c>
      <c r="AS373" s="11">
        <f t="shared" si="531"/>
        <v>1</v>
      </c>
      <c r="AT373" s="11">
        <f t="shared" si="531"/>
        <v>0</v>
      </c>
      <c r="AU373" s="11">
        <f t="shared" ref="AU373:BQ373" si="532">IF(AND(OR(AU372=1,AU$11=$E$371),NOT(AU371=1)),1,0)</f>
        <v>0</v>
      </c>
      <c r="AV373" s="11">
        <f t="shared" si="532"/>
        <v>1</v>
      </c>
      <c r="AW373" s="11">
        <f t="shared" si="532"/>
        <v>0</v>
      </c>
      <c r="AX373" s="11">
        <f t="shared" si="532"/>
        <v>0</v>
      </c>
      <c r="AY373" s="11">
        <f t="shared" si="532"/>
        <v>1</v>
      </c>
      <c r="AZ373" s="11">
        <f t="shared" si="532"/>
        <v>0</v>
      </c>
      <c r="BA373" s="11">
        <f t="shared" si="532"/>
        <v>0</v>
      </c>
      <c r="BB373" s="11">
        <f t="shared" si="532"/>
        <v>1</v>
      </c>
      <c r="BC373" s="11">
        <f t="shared" si="532"/>
        <v>0</v>
      </c>
      <c r="BD373" s="11">
        <f t="shared" si="532"/>
        <v>0</v>
      </c>
      <c r="BE373" s="11">
        <f t="shared" si="532"/>
        <v>1</v>
      </c>
      <c r="BF373" s="11">
        <f t="shared" si="532"/>
        <v>0</v>
      </c>
      <c r="BG373" s="11">
        <f t="shared" si="532"/>
        <v>0</v>
      </c>
      <c r="BH373" s="11">
        <f t="shared" si="532"/>
        <v>1</v>
      </c>
      <c r="BI373" s="11">
        <f t="shared" si="532"/>
        <v>0</v>
      </c>
      <c r="BJ373" s="11">
        <f t="shared" si="532"/>
        <v>0</v>
      </c>
      <c r="BK373" s="11">
        <f t="shared" si="532"/>
        <v>1</v>
      </c>
      <c r="BL373" s="11">
        <f t="shared" si="532"/>
        <v>0</v>
      </c>
      <c r="BM373" s="11">
        <f t="shared" si="532"/>
        <v>0</v>
      </c>
      <c r="BN373" s="11">
        <f t="shared" si="532"/>
        <v>1</v>
      </c>
      <c r="BO373" s="11">
        <f t="shared" si="532"/>
        <v>0</v>
      </c>
      <c r="BP373" s="11">
        <f t="shared" si="532"/>
        <v>1</v>
      </c>
      <c r="BQ373" s="11">
        <f t="shared" si="532"/>
        <v>1</v>
      </c>
    </row>
    <row r="374" spans="3:69" s="11" customFormat="1" ht="13.5" customHeight="1" collapsed="1"/>
    <row r="375" spans="3:69" ht="13.5" customHeight="1">
      <c r="C375" s="1" t="s">
        <v>350</v>
      </c>
      <c r="O375" s="1">
        <v>0</v>
      </c>
      <c r="P375" s="1">
        <f>O378</f>
        <v>0</v>
      </c>
      <c r="Q375" s="1">
        <f t="shared" ref="Q375" si="533">P378</f>
        <v>0</v>
      </c>
      <c r="R375" s="1">
        <f t="shared" ref="R375" si="534">Q378</f>
        <v>0</v>
      </c>
      <c r="S375" s="1">
        <f t="shared" ref="S375" si="535">R378</f>
        <v>0</v>
      </c>
      <c r="T375" s="1">
        <f t="shared" ref="T375" si="536">S378</f>
        <v>0</v>
      </c>
      <c r="U375" s="1">
        <f t="shared" ref="U375" si="537">T378</f>
        <v>0</v>
      </c>
      <c r="V375" s="1">
        <f t="shared" ref="V375" si="538">U378</f>
        <v>0</v>
      </c>
      <c r="W375" s="1">
        <f t="shared" ref="W375" si="539">V378</f>
        <v>0</v>
      </c>
      <c r="X375" s="1">
        <f t="shared" ref="X375" si="540">W378</f>
        <v>0</v>
      </c>
      <c r="Y375" s="1">
        <f t="shared" ref="Y375" si="541">X378</f>
        <v>0</v>
      </c>
      <c r="Z375" s="1">
        <f t="shared" ref="Z375" si="542">Y378</f>
        <v>0</v>
      </c>
      <c r="AA375" s="1">
        <f t="shared" ref="AA375" si="543">Z378</f>
        <v>0</v>
      </c>
      <c r="AB375" s="1">
        <f t="shared" ref="AB375" si="544">AA378</f>
        <v>0</v>
      </c>
      <c r="AC375" s="1">
        <f t="shared" ref="AC375" si="545">AB378</f>
        <v>0</v>
      </c>
      <c r="AD375" s="1">
        <f t="shared" ref="AD375" si="546">AC378</f>
        <v>0</v>
      </c>
      <c r="AE375" s="1">
        <f t="shared" ref="AE375" si="547">AD378</f>
        <v>183110.3125</v>
      </c>
      <c r="AF375" s="1">
        <f t="shared" ref="AF375" si="548">AE378</f>
        <v>183110.3125</v>
      </c>
      <c r="AG375" s="1">
        <f t="shared" ref="AG375" si="549">AF378</f>
        <v>183110.3125</v>
      </c>
      <c r="AH375" s="1">
        <f t="shared" ref="AH375" si="550">AG378</f>
        <v>183110.3125</v>
      </c>
      <c r="AI375" s="1">
        <f t="shared" ref="AI375" si="551">AH378</f>
        <v>183110.3125</v>
      </c>
      <c r="AJ375" s="1">
        <f t="shared" ref="AJ375" si="552">AI378</f>
        <v>183110.3125</v>
      </c>
      <c r="AK375" s="1">
        <f t="shared" ref="AK375" si="553">AJ378</f>
        <v>183110.3125</v>
      </c>
      <c r="AL375" s="1">
        <f t="shared" ref="AL375" si="554">AK378</f>
        <v>183110.3125</v>
      </c>
      <c r="AM375" s="1">
        <f t="shared" ref="AM375" si="555">AL378</f>
        <v>183110.3125</v>
      </c>
      <c r="AN375" s="1">
        <f t="shared" ref="AN375" si="556">AM378</f>
        <v>183110.3125</v>
      </c>
      <c r="AO375" s="1">
        <f t="shared" ref="AO375" si="557">AN378</f>
        <v>183110.3125</v>
      </c>
      <c r="AP375" s="1">
        <f t="shared" ref="AP375" si="558">AO378</f>
        <v>183110.3125</v>
      </c>
      <c r="AQ375" s="1">
        <f t="shared" ref="AQ375" si="559">AP378</f>
        <v>183110.3125</v>
      </c>
      <c r="AR375" s="1">
        <f t="shared" ref="AR375" si="560">AQ378</f>
        <v>183110.3125</v>
      </c>
      <c r="AS375" s="1">
        <f t="shared" ref="AS375" si="561">AR378</f>
        <v>183110.3125</v>
      </c>
      <c r="AT375" s="1">
        <f t="shared" ref="AT375" si="562">AS378</f>
        <v>183110.3125</v>
      </c>
      <c r="AU375" s="1">
        <f t="shared" ref="AU375" si="563">AT378</f>
        <v>183110.3125</v>
      </c>
      <c r="AV375" s="1">
        <f t="shared" ref="AV375" si="564">AU378</f>
        <v>183110.3125</v>
      </c>
      <c r="AW375" s="1">
        <f t="shared" ref="AW375" si="565">AV378</f>
        <v>183110.3125</v>
      </c>
      <c r="AX375" s="1">
        <f t="shared" ref="AX375" si="566">AW378</f>
        <v>183110.3125</v>
      </c>
      <c r="AY375" s="1">
        <f t="shared" ref="AY375" si="567">AX378</f>
        <v>183110.3125</v>
      </c>
      <c r="AZ375" s="1">
        <f t="shared" ref="AZ375" si="568">AY378</f>
        <v>183110.3125</v>
      </c>
      <c r="BA375" s="1">
        <f t="shared" ref="BA375" si="569">AZ378</f>
        <v>183110.3125</v>
      </c>
      <c r="BB375" s="1">
        <f t="shared" ref="BB375" si="570">BA378</f>
        <v>183110.3125</v>
      </c>
      <c r="BC375" s="1">
        <f t="shared" ref="BC375" si="571">BB378</f>
        <v>183110.3125</v>
      </c>
      <c r="BD375" s="1">
        <f t="shared" ref="BD375" si="572">BC378</f>
        <v>183110.3125</v>
      </c>
      <c r="BE375" s="1">
        <f t="shared" ref="BE375" si="573">BD378</f>
        <v>183110.3125</v>
      </c>
      <c r="BF375" s="1">
        <f t="shared" ref="BF375" si="574">BE378</f>
        <v>183110.3125</v>
      </c>
      <c r="BG375" s="1">
        <f t="shared" ref="BG375" si="575">BF378</f>
        <v>183110.3125</v>
      </c>
      <c r="BH375" s="1">
        <f t="shared" ref="BH375" si="576">BG378</f>
        <v>183110.3125</v>
      </c>
      <c r="BI375" s="1">
        <f t="shared" ref="BI375" si="577">BH378</f>
        <v>183110.3125</v>
      </c>
      <c r="BJ375" s="1">
        <f t="shared" ref="BJ375" si="578">BI378</f>
        <v>183110.3125</v>
      </c>
      <c r="BK375" s="1">
        <f t="shared" ref="BK375" si="579">BJ378</f>
        <v>183110.3125</v>
      </c>
      <c r="BL375" s="1">
        <f t="shared" ref="BL375" si="580">BK378</f>
        <v>183110.3125</v>
      </c>
      <c r="BM375" s="1">
        <f t="shared" ref="BM375" si="581">BL378</f>
        <v>183110.3125</v>
      </c>
      <c r="BN375" s="1">
        <f t="shared" ref="BN375" si="582">BM378</f>
        <v>183110.3125</v>
      </c>
      <c r="BO375" s="1">
        <f t="shared" ref="BO375" si="583">BN378</f>
        <v>183110.3125</v>
      </c>
      <c r="BP375" s="1">
        <f t="shared" ref="BP375" si="584">BO378</f>
        <v>183110.3125</v>
      </c>
      <c r="BQ375" s="1">
        <f t="shared" ref="BQ375" si="585">BP378</f>
        <v>0</v>
      </c>
    </row>
    <row r="376" spans="3:69" ht="13.5" customHeight="1">
      <c r="C376" s="1" t="s">
        <v>418</v>
      </c>
      <c r="O376" s="1">
        <f>현금흐름!I39</f>
        <v>0</v>
      </c>
      <c r="P376" s="1">
        <f>현금흐름!J39</f>
        <v>0</v>
      </c>
      <c r="Q376" s="1">
        <f>현금흐름!K39</f>
        <v>0</v>
      </c>
      <c r="R376" s="1">
        <f>현금흐름!L39</f>
        <v>0</v>
      </c>
      <c r="S376" s="1">
        <f>현금흐름!M39</f>
        <v>0</v>
      </c>
      <c r="T376" s="1">
        <f>현금흐름!N39</f>
        <v>0</v>
      </c>
      <c r="U376" s="1">
        <f>현금흐름!O39</f>
        <v>0</v>
      </c>
      <c r="V376" s="1">
        <f>현금흐름!P39</f>
        <v>0</v>
      </c>
      <c r="W376" s="1">
        <f>현금흐름!Q39</f>
        <v>0</v>
      </c>
      <c r="X376" s="1">
        <f>현금흐름!R39</f>
        <v>0</v>
      </c>
      <c r="Y376" s="1">
        <f>현금흐름!S39</f>
        <v>0</v>
      </c>
      <c r="Z376" s="1">
        <f>현금흐름!T39</f>
        <v>0</v>
      </c>
      <c r="AA376" s="1">
        <f>현금흐름!U39</f>
        <v>0</v>
      </c>
      <c r="AB376" s="1">
        <f>현금흐름!V39</f>
        <v>0</v>
      </c>
      <c r="AC376" s="1">
        <f>현금흐름!W39</f>
        <v>0</v>
      </c>
      <c r="AD376" s="1">
        <f>현금흐름!X39</f>
        <v>183110.3125</v>
      </c>
      <c r="AE376" s="1">
        <f>현금흐름!Y39</f>
        <v>0</v>
      </c>
      <c r="AF376" s="1">
        <f>현금흐름!Z39</f>
        <v>0</v>
      </c>
      <c r="AG376" s="1">
        <f>현금흐름!AA39</f>
        <v>0</v>
      </c>
      <c r="AH376" s="1">
        <f>현금흐름!AB39</f>
        <v>0</v>
      </c>
      <c r="AI376" s="1">
        <f>현금흐름!AC39</f>
        <v>0</v>
      </c>
      <c r="AJ376" s="1">
        <f>현금흐름!AD39</f>
        <v>0</v>
      </c>
      <c r="AK376" s="1">
        <f>현금흐름!AE39</f>
        <v>0</v>
      </c>
      <c r="AL376" s="1">
        <f>현금흐름!AF39</f>
        <v>0</v>
      </c>
      <c r="AM376" s="1">
        <f>현금흐름!AG39</f>
        <v>0</v>
      </c>
      <c r="AN376" s="1">
        <f>현금흐름!AH39</f>
        <v>0</v>
      </c>
      <c r="AO376" s="1">
        <f>현금흐름!AI39</f>
        <v>0</v>
      </c>
      <c r="AP376" s="1">
        <f>현금흐름!AJ39</f>
        <v>0</v>
      </c>
      <c r="AQ376" s="1">
        <f>현금흐름!AK39</f>
        <v>0</v>
      </c>
      <c r="AR376" s="1">
        <f>현금흐름!AL39</f>
        <v>0</v>
      </c>
      <c r="AS376" s="1">
        <f>현금흐름!AM39</f>
        <v>0</v>
      </c>
      <c r="AT376" s="1">
        <f>현금흐름!AN39</f>
        <v>0</v>
      </c>
      <c r="AU376" s="1">
        <f>현금흐름!AO39</f>
        <v>0</v>
      </c>
      <c r="AV376" s="1">
        <f>현금흐름!AP39</f>
        <v>0</v>
      </c>
      <c r="AW376" s="1">
        <f>현금흐름!AQ39</f>
        <v>0</v>
      </c>
      <c r="AX376" s="1">
        <f>현금흐름!AR39</f>
        <v>0</v>
      </c>
      <c r="AY376" s="1">
        <f>현금흐름!AS39</f>
        <v>0</v>
      </c>
      <c r="AZ376" s="1">
        <f>현금흐름!AT39</f>
        <v>0</v>
      </c>
      <c r="BA376" s="1">
        <f>현금흐름!AU39</f>
        <v>0</v>
      </c>
      <c r="BB376" s="1">
        <f>현금흐름!AV39</f>
        <v>0</v>
      </c>
      <c r="BC376" s="1">
        <f>현금흐름!AW39</f>
        <v>0</v>
      </c>
      <c r="BD376" s="1">
        <f>현금흐름!AX39</f>
        <v>0</v>
      </c>
      <c r="BE376" s="1">
        <f>현금흐름!AY39</f>
        <v>0</v>
      </c>
      <c r="BF376" s="1">
        <f>현금흐름!AZ39</f>
        <v>0</v>
      </c>
      <c r="BG376" s="1">
        <f>현금흐름!BA39</f>
        <v>0</v>
      </c>
      <c r="BH376" s="1">
        <f>현금흐름!BB39</f>
        <v>0</v>
      </c>
      <c r="BI376" s="1">
        <f>현금흐름!BC39</f>
        <v>0</v>
      </c>
      <c r="BJ376" s="1">
        <f>현금흐름!BD39</f>
        <v>0</v>
      </c>
      <c r="BK376" s="1">
        <f>현금흐름!BE39</f>
        <v>0</v>
      </c>
      <c r="BL376" s="1">
        <f>현금흐름!BF39</f>
        <v>0</v>
      </c>
      <c r="BM376" s="1">
        <f>현금흐름!BG39</f>
        <v>0</v>
      </c>
      <c r="BN376" s="1">
        <f>현금흐름!BH39</f>
        <v>0</v>
      </c>
      <c r="BO376" s="1">
        <f>현금흐름!BI39</f>
        <v>0</v>
      </c>
      <c r="BP376" s="1">
        <f>현금흐름!BJ39</f>
        <v>0</v>
      </c>
      <c r="BQ376" s="1">
        <f>현금흐름!BK39</f>
        <v>0</v>
      </c>
    </row>
    <row r="377" spans="3:69" ht="13.5" customHeight="1">
      <c r="C377" s="1" t="s">
        <v>419</v>
      </c>
      <c r="O377" s="1">
        <f>현금흐름!I42</f>
        <v>0</v>
      </c>
      <c r="P377" s="1">
        <f>현금흐름!J42</f>
        <v>0</v>
      </c>
      <c r="Q377" s="1">
        <f>현금흐름!K42</f>
        <v>0</v>
      </c>
      <c r="R377" s="1">
        <f>현금흐름!L42</f>
        <v>0</v>
      </c>
      <c r="S377" s="1">
        <f>현금흐름!M42</f>
        <v>0</v>
      </c>
      <c r="T377" s="1">
        <f>현금흐름!N42</f>
        <v>0</v>
      </c>
      <c r="U377" s="1">
        <f>현금흐름!O42</f>
        <v>0</v>
      </c>
      <c r="V377" s="1">
        <f>현금흐름!P42</f>
        <v>0</v>
      </c>
      <c r="W377" s="1">
        <f>현금흐름!Q42</f>
        <v>0</v>
      </c>
      <c r="X377" s="1">
        <f>현금흐름!R42</f>
        <v>0</v>
      </c>
      <c r="Y377" s="1">
        <f>현금흐름!S42</f>
        <v>0</v>
      </c>
      <c r="Z377" s="1">
        <f>현금흐름!T42</f>
        <v>0</v>
      </c>
      <c r="AA377" s="1">
        <f>현금흐름!U42</f>
        <v>0</v>
      </c>
      <c r="AB377" s="1">
        <f>현금흐름!V42</f>
        <v>0</v>
      </c>
      <c r="AC377" s="1">
        <f>현금흐름!W42</f>
        <v>0</v>
      </c>
      <c r="AD377" s="1">
        <f>현금흐름!X42</f>
        <v>0</v>
      </c>
      <c r="AE377" s="1">
        <f>현금흐름!Y42</f>
        <v>0</v>
      </c>
      <c r="AF377" s="1">
        <f>현금흐름!Z42</f>
        <v>0</v>
      </c>
      <c r="AG377" s="1">
        <f>현금흐름!AA42</f>
        <v>0</v>
      </c>
      <c r="AH377" s="1">
        <f>현금흐름!AB42</f>
        <v>0</v>
      </c>
      <c r="AI377" s="1">
        <f>현금흐름!AC42</f>
        <v>0</v>
      </c>
      <c r="AJ377" s="1">
        <f>현금흐름!AD42</f>
        <v>0</v>
      </c>
      <c r="AK377" s="1">
        <f>현금흐름!AE42</f>
        <v>0</v>
      </c>
      <c r="AL377" s="1">
        <f>현금흐름!AF42</f>
        <v>0</v>
      </c>
      <c r="AM377" s="1">
        <f>현금흐름!AG42</f>
        <v>0</v>
      </c>
      <c r="AN377" s="1">
        <f>현금흐름!AH42</f>
        <v>0</v>
      </c>
      <c r="AO377" s="1">
        <f>현금흐름!AI42</f>
        <v>0</v>
      </c>
      <c r="AP377" s="1">
        <f>현금흐름!AJ42</f>
        <v>0</v>
      </c>
      <c r="AQ377" s="1">
        <f>현금흐름!AK42</f>
        <v>0</v>
      </c>
      <c r="AR377" s="1">
        <f>현금흐름!AL42</f>
        <v>0</v>
      </c>
      <c r="AS377" s="1">
        <f>현금흐름!AM42</f>
        <v>0</v>
      </c>
      <c r="AT377" s="1">
        <f>현금흐름!AN42</f>
        <v>0</v>
      </c>
      <c r="AU377" s="1">
        <f>현금흐름!AO42</f>
        <v>0</v>
      </c>
      <c r="AV377" s="1">
        <f>현금흐름!AP42</f>
        <v>0</v>
      </c>
      <c r="AW377" s="1">
        <f>현금흐름!AQ42</f>
        <v>0</v>
      </c>
      <c r="AX377" s="1">
        <f>현금흐름!AR42</f>
        <v>0</v>
      </c>
      <c r="AY377" s="1">
        <f>현금흐름!AS42</f>
        <v>0</v>
      </c>
      <c r="AZ377" s="1">
        <f>현금흐름!AT42</f>
        <v>0</v>
      </c>
      <c r="BA377" s="1">
        <f>현금흐름!AU42</f>
        <v>0</v>
      </c>
      <c r="BB377" s="1">
        <f>현금흐름!AV42</f>
        <v>0</v>
      </c>
      <c r="BC377" s="1">
        <f>현금흐름!AW42</f>
        <v>0</v>
      </c>
      <c r="BD377" s="1">
        <f>현금흐름!AX42</f>
        <v>0</v>
      </c>
      <c r="BE377" s="1">
        <f>현금흐름!AY42</f>
        <v>0</v>
      </c>
      <c r="BF377" s="1">
        <f>현금흐름!AZ42</f>
        <v>0</v>
      </c>
      <c r="BG377" s="1">
        <f>현금흐름!BA42</f>
        <v>0</v>
      </c>
      <c r="BH377" s="1">
        <f>현금흐름!BB42</f>
        <v>0</v>
      </c>
      <c r="BI377" s="1">
        <f>현금흐름!BC42</f>
        <v>0</v>
      </c>
      <c r="BJ377" s="1">
        <f>현금흐름!BD42</f>
        <v>0</v>
      </c>
      <c r="BK377" s="1">
        <f>현금흐름!BE42</f>
        <v>0</v>
      </c>
      <c r="BL377" s="1">
        <f>현금흐름!BF42</f>
        <v>0</v>
      </c>
      <c r="BM377" s="1">
        <f>현금흐름!BG42</f>
        <v>0</v>
      </c>
      <c r="BN377" s="1">
        <f>현금흐름!BH42</f>
        <v>0</v>
      </c>
      <c r="BO377" s="1">
        <f>현금흐름!BI42</f>
        <v>0</v>
      </c>
      <c r="BP377" s="1">
        <f>현금흐름!BJ42</f>
        <v>-183110.3125</v>
      </c>
      <c r="BQ377" s="1">
        <f>현금흐름!BK42</f>
        <v>0</v>
      </c>
    </row>
    <row r="378" spans="3:69" ht="13.5" customHeight="1">
      <c r="C378" s="22" t="s">
        <v>352</v>
      </c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>
        <f>SUM(O375:O377)</f>
        <v>0</v>
      </c>
      <c r="P378" s="22">
        <f t="shared" ref="P378:BQ378" si="586">SUM(P375:P377)</f>
        <v>0</v>
      </c>
      <c r="Q378" s="22">
        <f t="shared" si="586"/>
        <v>0</v>
      </c>
      <c r="R378" s="22">
        <f t="shared" si="586"/>
        <v>0</v>
      </c>
      <c r="S378" s="22">
        <f t="shared" si="586"/>
        <v>0</v>
      </c>
      <c r="T378" s="22">
        <f t="shared" si="586"/>
        <v>0</v>
      </c>
      <c r="U378" s="22">
        <f t="shared" si="586"/>
        <v>0</v>
      </c>
      <c r="V378" s="22">
        <f t="shared" si="586"/>
        <v>0</v>
      </c>
      <c r="W378" s="22">
        <f t="shared" si="586"/>
        <v>0</v>
      </c>
      <c r="X378" s="22">
        <f t="shared" si="586"/>
        <v>0</v>
      </c>
      <c r="Y378" s="22">
        <f t="shared" si="586"/>
        <v>0</v>
      </c>
      <c r="Z378" s="22">
        <f t="shared" si="586"/>
        <v>0</v>
      </c>
      <c r="AA378" s="22">
        <f t="shared" si="586"/>
        <v>0</v>
      </c>
      <c r="AB378" s="22">
        <f t="shared" si="586"/>
        <v>0</v>
      </c>
      <c r="AC378" s="22">
        <f t="shared" si="586"/>
        <v>0</v>
      </c>
      <c r="AD378" s="22">
        <f t="shared" si="586"/>
        <v>183110.3125</v>
      </c>
      <c r="AE378" s="22">
        <f t="shared" si="586"/>
        <v>183110.3125</v>
      </c>
      <c r="AF378" s="22">
        <f t="shared" si="586"/>
        <v>183110.3125</v>
      </c>
      <c r="AG378" s="22">
        <f t="shared" si="586"/>
        <v>183110.3125</v>
      </c>
      <c r="AH378" s="22">
        <f t="shared" si="586"/>
        <v>183110.3125</v>
      </c>
      <c r="AI378" s="22">
        <f t="shared" si="586"/>
        <v>183110.3125</v>
      </c>
      <c r="AJ378" s="22">
        <f t="shared" si="586"/>
        <v>183110.3125</v>
      </c>
      <c r="AK378" s="22">
        <f t="shared" si="586"/>
        <v>183110.3125</v>
      </c>
      <c r="AL378" s="22">
        <f t="shared" si="586"/>
        <v>183110.3125</v>
      </c>
      <c r="AM378" s="22">
        <f t="shared" si="586"/>
        <v>183110.3125</v>
      </c>
      <c r="AN378" s="22">
        <f t="shared" si="586"/>
        <v>183110.3125</v>
      </c>
      <c r="AO378" s="22">
        <f t="shared" si="586"/>
        <v>183110.3125</v>
      </c>
      <c r="AP378" s="22">
        <f t="shared" si="586"/>
        <v>183110.3125</v>
      </c>
      <c r="AQ378" s="22">
        <f t="shared" si="586"/>
        <v>183110.3125</v>
      </c>
      <c r="AR378" s="22">
        <f t="shared" si="586"/>
        <v>183110.3125</v>
      </c>
      <c r="AS378" s="22">
        <f t="shared" si="586"/>
        <v>183110.3125</v>
      </c>
      <c r="AT378" s="22">
        <f t="shared" si="586"/>
        <v>183110.3125</v>
      </c>
      <c r="AU378" s="22">
        <f t="shared" si="586"/>
        <v>183110.3125</v>
      </c>
      <c r="AV378" s="22">
        <f t="shared" si="586"/>
        <v>183110.3125</v>
      </c>
      <c r="AW378" s="22">
        <f t="shared" si="586"/>
        <v>183110.3125</v>
      </c>
      <c r="AX378" s="22">
        <f t="shared" si="586"/>
        <v>183110.3125</v>
      </c>
      <c r="AY378" s="22">
        <f t="shared" si="586"/>
        <v>183110.3125</v>
      </c>
      <c r="AZ378" s="22">
        <f t="shared" si="586"/>
        <v>183110.3125</v>
      </c>
      <c r="BA378" s="22">
        <f t="shared" si="586"/>
        <v>183110.3125</v>
      </c>
      <c r="BB378" s="22">
        <f t="shared" si="586"/>
        <v>183110.3125</v>
      </c>
      <c r="BC378" s="22">
        <f t="shared" si="586"/>
        <v>183110.3125</v>
      </c>
      <c r="BD378" s="22">
        <f t="shared" si="586"/>
        <v>183110.3125</v>
      </c>
      <c r="BE378" s="22">
        <f t="shared" si="586"/>
        <v>183110.3125</v>
      </c>
      <c r="BF378" s="22">
        <f t="shared" si="586"/>
        <v>183110.3125</v>
      </c>
      <c r="BG378" s="22">
        <f t="shared" si="586"/>
        <v>183110.3125</v>
      </c>
      <c r="BH378" s="22">
        <f t="shared" si="586"/>
        <v>183110.3125</v>
      </c>
      <c r="BI378" s="22">
        <f t="shared" si="586"/>
        <v>183110.3125</v>
      </c>
      <c r="BJ378" s="22">
        <f t="shared" si="586"/>
        <v>183110.3125</v>
      </c>
      <c r="BK378" s="22">
        <f t="shared" si="586"/>
        <v>183110.3125</v>
      </c>
      <c r="BL378" s="22">
        <f t="shared" si="586"/>
        <v>183110.3125</v>
      </c>
      <c r="BM378" s="22">
        <f t="shared" si="586"/>
        <v>183110.3125</v>
      </c>
      <c r="BN378" s="22">
        <f t="shared" si="586"/>
        <v>183110.3125</v>
      </c>
      <c r="BO378" s="22">
        <f t="shared" si="586"/>
        <v>183110.3125</v>
      </c>
      <c r="BP378" s="22">
        <f t="shared" si="586"/>
        <v>0</v>
      </c>
      <c r="BQ378" s="22">
        <f t="shared" si="586"/>
        <v>0</v>
      </c>
    </row>
    <row r="379" spans="3:69" ht="13.5" customHeight="1">
      <c r="C379" s="102" t="s">
        <v>353</v>
      </c>
      <c r="D379" s="102"/>
      <c r="E379" s="102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>
        <f>AVERAGE(O375,O378)</f>
        <v>0</v>
      </c>
      <c r="P379" s="102">
        <f t="shared" ref="P379:BQ379" si="587">AVERAGE(P375,P378)</f>
        <v>0</v>
      </c>
      <c r="Q379" s="102">
        <f t="shared" si="587"/>
        <v>0</v>
      </c>
      <c r="R379" s="102">
        <f t="shared" si="587"/>
        <v>0</v>
      </c>
      <c r="S379" s="102">
        <f t="shared" si="587"/>
        <v>0</v>
      </c>
      <c r="T379" s="102">
        <f t="shared" si="587"/>
        <v>0</v>
      </c>
      <c r="U379" s="102">
        <f t="shared" si="587"/>
        <v>0</v>
      </c>
      <c r="V379" s="102">
        <f t="shared" si="587"/>
        <v>0</v>
      </c>
      <c r="W379" s="102">
        <f t="shared" si="587"/>
        <v>0</v>
      </c>
      <c r="X379" s="102">
        <f t="shared" si="587"/>
        <v>0</v>
      </c>
      <c r="Y379" s="102">
        <f t="shared" si="587"/>
        <v>0</v>
      </c>
      <c r="Z379" s="102">
        <f t="shared" si="587"/>
        <v>0</v>
      </c>
      <c r="AA379" s="102">
        <f t="shared" si="587"/>
        <v>0</v>
      </c>
      <c r="AB379" s="102">
        <f t="shared" si="587"/>
        <v>0</v>
      </c>
      <c r="AC379" s="102">
        <f t="shared" si="587"/>
        <v>0</v>
      </c>
      <c r="AD379" s="102">
        <f t="shared" si="587"/>
        <v>91555.15625</v>
      </c>
      <c r="AE379" s="102">
        <f t="shared" si="587"/>
        <v>183110.3125</v>
      </c>
      <c r="AF379" s="102">
        <f t="shared" si="587"/>
        <v>183110.3125</v>
      </c>
      <c r="AG379" s="102">
        <f t="shared" si="587"/>
        <v>183110.3125</v>
      </c>
      <c r="AH379" s="102">
        <f t="shared" si="587"/>
        <v>183110.3125</v>
      </c>
      <c r="AI379" s="102">
        <f t="shared" si="587"/>
        <v>183110.3125</v>
      </c>
      <c r="AJ379" s="102">
        <f t="shared" si="587"/>
        <v>183110.3125</v>
      </c>
      <c r="AK379" s="102">
        <f t="shared" si="587"/>
        <v>183110.3125</v>
      </c>
      <c r="AL379" s="102">
        <f t="shared" si="587"/>
        <v>183110.3125</v>
      </c>
      <c r="AM379" s="102">
        <f t="shared" si="587"/>
        <v>183110.3125</v>
      </c>
      <c r="AN379" s="102">
        <f t="shared" si="587"/>
        <v>183110.3125</v>
      </c>
      <c r="AO379" s="102">
        <f t="shared" si="587"/>
        <v>183110.3125</v>
      </c>
      <c r="AP379" s="102">
        <f t="shared" si="587"/>
        <v>183110.3125</v>
      </c>
      <c r="AQ379" s="102">
        <f t="shared" si="587"/>
        <v>183110.3125</v>
      </c>
      <c r="AR379" s="102">
        <f t="shared" si="587"/>
        <v>183110.3125</v>
      </c>
      <c r="AS379" s="102">
        <f t="shared" si="587"/>
        <v>183110.3125</v>
      </c>
      <c r="AT379" s="102">
        <f t="shared" si="587"/>
        <v>183110.3125</v>
      </c>
      <c r="AU379" s="102">
        <f t="shared" si="587"/>
        <v>183110.3125</v>
      </c>
      <c r="AV379" s="102">
        <f t="shared" si="587"/>
        <v>183110.3125</v>
      </c>
      <c r="AW379" s="102">
        <f t="shared" si="587"/>
        <v>183110.3125</v>
      </c>
      <c r="AX379" s="102">
        <f t="shared" si="587"/>
        <v>183110.3125</v>
      </c>
      <c r="AY379" s="102">
        <f t="shared" si="587"/>
        <v>183110.3125</v>
      </c>
      <c r="AZ379" s="102">
        <f t="shared" si="587"/>
        <v>183110.3125</v>
      </c>
      <c r="BA379" s="102">
        <f t="shared" si="587"/>
        <v>183110.3125</v>
      </c>
      <c r="BB379" s="102">
        <f t="shared" si="587"/>
        <v>183110.3125</v>
      </c>
      <c r="BC379" s="102">
        <f t="shared" si="587"/>
        <v>183110.3125</v>
      </c>
      <c r="BD379" s="102">
        <f t="shared" si="587"/>
        <v>183110.3125</v>
      </c>
      <c r="BE379" s="102">
        <f t="shared" si="587"/>
        <v>183110.3125</v>
      </c>
      <c r="BF379" s="102">
        <f t="shared" si="587"/>
        <v>183110.3125</v>
      </c>
      <c r="BG379" s="102">
        <f t="shared" si="587"/>
        <v>183110.3125</v>
      </c>
      <c r="BH379" s="102">
        <f t="shared" si="587"/>
        <v>183110.3125</v>
      </c>
      <c r="BI379" s="102">
        <f t="shared" si="587"/>
        <v>183110.3125</v>
      </c>
      <c r="BJ379" s="102">
        <f t="shared" si="587"/>
        <v>183110.3125</v>
      </c>
      <c r="BK379" s="102">
        <f t="shared" si="587"/>
        <v>183110.3125</v>
      </c>
      <c r="BL379" s="102">
        <f t="shared" si="587"/>
        <v>183110.3125</v>
      </c>
      <c r="BM379" s="102">
        <f t="shared" si="587"/>
        <v>183110.3125</v>
      </c>
      <c r="BN379" s="102">
        <f t="shared" si="587"/>
        <v>183110.3125</v>
      </c>
      <c r="BO379" s="102">
        <f t="shared" si="587"/>
        <v>183110.3125</v>
      </c>
      <c r="BP379" s="102">
        <f t="shared" si="587"/>
        <v>91555.15625</v>
      </c>
      <c r="BQ379" s="102">
        <f t="shared" si="587"/>
        <v>0</v>
      </c>
    </row>
    <row r="380" spans="3:69" ht="13.5" customHeight="1">
      <c r="C380" s="102" t="s">
        <v>420</v>
      </c>
      <c r="D380" s="102"/>
      <c r="E380" s="294">
        <f>'A&amp;R'!Z37</f>
        <v>0.04</v>
      </c>
      <c r="F380" s="102"/>
      <c r="G380" s="102"/>
      <c r="H380" s="102"/>
      <c r="I380" s="102"/>
      <c r="J380" s="102"/>
      <c r="K380" s="102"/>
      <c r="L380" s="102"/>
      <c r="M380" s="102">
        <f>SUM(N380:XFD380)</f>
        <v>23193.97291666668</v>
      </c>
      <c r="N380" s="102"/>
      <c r="O380" s="102">
        <f>O379*$E$380/12</f>
        <v>0</v>
      </c>
      <c r="P380" s="102">
        <f t="shared" ref="P380:BQ380" si="588">P379*$E$380/12</f>
        <v>0</v>
      </c>
      <c r="Q380" s="102">
        <f t="shared" si="588"/>
        <v>0</v>
      </c>
      <c r="R380" s="102">
        <f t="shared" si="588"/>
        <v>0</v>
      </c>
      <c r="S380" s="102">
        <f t="shared" si="588"/>
        <v>0</v>
      </c>
      <c r="T380" s="102">
        <f t="shared" si="588"/>
        <v>0</v>
      </c>
      <c r="U380" s="102">
        <f t="shared" si="588"/>
        <v>0</v>
      </c>
      <c r="V380" s="102">
        <f t="shared" si="588"/>
        <v>0</v>
      </c>
      <c r="W380" s="102">
        <f>W379*$E380/12</f>
        <v>0</v>
      </c>
      <c r="X380" s="102">
        <f t="shared" si="588"/>
        <v>0</v>
      </c>
      <c r="Y380" s="102">
        <f t="shared" si="588"/>
        <v>0</v>
      </c>
      <c r="Z380" s="102">
        <f t="shared" si="588"/>
        <v>0</v>
      </c>
      <c r="AA380" s="102">
        <f t="shared" si="588"/>
        <v>0</v>
      </c>
      <c r="AB380" s="102">
        <f t="shared" si="588"/>
        <v>0</v>
      </c>
      <c r="AC380" s="102">
        <f t="shared" si="588"/>
        <v>0</v>
      </c>
      <c r="AD380" s="102">
        <f t="shared" si="588"/>
        <v>305.18385416666666</v>
      </c>
      <c r="AE380" s="102">
        <f t="shared" si="588"/>
        <v>610.36770833333333</v>
      </c>
      <c r="AF380" s="102">
        <f t="shared" si="588"/>
        <v>610.36770833333333</v>
      </c>
      <c r="AG380" s="102">
        <f t="shared" si="588"/>
        <v>610.36770833333333</v>
      </c>
      <c r="AH380" s="102">
        <f t="shared" si="588"/>
        <v>610.36770833333333</v>
      </c>
      <c r="AI380" s="102">
        <f t="shared" si="588"/>
        <v>610.36770833333333</v>
      </c>
      <c r="AJ380" s="102">
        <f t="shared" si="588"/>
        <v>610.36770833333333</v>
      </c>
      <c r="AK380" s="102">
        <f t="shared" si="588"/>
        <v>610.36770833333333</v>
      </c>
      <c r="AL380" s="102">
        <f t="shared" si="588"/>
        <v>610.36770833333333</v>
      </c>
      <c r="AM380" s="102">
        <f t="shared" si="588"/>
        <v>610.36770833333333</v>
      </c>
      <c r="AN380" s="102">
        <f t="shared" si="588"/>
        <v>610.36770833333333</v>
      </c>
      <c r="AO380" s="102">
        <f t="shared" si="588"/>
        <v>610.36770833333333</v>
      </c>
      <c r="AP380" s="102">
        <f t="shared" si="588"/>
        <v>610.36770833333333</v>
      </c>
      <c r="AQ380" s="102">
        <f t="shared" si="588"/>
        <v>610.36770833333333</v>
      </c>
      <c r="AR380" s="102">
        <f t="shared" si="588"/>
        <v>610.36770833333333</v>
      </c>
      <c r="AS380" s="102">
        <f t="shared" si="588"/>
        <v>610.36770833333333</v>
      </c>
      <c r="AT380" s="102">
        <f t="shared" si="588"/>
        <v>610.36770833333333</v>
      </c>
      <c r="AU380" s="102">
        <f t="shared" si="588"/>
        <v>610.36770833333333</v>
      </c>
      <c r="AV380" s="102">
        <f t="shared" si="588"/>
        <v>610.36770833333333</v>
      </c>
      <c r="AW380" s="102">
        <f t="shared" si="588"/>
        <v>610.36770833333333</v>
      </c>
      <c r="AX380" s="102">
        <f t="shared" si="588"/>
        <v>610.36770833333333</v>
      </c>
      <c r="AY380" s="102">
        <f t="shared" si="588"/>
        <v>610.36770833333333</v>
      </c>
      <c r="AZ380" s="102">
        <f t="shared" si="588"/>
        <v>610.36770833333333</v>
      </c>
      <c r="BA380" s="102">
        <f t="shared" si="588"/>
        <v>610.36770833333333</v>
      </c>
      <c r="BB380" s="102">
        <f t="shared" si="588"/>
        <v>610.36770833333333</v>
      </c>
      <c r="BC380" s="102">
        <f t="shared" si="588"/>
        <v>610.36770833333333</v>
      </c>
      <c r="BD380" s="102">
        <f t="shared" si="588"/>
        <v>610.36770833333333</v>
      </c>
      <c r="BE380" s="102">
        <f t="shared" si="588"/>
        <v>610.36770833333333</v>
      </c>
      <c r="BF380" s="102">
        <f t="shared" si="588"/>
        <v>610.36770833333333</v>
      </c>
      <c r="BG380" s="102">
        <f t="shared" si="588"/>
        <v>610.36770833333333</v>
      </c>
      <c r="BH380" s="102">
        <f t="shared" si="588"/>
        <v>610.36770833333333</v>
      </c>
      <c r="BI380" s="102">
        <f t="shared" si="588"/>
        <v>610.36770833333333</v>
      </c>
      <c r="BJ380" s="102">
        <f t="shared" si="588"/>
        <v>610.36770833333333</v>
      </c>
      <c r="BK380" s="102">
        <f t="shared" si="588"/>
        <v>610.36770833333333</v>
      </c>
      <c r="BL380" s="102">
        <f t="shared" si="588"/>
        <v>610.36770833333333</v>
      </c>
      <c r="BM380" s="102">
        <f t="shared" si="588"/>
        <v>610.36770833333333</v>
      </c>
      <c r="BN380" s="102">
        <f t="shared" si="588"/>
        <v>610.36770833333333</v>
      </c>
      <c r="BO380" s="102">
        <f t="shared" si="588"/>
        <v>610.36770833333333</v>
      </c>
      <c r="BP380" s="102">
        <f t="shared" si="588"/>
        <v>305.18385416666666</v>
      </c>
      <c r="BQ380" s="102">
        <f t="shared" si="588"/>
        <v>0</v>
      </c>
    </row>
    <row r="381" spans="3:69" ht="13.5" customHeight="1">
      <c r="C381" s="139" t="s">
        <v>421</v>
      </c>
      <c r="D381" s="139"/>
      <c r="E381" s="296">
        <f>'A&amp;R'!AA37</f>
        <v>3</v>
      </c>
      <c r="F381" s="139"/>
      <c r="G381" s="139"/>
      <c r="H381" s="139"/>
      <c r="I381" s="139"/>
      <c r="J381" s="139"/>
      <c r="K381" s="139"/>
      <c r="L381" s="297" t="b">
        <f>ABS(M380-M381)&lt;0.001</f>
        <v>1</v>
      </c>
      <c r="M381" s="139">
        <f>SUM(N381:XFD381)</f>
        <v>23193.97291666668</v>
      </c>
      <c r="N381" s="139"/>
      <c r="O381" s="139">
        <f>(SUM($O380:O380)-SUM($N381:N381))*O373</f>
        <v>0</v>
      </c>
      <c r="P381" s="139">
        <f>(SUM($O380:P380)-SUM($N381:O381))*P373</f>
        <v>0</v>
      </c>
      <c r="Q381" s="139">
        <f>(SUM($O380:Q380)-SUM($N381:P381))*Q373</f>
        <v>0</v>
      </c>
      <c r="R381" s="139">
        <f>(SUM($O380:R380)-SUM($N381:Q381))*R373</f>
        <v>0</v>
      </c>
      <c r="S381" s="139">
        <f>(SUM($O380:S380)-SUM($N381:R381))*S373</f>
        <v>0</v>
      </c>
      <c r="T381" s="139">
        <f>(SUM($O380:T380)-SUM($N381:S381))*T373</f>
        <v>0</v>
      </c>
      <c r="U381" s="139">
        <f>(SUM($O380:U380)-SUM($N381:T381))*U373</f>
        <v>0</v>
      </c>
      <c r="V381" s="139">
        <f>(SUM($O380:V380)-SUM($N381:U381))*V373</f>
        <v>0</v>
      </c>
      <c r="W381" s="139">
        <f>(SUM($O380:W380)-SUM($N381:V381))*W373</f>
        <v>0</v>
      </c>
      <c r="X381" s="139">
        <f>(SUM($O380:X380)-SUM($N381:W381))*X373</f>
        <v>0</v>
      </c>
      <c r="Y381" s="139">
        <f>(SUM($O380:Y380)-SUM($N381:X381))*Y373</f>
        <v>0</v>
      </c>
      <c r="Z381" s="139">
        <f>(SUM($O380:Z380)-SUM($N381:Y381))*Z373</f>
        <v>0</v>
      </c>
      <c r="AA381" s="139">
        <f>(SUM($O380:AA380)-SUM($N381:Z381))*AA373</f>
        <v>0</v>
      </c>
      <c r="AB381" s="139">
        <f>(SUM($O380:AB380)-SUM($N381:AA381))*AB373</f>
        <v>0</v>
      </c>
      <c r="AC381" s="139">
        <f>(SUM($O380:AC380)-SUM($N381:AB381))*AC373</f>
        <v>0</v>
      </c>
      <c r="AD381" s="139">
        <f>(SUM($O380:AD380)-SUM($N381:AC381))*AD373</f>
        <v>0</v>
      </c>
      <c r="AE381" s="139">
        <f>(SUM($O380:AE380)-SUM($N381:AD381))*AE373</f>
        <v>0</v>
      </c>
      <c r="AF381" s="139">
        <f>(SUM($O380:AF380)-SUM($N381:AE381))*AF373</f>
        <v>0</v>
      </c>
      <c r="AG381" s="139">
        <f>(SUM($O380:AG380)-SUM($N381:AF381))*AG373</f>
        <v>2136.2869791666667</v>
      </c>
      <c r="AH381" s="139">
        <f>(SUM($O380:AH380)-SUM($N381:AG381))*AH373</f>
        <v>0</v>
      </c>
      <c r="AI381" s="139">
        <f>(SUM($O380:AI380)-SUM($N381:AH381))*AI373</f>
        <v>0</v>
      </c>
      <c r="AJ381" s="139">
        <f>(SUM($O380:AJ380)-SUM($N381:AI381))*AJ373</f>
        <v>1831.1031249999996</v>
      </c>
      <c r="AK381" s="139">
        <f>(SUM($O380:AK380)-SUM($N381:AJ381))*AK373</f>
        <v>0</v>
      </c>
      <c r="AL381" s="139">
        <f>(SUM($O380:AL380)-SUM($N381:AK381))*AL373</f>
        <v>0</v>
      </c>
      <c r="AM381" s="139">
        <f>(SUM($O380:AM380)-SUM($N381:AL381))*AM373</f>
        <v>1831.1031250000001</v>
      </c>
      <c r="AN381" s="139">
        <f>(SUM($O380:AN380)-SUM($N381:AM381))*AN373</f>
        <v>0</v>
      </c>
      <c r="AO381" s="139">
        <f>(SUM($O380:AO380)-SUM($N381:AN381))*AO373</f>
        <v>0</v>
      </c>
      <c r="AP381" s="139">
        <f>(SUM($O380:AP380)-SUM($N381:AO381))*AP373</f>
        <v>1831.1031249999996</v>
      </c>
      <c r="AQ381" s="139">
        <f>(SUM($O380:AQ380)-SUM($N381:AP381))*AQ373</f>
        <v>0</v>
      </c>
      <c r="AR381" s="139">
        <f>(SUM($O380:AR380)-SUM($N381:AQ381))*AR373</f>
        <v>0</v>
      </c>
      <c r="AS381" s="139">
        <f>(SUM($O380:AS380)-SUM($N381:AR381))*AS373</f>
        <v>1831.1031249999996</v>
      </c>
      <c r="AT381" s="139">
        <f>(SUM($O380:AT380)-SUM($N381:AS381))*AT373</f>
        <v>0</v>
      </c>
      <c r="AU381" s="139">
        <f>(SUM($O380:AU380)-SUM($N381:AT381))*AU373</f>
        <v>0</v>
      </c>
      <c r="AV381" s="139">
        <f>(SUM($O380:AV380)-SUM($N381:AU381))*AV373</f>
        <v>1831.1031249999996</v>
      </c>
      <c r="AW381" s="139">
        <f>(SUM($O380:AW380)-SUM($N381:AV381))*AW373</f>
        <v>0</v>
      </c>
      <c r="AX381" s="139">
        <f>(SUM($O380:AX380)-SUM($N381:AW381))*AX373</f>
        <v>0</v>
      </c>
      <c r="AY381" s="139">
        <f>(SUM($O380:AY380)-SUM($N381:AX381))*AY373</f>
        <v>1831.1031249999996</v>
      </c>
      <c r="AZ381" s="139">
        <f>(SUM($O380:AZ380)-SUM($N381:AY381))*AZ373</f>
        <v>0</v>
      </c>
      <c r="BA381" s="139">
        <f>(SUM($O380:BA380)-SUM($N381:AZ381))*BA373</f>
        <v>0</v>
      </c>
      <c r="BB381" s="139">
        <f>(SUM($O380:BB380)-SUM($N381:BA381))*BB373</f>
        <v>1831.1031249999996</v>
      </c>
      <c r="BC381" s="139">
        <f>(SUM($O380:BC380)-SUM($N381:BB381))*BC373</f>
        <v>0</v>
      </c>
      <c r="BD381" s="139">
        <f>(SUM($O380:BD380)-SUM($N381:BC381))*BD373</f>
        <v>0</v>
      </c>
      <c r="BE381" s="139">
        <f>(SUM($O380:BE380)-SUM($N381:BD381))*BE373</f>
        <v>1831.1031249999996</v>
      </c>
      <c r="BF381" s="139">
        <f>(SUM($O380:BF380)-SUM($N381:BE381))*BF373</f>
        <v>0</v>
      </c>
      <c r="BG381" s="139">
        <f>(SUM($O380:BG380)-SUM($N381:BF381))*BG373</f>
        <v>0</v>
      </c>
      <c r="BH381" s="139">
        <f>(SUM($O380:BH380)-SUM($N381:BG381))*BH373</f>
        <v>1831.1031250000051</v>
      </c>
      <c r="BI381" s="139">
        <f>(SUM($O380:BI380)-SUM($N381:BH381))*BI373</f>
        <v>0</v>
      </c>
      <c r="BJ381" s="139">
        <f>(SUM($O380:BJ380)-SUM($N381:BI381))*BJ373</f>
        <v>0</v>
      </c>
      <c r="BK381" s="139">
        <f>(SUM($O380:BK380)-SUM($N381:BJ381))*BK373</f>
        <v>1831.1031250000051</v>
      </c>
      <c r="BL381" s="139">
        <f>(SUM($O380:BL380)-SUM($N381:BK381))*BL373</f>
        <v>0</v>
      </c>
      <c r="BM381" s="139">
        <f>(SUM($O380:BM380)-SUM($N381:BL381))*BM373</f>
        <v>0</v>
      </c>
      <c r="BN381" s="139">
        <f>(SUM($O380:BN380)-SUM($N381:BM381))*BN373</f>
        <v>1831.1031250000051</v>
      </c>
      <c r="BO381" s="139">
        <f>(SUM($O380:BO380)-SUM($N381:BN381))*BO373</f>
        <v>0</v>
      </c>
      <c r="BP381" s="139">
        <f>(SUM($O380:BP380)-SUM($N381:BO381))*BP373</f>
        <v>915.55156250000073</v>
      </c>
      <c r="BQ381" s="139">
        <f>(SUM($O380:BQ380)-SUM($N381:BP381))*BQ373</f>
        <v>0</v>
      </c>
    </row>
    <row r="383" spans="3:69" ht="13.5" customHeight="1">
      <c r="C383" s="1" t="s">
        <v>385</v>
      </c>
    </row>
    <row r="384" spans="3:69" s="11" customFormat="1" ht="13.5" hidden="1" customHeight="1" outlineLevel="1">
      <c r="D384" s="11" t="s">
        <v>376</v>
      </c>
      <c r="E384" s="11" t="s">
        <v>377</v>
      </c>
      <c r="L384" s="11" t="s">
        <v>422</v>
      </c>
      <c r="M384" s="11">
        <f>SUM(N384:XFD384)</f>
        <v>39</v>
      </c>
      <c r="O384" s="11">
        <f t="shared" ref="O384:AT384" si="589">(O$11&gt;=$D$385)*(O$11&lt;=$E$385)*1</f>
        <v>0</v>
      </c>
      <c r="P384" s="11">
        <f t="shared" si="589"/>
        <v>0</v>
      </c>
      <c r="Q384" s="11">
        <f t="shared" si="589"/>
        <v>0</v>
      </c>
      <c r="R384" s="11">
        <f t="shared" si="589"/>
        <v>0</v>
      </c>
      <c r="S384" s="11">
        <f t="shared" si="589"/>
        <v>0</v>
      </c>
      <c r="T384" s="11">
        <f t="shared" si="589"/>
        <v>0</v>
      </c>
      <c r="U384" s="11">
        <f t="shared" si="589"/>
        <v>0</v>
      </c>
      <c r="V384" s="11">
        <f t="shared" si="589"/>
        <v>0</v>
      </c>
      <c r="W384" s="11">
        <f t="shared" si="589"/>
        <v>0</v>
      </c>
      <c r="X384" s="11">
        <f t="shared" si="589"/>
        <v>0</v>
      </c>
      <c r="Y384" s="11">
        <f t="shared" si="589"/>
        <v>0</v>
      </c>
      <c r="Z384" s="11">
        <f t="shared" si="589"/>
        <v>0</v>
      </c>
      <c r="AA384" s="11">
        <f t="shared" si="589"/>
        <v>0</v>
      </c>
      <c r="AB384" s="11">
        <f t="shared" si="589"/>
        <v>0</v>
      </c>
      <c r="AC384" s="11">
        <f t="shared" si="589"/>
        <v>0</v>
      </c>
      <c r="AD384" s="11">
        <f t="shared" si="589"/>
        <v>1</v>
      </c>
      <c r="AE384" s="11">
        <f t="shared" si="589"/>
        <v>1</v>
      </c>
      <c r="AF384" s="11">
        <f t="shared" si="589"/>
        <v>1</v>
      </c>
      <c r="AG384" s="11">
        <f t="shared" si="589"/>
        <v>1</v>
      </c>
      <c r="AH384" s="11">
        <f t="shared" si="589"/>
        <v>1</v>
      </c>
      <c r="AI384" s="11">
        <f t="shared" si="589"/>
        <v>1</v>
      </c>
      <c r="AJ384" s="11">
        <f t="shared" si="589"/>
        <v>1</v>
      </c>
      <c r="AK384" s="11">
        <f t="shared" si="589"/>
        <v>1</v>
      </c>
      <c r="AL384" s="11">
        <f t="shared" si="589"/>
        <v>1</v>
      </c>
      <c r="AM384" s="11">
        <f t="shared" si="589"/>
        <v>1</v>
      </c>
      <c r="AN384" s="11">
        <f t="shared" si="589"/>
        <v>1</v>
      </c>
      <c r="AO384" s="11">
        <f t="shared" si="589"/>
        <v>1</v>
      </c>
      <c r="AP384" s="11">
        <f t="shared" si="589"/>
        <v>1</v>
      </c>
      <c r="AQ384" s="11">
        <f t="shared" si="589"/>
        <v>1</v>
      </c>
      <c r="AR384" s="11">
        <f t="shared" si="589"/>
        <v>1</v>
      </c>
      <c r="AS384" s="11">
        <f t="shared" si="589"/>
        <v>1</v>
      </c>
      <c r="AT384" s="11">
        <f t="shared" si="589"/>
        <v>1</v>
      </c>
      <c r="AU384" s="11">
        <f t="shared" ref="AU384:BQ384" si="590">(AU$11&gt;=$D$385)*(AU$11&lt;=$E$385)*1</f>
        <v>1</v>
      </c>
      <c r="AV384" s="11">
        <f t="shared" si="590"/>
        <v>1</v>
      </c>
      <c r="AW384" s="11">
        <f t="shared" si="590"/>
        <v>1</v>
      </c>
      <c r="AX384" s="11">
        <f t="shared" si="590"/>
        <v>1</v>
      </c>
      <c r="AY384" s="11">
        <f t="shared" si="590"/>
        <v>1</v>
      </c>
      <c r="AZ384" s="11">
        <f t="shared" si="590"/>
        <v>1</v>
      </c>
      <c r="BA384" s="11">
        <f t="shared" si="590"/>
        <v>1</v>
      </c>
      <c r="BB384" s="11">
        <f t="shared" si="590"/>
        <v>1</v>
      </c>
      <c r="BC384" s="11">
        <f t="shared" si="590"/>
        <v>1</v>
      </c>
      <c r="BD384" s="11">
        <f t="shared" si="590"/>
        <v>1</v>
      </c>
      <c r="BE384" s="11">
        <f t="shared" si="590"/>
        <v>1</v>
      </c>
      <c r="BF384" s="11">
        <f t="shared" si="590"/>
        <v>1</v>
      </c>
      <c r="BG384" s="11">
        <f t="shared" si="590"/>
        <v>1</v>
      </c>
      <c r="BH384" s="11">
        <f t="shared" si="590"/>
        <v>1</v>
      </c>
      <c r="BI384" s="11">
        <f t="shared" si="590"/>
        <v>1</v>
      </c>
      <c r="BJ384" s="11">
        <f t="shared" si="590"/>
        <v>1</v>
      </c>
      <c r="BK384" s="11">
        <f t="shared" si="590"/>
        <v>1</v>
      </c>
      <c r="BL384" s="11">
        <f t="shared" si="590"/>
        <v>1</v>
      </c>
      <c r="BM384" s="11">
        <f t="shared" si="590"/>
        <v>1</v>
      </c>
      <c r="BN384" s="11">
        <f t="shared" si="590"/>
        <v>1</v>
      </c>
      <c r="BO384" s="11">
        <f t="shared" si="590"/>
        <v>1</v>
      </c>
      <c r="BP384" s="11">
        <f t="shared" si="590"/>
        <v>1</v>
      </c>
      <c r="BQ384" s="11">
        <f t="shared" si="590"/>
        <v>0</v>
      </c>
    </row>
    <row r="385" spans="3:69" s="11" customFormat="1" ht="13.5" hidden="1" customHeight="1" outlineLevel="1">
      <c r="D385" s="295">
        <f>'A&amp;R'!V38</f>
        <v>44834</v>
      </c>
      <c r="E385" s="295">
        <f>'A&amp;R'!W38</f>
        <v>45991</v>
      </c>
      <c r="L385" s="11" t="s">
        <v>423</v>
      </c>
      <c r="O385" s="11">
        <f>SUM($O384:O384)*O384</f>
        <v>0</v>
      </c>
      <c r="P385" s="11">
        <f>SUM($O384:P384)*P384</f>
        <v>0</v>
      </c>
      <c r="Q385" s="11">
        <f>SUM($O384:Q384)*Q384</f>
        <v>0</v>
      </c>
      <c r="R385" s="11">
        <f>SUM($O384:R384)*R384</f>
        <v>0</v>
      </c>
      <c r="S385" s="11">
        <f>SUM($O384:S384)*S384</f>
        <v>0</v>
      </c>
      <c r="T385" s="11">
        <f>SUM($O384:T384)*T384</f>
        <v>0</v>
      </c>
      <c r="U385" s="11">
        <f>SUM($O384:U384)*U384</f>
        <v>0</v>
      </c>
      <c r="V385" s="11">
        <f>SUM($O384:V384)*V384</f>
        <v>0</v>
      </c>
      <c r="W385" s="11">
        <f>SUM($O384:W384)*W384</f>
        <v>0</v>
      </c>
      <c r="X385" s="11">
        <f>SUM($O384:X384)*X384</f>
        <v>0</v>
      </c>
      <c r="Y385" s="11">
        <f>SUM($O384:Y384)*Y384</f>
        <v>0</v>
      </c>
      <c r="Z385" s="11">
        <f>SUM($O384:Z384)*Z384</f>
        <v>0</v>
      </c>
      <c r="AA385" s="11">
        <f>SUM($O384:AA384)*AA384</f>
        <v>0</v>
      </c>
      <c r="AB385" s="11">
        <f>SUM($O384:AB384)*AB384</f>
        <v>0</v>
      </c>
      <c r="AC385" s="11">
        <f>SUM($O384:AC384)*AC384</f>
        <v>0</v>
      </c>
      <c r="AD385" s="11">
        <f>SUM($O384:AD384)*AD384</f>
        <v>1</v>
      </c>
      <c r="AE385" s="11">
        <f>SUM($O384:AE384)*AE384</f>
        <v>2</v>
      </c>
      <c r="AF385" s="11">
        <f>SUM($O384:AF384)*AF384</f>
        <v>3</v>
      </c>
      <c r="AG385" s="11">
        <f>SUM($O384:AG384)*AG384</f>
        <v>4</v>
      </c>
      <c r="AH385" s="11">
        <f>SUM($O384:AH384)*AH384</f>
        <v>5</v>
      </c>
      <c r="AI385" s="11">
        <f>SUM($O384:AI384)*AI384</f>
        <v>6</v>
      </c>
      <c r="AJ385" s="11">
        <f>SUM($O384:AJ384)*AJ384</f>
        <v>7</v>
      </c>
      <c r="AK385" s="11">
        <f>SUM($O384:AK384)*AK384</f>
        <v>8</v>
      </c>
      <c r="AL385" s="11">
        <f>SUM($O384:AL384)*AL384</f>
        <v>9</v>
      </c>
      <c r="AM385" s="11">
        <f>SUM($O384:AM384)*AM384</f>
        <v>10</v>
      </c>
      <c r="AN385" s="11">
        <f>SUM($O384:AN384)*AN384</f>
        <v>11</v>
      </c>
      <c r="AO385" s="11">
        <f>SUM($O384:AO384)*AO384</f>
        <v>12</v>
      </c>
      <c r="AP385" s="11">
        <f>SUM($O384:AP384)*AP384</f>
        <v>13</v>
      </c>
      <c r="AQ385" s="11">
        <f>SUM($O384:AQ384)*AQ384</f>
        <v>14</v>
      </c>
      <c r="AR385" s="11">
        <f>SUM($O384:AR384)*AR384</f>
        <v>15</v>
      </c>
      <c r="AS385" s="11">
        <f>SUM($O384:AS384)*AS384</f>
        <v>16</v>
      </c>
      <c r="AT385" s="11">
        <f>SUM($O384:AT384)*AT384</f>
        <v>17</v>
      </c>
      <c r="AU385" s="11">
        <f>SUM($O384:AU384)*AU384</f>
        <v>18</v>
      </c>
      <c r="AV385" s="11">
        <f>SUM($O384:AV384)*AV384</f>
        <v>19</v>
      </c>
      <c r="AW385" s="11">
        <f>SUM($O384:AW384)*AW384</f>
        <v>20</v>
      </c>
      <c r="AX385" s="11">
        <f>SUM($O384:AX384)*AX384</f>
        <v>21</v>
      </c>
      <c r="AY385" s="11">
        <f>SUM($O384:AY384)*AY384</f>
        <v>22</v>
      </c>
      <c r="AZ385" s="11">
        <f>SUM($O384:AZ384)*AZ384</f>
        <v>23</v>
      </c>
      <c r="BA385" s="11">
        <f>SUM($O384:BA384)*BA384</f>
        <v>24</v>
      </c>
      <c r="BB385" s="11">
        <f>SUM($O384:BB384)*BB384</f>
        <v>25</v>
      </c>
      <c r="BC385" s="11">
        <f>SUM($O384:BC384)*BC384</f>
        <v>26</v>
      </c>
      <c r="BD385" s="11">
        <f>SUM($O384:BD384)*BD384</f>
        <v>27</v>
      </c>
      <c r="BE385" s="11">
        <f>SUM($O384:BE384)*BE384</f>
        <v>28</v>
      </c>
      <c r="BF385" s="11">
        <f>SUM($O384:BF384)*BF384</f>
        <v>29</v>
      </c>
      <c r="BG385" s="11">
        <f>SUM($O384:BG384)*BG384</f>
        <v>30</v>
      </c>
      <c r="BH385" s="11">
        <f>SUM($O384:BH384)*BH384</f>
        <v>31</v>
      </c>
      <c r="BI385" s="11">
        <f>SUM($O384:BI384)*BI384</f>
        <v>32</v>
      </c>
      <c r="BJ385" s="11">
        <f>SUM($O384:BJ384)*BJ384</f>
        <v>33</v>
      </c>
      <c r="BK385" s="11">
        <f>SUM($O384:BK384)*BK384</f>
        <v>34</v>
      </c>
      <c r="BL385" s="11">
        <f>SUM($O384:BL384)*BL384</f>
        <v>35</v>
      </c>
      <c r="BM385" s="11">
        <f>SUM($O384:BM384)*BM384</f>
        <v>36</v>
      </c>
      <c r="BN385" s="11">
        <f>SUM($O384:BN384)*BN384</f>
        <v>37</v>
      </c>
      <c r="BO385" s="11">
        <f>SUM($O384:BO384)*BO384</f>
        <v>38</v>
      </c>
      <c r="BP385" s="11">
        <f>SUM($O384:BP384)*BP384</f>
        <v>39</v>
      </c>
      <c r="BQ385" s="11">
        <f>SUM($O384:BQ384)*BQ384</f>
        <v>0</v>
      </c>
    </row>
    <row r="386" spans="3:69" s="11" customFormat="1" ht="13.5" hidden="1" customHeight="1" outlineLevel="1">
      <c r="L386" s="11" t="s">
        <v>424</v>
      </c>
      <c r="O386" s="11">
        <f>(MOD(N385,$E$395)=0)*1</f>
        <v>1</v>
      </c>
      <c r="P386" s="11">
        <f t="shared" ref="P386:BQ386" si="591">(MOD(O385,$E$395)=0)*1</f>
        <v>1</v>
      </c>
      <c r="Q386" s="11">
        <f t="shared" si="591"/>
        <v>1</v>
      </c>
      <c r="R386" s="11">
        <f t="shared" si="591"/>
        <v>1</v>
      </c>
      <c r="S386" s="11">
        <f t="shared" si="591"/>
        <v>1</v>
      </c>
      <c r="T386" s="11">
        <f t="shared" si="591"/>
        <v>1</v>
      </c>
      <c r="U386" s="11">
        <f t="shared" si="591"/>
        <v>1</v>
      </c>
      <c r="V386" s="11">
        <f t="shared" si="591"/>
        <v>1</v>
      </c>
      <c r="W386" s="11">
        <f t="shared" si="591"/>
        <v>1</v>
      </c>
      <c r="X386" s="11">
        <f t="shared" si="591"/>
        <v>1</v>
      </c>
      <c r="Y386" s="11">
        <f t="shared" si="591"/>
        <v>1</v>
      </c>
      <c r="Z386" s="11">
        <f t="shared" si="591"/>
        <v>1</v>
      </c>
      <c r="AA386" s="11">
        <f t="shared" si="591"/>
        <v>1</v>
      </c>
      <c r="AB386" s="11">
        <f t="shared" si="591"/>
        <v>1</v>
      </c>
      <c r="AC386" s="11">
        <f t="shared" si="591"/>
        <v>1</v>
      </c>
      <c r="AD386" s="11">
        <f t="shared" si="591"/>
        <v>1</v>
      </c>
      <c r="AE386" s="11">
        <f t="shared" si="591"/>
        <v>0</v>
      </c>
      <c r="AF386" s="11">
        <f t="shared" si="591"/>
        <v>0</v>
      </c>
      <c r="AG386" s="11">
        <f t="shared" si="591"/>
        <v>1</v>
      </c>
      <c r="AH386" s="11">
        <f t="shared" si="591"/>
        <v>0</v>
      </c>
      <c r="AI386" s="11">
        <f t="shared" si="591"/>
        <v>0</v>
      </c>
      <c r="AJ386" s="11">
        <f t="shared" si="591"/>
        <v>1</v>
      </c>
      <c r="AK386" s="11">
        <f t="shared" si="591"/>
        <v>0</v>
      </c>
      <c r="AL386" s="11">
        <f t="shared" si="591"/>
        <v>0</v>
      </c>
      <c r="AM386" s="11">
        <f t="shared" si="591"/>
        <v>1</v>
      </c>
      <c r="AN386" s="11">
        <f t="shared" si="591"/>
        <v>0</v>
      </c>
      <c r="AO386" s="11">
        <f t="shared" si="591"/>
        <v>0</v>
      </c>
      <c r="AP386" s="11">
        <f t="shared" si="591"/>
        <v>1</v>
      </c>
      <c r="AQ386" s="11">
        <f t="shared" si="591"/>
        <v>0</v>
      </c>
      <c r="AR386" s="11">
        <f t="shared" si="591"/>
        <v>0</v>
      </c>
      <c r="AS386" s="11">
        <f t="shared" si="591"/>
        <v>1</v>
      </c>
      <c r="AT386" s="11">
        <f t="shared" si="591"/>
        <v>0</v>
      </c>
      <c r="AU386" s="11">
        <f t="shared" si="591"/>
        <v>0</v>
      </c>
      <c r="AV386" s="11">
        <f t="shared" si="591"/>
        <v>1</v>
      </c>
      <c r="AW386" s="11">
        <f t="shared" si="591"/>
        <v>0</v>
      </c>
      <c r="AX386" s="11">
        <f t="shared" si="591"/>
        <v>0</v>
      </c>
      <c r="AY386" s="11">
        <f t="shared" si="591"/>
        <v>1</v>
      </c>
      <c r="AZ386" s="11">
        <f t="shared" si="591"/>
        <v>0</v>
      </c>
      <c r="BA386" s="11">
        <f t="shared" si="591"/>
        <v>0</v>
      </c>
      <c r="BB386" s="11">
        <f t="shared" si="591"/>
        <v>1</v>
      </c>
      <c r="BC386" s="11">
        <f t="shared" si="591"/>
        <v>0</v>
      </c>
      <c r="BD386" s="11">
        <f t="shared" si="591"/>
        <v>0</v>
      </c>
      <c r="BE386" s="11">
        <f t="shared" si="591"/>
        <v>1</v>
      </c>
      <c r="BF386" s="11">
        <f t="shared" si="591"/>
        <v>0</v>
      </c>
      <c r="BG386" s="11">
        <f t="shared" si="591"/>
        <v>0</v>
      </c>
      <c r="BH386" s="11">
        <f t="shared" si="591"/>
        <v>1</v>
      </c>
      <c r="BI386" s="11">
        <f t="shared" si="591"/>
        <v>0</v>
      </c>
      <c r="BJ386" s="11">
        <f t="shared" si="591"/>
        <v>0</v>
      </c>
      <c r="BK386" s="11">
        <f t="shared" si="591"/>
        <v>1</v>
      </c>
      <c r="BL386" s="11">
        <f t="shared" si="591"/>
        <v>0</v>
      </c>
      <c r="BM386" s="11">
        <f t="shared" si="591"/>
        <v>0</v>
      </c>
      <c r="BN386" s="11">
        <f t="shared" si="591"/>
        <v>1</v>
      </c>
      <c r="BO386" s="11">
        <f t="shared" si="591"/>
        <v>0</v>
      </c>
      <c r="BP386" s="11">
        <f t="shared" si="591"/>
        <v>0</v>
      </c>
      <c r="BQ386" s="11">
        <f t="shared" si="591"/>
        <v>1</v>
      </c>
    </row>
    <row r="387" spans="3:69" s="11" customFormat="1" ht="13.5" hidden="1" customHeight="1" outlineLevel="1">
      <c r="L387" s="11" t="s">
        <v>425</v>
      </c>
      <c r="O387" s="11">
        <f t="shared" ref="O387:AT387" si="592">IF(AND(OR(O386=1,O$11=$E$385),NOT(O385=1)),1,0)</f>
        <v>1</v>
      </c>
      <c r="P387" s="11">
        <f t="shared" si="592"/>
        <v>1</v>
      </c>
      <c r="Q387" s="11">
        <f t="shared" si="592"/>
        <v>1</v>
      </c>
      <c r="R387" s="11">
        <f t="shared" si="592"/>
        <v>1</v>
      </c>
      <c r="S387" s="11">
        <f t="shared" si="592"/>
        <v>1</v>
      </c>
      <c r="T387" s="11">
        <f t="shared" si="592"/>
        <v>1</v>
      </c>
      <c r="U387" s="11">
        <f t="shared" si="592"/>
        <v>1</v>
      </c>
      <c r="V387" s="11">
        <f t="shared" si="592"/>
        <v>1</v>
      </c>
      <c r="W387" s="11">
        <f t="shared" si="592"/>
        <v>1</v>
      </c>
      <c r="X387" s="11">
        <f t="shared" si="592"/>
        <v>1</v>
      </c>
      <c r="Y387" s="11">
        <f t="shared" si="592"/>
        <v>1</v>
      </c>
      <c r="Z387" s="11">
        <f t="shared" si="592"/>
        <v>1</v>
      </c>
      <c r="AA387" s="11">
        <f t="shared" si="592"/>
        <v>1</v>
      </c>
      <c r="AB387" s="11">
        <f t="shared" si="592"/>
        <v>1</v>
      </c>
      <c r="AC387" s="11">
        <f t="shared" si="592"/>
        <v>1</v>
      </c>
      <c r="AD387" s="11">
        <f t="shared" si="592"/>
        <v>0</v>
      </c>
      <c r="AE387" s="11">
        <f t="shared" si="592"/>
        <v>0</v>
      </c>
      <c r="AF387" s="11">
        <f t="shared" si="592"/>
        <v>0</v>
      </c>
      <c r="AG387" s="11">
        <f t="shared" si="592"/>
        <v>1</v>
      </c>
      <c r="AH387" s="11">
        <f t="shared" si="592"/>
        <v>0</v>
      </c>
      <c r="AI387" s="11">
        <f t="shared" si="592"/>
        <v>0</v>
      </c>
      <c r="AJ387" s="11">
        <f t="shared" si="592"/>
        <v>1</v>
      </c>
      <c r="AK387" s="11">
        <f t="shared" si="592"/>
        <v>0</v>
      </c>
      <c r="AL387" s="11">
        <f t="shared" si="592"/>
        <v>0</v>
      </c>
      <c r="AM387" s="11">
        <f t="shared" si="592"/>
        <v>1</v>
      </c>
      <c r="AN387" s="11">
        <f t="shared" si="592"/>
        <v>0</v>
      </c>
      <c r="AO387" s="11">
        <f t="shared" si="592"/>
        <v>0</v>
      </c>
      <c r="AP387" s="11">
        <f t="shared" si="592"/>
        <v>1</v>
      </c>
      <c r="AQ387" s="11">
        <f t="shared" si="592"/>
        <v>0</v>
      </c>
      <c r="AR387" s="11">
        <f t="shared" si="592"/>
        <v>0</v>
      </c>
      <c r="AS387" s="11">
        <f t="shared" si="592"/>
        <v>1</v>
      </c>
      <c r="AT387" s="11">
        <f t="shared" si="592"/>
        <v>0</v>
      </c>
      <c r="AU387" s="11">
        <f t="shared" ref="AU387:BQ387" si="593">IF(AND(OR(AU386=1,AU$11=$E$385),NOT(AU385=1)),1,0)</f>
        <v>0</v>
      </c>
      <c r="AV387" s="11">
        <f t="shared" si="593"/>
        <v>1</v>
      </c>
      <c r="AW387" s="11">
        <f t="shared" si="593"/>
        <v>0</v>
      </c>
      <c r="AX387" s="11">
        <f t="shared" si="593"/>
        <v>0</v>
      </c>
      <c r="AY387" s="11">
        <f t="shared" si="593"/>
        <v>1</v>
      </c>
      <c r="AZ387" s="11">
        <f t="shared" si="593"/>
        <v>0</v>
      </c>
      <c r="BA387" s="11">
        <f t="shared" si="593"/>
        <v>0</v>
      </c>
      <c r="BB387" s="11">
        <f t="shared" si="593"/>
        <v>1</v>
      </c>
      <c r="BC387" s="11">
        <f t="shared" si="593"/>
        <v>0</v>
      </c>
      <c r="BD387" s="11">
        <f t="shared" si="593"/>
        <v>0</v>
      </c>
      <c r="BE387" s="11">
        <f t="shared" si="593"/>
        <v>1</v>
      </c>
      <c r="BF387" s="11">
        <f t="shared" si="593"/>
        <v>0</v>
      </c>
      <c r="BG387" s="11">
        <f t="shared" si="593"/>
        <v>0</v>
      </c>
      <c r="BH387" s="11">
        <f t="shared" si="593"/>
        <v>1</v>
      </c>
      <c r="BI387" s="11">
        <f t="shared" si="593"/>
        <v>0</v>
      </c>
      <c r="BJ387" s="11">
        <f t="shared" si="593"/>
        <v>0</v>
      </c>
      <c r="BK387" s="11">
        <f t="shared" si="593"/>
        <v>1</v>
      </c>
      <c r="BL387" s="11">
        <f t="shared" si="593"/>
        <v>0</v>
      </c>
      <c r="BM387" s="11">
        <f t="shared" si="593"/>
        <v>0</v>
      </c>
      <c r="BN387" s="11">
        <f t="shared" si="593"/>
        <v>1</v>
      </c>
      <c r="BO387" s="11">
        <f t="shared" si="593"/>
        <v>0</v>
      </c>
      <c r="BP387" s="11">
        <f t="shared" si="593"/>
        <v>1</v>
      </c>
      <c r="BQ387" s="11">
        <f t="shared" si="593"/>
        <v>1</v>
      </c>
    </row>
    <row r="388" spans="3:69" s="11" customFormat="1" ht="13.5" customHeight="1" collapsed="1"/>
    <row r="389" spans="3:69" ht="13.5" customHeight="1">
      <c r="C389" s="1" t="s">
        <v>350</v>
      </c>
      <c r="O389" s="1">
        <v>0</v>
      </c>
      <c r="P389" s="1">
        <f ca="1">O392</f>
        <v>0</v>
      </c>
      <c r="Q389" s="1">
        <f t="shared" ref="Q389" ca="1" si="594">P392</f>
        <v>0</v>
      </c>
      <c r="R389" s="1">
        <f t="shared" ref="R389" ca="1" si="595">Q392</f>
        <v>0</v>
      </c>
      <c r="S389" s="1">
        <f t="shared" ref="S389" ca="1" si="596">R392</f>
        <v>0</v>
      </c>
      <c r="T389" s="1">
        <f t="shared" ref="T389" ca="1" si="597">S392</f>
        <v>0</v>
      </c>
      <c r="U389" s="1">
        <f t="shared" ref="U389" ca="1" si="598">T392</f>
        <v>0</v>
      </c>
      <c r="V389" s="1">
        <f t="shared" ref="V389" ca="1" si="599">U392</f>
        <v>0</v>
      </c>
      <c r="W389" s="1">
        <f t="shared" ref="W389" ca="1" si="600">V392</f>
        <v>0</v>
      </c>
      <c r="X389" s="1">
        <f t="shared" ref="X389" ca="1" si="601">W392</f>
        <v>0</v>
      </c>
      <c r="Y389" s="1">
        <f t="shared" ref="Y389" ca="1" si="602">X392</f>
        <v>0</v>
      </c>
      <c r="Z389" s="1">
        <f t="shared" ref="Z389" ca="1" si="603">Y392</f>
        <v>0</v>
      </c>
      <c r="AA389" s="1">
        <f t="shared" ref="AA389" ca="1" si="604">Z392</f>
        <v>0</v>
      </c>
      <c r="AB389" s="1">
        <f t="shared" ref="AB389" ca="1" si="605">AA392</f>
        <v>0</v>
      </c>
      <c r="AC389" s="1">
        <f t="shared" ref="AC389" ca="1" si="606">AB392</f>
        <v>0</v>
      </c>
      <c r="AD389" s="1">
        <f t="shared" ref="AD389" ca="1" si="607">AC392</f>
        <v>0</v>
      </c>
      <c r="AE389" s="1">
        <f t="shared" ref="AE389" ca="1" si="608">AD392</f>
        <v>12683.082670227104</v>
      </c>
      <c r="AF389" s="1">
        <f t="shared" ref="AF389" ca="1" si="609">AE392</f>
        <v>12683.082907969008</v>
      </c>
      <c r="AG389" s="1">
        <f t="shared" ref="AG389" ca="1" si="610">AF392</f>
        <v>12683.083151337432</v>
      </c>
      <c r="AH389" s="1">
        <f t="shared" ref="AH389" ca="1" si="611">AG392</f>
        <v>12683.083465192061</v>
      </c>
      <c r="AI389" s="1">
        <f t="shared" ref="AI389" ca="1" si="612">AH392</f>
        <v>12683.083860179311</v>
      </c>
      <c r="AJ389" s="1">
        <f t="shared" ref="AJ389" ca="1" si="613">AI392</f>
        <v>12683.084251790058</v>
      </c>
      <c r="AK389" s="1">
        <f t="shared" ref="AK389" ca="1" si="614">AJ392</f>
        <v>12683.084636379592</v>
      </c>
      <c r="AL389" s="1">
        <f t="shared" ref="AL389" ca="1" si="615">AK392</f>
        <v>12683.085020209664</v>
      </c>
      <c r="AM389" s="1">
        <f t="shared" ref="AM389" ca="1" si="616">AL392</f>
        <v>12683.085401773886</v>
      </c>
      <c r="AN389" s="1">
        <f t="shared" ref="AN389" ca="1" si="617">AM392</f>
        <v>12683.085781340329</v>
      </c>
      <c r="AO389" s="1">
        <f t="shared" ref="AO389" ca="1" si="618">AN392</f>
        <v>12683.086158738028</v>
      </c>
      <c r="AP389" s="1">
        <f t="shared" ref="AP389" ca="1" si="619">AO392</f>
        <v>12683.08653595113</v>
      </c>
      <c r="AQ389" s="1">
        <f t="shared" ref="AQ389" ca="1" si="620">AP392</f>
        <v>12683.086911174849</v>
      </c>
      <c r="AR389" s="1">
        <f t="shared" ref="AR389" ca="1" si="621">AQ392</f>
        <v>12683.087284052917</v>
      </c>
      <c r="AS389" s="1">
        <f t="shared" ref="AS389" ca="1" si="622">AR392</f>
        <v>12683.08765709064</v>
      </c>
      <c r="AT389" s="1">
        <f t="shared" ref="AT389" ca="1" si="623">AS392</f>
        <v>12683.088025981817</v>
      </c>
      <c r="AU389" s="1">
        <f t="shared" ref="AU389" ca="1" si="624">AT392</f>
        <v>12683.088396359859</v>
      </c>
      <c r="AV389" s="1">
        <f t="shared" ref="AV389" ca="1" si="625">AU392</f>
        <v>12683.088764996137</v>
      </c>
      <c r="AW389" s="1">
        <f t="shared" ref="AW389" ca="1" si="626">AV392</f>
        <v>12683.089127818159</v>
      </c>
      <c r="AX389" s="1">
        <f t="shared" ref="AX389" ca="1" si="627">AW392</f>
        <v>12683.089493403724</v>
      </c>
      <c r="AY389" s="1">
        <f t="shared" ref="AY389" ca="1" si="628">AX392</f>
        <v>12683.089856211591</v>
      </c>
      <c r="AZ389" s="1">
        <f t="shared" ref="AZ389" ca="1" si="629">AY392</f>
        <v>12683.090219002488</v>
      </c>
      <c r="BA389" s="1">
        <f t="shared" ref="BA389" ca="1" si="630">AZ392</f>
        <v>12683.090581727163</v>
      </c>
      <c r="BB389" s="1">
        <f t="shared" ref="BB389" ca="1" si="631">BA392</f>
        <v>12683.090944444841</v>
      </c>
      <c r="BC389" s="1">
        <f t="shared" ref="BC389" ca="1" si="632">BB392</f>
        <v>12683.091302119492</v>
      </c>
      <c r="BD389" s="1">
        <f t="shared" ref="BD389" ca="1" si="633">BC392</f>
        <v>12683.091654619024</v>
      </c>
      <c r="BE389" s="1">
        <f t="shared" ref="BE389" ca="1" si="634">BD392</f>
        <v>12683.091948646892</v>
      </c>
      <c r="BF389" s="1">
        <f t="shared" ref="BF389" ca="1" si="635">BE392</f>
        <v>12683.092179181656</v>
      </c>
      <c r="BG389" s="1">
        <f t="shared" ref="BG389" ca="1" si="636">BF392</f>
        <v>12683.092404598276</v>
      </c>
      <c r="BH389" s="1">
        <f t="shared" ref="BH389" ca="1" si="637">BG392</f>
        <v>12683.092573537382</v>
      </c>
      <c r="BI389" s="1">
        <f t="shared" ref="BI389" ca="1" si="638">BH392</f>
        <v>12683.092686142523</v>
      </c>
      <c r="BJ389" s="1">
        <f t="shared" ref="BJ389" ca="1" si="639">BI392</f>
        <v>12683.092798877729</v>
      </c>
      <c r="BK389" s="1">
        <f t="shared" ref="BK389" ca="1" si="640">BJ392</f>
        <v>12683.092915096029</v>
      </c>
      <c r="BL389" s="1">
        <f t="shared" ref="BL389" ca="1" si="641">BK392</f>
        <v>12683.093035064876</v>
      </c>
      <c r="BM389" s="1">
        <f t="shared" ref="BM389" ca="1" si="642">BL392</f>
        <v>12683.093155307879</v>
      </c>
      <c r="BN389" s="1">
        <f t="shared" ref="BN389" ca="1" si="643">BM392</f>
        <v>12683.093278534792</v>
      </c>
      <c r="BO389" s="1">
        <f t="shared" ref="BO389" ca="1" si="644">BN392</f>
        <v>12683.093405007183</v>
      </c>
      <c r="BP389" s="1">
        <f t="shared" ref="BP389" ca="1" si="645">BO392</f>
        <v>12683.093531660788</v>
      </c>
      <c r="BQ389" s="1">
        <f t="shared" ref="BQ389" ca="1" si="646">BP392</f>
        <v>0</v>
      </c>
    </row>
    <row r="390" spans="3:69" ht="13.5" customHeight="1">
      <c r="C390" s="1" t="s">
        <v>418</v>
      </c>
      <c r="O390" s="1">
        <f ca="1">현금흐름!I40</f>
        <v>0</v>
      </c>
      <c r="P390" s="1">
        <f ca="1">현금흐름!J40</f>
        <v>0</v>
      </c>
      <c r="Q390" s="1">
        <f ca="1">현금흐름!K40</f>
        <v>0</v>
      </c>
      <c r="R390" s="1">
        <f ca="1">현금흐름!L40</f>
        <v>0</v>
      </c>
      <c r="S390" s="1">
        <f ca="1">현금흐름!M40</f>
        <v>0</v>
      </c>
      <c r="T390" s="1">
        <f ca="1">현금흐름!N40</f>
        <v>0</v>
      </c>
      <c r="U390" s="1">
        <f ca="1">현금흐름!O40</f>
        <v>0</v>
      </c>
      <c r="V390" s="1">
        <f ca="1">현금흐름!P40</f>
        <v>0</v>
      </c>
      <c r="W390" s="1">
        <f ca="1">현금흐름!Q40</f>
        <v>0</v>
      </c>
      <c r="X390" s="1">
        <f ca="1">현금흐름!R40</f>
        <v>0</v>
      </c>
      <c r="Y390" s="1">
        <f ca="1">현금흐름!S40</f>
        <v>0</v>
      </c>
      <c r="Z390" s="1">
        <f ca="1">현금흐름!T40</f>
        <v>0</v>
      </c>
      <c r="AA390" s="1">
        <f ca="1">현금흐름!U40</f>
        <v>0</v>
      </c>
      <c r="AB390" s="1">
        <f ca="1">현금흐름!V40</f>
        <v>0</v>
      </c>
      <c r="AC390" s="1">
        <f ca="1">현금흐름!W40</f>
        <v>0</v>
      </c>
      <c r="AD390" s="1">
        <f ca="1">현금흐름!X40</f>
        <v>12683.082438554171</v>
      </c>
      <c r="AE390" s="1">
        <f ca="1">현금흐름!Y40</f>
        <v>0</v>
      </c>
      <c r="AF390" s="1">
        <f ca="1">현금흐름!Z40</f>
        <v>0</v>
      </c>
      <c r="AG390" s="1">
        <f ca="1">현금흐름!AA40</f>
        <v>0</v>
      </c>
      <c r="AH390" s="1">
        <f ca="1">현금흐름!AB40</f>
        <v>0</v>
      </c>
      <c r="AI390" s="1">
        <f ca="1">현금흐름!AC40</f>
        <v>0</v>
      </c>
      <c r="AJ390" s="1">
        <f ca="1">현금흐름!AD40</f>
        <v>0</v>
      </c>
      <c r="AK390" s="1">
        <f ca="1">현금흐름!AE40</f>
        <v>0</v>
      </c>
      <c r="AL390" s="1">
        <f ca="1">현금흐름!AF40</f>
        <v>0</v>
      </c>
      <c r="AM390" s="1">
        <f ca="1">현금흐름!AG40</f>
        <v>0</v>
      </c>
      <c r="AN390" s="1">
        <f ca="1">현금흐름!AH40</f>
        <v>0</v>
      </c>
      <c r="AO390" s="1">
        <f ca="1">현금흐름!AI40</f>
        <v>0</v>
      </c>
      <c r="AP390" s="1">
        <f ca="1">현금흐름!AJ40</f>
        <v>0</v>
      </c>
      <c r="AQ390" s="1">
        <f ca="1">현금흐름!AK40</f>
        <v>0</v>
      </c>
      <c r="AR390" s="1">
        <f ca="1">현금흐름!AL40</f>
        <v>0</v>
      </c>
      <c r="AS390" s="1">
        <f ca="1">현금흐름!AM40</f>
        <v>0</v>
      </c>
      <c r="AT390" s="1">
        <f ca="1">현금흐름!AN40</f>
        <v>0</v>
      </c>
      <c r="AU390" s="1">
        <f ca="1">현금흐름!AO40</f>
        <v>0</v>
      </c>
      <c r="AV390" s="1">
        <f ca="1">현금흐름!AP40</f>
        <v>0</v>
      </c>
      <c r="AW390" s="1">
        <f ca="1">현금흐름!AQ40</f>
        <v>0</v>
      </c>
      <c r="AX390" s="1">
        <f ca="1">현금흐름!AR40</f>
        <v>0</v>
      </c>
      <c r="AY390" s="1">
        <f ca="1">현금흐름!AS40</f>
        <v>0</v>
      </c>
      <c r="AZ390" s="1">
        <f ca="1">현금흐름!AT40</f>
        <v>0</v>
      </c>
      <c r="BA390" s="1">
        <f ca="1">현금흐름!AU40</f>
        <v>0</v>
      </c>
      <c r="BB390" s="1">
        <f ca="1">현금흐름!AV40</f>
        <v>0</v>
      </c>
      <c r="BC390" s="1">
        <f ca="1">현금흐름!AW40</f>
        <v>0</v>
      </c>
      <c r="BD390" s="1">
        <f ca="1">현금흐름!AX40</f>
        <v>0</v>
      </c>
      <c r="BE390" s="1">
        <f ca="1">현금흐름!AY40</f>
        <v>0</v>
      </c>
      <c r="BF390" s="1">
        <f ca="1">현금흐름!AZ40</f>
        <v>0</v>
      </c>
      <c r="BG390" s="1">
        <f ca="1">현금흐름!BA40</f>
        <v>0</v>
      </c>
      <c r="BH390" s="1">
        <f ca="1">현금흐름!BB40</f>
        <v>0</v>
      </c>
      <c r="BI390" s="1">
        <f ca="1">현금흐름!BC40</f>
        <v>0</v>
      </c>
      <c r="BJ390" s="1">
        <f ca="1">현금흐름!BD40</f>
        <v>0</v>
      </c>
      <c r="BK390" s="1">
        <f ca="1">현금흐름!BE40</f>
        <v>0</v>
      </c>
      <c r="BL390" s="1">
        <f ca="1">현금흐름!BF40</f>
        <v>0</v>
      </c>
      <c r="BM390" s="1">
        <f ca="1">현금흐름!BG40</f>
        <v>0</v>
      </c>
      <c r="BN390" s="1">
        <f ca="1">현금흐름!BH40</f>
        <v>0</v>
      </c>
      <c r="BO390" s="1">
        <f ca="1">현금흐름!BI40</f>
        <v>0</v>
      </c>
      <c r="BP390" s="1">
        <f ca="1">현금흐름!BJ40</f>
        <v>0</v>
      </c>
      <c r="BQ390" s="1">
        <f ca="1">현금흐름!BK40</f>
        <v>0</v>
      </c>
    </row>
    <row r="391" spans="3:69" ht="13.5" customHeight="1">
      <c r="C391" s="1" t="s">
        <v>419</v>
      </c>
      <c r="O391" s="1">
        <f ca="1">현금흐름!I43</f>
        <v>0</v>
      </c>
      <c r="P391" s="1">
        <f ca="1">현금흐름!J43</f>
        <v>0</v>
      </c>
      <c r="Q391" s="1">
        <f ca="1">현금흐름!K43</f>
        <v>0</v>
      </c>
      <c r="R391" s="1">
        <f ca="1">현금흐름!L43</f>
        <v>0</v>
      </c>
      <c r="S391" s="1">
        <f ca="1">현금흐름!M43</f>
        <v>0</v>
      </c>
      <c r="T391" s="1">
        <f ca="1">현금흐름!N43</f>
        <v>0</v>
      </c>
      <c r="U391" s="1">
        <f ca="1">현금흐름!O43</f>
        <v>0</v>
      </c>
      <c r="V391" s="1">
        <f ca="1">현금흐름!P43</f>
        <v>0</v>
      </c>
      <c r="W391" s="1">
        <f ca="1">현금흐름!Q43</f>
        <v>0</v>
      </c>
      <c r="X391" s="1">
        <f ca="1">현금흐름!R43</f>
        <v>0</v>
      </c>
      <c r="Y391" s="1">
        <f ca="1">현금흐름!S43</f>
        <v>0</v>
      </c>
      <c r="Z391" s="1">
        <f ca="1">현금흐름!T43</f>
        <v>0</v>
      </c>
      <c r="AA391" s="1">
        <f ca="1">현금흐름!U43</f>
        <v>0</v>
      </c>
      <c r="AB391" s="1">
        <f ca="1">현금흐름!V43</f>
        <v>0</v>
      </c>
      <c r="AC391" s="1">
        <f ca="1">현금흐름!W43</f>
        <v>0</v>
      </c>
      <c r="AD391" s="1">
        <f ca="1">현금흐름!X43</f>
        <v>0</v>
      </c>
      <c r="AE391" s="1">
        <f ca="1">현금흐름!Y43</f>
        <v>0</v>
      </c>
      <c r="AF391" s="1">
        <f ca="1">현금흐름!Z43</f>
        <v>0</v>
      </c>
      <c r="AG391" s="1">
        <f ca="1">현금흐름!AA43</f>
        <v>0</v>
      </c>
      <c r="AH391" s="1">
        <f ca="1">현금흐름!AB43</f>
        <v>0</v>
      </c>
      <c r="AI391" s="1">
        <f ca="1">현금흐름!AC43</f>
        <v>0</v>
      </c>
      <c r="AJ391" s="1">
        <f ca="1">현금흐름!AD43</f>
        <v>0</v>
      </c>
      <c r="AK391" s="1">
        <f ca="1">현금흐름!AE43</f>
        <v>0</v>
      </c>
      <c r="AL391" s="1">
        <f ca="1">현금흐름!AF43</f>
        <v>0</v>
      </c>
      <c r="AM391" s="1">
        <f ca="1">현금흐름!AG43</f>
        <v>0</v>
      </c>
      <c r="AN391" s="1">
        <f ca="1">현금흐름!AH43</f>
        <v>0</v>
      </c>
      <c r="AO391" s="1">
        <f ca="1">현금흐름!AI43</f>
        <v>0</v>
      </c>
      <c r="AP391" s="1">
        <f ca="1">현금흐름!AJ43</f>
        <v>0</v>
      </c>
      <c r="AQ391" s="1">
        <f ca="1">현금흐름!AK43</f>
        <v>0</v>
      </c>
      <c r="AR391" s="1">
        <f ca="1">현금흐름!AL43</f>
        <v>0</v>
      </c>
      <c r="AS391" s="1">
        <f ca="1">현금흐름!AM43</f>
        <v>0</v>
      </c>
      <c r="AT391" s="1">
        <f ca="1">현금흐름!AN43</f>
        <v>0</v>
      </c>
      <c r="AU391" s="1">
        <f ca="1">현금흐름!AO43</f>
        <v>0</v>
      </c>
      <c r="AV391" s="1">
        <f ca="1">현금흐름!AP43</f>
        <v>0</v>
      </c>
      <c r="AW391" s="1">
        <f ca="1">현금흐름!AQ43</f>
        <v>0</v>
      </c>
      <c r="AX391" s="1">
        <f ca="1">현금흐름!AR43</f>
        <v>0</v>
      </c>
      <c r="AY391" s="1">
        <f ca="1">현금흐름!AS43</f>
        <v>0</v>
      </c>
      <c r="AZ391" s="1">
        <f ca="1">현금흐름!AT43</f>
        <v>0</v>
      </c>
      <c r="BA391" s="1">
        <f ca="1">현금흐름!AU43</f>
        <v>0</v>
      </c>
      <c r="BB391" s="1">
        <f ca="1">현금흐름!AV43</f>
        <v>0</v>
      </c>
      <c r="BC391" s="1">
        <f ca="1">현금흐름!AW43</f>
        <v>0</v>
      </c>
      <c r="BD391" s="1">
        <f ca="1">현금흐름!AX43</f>
        <v>0</v>
      </c>
      <c r="BE391" s="1">
        <f ca="1">현금흐름!AY43</f>
        <v>0</v>
      </c>
      <c r="BF391" s="1">
        <f ca="1">현금흐름!AZ43</f>
        <v>0</v>
      </c>
      <c r="BG391" s="1">
        <f ca="1">현금흐름!BA43</f>
        <v>0</v>
      </c>
      <c r="BH391" s="1">
        <f ca="1">현금흐름!BB43</f>
        <v>0</v>
      </c>
      <c r="BI391" s="1">
        <f ca="1">현금흐름!BC43</f>
        <v>0</v>
      </c>
      <c r="BJ391" s="1">
        <f ca="1">현금흐름!BD43</f>
        <v>0</v>
      </c>
      <c r="BK391" s="1">
        <f ca="1">현금흐름!BE43</f>
        <v>0</v>
      </c>
      <c r="BL391" s="1">
        <f ca="1">현금흐름!BF43</f>
        <v>0</v>
      </c>
      <c r="BM391" s="1">
        <f ca="1">현금흐름!BG43</f>
        <v>0</v>
      </c>
      <c r="BN391" s="1">
        <f ca="1">현금흐름!BH43</f>
        <v>0</v>
      </c>
      <c r="BO391" s="1">
        <f ca="1">현금흐름!BI43</f>
        <v>0</v>
      </c>
      <c r="BP391" s="1">
        <f ca="1">현금흐름!BJ43</f>
        <v>-12683.093531660788</v>
      </c>
      <c r="BQ391" s="1">
        <f ca="1">현금흐름!BK43</f>
        <v>0</v>
      </c>
    </row>
    <row r="392" spans="3:69" ht="13.5" customHeight="1">
      <c r="C392" s="22" t="s">
        <v>352</v>
      </c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>
        <f ca="1">SUM(O389:O391)</f>
        <v>0</v>
      </c>
      <c r="P392" s="22">
        <f t="shared" ref="P392:BQ392" ca="1" si="647">SUM(P389:P391)</f>
        <v>0</v>
      </c>
      <c r="Q392" s="22">
        <f t="shared" ca="1" si="647"/>
        <v>0</v>
      </c>
      <c r="R392" s="22">
        <f t="shared" ca="1" si="647"/>
        <v>0</v>
      </c>
      <c r="S392" s="22">
        <f t="shared" ca="1" si="647"/>
        <v>0</v>
      </c>
      <c r="T392" s="22">
        <f t="shared" ca="1" si="647"/>
        <v>0</v>
      </c>
      <c r="U392" s="22">
        <f t="shared" ca="1" si="647"/>
        <v>0</v>
      </c>
      <c r="V392" s="22">
        <f t="shared" ca="1" si="647"/>
        <v>0</v>
      </c>
      <c r="W392" s="22">
        <f t="shared" ca="1" si="647"/>
        <v>0</v>
      </c>
      <c r="X392" s="22">
        <f t="shared" ca="1" si="647"/>
        <v>0</v>
      </c>
      <c r="Y392" s="22">
        <f t="shared" ca="1" si="647"/>
        <v>0</v>
      </c>
      <c r="Z392" s="22">
        <f t="shared" ca="1" si="647"/>
        <v>0</v>
      </c>
      <c r="AA392" s="22">
        <f t="shared" ca="1" si="647"/>
        <v>0</v>
      </c>
      <c r="AB392" s="22">
        <f t="shared" ca="1" si="647"/>
        <v>0</v>
      </c>
      <c r="AC392" s="22">
        <f t="shared" ca="1" si="647"/>
        <v>0</v>
      </c>
      <c r="AD392" s="22">
        <f t="shared" ca="1" si="647"/>
        <v>12683.082438554171</v>
      </c>
      <c r="AE392" s="22">
        <f t="shared" ca="1" si="647"/>
        <v>12683.082670227104</v>
      </c>
      <c r="AF392" s="22">
        <f t="shared" ca="1" si="647"/>
        <v>12683.082907969008</v>
      </c>
      <c r="AG392" s="22">
        <f t="shared" ca="1" si="647"/>
        <v>12683.083151337432</v>
      </c>
      <c r="AH392" s="22">
        <f t="shared" ca="1" si="647"/>
        <v>12683.083465192061</v>
      </c>
      <c r="AI392" s="22">
        <f t="shared" ca="1" si="647"/>
        <v>12683.083860179311</v>
      </c>
      <c r="AJ392" s="22">
        <f t="shared" ca="1" si="647"/>
        <v>12683.084251790058</v>
      </c>
      <c r="AK392" s="22">
        <f t="shared" ca="1" si="647"/>
        <v>12683.084636379592</v>
      </c>
      <c r="AL392" s="22">
        <f t="shared" ca="1" si="647"/>
        <v>12683.085020209664</v>
      </c>
      <c r="AM392" s="22">
        <f t="shared" ca="1" si="647"/>
        <v>12683.085401773886</v>
      </c>
      <c r="AN392" s="22">
        <f t="shared" ca="1" si="647"/>
        <v>12683.085781340329</v>
      </c>
      <c r="AO392" s="22">
        <f t="shared" ca="1" si="647"/>
        <v>12683.086158738028</v>
      </c>
      <c r="AP392" s="22">
        <f t="shared" ca="1" si="647"/>
        <v>12683.08653595113</v>
      </c>
      <c r="AQ392" s="22">
        <f t="shared" ca="1" si="647"/>
        <v>12683.086911174849</v>
      </c>
      <c r="AR392" s="22">
        <f t="shared" ca="1" si="647"/>
        <v>12683.087284052917</v>
      </c>
      <c r="AS392" s="22">
        <f t="shared" ca="1" si="647"/>
        <v>12683.08765709064</v>
      </c>
      <c r="AT392" s="22">
        <f t="shared" ca="1" si="647"/>
        <v>12683.088025981817</v>
      </c>
      <c r="AU392" s="22">
        <f t="shared" ca="1" si="647"/>
        <v>12683.088396359859</v>
      </c>
      <c r="AV392" s="22">
        <f t="shared" ca="1" si="647"/>
        <v>12683.088764996137</v>
      </c>
      <c r="AW392" s="22">
        <f t="shared" ca="1" si="647"/>
        <v>12683.089127818159</v>
      </c>
      <c r="AX392" s="22">
        <f t="shared" ca="1" si="647"/>
        <v>12683.089493403724</v>
      </c>
      <c r="AY392" s="22">
        <f t="shared" ca="1" si="647"/>
        <v>12683.089856211591</v>
      </c>
      <c r="AZ392" s="22">
        <f t="shared" ca="1" si="647"/>
        <v>12683.090219002488</v>
      </c>
      <c r="BA392" s="22">
        <f t="shared" ca="1" si="647"/>
        <v>12683.090581727163</v>
      </c>
      <c r="BB392" s="22">
        <f t="shared" ca="1" si="647"/>
        <v>12683.090944444841</v>
      </c>
      <c r="BC392" s="22">
        <f t="shared" ca="1" si="647"/>
        <v>12683.091302119492</v>
      </c>
      <c r="BD392" s="22">
        <f t="shared" ca="1" si="647"/>
        <v>12683.091654619024</v>
      </c>
      <c r="BE392" s="22">
        <f t="shared" ca="1" si="647"/>
        <v>12683.091948646892</v>
      </c>
      <c r="BF392" s="22">
        <f t="shared" ca="1" si="647"/>
        <v>12683.092179181656</v>
      </c>
      <c r="BG392" s="22">
        <f t="shared" ca="1" si="647"/>
        <v>12683.092404598276</v>
      </c>
      <c r="BH392" s="22">
        <f t="shared" ca="1" si="647"/>
        <v>12683.092573537382</v>
      </c>
      <c r="BI392" s="22">
        <f t="shared" ca="1" si="647"/>
        <v>12683.092686142523</v>
      </c>
      <c r="BJ392" s="22">
        <f t="shared" ca="1" si="647"/>
        <v>12683.092798877729</v>
      </c>
      <c r="BK392" s="22">
        <f t="shared" ca="1" si="647"/>
        <v>12683.092915096029</v>
      </c>
      <c r="BL392" s="22">
        <f t="shared" ca="1" si="647"/>
        <v>12683.093035064876</v>
      </c>
      <c r="BM392" s="22">
        <f t="shared" ca="1" si="647"/>
        <v>12683.093155307879</v>
      </c>
      <c r="BN392" s="22">
        <f t="shared" ca="1" si="647"/>
        <v>12683.093278534792</v>
      </c>
      <c r="BO392" s="22">
        <f t="shared" ca="1" si="647"/>
        <v>12683.093405007183</v>
      </c>
      <c r="BP392" s="22">
        <f t="shared" ca="1" si="647"/>
        <v>0</v>
      </c>
      <c r="BQ392" s="22">
        <f t="shared" ca="1" si="647"/>
        <v>0</v>
      </c>
    </row>
    <row r="393" spans="3:69" ht="13.5" customHeight="1">
      <c r="C393" s="102" t="s">
        <v>353</v>
      </c>
      <c r="D393" s="102"/>
      <c r="E393" s="102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>
        <f ca="1">AVERAGE(O389,O392)</f>
        <v>0</v>
      </c>
      <c r="P393" s="102">
        <f t="shared" ref="P393:BQ393" ca="1" si="648">AVERAGE(P389,P392)</f>
        <v>0</v>
      </c>
      <c r="Q393" s="102">
        <f t="shared" ca="1" si="648"/>
        <v>0</v>
      </c>
      <c r="R393" s="102">
        <f t="shared" ca="1" si="648"/>
        <v>0</v>
      </c>
      <c r="S393" s="102">
        <f t="shared" ca="1" si="648"/>
        <v>0</v>
      </c>
      <c r="T393" s="102">
        <f t="shared" ca="1" si="648"/>
        <v>0</v>
      </c>
      <c r="U393" s="102">
        <f t="shared" ca="1" si="648"/>
        <v>0</v>
      </c>
      <c r="V393" s="102">
        <f t="shared" ca="1" si="648"/>
        <v>0</v>
      </c>
      <c r="W393" s="102">
        <f t="shared" ca="1" si="648"/>
        <v>0</v>
      </c>
      <c r="X393" s="102">
        <f t="shared" ca="1" si="648"/>
        <v>0</v>
      </c>
      <c r="Y393" s="102">
        <f t="shared" ca="1" si="648"/>
        <v>0</v>
      </c>
      <c r="Z393" s="102">
        <f t="shared" ca="1" si="648"/>
        <v>0</v>
      </c>
      <c r="AA393" s="102">
        <f t="shared" ca="1" si="648"/>
        <v>0</v>
      </c>
      <c r="AB393" s="102">
        <f t="shared" ca="1" si="648"/>
        <v>0</v>
      </c>
      <c r="AC393" s="102">
        <f t="shared" ca="1" si="648"/>
        <v>0</v>
      </c>
      <c r="AD393" s="102">
        <f t="shared" ca="1" si="648"/>
        <v>6341.5412192770855</v>
      </c>
      <c r="AE393" s="102">
        <f t="shared" ca="1" si="648"/>
        <v>12683.082670227104</v>
      </c>
      <c r="AF393" s="102">
        <f t="shared" ca="1" si="648"/>
        <v>12683.082907969008</v>
      </c>
      <c r="AG393" s="102">
        <f t="shared" ca="1" si="648"/>
        <v>12683.083151337432</v>
      </c>
      <c r="AH393" s="102">
        <f t="shared" ca="1" si="648"/>
        <v>12683.083465192061</v>
      </c>
      <c r="AI393" s="102">
        <f t="shared" ca="1" si="648"/>
        <v>12683.083860179311</v>
      </c>
      <c r="AJ393" s="102">
        <f t="shared" ca="1" si="648"/>
        <v>12683.084251790058</v>
      </c>
      <c r="AK393" s="102">
        <f t="shared" ca="1" si="648"/>
        <v>12683.084636379592</v>
      </c>
      <c r="AL393" s="102">
        <f t="shared" ca="1" si="648"/>
        <v>12683.085020209664</v>
      </c>
      <c r="AM393" s="102">
        <f t="shared" ca="1" si="648"/>
        <v>12683.085401773886</v>
      </c>
      <c r="AN393" s="102">
        <f t="shared" ca="1" si="648"/>
        <v>12683.085781340329</v>
      </c>
      <c r="AO393" s="102">
        <f t="shared" ca="1" si="648"/>
        <v>12683.086158738028</v>
      </c>
      <c r="AP393" s="102">
        <f t="shared" ca="1" si="648"/>
        <v>12683.08653595113</v>
      </c>
      <c r="AQ393" s="102">
        <f t="shared" ca="1" si="648"/>
        <v>12683.086911174849</v>
      </c>
      <c r="AR393" s="102">
        <f t="shared" ca="1" si="648"/>
        <v>12683.087284052917</v>
      </c>
      <c r="AS393" s="102">
        <f t="shared" ca="1" si="648"/>
        <v>12683.08765709064</v>
      </c>
      <c r="AT393" s="102">
        <f t="shared" ca="1" si="648"/>
        <v>12683.088025981817</v>
      </c>
      <c r="AU393" s="102">
        <f t="shared" ca="1" si="648"/>
        <v>12683.088396359859</v>
      </c>
      <c r="AV393" s="102">
        <f t="shared" ca="1" si="648"/>
        <v>12683.088764996137</v>
      </c>
      <c r="AW393" s="102">
        <f t="shared" ca="1" si="648"/>
        <v>12683.089127818159</v>
      </c>
      <c r="AX393" s="102">
        <f t="shared" ca="1" si="648"/>
        <v>12683.089493403724</v>
      </c>
      <c r="AY393" s="102">
        <f t="shared" ca="1" si="648"/>
        <v>12683.089856211591</v>
      </c>
      <c r="AZ393" s="102">
        <f t="shared" ca="1" si="648"/>
        <v>12683.090219002488</v>
      </c>
      <c r="BA393" s="102">
        <f t="shared" ca="1" si="648"/>
        <v>12683.090581727163</v>
      </c>
      <c r="BB393" s="102">
        <f t="shared" ca="1" si="648"/>
        <v>12683.090944444841</v>
      </c>
      <c r="BC393" s="102">
        <f t="shared" ca="1" si="648"/>
        <v>12683.091302119492</v>
      </c>
      <c r="BD393" s="102">
        <f t="shared" ca="1" si="648"/>
        <v>12683.091654619024</v>
      </c>
      <c r="BE393" s="102">
        <f t="shared" ca="1" si="648"/>
        <v>12683.091948646892</v>
      </c>
      <c r="BF393" s="102">
        <f t="shared" ca="1" si="648"/>
        <v>12683.092179181656</v>
      </c>
      <c r="BG393" s="102">
        <f t="shared" ca="1" si="648"/>
        <v>12683.092404598276</v>
      </c>
      <c r="BH393" s="102">
        <f t="shared" ca="1" si="648"/>
        <v>12683.092573537382</v>
      </c>
      <c r="BI393" s="102">
        <f t="shared" ca="1" si="648"/>
        <v>12683.092686142523</v>
      </c>
      <c r="BJ393" s="102">
        <f t="shared" ca="1" si="648"/>
        <v>12683.092798877729</v>
      </c>
      <c r="BK393" s="102">
        <f t="shared" ca="1" si="648"/>
        <v>12683.092915096029</v>
      </c>
      <c r="BL393" s="102">
        <f t="shared" ca="1" si="648"/>
        <v>12683.093035064876</v>
      </c>
      <c r="BM393" s="102">
        <f t="shared" ca="1" si="648"/>
        <v>12683.093155307879</v>
      </c>
      <c r="BN393" s="102">
        <f t="shared" ca="1" si="648"/>
        <v>12683.093278534792</v>
      </c>
      <c r="BO393" s="102">
        <f t="shared" ca="1" si="648"/>
        <v>12683.093405007183</v>
      </c>
      <c r="BP393" s="102">
        <f t="shared" ca="1" si="648"/>
        <v>6341.5467658303942</v>
      </c>
      <c r="BQ393" s="102">
        <f t="shared" ca="1" si="648"/>
        <v>0</v>
      </c>
    </row>
    <row r="394" spans="3:69" ht="13.5" customHeight="1">
      <c r="C394" s="102" t="s">
        <v>420</v>
      </c>
      <c r="D394" s="102"/>
      <c r="E394" s="294">
        <f>'A&amp;R'!Z38</f>
        <v>0.05</v>
      </c>
      <c r="F394" s="102"/>
      <c r="G394" s="102"/>
      <c r="H394" s="102"/>
      <c r="I394" s="102"/>
      <c r="J394" s="102"/>
      <c r="K394" s="102"/>
      <c r="L394" s="102"/>
      <c r="M394" s="102">
        <f ca="1">SUM(N394:XFD394)</f>
        <v>2008.15576444776</v>
      </c>
      <c r="N394" s="102"/>
      <c r="O394" s="102">
        <f t="shared" ref="O394:AT394" ca="1" si="649">O393*$E$394/12*(O11&lt;=Exit)</f>
        <v>0</v>
      </c>
      <c r="P394" s="102">
        <f t="shared" ca="1" si="649"/>
        <v>0</v>
      </c>
      <c r="Q394" s="102">
        <f t="shared" ca="1" si="649"/>
        <v>0</v>
      </c>
      <c r="R394" s="102">
        <f t="shared" ca="1" si="649"/>
        <v>0</v>
      </c>
      <c r="S394" s="102">
        <f t="shared" ca="1" si="649"/>
        <v>0</v>
      </c>
      <c r="T394" s="102">
        <f t="shared" ca="1" si="649"/>
        <v>0</v>
      </c>
      <c r="U394" s="102">
        <f t="shared" ca="1" si="649"/>
        <v>0</v>
      </c>
      <c r="V394" s="102">
        <f t="shared" ca="1" si="649"/>
        <v>0</v>
      </c>
      <c r="W394" s="102">
        <f t="shared" ca="1" si="649"/>
        <v>0</v>
      </c>
      <c r="X394" s="102">
        <f t="shared" ca="1" si="649"/>
        <v>0</v>
      </c>
      <c r="Y394" s="102">
        <f t="shared" ca="1" si="649"/>
        <v>0</v>
      </c>
      <c r="Z394" s="102">
        <f t="shared" ca="1" si="649"/>
        <v>0</v>
      </c>
      <c r="AA394" s="102">
        <f t="shared" ca="1" si="649"/>
        <v>0</v>
      </c>
      <c r="AB394" s="102">
        <f t="shared" ca="1" si="649"/>
        <v>0</v>
      </c>
      <c r="AC394" s="102">
        <f t="shared" ca="1" si="649"/>
        <v>0</v>
      </c>
      <c r="AD394" s="102">
        <f t="shared" ca="1" si="649"/>
        <v>26.423088413654526</v>
      </c>
      <c r="AE394" s="102">
        <f t="shared" ca="1" si="649"/>
        <v>52.846177792612934</v>
      </c>
      <c r="AF394" s="102">
        <f t="shared" ca="1" si="649"/>
        <v>52.846178783204209</v>
      </c>
      <c r="AG394" s="102">
        <f t="shared" ca="1" si="649"/>
        <v>52.846179797239301</v>
      </c>
      <c r="AH394" s="102">
        <f t="shared" ca="1" si="649"/>
        <v>52.846181104966924</v>
      </c>
      <c r="AI394" s="102">
        <f t="shared" ca="1" si="649"/>
        <v>52.84618275074714</v>
      </c>
      <c r="AJ394" s="102">
        <f t="shared" ca="1" si="649"/>
        <v>52.846184382458581</v>
      </c>
      <c r="AK394" s="102">
        <f t="shared" ca="1" si="649"/>
        <v>52.846185984914968</v>
      </c>
      <c r="AL394" s="102">
        <f t="shared" ca="1" si="649"/>
        <v>52.846187584206938</v>
      </c>
      <c r="AM394" s="102">
        <f t="shared" ca="1" si="649"/>
        <v>52.846189174057862</v>
      </c>
      <c r="AN394" s="102">
        <f t="shared" ca="1" si="649"/>
        <v>52.846190755584708</v>
      </c>
      <c r="AO394" s="102">
        <f t="shared" ca="1" si="649"/>
        <v>52.846192328075119</v>
      </c>
      <c r="AP394" s="102">
        <f t="shared" ca="1" si="649"/>
        <v>52.846193899796383</v>
      </c>
      <c r="AQ394" s="102">
        <f t="shared" ca="1" si="649"/>
        <v>52.846195463228547</v>
      </c>
      <c r="AR394" s="102">
        <f t="shared" ca="1" si="649"/>
        <v>52.846197016887153</v>
      </c>
      <c r="AS394" s="102">
        <f t="shared" ca="1" si="649"/>
        <v>52.846198571211005</v>
      </c>
      <c r="AT394" s="102">
        <f t="shared" ca="1" si="649"/>
        <v>52.84620010825757</v>
      </c>
      <c r="AU394" s="102">
        <f t="shared" ref="AU394:BQ394" ca="1" si="650">AU393*$E$394/12*(AU11&lt;=Exit)</f>
        <v>52.84620165149942</v>
      </c>
      <c r="AV394" s="102">
        <f t="shared" ca="1" si="650"/>
        <v>52.846203187483901</v>
      </c>
      <c r="AW394" s="102">
        <f t="shared" ca="1" si="650"/>
        <v>52.846204699242328</v>
      </c>
      <c r="AX394" s="102">
        <f t="shared" ca="1" si="650"/>
        <v>52.846206222515519</v>
      </c>
      <c r="AY394" s="102">
        <f t="shared" ca="1" si="650"/>
        <v>52.846207734214964</v>
      </c>
      <c r="AZ394" s="102">
        <f t="shared" ca="1" si="650"/>
        <v>52.846209245843703</v>
      </c>
      <c r="BA394" s="102">
        <f t="shared" ca="1" si="650"/>
        <v>52.846210757196523</v>
      </c>
      <c r="BB394" s="102">
        <f t="shared" ca="1" si="650"/>
        <v>52.846212268520169</v>
      </c>
      <c r="BC394" s="102">
        <f t="shared" ca="1" si="650"/>
        <v>52.846213758831219</v>
      </c>
      <c r="BD394" s="102">
        <f t="shared" ca="1" si="650"/>
        <v>52.846215227579272</v>
      </c>
      <c r="BE394" s="102">
        <f t="shared" ca="1" si="650"/>
        <v>52.846216452695387</v>
      </c>
      <c r="BF394" s="102">
        <f t="shared" ca="1" si="650"/>
        <v>52.846217413256909</v>
      </c>
      <c r="BG394" s="102">
        <f t="shared" ca="1" si="650"/>
        <v>52.846218352492819</v>
      </c>
      <c r="BH394" s="102">
        <f t="shared" ca="1" si="650"/>
        <v>52.846219056405765</v>
      </c>
      <c r="BI394" s="102">
        <f t="shared" ca="1" si="650"/>
        <v>52.846219525593852</v>
      </c>
      <c r="BJ394" s="102">
        <f t="shared" ca="1" si="650"/>
        <v>52.846219995323878</v>
      </c>
      <c r="BK394" s="102">
        <f t="shared" ca="1" si="650"/>
        <v>52.846220479566796</v>
      </c>
      <c r="BL394" s="102">
        <f t="shared" ca="1" si="650"/>
        <v>52.846220979436985</v>
      </c>
      <c r="BM394" s="102">
        <f t="shared" ca="1" si="650"/>
        <v>52.846221480449493</v>
      </c>
      <c r="BN394" s="102">
        <f t="shared" ca="1" si="650"/>
        <v>52.846221993894972</v>
      </c>
      <c r="BO394" s="102">
        <f t="shared" ca="1" si="650"/>
        <v>52.846222520863272</v>
      </c>
      <c r="BP394" s="102">
        <f t="shared" ca="1" si="650"/>
        <v>26.423111524293308</v>
      </c>
      <c r="BQ394" s="102">
        <f t="shared" ca="1" si="650"/>
        <v>0</v>
      </c>
    </row>
    <row r="395" spans="3:69" ht="13.5" customHeight="1">
      <c r="C395" s="139" t="s">
        <v>421</v>
      </c>
      <c r="D395" s="139"/>
      <c r="E395" s="296">
        <f>'A&amp;R'!AA38</f>
        <v>3</v>
      </c>
      <c r="F395" s="139"/>
      <c r="G395" s="139"/>
      <c r="H395" s="139"/>
      <c r="I395" s="139"/>
      <c r="J395" s="139"/>
      <c r="K395" s="139"/>
      <c r="L395" s="297" t="b">
        <f ca="1">ABS(M394-M395)&lt;0.001</f>
        <v>1</v>
      </c>
      <c r="M395" s="139">
        <f ca="1">SUM(N395:XFD395)</f>
        <v>2008.15576444776</v>
      </c>
      <c r="N395" s="139"/>
      <c r="O395" s="139">
        <f ca="1">(SUM($O394:O394)-SUM($N395:N395))*O387</f>
        <v>0</v>
      </c>
      <c r="P395" s="139">
        <f ca="1">(SUM($O394:P394)-SUM($N395:O395))*P387</f>
        <v>0</v>
      </c>
      <c r="Q395" s="139">
        <f ca="1">(SUM($O394:Q394)-SUM($N395:P395))*Q387</f>
        <v>0</v>
      </c>
      <c r="R395" s="139">
        <f ca="1">(SUM($O394:R394)-SUM($N395:Q395))*R387</f>
        <v>0</v>
      </c>
      <c r="S395" s="139">
        <f ca="1">(SUM($O394:S394)-SUM($N395:R395))*S387</f>
        <v>0</v>
      </c>
      <c r="T395" s="139">
        <f ca="1">(SUM($O394:T394)-SUM($N395:S395))*T387</f>
        <v>0</v>
      </c>
      <c r="U395" s="139">
        <f ca="1">(SUM($O394:U394)-SUM($N395:T395))*U387</f>
        <v>0</v>
      </c>
      <c r="V395" s="139">
        <f ca="1">(SUM($O394:V394)-SUM($N395:U395))*V387</f>
        <v>0</v>
      </c>
      <c r="W395" s="139">
        <f ca="1">(SUM($O394:W394)-SUM($N395:V395))*W387</f>
        <v>0</v>
      </c>
      <c r="X395" s="139">
        <f ca="1">(SUM($O394:X394)-SUM($N395:W395))*X387</f>
        <v>0</v>
      </c>
      <c r="Y395" s="139">
        <f ca="1">(SUM($O394:Y394)-SUM($N395:X395))*Y387</f>
        <v>0</v>
      </c>
      <c r="Z395" s="139">
        <f ca="1">(SUM($O394:Z394)-SUM($N395:Y395))*Z387</f>
        <v>0</v>
      </c>
      <c r="AA395" s="139">
        <f ca="1">(SUM($O394:AA394)-SUM($N395:Z395))*AA387</f>
        <v>0</v>
      </c>
      <c r="AB395" s="139">
        <f ca="1">(SUM($O394:AB394)-SUM($N395:AA395))*AB387</f>
        <v>0</v>
      </c>
      <c r="AC395" s="139">
        <f ca="1">(SUM($O394:AC394)-SUM($N395:AB395))*AC387</f>
        <v>0</v>
      </c>
      <c r="AD395" s="139">
        <f ca="1">(SUM($O394:AD394)-SUM($N395:AC395))*AD387</f>
        <v>0</v>
      </c>
      <c r="AE395" s="139">
        <f ca="1">(SUM($O394:AE394)-SUM($N395:AD395))*AE387</f>
        <v>0</v>
      </c>
      <c r="AF395" s="139">
        <f ca="1">(SUM($O394:AF394)-SUM($N395:AE395))*AF387</f>
        <v>0</v>
      </c>
      <c r="AG395" s="139">
        <f ca="1">(SUM($O394:AG394)-SUM($N395:AF395))*AG387</f>
        <v>184.96162478671096</v>
      </c>
      <c r="AH395" s="139">
        <f ca="1">(SUM($O394:AH394)-SUM($N395:AG395))*AH387</f>
        <v>0</v>
      </c>
      <c r="AI395" s="139">
        <f ca="1">(SUM($O394:AI394)-SUM($N395:AH395))*AI387</f>
        <v>0</v>
      </c>
      <c r="AJ395" s="139">
        <f ca="1">(SUM($O394:AJ394)-SUM($N395:AI395))*AJ387</f>
        <v>158.53854823817267</v>
      </c>
      <c r="AK395" s="139">
        <f ca="1">(SUM($O394:AK394)-SUM($N395:AJ395))*AK387</f>
        <v>0</v>
      </c>
      <c r="AL395" s="139">
        <f ca="1">(SUM($O394:AL394)-SUM($N395:AK395))*AL387</f>
        <v>0</v>
      </c>
      <c r="AM395" s="139">
        <f ca="1">(SUM($O394:AM394)-SUM($N395:AL395))*AM387</f>
        <v>158.53856274317974</v>
      </c>
      <c r="AN395" s="139">
        <f ca="1">(SUM($O394:AN394)-SUM($N395:AM395))*AN387</f>
        <v>0</v>
      </c>
      <c r="AO395" s="139">
        <f ca="1">(SUM($O394:AO394)-SUM($N395:AN395))*AO387</f>
        <v>0</v>
      </c>
      <c r="AP395" s="139">
        <f ca="1">(SUM($O394:AP394)-SUM($N395:AO395))*AP387</f>
        <v>158.53857698345632</v>
      </c>
      <c r="AQ395" s="139">
        <f ca="1">(SUM($O394:AQ394)-SUM($N395:AP395))*AQ387</f>
        <v>0</v>
      </c>
      <c r="AR395" s="139">
        <f ca="1">(SUM($O394:AR394)-SUM($N395:AQ395))*AR387</f>
        <v>0</v>
      </c>
      <c r="AS395" s="139">
        <f ca="1">(SUM($O394:AS394)-SUM($N395:AR395))*AS387</f>
        <v>158.53859105132665</v>
      </c>
      <c r="AT395" s="139">
        <f ca="1">(SUM($O394:AT394)-SUM($N395:AS395))*AT387</f>
        <v>0</v>
      </c>
      <c r="AU395" s="139">
        <f ca="1">(SUM($O394:AU394)-SUM($N395:AT395))*AU387</f>
        <v>0</v>
      </c>
      <c r="AV395" s="139">
        <f ca="1">(SUM($O394:AV394)-SUM($N395:AU395))*AV387</f>
        <v>158.53860494724086</v>
      </c>
      <c r="AW395" s="139">
        <f ca="1">(SUM($O394:AW394)-SUM($N395:AV395))*AW387</f>
        <v>0</v>
      </c>
      <c r="AX395" s="139">
        <f ca="1">(SUM($O394:AX394)-SUM($N395:AW395))*AX387</f>
        <v>0</v>
      </c>
      <c r="AY395" s="139">
        <f ca="1">(SUM($O394:AY394)-SUM($N395:AX395))*AY387</f>
        <v>158.53861865597287</v>
      </c>
      <c r="AZ395" s="139">
        <f ca="1">(SUM($O394:AZ394)-SUM($N395:AY395))*AZ387</f>
        <v>0</v>
      </c>
      <c r="BA395" s="139">
        <f ca="1">(SUM($O394:BA394)-SUM($N395:AZ395))*BA387</f>
        <v>0</v>
      </c>
      <c r="BB395" s="139">
        <f ca="1">(SUM($O394:BB394)-SUM($N395:BA395))*BB387</f>
        <v>158.53863227156057</v>
      </c>
      <c r="BC395" s="139">
        <f ca="1">(SUM($O394:BC394)-SUM($N395:BB395))*BC387</f>
        <v>0</v>
      </c>
      <c r="BD395" s="139">
        <f ca="1">(SUM($O394:BD394)-SUM($N395:BC395))*BD387</f>
        <v>0</v>
      </c>
      <c r="BE395" s="139">
        <f ca="1">(SUM($O394:BE394)-SUM($N395:BD395))*BE387</f>
        <v>158.53864543910595</v>
      </c>
      <c r="BF395" s="139">
        <f ca="1">(SUM($O394:BF394)-SUM($N395:BE395))*BF387</f>
        <v>0</v>
      </c>
      <c r="BG395" s="139">
        <f ca="1">(SUM($O394:BG394)-SUM($N395:BF395))*BG387</f>
        <v>0</v>
      </c>
      <c r="BH395" s="139">
        <f ca="1">(SUM($O394:BH394)-SUM($N395:BG395))*BH387</f>
        <v>158.53865482215542</v>
      </c>
      <c r="BI395" s="139">
        <f ca="1">(SUM($O394:BI394)-SUM($N395:BH395))*BI387</f>
        <v>0</v>
      </c>
      <c r="BJ395" s="139">
        <f ca="1">(SUM($O394:BJ394)-SUM($N395:BI395))*BJ387</f>
        <v>0</v>
      </c>
      <c r="BK395" s="139">
        <f ca="1">(SUM($O394:BK394)-SUM($N395:BJ395))*BK387</f>
        <v>158.53866000048447</v>
      </c>
      <c r="BL395" s="139">
        <f ca="1">(SUM($O394:BL394)-SUM($N395:BK395))*BL387</f>
        <v>0</v>
      </c>
      <c r="BM395" s="139">
        <f ca="1">(SUM($O394:BM394)-SUM($N395:BL395))*BM387</f>
        <v>0</v>
      </c>
      <c r="BN395" s="139">
        <f ca="1">(SUM($O394:BN394)-SUM($N395:BM395))*BN387</f>
        <v>158.53866445378139</v>
      </c>
      <c r="BO395" s="139">
        <f ca="1">(SUM($O394:BO394)-SUM($N395:BN395))*BO387</f>
        <v>0</v>
      </c>
      <c r="BP395" s="139">
        <f ca="1">(SUM($O394:BP394)-SUM($N395:BO395))*BP387</f>
        <v>79.269334045156484</v>
      </c>
      <c r="BQ395" s="139">
        <f ca="1">(SUM($O394:BQ394)-SUM($N395:BP395))*BQ387</f>
        <v>0</v>
      </c>
    </row>
    <row r="399" spans="3:69" s="11" customFormat="1" ht="13.5" hidden="1" customHeight="1" outlineLevel="1">
      <c r="D399" s="11" t="b">
        <f ca="1">L12</f>
        <v>1</v>
      </c>
      <c r="E399" s="11" t="b">
        <f>L24</f>
        <v>1</v>
      </c>
      <c r="F399" s="11" t="b">
        <f ca="1">L27</f>
        <v>1</v>
      </c>
      <c r="G399" s="11" t="b">
        <f ca="1">L78</f>
        <v>1</v>
      </c>
      <c r="H399" s="11" t="b">
        <f>L100</f>
        <v>1</v>
      </c>
      <c r="I399" s="11" t="b">
        <f>L103</f>
        <v>1</v>
      </c>
      <c r="J399" s="11" t="b">
        <f ca="1">L109</f>
        <v>1</v>
      </c>
      <c r="K399" s="11" t="b">
        <f ca="1">L140</f>
        <v>1</v>
      </c>
      <c r="L399" s="11" t="b">
        <f ca="1">E352</f>
        <v>1</v>
      </c>
      <c r="M399" s="11" t="b">
        <f ca="1">L352</f>
        <v>1</v>
      </c>
    </row>
    <row r="400" spans="3:69" s="11" customFormat="1" ht="13.5" hidden="1" customHeight="1" outlineLevel="1">
      <c r="D400" s="11" t="b">
        <f>L366</f>
        <v>1</v>
      </c>
      <c r="E400" s="11" t="b">
        <f>L381</f>
        <v>1</v>
      </c>
      <c r="F400" s="11" t="b">
        <f ca="1">L395</f>
        <v>1</v>
      </c>
    </row>
    <row r="401" ht="13.5" customHeight="1" collapsed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6</xdr:col>
                    <xdr:colOff>220980</xdr:colOff>
                    <xdr:row>94</xdr:row>
                    <xdr:rowOff>83820</xdr:rowOff>
                  </from>
                  <to>
                    <xdr:col>8</xdr:col>
                    <xdr:colOff>464820</xdr:colOff>
                    <xdr:row>95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9</xdr:col>
                    <xdr:colOff>175260</xdr:colOff>
                    <xdr:row>94</xdr:row>
                    <xdr:rowOff>76200</xdr:rowOff>
                  </from>
                  <to>
                    <xdr:col>11</xdr:col>
                    <xdr:colOff>419100</xdr:colOff>
                    <xdr:row>95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54"/>
  <sheetViews>
    <sheetView showGridLines="0" topLeftCell="A19" workbookViewId="0">
      <selection activeCell="C56" sqref="C56"/>
    </sheetView>
  </sheetViews>
  <sheetFormatPr defaultColWidth="9" defaultRowHeight="13.5" customHeight="1"/>
  <cols>
    <col min="1" max="1" width="3.3984375" style="1" customWidth="1"/>
    <col min="2" max="16384" width="9" style="1"/>
  </cols>
  <sheetData>
    <row r="1" spans="1:55" ht="12.9" customHeight="1"/>
    <row r="2" spans="1:55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55" ht="12.9" customHeight="1">
      <c r="AB3" s="6" t="s">
        <v>3</v>
      </c>
      <c r="AC3" s="7" t="s">
        <v>4</v>
      </c>
      <c r="AD3" s="8" t="s">
        <v>5</v>
      </c>
    </row>
    <row r="4" spans="1:55" ht="12.9" customHeight="1">
      <c r="AB4" s="9" t="s">
        <v>6</v>
      </c>
      <c r="AC4" s="10" t="s">
        <v>7</v>
      </c>
      <c r="AD4" s="11" t="s">
        <v>8</v>
      </c>
    </row>
    <row r="5" spans="1:55" s="12" customFormat="1" ht="12.9" customHeight="1" thickBot="1"/>
    <row r="6" spans="1:55" ht="12.9" customHeight="1" thickTop="1">
      <c r="A6" s="1" t="s">
        <v>9</v>
      </c>
      <c r="AD6" s="13">
        <v>44381</v>
      </c>
    </row>
    <row r="7" spans="1:55" ht="12.9" customHeight="1">
      <c r="A7" s="14" t="s">
        <v>13</v>
      </c>
    </row>
    <row r="8" spans="1:55" s="82" customFormat="1" ht="13.5" customHeight="1">
      <c r="B8" s="69" t="s">
        <v>98</v>
      </c>
      <c r="C8" s="68"/>
      <c r="D8" s="83">
        <v>1</v>
      </c>
      <c r="E8" s="83">
        <v>2</v>
      </c>
      <c r="F8" s="83">
        <v>3</v>
      </c>
      <c r="G8" s="83">
        <v>4</v>
      </c>
      <c r="H8" s="83">
        <v>5</v>
      </c>
      <c r="I8" s="83">
        <v>6</v>
      </c>
      <c r="J8" s="83">
        <v>7</v>
      </c>
      <c r="K8" s="83">
        <v>8</v>
      </c>
      <c r="L8" s="83">
        <v>9</v>
      </c>
      <c r="M8" s="83">
        <v>10</v>
      </c>
      <c r="N8" s="83">
        <v>11</v>
      </c>
      <c r="O8" s="83">
        <v>12</v>
      </c>
      <c r="P8" s="83">
        <v>13</v>
      </c>
      <c r="Q8" s="83">
        <v>14</v>
      </c>
      <c r="R8" s="83">
        <v>15</v>
      </c>
      <c r="S8" s="83">
        <v>16</v>
      </c>
      <c r="T8" s="83">
        <v>17</v>
      </c>
      <c r="U8" s="83">
        <v>18</v>
      </c>
      <c r="V8" s="83">
        <v>19</v>
      </c>
      <c r="W8" s="83">
        <v>20</v>
      </c>
      <c r="X8" s="83">
        <v>21</v>
      </c>
      <c r="Y8" s="83">
        <v>22</v>
      </c>
      <c r="Z8" s="83">
        <v>23</v>
      </c>
      <c r="AA8" s="83">
        <v>24</v>
      </c>
      <c r="AB8" s="83">
        <v>25</v>
      </c>
      <c r="AC8" s="83">
        <v>26</v>
      </c>
      <c r="AD8" s="83">
        <v>27</v>
      </c>
      <c r="AE8" s="83">
        <v>28</v>
      </c>
      <c r="AF8" s="83">
        <v>29</v>
      </c>
      <c r="AG8" s="83">
        <v>30</v>
      </c>
      <c r="AH8" s="83">
        <v>31</v>
      </c>
      <c r="AI8" s="83">
        <v>32</v>
      </c>
      <c r="AJ8" s="83">
        <v>33</v>
      </c>
      <c r="AK8" s="83">
        <v>34</v>
      </c>
      <c r="AL8" s="83">
        <v>35</v>
      </c>
      <c r="AM8" s="83">
        <v>36</v>
      </c>
      <c r="AN8" s="83">
        <v>37</v>
      </c>
      <c r="AO8" s="83">
        <v>38</v>
      </c>
      <c r="AP8" s="83">
        <v>39</v>
      </c>
      <c r="AQ8" s="83">
        <v>40</v>
      </c>
      <c r="AR8" s="83">
        <v>41</v>
      </c>
      <c r="AS8" s="83">
        <v>42</v>
      </c>
      <c r="AT8" s="83">
        <v>43</v>
      </c>
      <c r="AU8" s="83">
        <v>44</v>
      </c>
      <c r="AV8" s="83">
        <v>45</v>
      </c>
      <c r="AW8" s="83">
        <v>46</v>
      </c>
      <c r="AX8" s="83">
        <v>47</v>
      </c>
      <c r="AY8" s="83">
        <v>48</v>
      </c>
      <c r="AZ8" s="83">
        <v>49</v>
      </c>
      <c r="BA8" s="83">
        <v>50</v>
      </c>
      <c r="BB8" s="83">
        <v>51</v>
      </c>
      <c r="BC8" s="83">
        <v>52</v>
      </c>
    </row>
    <row r="9" spans="1:55" s="82" customFormat="1" ht="13.5" customHeight="1">
      <c r="B9" s="84">
        <v>10</v>
      </c>
      <c r="C9" s="85">
        <f>SUM(D9:XFD9)</f>
        <v>1</v>
      </c>
      <c r="D9" s="53">
        <v>2.3800000000000002E-2</v>
      </c>
      <c r="E9" s="53">
        <v>7.3400000000000007E-2</v>
      </c>
      <c r="F9" s="53">
        <v>0.1028</v>
      </c>
      <c r="G9" s="53">
        <v>0.1182</v>
      </c>
      <c r="H9" s="53">
        <v>0.1308</v>
      </c>
      <c r="I9" s="53">
        <v>0.14180000000000001</v>
      </c>
      <c r="J9" s="53">
        <v>0.13420000000000001</v>
      </c>
      <c r="K9" s="53">
        <v>0.1232</v>
      </c>
      <c r="L9" s="53">
        <v>9.5000000000000001E-2</v>
      </c>
      <c r="M9" s="53">
        <v>5.6800000000000003E-2</v>
      </c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</row>
    <row r="10" spans="1:55" s="82" customFormat="1" ht="13.5" customHeight="1">
      <c r="B10" s="84">
        <v>11</v>
      </c>
      <c r="C10" s="85">
        <f t="shared" ref="C10:C51" si="0">SUM(D10:XFD10)</f>
        <v>1</v>
      </c>
      <c r="D10" s="53">
        <v>1.8599999999999998E-2</v>
      </c>
      <c r="E10" s="53">
        <v>6.2799999999999995E-2</v>
      </c>
      <c r="F10" s="53">
        <v>8.8300000000000003E-2</v>
      </c>
      <c r="G10" s="53">
        <v>0.1038</v>
      </c>
      <c r="H10" s="53">
        <v>0.1148</v>
      </c>
      <c r="I10" s="53">
        <v>0.1236</v>
      </c>
      <c r="J10" s="53">
        <v>0.1293</v>
      </c>
      <c r="K10" s="53">
        <v>0.11840000000000001</v>
      </c>
      <c r="L10" s="53">
        <v>0.10920000000000001</v>
      </c>
      <c r="M10" s="53">
        <v>8.1199999999999994E-2</v>
      </c>
      <c r="N10" s="53">
        <v>0.05</v>
      </c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</row>
    <row r="11" spans="1:55" s="82" customFormat="1" ht="13.5" customHeight="1">
      <c r="B11" s="84">
        <v>12</v>
      </c>
      <c r="C11" s="85">
        <f t="shared" si="0"/>
        <v>1</v>
      </c>
      <c r="D11" s="53">
        <v>1.4999999999999999E-2</v>
      </c>
      <c r="E11" s="53">
        <v>5.4300000000000001E-2</v>
      </c>
      <c r="F11" s="53">
        <v>7.5700000000000003E-2</v>
      </c>
      <c r="G11" s="53">
        <v>9.2999999999999999E-2</v>
      </c>
      <c r="H11" s="53">
        <v>0.1013</v>
      </c>
      <c r="I11" s="53">
        <v>0.10970000000000001</v>
      </c>
      <c r="J11" s="53">
        <v>0.1177</v>
      </c>
      <c r="K11" s="53">
        <v>0.115</v>
      </c>
      <c r="L11" s="53">
        <v>0.10630000000000001</v>
      </c>
      <c r="M11" s="53">
        <v>9.6299999999999997E-2</v>
      </c>
      <c r="N11" s="53">
        <v>7.0999999999999994E-2</v>
      </c>
      <c r="O11" s="53">
        <v>4.4699999999999997E-2</v>
      </c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</row>
    <row r="12" spans="1:55" s="82" customFormat="1" ht="13.5" customHeight="1">
      <c r="B12" s="84">
        <v>13</v>
      </c>
      <c r="C12" s="85">
        <f t="shared" si="0"/>
        <v>0.99999999999999989</v>
      </c>
      <c r="D12" s="53">
        <v>1.2E-2</v>
      </c>
      <c r="E12" s="53">
        <v>4.7399999999999998E-2</v>
      </c>
      <c r="F12" s="53">
        <v>6.6600000000000006E-2</v>
      </c>
      <c r="G12" s="53">
        <v>8.2699999999999996E-2</v>
      </c>
      <c r="H12" s="53">
        <v>9.0399999999999994E-2</v>
      </c>
      <c r="I12" s="53">
        <v>9.8500000000000004E-2</v>
      </c>
      <c r="J12" s="53">
        <v>0.1046</v>
      </c>
      <c r="K12" s="53">
        <v>0.1103</v>
      </c>
      <c r="L12" s="53">
        <v>0.1027</v>
      </c>
      <c r="M12" s="53">
        <v>9.6199999999999994E-2</v>
      </c>
      <c r="N12" s="53">
        <v>8.5800000000000001E-2</v>
      </c>
      <c r="O12" s="53">
        <v>6.2600000000000003E-2</v>
      </c>
      <c r="P12" s="53">
        <v>4.02E-2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</row>
    <row r="13" spans="1:55" s="82" customFormat="1" ht="13.5" customHeight="1">
      <c r="B13" s="84">
        <v>14</v>
      </c>
      <c r="C13" s="85">
        <f t="shared" si="0"/>
        <v>1</v>
      </c>
      <c r="D13" s="53">
        <v>9.2999999999999992E-3</v>
      </c>
      <c r="E13" s="53">
        <v>4.2299999999999997E-2</v>
      </c>
      <c r="F13" s="53">
        <v>5.8400000000000001E-2</v>
      </c>
      <c r="G13" s="53">
        <v>7.3999999999999996E-2</v>
      </c>
      <c r="H13" s="53">
        <v>8.1900000000000001E-2</v>
      </c>
      <c r="I13" s="53">
        <v>8.8700000000000001E-2</v>
      </c>
      <c r="J13" s="53">
        <v>9.4399999999999998E-2</v>
      </c>
      <c r="K13" s="53">
        <v>0.10009999999999999</v>
      </c>
      <c r="L13" s="53">
        <v>0.1009</v>
      </c>
      <c r="M13" s="53">
        <v>9.3299999999999994E-2</v>
      </c>
      <c r="N13" s="53">
        <v>8.7999999999999995E-2</v>
      </c>
      <c r="O13" s="53">
        <v>7.6100000000000001E-2</v>
      </c>
      <c r="P13" s="53">
        <v>5.6300000000000003E-2</v>
      </c>
      <c r="Q13" s="53">
        <v>3.6299999999999999E-2</v>
      </c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</row>
    <row r="14" spans="1:55" s="82" customFormat="1" ht="13.5" customHeight="1">
      <c r="B14" s="84">
        <v>15</v>
      </c>
      <c r="C14" s="85">
        <f t="shared" si="0"/>
        <v>0.99999999999999989</v>
      </c>
      <c r="D14" s="53">
        <v>6.8999999999999999E-3</v>
      </c>
      <c r="E14" s="53">
        <v>3.7900000000000003E-2</v>
      </c>
      <c r="F14" s="53">
        <v>5.2299999999999999E-2</v>
      </c>
      <c r="G14" s="53">
        <v>6.59E-2</v>
      </c>
      <c r="H14" s="53">
        <v>7.4899999999999994E-2</v>
      </c>
      <c r="I14" s="53">
        <v>8.0199999999999994E-2</v>
      </c>
      <c r="J14" s="53">
        <v>8.6099999999999996E-2</v>
      </c>
      <c r="K14" s="53">
        <v>9.0700000000000003E-2</v>
      </c>
      <c r="L14" s="53">
        <v>9.5899999999999999E-2</v>
      </c>
      <c r="M14" s="53">
        <v>9.0899999999999995E-2</v>
      </c>
      <c r="N14" s="53">
        <v>8.5500000000000007E-2</v>
      </c>
      <c r="O14" s="53">
        <v>8.1000000000000003E-2</v>
      </c>
      <c r="P14" s="53">
        <v>6.8099999999999994E-2</v>
      </c>
      <c r="Q14" s="53">
        <v>5.0799999999999998E-2</v>
      </c>
      <c r="R14" s="53">
        <v>3.2899999999999999E-2</v>
      </c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</row>
    <row r="15" spans="1:55" s="82" customFormat="1" ht="13.5" customHeight="1">
      <c r="B15" s="84">
        <v>16</v>
      </c>
      <c r="C15" s="85">
        <f t="shared" si="0"/>
        <v>1</v>
      </c>
      <c r="D15" s="53">
        <v>5.0000000000000001E-3</v>
      </c>
      <c r="E15" s="53">
        <v>3.4000000000000002E-2</v>
      </c>
      <c r="F15" s="53">
        <v>4.7E-2</v>
      </c>
      <c r="G15" s="53">
        <v>5.8999999999999997E-2</v>
      </c>
      <c r="H15" s="53">
        <v>6.9000000000000006E-2</v>
      </c>
      <c r="I15" s="53">
        <v>7.2999999999999995E-2</v>
      </c>
      <c r="J15" s="53">
        <v>7.9000000000000001E-2</v>
      </c>
      <c r="K15" s="53">
        <v>8.3000000000000004E-2</v>
      </c>
      <c r="L15" s="53">
        <v>8.6999999999999994E-2</v>
      </c>
      <c r="M15" s="53">
        <v>0.09</v>
      </c>
      <c r="N15" s="53">
        <v>8.3000000000000004E-2</v>
      </c>
      <c r="O15" s="53">
        <v>7.9000000000000001E-2</v>
      </c>
      <c r="P15" s="53">
        <v>7.4999999999999997E-2</v>
      </c>
      <c r="Q15" s="53">
        <v>6.0999999999999999E-2</v>
      </c>
      <c r="R15" s="53">
        <v>4.5999999999999999E-2</v>
      </c>
      <c r="S15" s="53">
        <v>0.03</v>
      </c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</row>
    <row r="16" spans="1:55" s="82" customFormat="1" ht="13.5" customHeight="1">
      <c r="B16" s="84">
        <v>17</v>
      </c>
      <c r="C16" s="85">
        <f t="shared" si="0"/>
        <v>1</v>
      </c>
      <c r="D16" s="53">
        <v>4.4000000000000003E-3</v>
      </c>
      <c r="E16" s="53">
        <v>0.03</v>
      </c>
      <c r="F16" s="53">
        <v>4.2599999999999999E-2</v>
      </c>
      <c r="G16" s="53">
        <v>5.3199999999999997E-2</v>
      </c>
      <c r="H16" s="53">
        <v>6.3E-2</v>
      </c>
      <c r="I16" s="53">
        <v>6.7500000000000004E-2</v>
      </c>
      <c r="J16" s="53">
        <v>7.22E-2</v>
      </c>
      <c r="K16" s="53">
        <v>7.6399999999999996E-2</v>
      </c>
      <c r="L16" s="53">
        <v>0.08</v>
      </c>
      <c r="M16" s="53">
        <v>8.4400000000000003E-2</v>
      </c>
      <c r="N16" s="53">
        <v>8.1799999999999998E-2</v>
      </c>
      <c r="O16" s="53">
        <v>7.6899999999999996E-2</v>
      </c>
      <c r="P16" s="53">
        <v>7.3400000000000007E-2</v>
      </c>
      <c r="Q16" s="53">
        <v>6.8400000000000002E-2</v>
      </c>
      <c r="R16" s="53">
        <v>5.5399999999999998E-2</v>
      </c>
      <c r="S16" s="53">
        <v>4.2500000000000003E-2</v>
      </c>
      <c r="T16" s="53">
        <v>2.7900000000000001E-2</v>
      </c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</row>
    <row r="17" spans="2:55" s="82" customFormat="1" ht="13.5" customHeight="1">
      <c r="B17" s="84">
        <v>18</v>
      </c>
      <c r="C17" s="85">
        <f t="shared" si="0"/>
        <v>1</v>
      </c>
      <c r="D17" s="53">
        <v>4.1999999999999997E-3</v>
      </c>
      <c r="E17" s="53">
        <v>2.64E-2</v>
      </c>
      <c r="F17" s="53">
        <v>3.8800000000000001E-2</v>
      </c>
      <c r="G17" s="53">
        <v>4.8099999999999997E-2</v>
      </c>
      <c r="H17" s="53">
        <v>5.7799999999999997E-2</v>
      </c>
      <c r="I17" s="53">
        <v>6.2799999999999995E-2</v>
      </c>
      <c r="J17" s="53">
        <v>6.6299999999999998E-2</v>
      </c>
      <c r="K17" s="53">
        <v>7.0800000000000002E-2</v>
      </c>
      <c r="L17" s="53">
        <v>7.3899999999999993E-2</v>
      </c>
      <c r="M17" s="53">
        <v>7.7200000000000005E-2</v>
      </c>
      <c r="N17" s="53">
        <v>8.0199999999999994E-2</v>
      </c>
      <c r="O17" s="53">
        <v>7.5200000000000003E-2</v>
      </c>
      <c r="P17" s="53">
        <v>7.17E-2</v>
      </c>
      <c r="Q17" s="53">
        <v>6.8400000000000002E-2</v>
      </c>
      <c r="R17" s="53">
        <v>6.2600000000000003E-2</v>
      </c>
      <c r="S17" s="53">
        <v>5.0299999999999997E-2</v>
      </c>
      <c r="T17" s="53">
        <v>3.9300000000000002E-2</v>
      </c>
      <c r="U17" s="53">
        <v>2.5999999999999999E-2</v>
      </c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</row>
    <row r="18" spans="2:55" s="82" customFormat="1" ht="13.5" customHeight="1">
      <c r="B18" s="84">
        <v>19</v>
      </c>
      <c r="C18" s="85">
        <f t="shared" si="0"/>
        <v>0.99999999999999978</v>
      </c>
      <c r="D18" s="53">
        <v>3.8E-3</v>
      </c>
      <c r="E18" s="53">
        <v>2.3300000000000001E-2</v>
      </c>
      <c r="F18" s="53">
        <v>3.5299999999999998E-2</v>
      </c>
      <c r="G18" s="53">
        <v>4.4299999999999999E-2</v>
      </c>
      <c r="H18" s="53">
        <v>5.2699999999999997E-2</v>
      </c>
      <c r="I18" s="53">
        <v>5.8500000000000003E-2</v>
      </c>
      <c r="J18" s="53">
        <v>6.1400000000000003E-2</v>
      </c>
      <c r="K18" s="53">
        <v>6.5699999999999995E-2</v>
      </c>
      <c r="L18" s="53">
        <v>6.8699999999999997E-2</v>
      </c>
      <c r="M18" s="53">
        <v>7.1599999999999997E-2</v>
      </c>
      <c r="N18" s="53">
        <v>7.4999999999999997E-2</v>
      </c>
      <c r="O18" s="53">
        <v>7.46E-2</v>
      </c>
      <c r="P18" s="53">
        <v>6.9800000000000001E-2</v>
      </c>
      <c r="Q18" s="53">
        <v>6.6900000000000001E-2</v>
      </c>
      <c r="R18" s="53">
        <v>6.4199999999999993E-2</v>
      </c>
      <c r="S18" s="53">
        <v>5.7599999999999998E-2</v>
      </c>
      <c r="T18" s="53">
        <v>4.58E-2</v>
      </c>
      <c r="U18" s="53">
        <v>3.6499999999999998E-2</v>
      </c>
      <c r="V18" s="53">
        <v>2.4299999999999999E-2</v>
      </c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</row>
    <row r="19" spans="2:55" s="82" customFormat="1" ht="13.5" customHeight="1">
      <c r="B19" s="84">
        <v>20</v>
      </c>
      <c r="C19" s="85">
        <f t="shared" si="0"/>
        <v>1</v>
      </c>
      <c r="D19" s="53">
        <v>3.3999999999999998E-3</v>
      </c>
      <c r="E19" s="53">
        <v>2.0400000000000001E-2</v>
      </c>
      <c r="F19" s="53">
        <v>3.2800000000000003E-2</v>
      </c>
      <c r="G19" s="53">
        <v>4.0599999999999997E-2</v>
      </c>
      <c r="H19" s="53">
        <v>4.7800000000000002E-2</v>
      </c>
      <c r="I19" s="53">
        <v>5.5E-2</v>
      </c>
      <c r="J19" s="53">
        <v>5.74E-2</v>
      </c>
      <c r="K19" s="53">
        <v>6.08E-2</v>
      </c>
      <c r="L19" s="53">
        <v>6.4199999999999993E-2</v>
      </c>
      <c r="M19" s="53">
        <v>6.6600000000000006E-2</v>
      </c>
      <c r="N19" s="53">
        <v>6.9400000000000003E-2</v>
      </c>
      <c r="O19" s="53">
        <v>7.2400000000000006E-2</v>
      </c>
      <c r="P19" s="53">
        <v>6.88E-2</v>
      </c>
      <c r="Q19" s="53">
        <v>6.54E-2</v>
      </c>
      <c r="R19" s="53">
        <v>6.3E-2</v>
      </c>
      <c r="S19" s="53">
        <v>6.0199999999999997E-2</v>
      </c>
      <c r="T19" s="53">
        <v>5.2600000000000001E-2</v>
      </c>
      <c r="U19" s="53">
        <v>4.24E-2</v>
      </c>
      <c r="V19" s="53">
        <v>3.4000000000000002E-2</v>
      </c>
      <c r="W19" s="53">
        <v>2.2800000000000001E-2</v>
      </c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</row>
    <row r="20" spans="2:55" s="82" customFormat="1" ht="13.5" customHeight="1">
      <c r="B20" s="84">
        <v>21</v>
      </c>
      <c r="C20" s="85">
        <f t="shared" si="0"/>
        <v>1</v>
      </c>
      <c r="D20" s="53">
        <v>3.2000000000000002E-3</v>
      </c>
      <c r="E20" s="53">
        <v>1.78E-2</v>
      </c>
      <c r="F20" s="53">
        <v>3.0700000000000002E-2</v>
      </c>
      <c r="G20" s="53">
        <v>3.7100000000000001E-2</v>
      </c>
      <c r="H20" s="53">
        <v>4.4499999999999998E-2</v>
      </c>
      <c r="I20" s="53">
        <v>5.0799999999999998E-2</v>
      </c>
      <c r="J20" s="53">
        <v>5.3999999999999999E-2</v>
      </c>
      <c r="K20" s="53">
        <v>5.6399999999999999E-2</v>
      </c>
      <c r="L20" s="53">
        <v>6.0100000000000001E-2</v>
      </c>
      <c r="M20" s="53">
        <v>6.2399999999999997E-2</v>
      </c>
      <c r="N20" s="53">
        <v>6.4799999999999996E-2</v>
      </c>
      <c r="O20" s="53">
        <v>6.7400000000000002E-2</v>
      </c>
      <c r="P20" s="53">
        <v>6.8500000000000005E-2</v>
      </c>
      <c r="Q20" s="53">
        <v>6.4000000000000001E-2</v>
      </c>
      <c r="R20" s="53">
        <v>6.1600000000000002E-2</v>
      </c>
      <c r="S20" s="53">
        <v>5.9200000000000003E-2</v>
      </c>
      <c r="T20" s="53">
        <v>5.7000000000000002E-2</v>
      </c>
      <c r="U20" s="53">
        <v>4.8000000000000001E-2</v>
      </c>
      <c r="V20" s="53">
        <v>3.9399999999999998E-2</v>
      </c>
      <c r="W20" s="53">
        <v>3.1699999999999999E-2</v>
      </c>
      <c r="X20" s="53">
        <v>2.1399999999999999E-2</v>
      </c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</row>
    <row r="21" spans="2:55" s="82" customFormat="1" ht="13.5" customHeight="1">
      <c r="B21" s="84">
        <v>22</v>
      </c>
      <c r="C21" s="85">
        <f t="shared" si="0"/>
        <v>1.0000000000000002</v>
      </c>
      <c r="D21" s="53">
        <v>2.8E-3</v>
      </c>
      <c r="E21" s="53">
        <v>1.5800000000000002E-2</v>
      </c>
      <c r="F21" s="53">
        <v>2.8400000000000002E-2</v>
      </c>
      <c r="G21" s="53">
        <v>3.4500000000000003E-2</v>
      </c>
      <c r="H21" s="53">
        <v>4.1000000000000002E-2</v>
      </c>
      <c r="I21" s="53">
        <v>4.7300000000000002E-2</v>
      </c>
      <c r="J21" s="53">
        <v>5.0799999999999998E-2</v>
      </c>
      <c r="K21" s="53">
        <v>5.2999999999999999E-2</v>
      </c>
      <c r="L21" s="53">
        <v>5.6099999999999997E-2</v>
      </c>
      <c r="M21" s="53">
        <v>5.8700000000000002E-2</v>
      </c>
      <c r="N21" s="53">
        <v>6.0600000000000001E-2</v>
      </c>
      <c r="O21" s="53">
        <v>6.3E-2</v>
      </c>
      <c r="P21" s="53">
        <v>6.5799999999999997E-2</v>
      </c>
      <c r="Q21" s="53">
        <v>6.3500000000000001E-2</v>
      </c>
      <c r="R21" s="53">
        <v>6.0299999999999999E-2</v>
      </c>
      <c r="S21" s="53">
        <v>5.8099999999999999E-2</v>
      </c>
      <c r="T21" s="53">
        <v>5.6000000000000001E-2</v>
      </c>
      <c r="U21" s="53">
        <v>5.3199999999999997E-2</v>
      </c>
      <c r="V21" s="53">
        <v>4.4600000000000001E-2</v>
      </c>
      <c r="W21" s="53">
        <v>3.6499999999999998E-2</v>
      </c>
      <c r="X21" s="53">
        <v>2.98E-2</v>
      </c>
      <c r="Y21" s="53">
        <v>2.0199999999999999E-2</v>
      </c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</row>
    <row r="22" spans="2:55" s="82" customFormat="1" ht="13.5" customHeight="1">
      <c r="B22" s="84">
        <v>23</v>
      </c>
      <c r="C22" s="85">
        <f t="shared" si="0"/>
        <v>1</v>
      </c>
      <c r="D22" s="53">
        <v>2.5999999999999999E-3</v>
      </c>
      <c r="E22" s="53">
        <v>1.4200000000000001E-2</v>
      </c>
      <c r="F22" s="53">
        <v>2.6100000000000002E-2</v>
      </c>
      <c r="G22" s="53">
        <v>3.2300000000000002E-2</v>
      </c>
      <c r="H22" s="53">
        <v>3.7699999999999997E-2</v>
      </c>
      <c r="I22" s="53">
        <v>4.3999999999999997E-2</v>
      </c>
      <c r="J22" s="53">
        <v>4.8000000000000001E-2</v>
      </c>
      <c r="K22" s="53">
        <v>0.05</v>
      </c>
      <c r="L22" s="53">
        <v>5.2499999999999998E-2</v>
      </c>
      <c r="M22" s="53">
        <v>5.5199999999999999E-2</v>
      </c>
      <c r="N22" s="53">
        <v>5.7299999999999997E-2</v>
      </c>
      <c r="O22" s="53">
        <v>5.91E-2</v>
      </c>
      <c r="P22" s="53">
        <v>6.1100000000000002E-2</v>
      </c>
      <c r="Q22" s="53">
        <v>6.3E-2</v>
      </c>
      <c r="R22" s="53">
        <v>5.9499999999999997E-2</v>
      </c>
      <c r="S22" s="53">
        <v>5.6899999999999999E-2</v>
      </c>
      <c r="T22" s="53">
        <v>5.5E-2</v>
      </c>
      <c r="U22" s="53">
        <v>5.3199999999999997E-2</v>
      </c>
      <c r="V22" s="53">
        <v>4.9299999999999997E-2</v>
      </c>
      <c r="W22" s="53">
        <v>4.2000000000000003E-2</v>
      </c>
      <c r="X22" s="53">
        <v>3.3799999999999997E-2</v>
      </c>
      <c r="Y22" s="53">
        <v>2.8199999999999999E-2</v>
      </c>
      <c r="Z22" s="53">
        <v>1.9E-2</v>
      </c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</row>
    <row r="23" spans="2:55" s="82" customFormat="1" ht="13.5" customHeight="1">
      <c r="B23" s="84">
        <v>24</v>
      </c>
      <c r="C23" s="85">
        <f t="shared" si="0"/>
        <v>1</v>
      </c>
      <c r="D23" s="53">
        <v>2.3999999999999998E-3</v>
      </c>
      <c r="E23" s="53">
        <v>1.2699999999999999E-2</v>
      </c>
      <c r="F23" s="53">
        <v>2.4E-2</v>
      </c>
      <c r="G23" s="53">
        <v>3.0300000000000001E-2</v>
      </c>
      <c r="H23" s="53">
        <v>3.5299999999999998E-2</v>
      </c>
      <c r="I23" s="53">
        <v>4.0300000000000002E-2</v>
      </c>
      <c r="J23" s="53">
        <v>4.5699999999999998E-2</v>
      </c>
      <c r="K23" s="53">
        <v>4.7300000000000002E-2</v>
      </c>
      <c r="L23" s="53">
        <v>4.9000000000000002E-2</v>
      </c>
      <c r="M23" s="53">
        <v>5.2299999999999999E-2</v>
      </c>
      <c r="N23" s="53">
        <v>5.3999999999999999E-2</v>
      </c>
      <c r="O23" s="53">
        <v>5.57E-2</v>
      </c>
      <c r="P23" s="53">
        <v>5.7700000000000001E-2</v>
      </c>
      <c r="Q23" s="53">
        <v>0.06</v>
      </c>
      <c r="R23" s="53">
        <v>5.9299999999999999E-2</v>
      </c>
      <c r="S23" s="53">
        <v>5.57E-2</v>
      </c>
      <c r="T23" s="53">
        <v>5.3999999999999999E-2</v>
      </c>
      <c r="U23" s="53">
        <v>5.2299999999999999E-2</v>
      </c>
      <c r="V23" s="53">
        <v>5.0299999999999997E-2</v>
      </c>
      <c r="W23" s="53">
        <v>4.5999999999999999E-2</v>
      </c>
      <c r="X23" s="53">
        <v>3.9699999999999999E-2</v>
      </c>
      <c r="Y23" s="53">
        <v>3.1300000000000001E-2</v>
      </c>
      <c r="Z23" s="53">
        <v>2.6700000000000002E-2</v>
      </c>
      <c r="AA23" s="53">
        <v>1.7999999999999999E-2</v>
      </c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</row>
    <row r="24" spans="2:55" s="82" customFormat="1" ht="13.5" customHeight="1">
      <c r="B24" s="84">
        <v>25</v>
      </c>
      <c r="C24" s="85">
        <f t="shared" si="0"/>
        <v>1</v>
      </c>
      <c r="D24" s="53">
        <v>2E-3</v>
      </c>
      <c r="E24" s="53">
        <v>1.1299999999999999E-2</v>
      </c>
      <c r="F24" s="53">
        <v>2.2599999999999999E-2</v>
      </c>
      <c r="G24" s="53">
        <v>2.8000000000000001E-2</v>
      </c>
      <c r="H24" s="53">
        <v>3.32E-2</v>
      </c>
      <c r="I24" s="53">
        <v>3.7900000000000003E-2</v>
      </c>
      <c r="J24" s="53">
        <v>4.2599999999999999E-2</v>
      </c>
      <c r="K24" s="53">
        <v>4.4999999999999998E-2</v>
      </c>
      <c r="L24" s="53">
        <v>4.6600000000000003E-2</v>
      </c>
      <c r="M24" s="53">
        <v>4.9000000000000002E-2</v>
      </c>
      <c r="N24" s="53">
        <v>5.11E-2</v>
      </c>
      <c r="O24" s="53">
        <v>5.28E-2</v>
      </c>
      <c r="P24" s="53">
        <v>5.4399999999999997E-2</v>
      </c>
      <c r="Q24" s="53">
        <v>5.6000000000000001E-2</v>
      </c>
      <c r="R24" s="53">
        <v>5.8299999999999998E-2</v>
      </c>
      <c r="S24" s="53">
        <v>5.5399999999999998E-2</v>
      </c>
      <c r="T24" s="53">
        <v>5.2999999999999999E-2</v>
      </c>
      <c r="U24" s="53">
        <v>5.1400000000000001E-2</v>
      </c>
      <c r="V24" s="53">
        <v>4.9599999999999998E-2</v>
      </c>
      <c r="W24" s="53">
        <v>4.8000000000000001E-2</v>
      </c>
      <c r="X24" s="53">
        <v>4.2999999999999997E-2</v>
      </c>
      <c r="Y24" s="53">
        <v>3.6700000000000003E-2</v>
      </c>
      <c r="Z24" s="53">
        <v>2.98E-2</v>
      </c>
      <c r="AA24" s="53">
        <v>2.53E-2</v>
      </c>
      <c r="AB24" s="53">
        <v>1.7000000000000001E-2</v>
      </c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</row>
    <row r="25" spans="2:55" s="82" customFormat="1" ht="13.5" customHeight="1">
      <c r="B25" s="84">
        <v>26</v>
      </c>
      <c r="C25" s="85">
        <f t="shared" si="0"/>
        <v>1.0000000000000002</v>
      </c>
      <c r="D25" s="53">
        <v>1.8E-3</v>
      </c>
      <c r="E25" s="53">
        <v>0.01</v>
      </c>
      <c r="F25" s="53">
        <v>2.12E-2</v>
      </c>
      <c r="G25" s="53">
        <v>2.6200000000000001E-2</v>
      </c>
      <c r="H25" s="53">
        <v>3.1E-2</v>
      </c>
      <c r="I25" s="53">
        <v>3.56E-2</v>
      </c>
      <c r="J25" s="53">
        <v>0.04</v>
      </c>
      <c r="K25" s="53">
        <v>4.2700000000000002E-2</v>
      </c>
      <c r="L25" s="53">
        <v>4.4200000000000003E-2</v>
      </c>
      <c r="M25" s="53">
        <v>4.6199999999999998E-2</v>
      </c>
      <c r="N25" s="53">
        <v>4.8500000000000001E-2</v>
      </c>
      <c r="O25" s="53">
        <v>0.05</v>
      </c>
      <c r="P25" s="53">
        <v>5.1499999999999997E-2</v>
      </c>
      <c r="Q25" s="53">
        <v>5.3199999999999997E-2</v>
      </c>
      <c r="R25" s="53">
        <v>5.5100000000000003E-2</v>
      </c>
      <c r="S25" s="53">
        <v>5.5199999999999999E-2</v>
      </c>
      <c r="T25" s="53">
        <v>5.2299999999999999E-2</v>
      </c>
      <c r="U25" s="53">
        <v>5.04E-2</v>
      </c>
      <c r="V25" s="53">
        <v>4.8800000000000003E-2</v>
      </c>
      <c r="W25" s="53">
        <v>4.7399999999999998E-2</v>
      </c>
      <c r="X25" s="53">
        <v>4.5900000000000003E-2</v>
      </c>
      <c r="Y25" s="53">
        <v>3.9899999999999998E-2</v>
      </c>
      <c r="Z25" s="53">
        <v>3.4200000000000001E-2</v>
      </c>
      <c r="AA25" s="53">
        <v>2.8500000000000001E-2</v>
      </c>
      <c r="AB25" s="53">
        <v>2.4E-2</v>
      </c>
      <c r="AC25" s="53">
        <v>1.6199999999999999E-2</v>
      </c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</row>
    <row r="26" spans="2:55" s="82" customFormat="1" ht="13.5" customHeight="1">
      <c r="B26" s="84">
        <v>27</v>
      </c>
      <c r="C26" s="85">
        <f t="shared" si="0"/>
        <v>1.0000000000000002</v>
      </c>
      <c r="D26" s="53">
        <v>1.6999999999999999E-3</v>
      </c>
      <c r="E26" s="53">
        <v>8.9999999999999993E-3</v>
      </c>
      <c r="F26" s="53">
        <v>0.02</v>
      </c>
      <c r="G26" s="53">
        <v>2.4799999999999999E-2</v>
      </c>
      <c r="H26" s="53">
        <v>2.8899999999999999E-2</v>
      </c>
      <c r="I26" s="53">
        <v>3.3300000000000003E-2</v>
      </c>
      <c r="J26" s="53">
        <v>3.7600000000000001E-2</v>
      </c>
      <c r="K26" s="53">
        <v>4.0800000000000003E-2</v>
      </c>
      <c r="L26" s="53">
        <v>4.2099999999999999E-2</v>
      </c>
      <c r="M26" s="53">
        <v>4.3499999999999997E-2</v>
      </c>
      <c r="N26" s="53">
        <v>4.5999999999999999E-2</v>
      </c>
      <c r="O26" s="53">
        <v>4.7600000000000003E-2</v>
      </c>
      <c r="P26" s="53">
        <v>4.9000000000000002E-2</v>
      </c>
      <c r="Q26" s="53">
        <v>5.04E-2</v>
      </c>
      <c r="R26" s="53">
        <v>5.1700000000000003E-2</v>
      </c>
      <c r="S26" s="53">
        <v>5.4100000000000002E-2</v>
      </c>
      <c r="T26" s="53">
        <v>5.1900000000000002E-2</v>
      </c>
      <c r="U26" s="53">
        <v>4.9399999999999999E-2</v>
      </c>
      <c r="V26" s="53">
        <v>4.8099999999999997E-2</v>
      </c>
      <c r="W26" s="53">
        <v>4.6699999999999998E-2</v>
      </c>
      <c r="X26" s="53">
        <v>4.53E-2</v>
      </c>
      <c r="Y26" s="53">
        <v>4.36E-2</v>
      </c>
      <c r="Z26" s="53">
        <v>3.7100000000000001E-2</v>
      </c>
      <c r="AA26" s="53">
        <v>3.2099999999999997E-2</v>
      </c>
      <c r="AB26" s="53">
        <v>2.7199999999999998E-2</v>
      </c>
      <c r="AC26" s="53">
        <v>2.2800000000000001E-2</v>
      </c>
      <c r="AD26" s="53">
        <v>1.5299999999999999E-2</v>
      </c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</row>
    <row r="27" spans="2:55" s="82" customFormat="1" ht="13.5" customHeight="1">
      <c r="B27" s="84">
        <v>28</v>
      </c>
      <c r="C27" s="85">
        <f t="shared" si="0"/>
        <v>1.0000000000000002</v>
      </c>
      <c r="D27" s="53">
        <v>1.5E-3</v>
      </c>
      <c r="E27" s="53">
        <v>7.6E-3</v>
      </c>
      <c r="F27" s="53">
        <v>1.89E-2</v>
      </c>
      <c r="G27" s="53">
        <v>2.3400000000000001E-2</v>
      </c>
      <c r="H27" s="53">
        <v>2.7300000000000001E-2</v>
      </c>
      <c r="I27" s="53">
        <v>3.1099999999999999E-2</v>
      </c>
      <c r="J27" s="53">
        <v>3.5000000000000003E-2</v>
      </c>
      <c r="K27" s="53">
        <v>3.9E-2</v>
      </c>
      <c r="L27" s="53">
        <v>4.0300000000000002E-2</v>
      </c>
      <c r="M27" s="53">
        <v>4.1599999999999998E-2</v>
      </c>
      <c r="N27" s="53">
        <v>4.3400000000000001E-2</v>
      </c>
      <c r="O27" s="53">
        <v>4.53E-2</v>
      </c>
      <c r="P27" s="53">
        <v>4.6600000000000003E-2</v>
      </c>
      <c r="Q27" s="53">
        <v>4.7899999999999998E-2</v>
      </c>
      <c r="R27" s="53">
        <v>4.9299999999999997E-2</v>
      </c>
      <c r="S27" s="53">
        <v>5.0900000000000001E-2</v>
      </c>
      <c r="T27" s="53">
        <v>5.1700000000000003E-2</v>
      </c>
      <c r="U27" s="53">
        <v>4.9099999999999998E-2</v>
      </c>
      <c r="V27" s="53">
        <v>4.7300000000000002E-2</v>
      </c>
      <c r="W27" s="53">
        <v>4.5999999999999999E-2</v>
      </c>
      <c r="X27" s="53">
        <v>4.4699999999999997E-2</v>
      </c>
      <c r="Y27" s="53">
        <v>4.3299999999999998E-2</v>
      </c>
      <c r="Z27" s="53">
        <v>4.0899999999999999E-2</v>
      </c>
      <c r="AA27" s="53">
        <v>3.5299999999999998E-2</v>
      </c>
      <c r="AB27" s="53">
        <v>3.0300000000000001E-2</v>
      </c>
      <c r="AC27" s="53">
        <v>2.5999999999999999E-2</v>
      </c>
      <c r="AD27" s="53">
        <v>2.1700000000000001E-2</v>
      </c>
      <c r="AE27" s="53">
        <v>1.46E-2</v>
      </c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</row>
    <row r="28" spans="2:55" s="82" customFormat="1" ht="13.5" customHeight="1">
      <c r="B28" s="84">
        <v>29</v>
      </c>
      <c r="C28" s="85">
        <f t="shared" si="0"/>
        <v>1</v>
      </c>
      <c r="D28" s="53">
        <v>1.4E-3</v>
      </c>
      <c r="E28" s="53">
        <v>6.4999999999999997E-3</v>
      </c>
      <c r="F28" s="53">
        <v>1.78E-2</v>
      </c>
      <c r="G28" s="53">
        <v>2.2200000000000001E-2</v>
      </c>
      <c r="H28" s="53">
        <v>2.58E-2</v>
      </c>
      <c r="I28" s="53">
        <v>2.9399999999999999E-2</v>
      </c>
      <c r="J28" s="53">
        <v>3.3099999999999997E-2</v>
      </c>
      <c r="K28" s="53">
        <v>3.6700000000000003E-2</v>
      </c>
      <c r="L28" s="53">
        <v>3.8399999999999997E-2</v>
      </c>
      <c r="M28" s="53">
        <v>3.9699999999999999E-2</v>
      </c>
      <c r="N28" s="53">
        <v>4.1099999999999998E-2</v>
      </c>
      <c r="O28" s="53">
        <v>4.3299999999999998E-2</v>
      </c>
      <c r="P28" s="53">
        <v>4.4499999999999998E-2</v>
      </c>
      <c r="Q28" s="53">
        <v>4.5699999999999998E-2</v>
      </c>
      <c r="R28" s="53">
        <v>4.6899999999999997E-2</v>
      </c>
      <c r="S28" s="53">
        <v>4.8099999999999997E-2</v>
      </c>
      <c r="T28" s="53">
        <v>5.0099999999999999E-2</v>
      </c>
      <c r="U28" s="53">
        <v>4.9000000000000002E-2</v>
      </c>
      <c r="V28" s="53">
        <v>4.6600000000000003E-2</v>
      </c>
      <c r="W28" s="53">
        <v>4.5199999999999997E-2</v>
      </c>
      <c r="X28" s="53">
        <v>4.3999999999999997E-2</v>
      </c>
      <c r="Y28" s="53">
        <v>4.2799999999999998E-2</v>
      </c>
      <c r="Z28" s="53">
        <v>4.1599999999999998E-2</v>
      </c>
      <c r="AA28" s="53">
        <v>3.8399999999999997E-2</v>
      </c>
      <c r="AB28" s="53">
        <v>3.3599999999999998E-2</v>
      </c>
      <c r="AC28" s="53">
        <v>2.86E-2</v>
      </c>
      <c r="AD28" s="53">
        <v>2.4899999999999999E-2</v>
      </c>
      <c r="AE28" s="53">
        <v>2.07E-2</v>
      </c>
      <c r="AF28" s="53">
        <v>1.3899999999999999E-2</v>
      </c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</row>
    <row r="29" spans="2:55" s="82" customFormat="1" ht="13.5" customHeight="1">
      <c r="B29" s="84">
        <v>30</v>
      </c>
      <c r="C29" s="85">
        <f t="shared" si="0"/>
        <v>1.0000000000000002</v>
      </c>
      <c r="D29" s="53">
        <v>1.2999999999999999E-3</v>
      </c>
      <c r="E29" s="53">
        <v>5.5999999999999999E-3</v>
      </c>
      <c r="F29" s="53">
        <v>1.6799999999999999E-2</v>
      </c>
      <c r="G29" s="53">
        <v>2.1100000000000001E-2</v>
      </c>
      <c r="H29" s="53">
        <v>2.4500000000000001E-2</v>
      </c>
      <c r="I29" s="53">
        <v>2.7900000000000001E-2</v>
      </c>
      <c r="J29" s="53">
        <v>3.1300000000000001E-2</v>
      </c>
      <c r="K29" s="53">
        <v>3.4700000000000002E-2</v>
      </c>
      <c r="L29" s="53">
        <v>3.6900000000000002E-2</v>
      </c>
      <c r="M29" s="53">
        <v>3.7999999999999999E-2</v>
      </c>
      <c r="N29" s="53">
        <v>3.9100000000000003E-2</v>
      </c>
      <c r="O29" s="53">
        <v>4.1099999999999998E-2</v>
      </c>
      <c r="P29" s="53">
        <v>4.2500000000000003E-2</v>
      </c>
      <c r="Q29" s="53">
        <v>4.36E-2</v>
      </c>
      <c r="R29" s="53">
        <v>4.4699999999999997E-2</v>
      </c>
      <c r="S29" s="53">
        <v>4.5900000000000003E-2</v>
      </c>
      <c r="T29" s="53">
        <v>4.7199999999999999E-2</v>
      </c>
      <c r="U29" s="53">
        <v>4.87E-2</v>
      </c>
      <c r="V29" s="53">
        <v>4.6399999999999997E-2</v>
      </c>
      <c r="W29" s="53">
        <v>4.4499999999999998E-2</v>
      </c>
      <c r="X29" s="53">
        <v>4.3299999999999998E-2</v>
      </c>
      <c r="Y29" s="53">
        <v>4.2200000000000001E-2</v>
      </c>
      <c r="Z29" s="53">
        <v>4.1099999999999998E-2</v>
      </c>
      <c r="AA29" s="53">
        <v>3.9899999999999998E-2</v>
      </c>
      <c r="AB29" s="53">
        <v>3.61E-2</v>
      </c>
      <c r="AC29" s="53">
        <v>3.1899999999999998E-2</v>
      </c>
      <c r="AD29" s="53">
        <v>2.69E-2</v>
      </c>
      <c r="AE29" s="53">
        <v>2.3900000000000001E-2</v>
      </c>
      <c r="AF29" s="53">
        <v>1.9699999999999999E-2</v>
      </c>
      <c r="AG29" s="53">
        <v>1.32E-2</v>
      </c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</row>
    <row r="30" spans="2:55" s="82" customFormat="1" ht="13.5" customHeight="1">
      <c r="B30" s="84">
        <v>31</v>
      </c>
      <c r="C30" s="85">
        <f t="shared" si="0"/>
        <v>1</v>
      </c>
      <c r="D30" s="53">
        <v>1.1000000000000001E-3</v>
      </c>
      <c r="E30" s="53">
        <v>4.7999999999999996E-3</v>
      </c>
      <c r="F30" s="53">
        <v>1.5900000000000001E-2</v>
      </c>
      <c r="G30" s="53">
        <v>0.02</v>
      </c>
      <c r="H30" s="53">
        <v>2.3199999999999998E-2</v>
      </c>
      <c r="I30" s="53">
        <v>2.64E-2</v>
      </c>
      <c r="J30" s="53">
        <v>2.9600000000000001E-2</v>
      </c>
      <c r="K30" s="53">
        <v>3.2800000000000003E-2</v>
      </c>
      <c r="L30" s="53">
        <v>3.5400000000000001E-2</v>
      </c>
      <c r="M30" s="53">
        <v>3.6499999999999998E-2</v>
      </c>
      <c r="N30" s="53">
        <v>3.7499999999999999E-2</v>
      </c>
      <c r="O30" s="53">
        <v>3.9E-2</v>
      </c>
      <c r="P30" s="53">
        <v>4.07E-2</v>
      </c>
      <c r="Q30" s="53">
        <v>4.1700000000000001E-2</v>
      </c>
      <c r="R30" s="53">
        <v>4.2799999999999998E-2</v>
      </c>
      <c r="S30" s="53">
        <v>4.3900000000000002E-2</v>
      </c>
      <c r="T30" s="53">
        <v>4.4900000000000002E-2</v>
      </c>
      <c r="U30" s="53">
        <v>4.6600000000000003E-2</v>
      </c>
      <c r="V30" s="53">
        <v>4.6300000000000001E-2</v>
      </c>
      <c r="W30" s="53">
        <v>4.41E-2</v>
      </c>
      <c r="X30" s="53">
        <v>4.2700000000000002E-2</v>
      </c>
      <c r="Y30" s="53">
        <v>4.1599999999999998E-2</v>
      </c>
      <c r="Z30" s="53">
        <v>4.0500000000000001E-2</v>
      </c>
      <c r="AA30" s="53">
        <v>3.95E-2</v>
      </c>
      <c r="AB30" s="53">
        <v>3.8399999999999997E-2</v>
      </c>
      <c r="AC30" s="53">
        <v>3.4000000000000002E-2</v>
      </c>
      <c r="AD30" s="53">
        <v>3.04E-2</v>
      </c>
      <c r="AE30" s="53">
        <v>2.5399999999999999E-2</v>
      </c>
      <c r="AF30" s="53">
        <v>2.29E-2</v>
      </c>
      <c r="AG30" s="53">
        <v>1.8800000000000001E-2</v>
      </c>
      <c r="AH30" s="53">
        <v>1.26E-2</v>
      </c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</row>
    <row r="31" spans="2:55" s="82" customFormat="1" ht="13.5" customHeight="1">
      <c r="B31" s="84">
        <v>32</v>
      </c>
      <c r="C31" s="85">
        <f t="shared" si="0"/>
        <v>1.0000000000000002</v>
      </c>
      <c r="D31" s="53">
        <v>1E-3</v>
      </c>
      <c r="E31" s="53">
        <v>4.0000000000000001E-3</v>
      </c>
      <c r="F31" s="53">
        <v>1.4999999999999999E-2</v>
      </c>
      <c r="G31" s="53">
        <v>1.9E-2</v>
      </c>
      <c r="H31" s="53">
        <v>2.1999999999999999E-2</v>
      </c>
      <c r="I31" s="53">
        <v>2.5000000000000001E-2</v>
      </c>
      <c r="J31" s="53">
        <v>2.8000000000000001E-2</v>
      </c>
      <c r="K31" s="53">
        <v>3.1E-2</v>
      </c>
      <c r="L31" s="53">
        <v>3.4000000000000002E-2</v>
      </c>
      <c r="M31" s="53">
        <v>3.5000000000000003E-2</v>
      </c>
      <c r="N31" s="53">
        <v>3.5999999999999997E-2</v>
      </c>
      <c r="O31" s="53">
        <v>3.6999999999999998E-2</v>
      </c>
      <c r="P31" s="53">
        <v>3.9E-2</v>
      </c>
      <c r="Q31" s="53">
        <v>0.04</v>
      </c>
      <c r="R31" s="53">
        <v>4.1000000000000002E-2</v>
      </c>
      <c r="S31" s="53">
        <v>4.2000000000000003E-2</v>
      </c>
      <c r="T31" s="53">
        <v>4.2999999999999997E-2</v>
      </c>
      <c r="U31" s="53">
        <v>4.3999999999999997E-2</v>
      </c>
      <c r="V31" s="53">
        <v>4.5999999999999999E-2</v>
      </c>
      <c r="W31" s="53">
        <v>4.3999999999999997E-2</v>
      </c>
      <c r="X31" s="53">
        <v>4.2000000000000003E-2</v>
      </c>
      <c r="Y31" s="53">
        <v>4.1000000000000002E-2</v>
      </c>
      <c r="Z31" s="53">
        <v>0.04</v>
      </c>
      <c r="AA31" s="53">
        <v>3.9E-2</v>
      </c>
      <c r="AB31" s="53">
        <v>3.7999999999999999E-2</v>
      </c>
      <c r="AC31" s="53">
        <v>3.6999999999999998E-2</v>
      </c>
      <c r="AD31" s="53">
        <v>3.2000000000000001E-2</v>
      </c>
      <c r="AE31" s="53">
        <v>2.9000000000000001E-2</v>
      </c>
      <c r="AF31" s="53">
        <v>2.4E-2</v>
      </c>
      <c r="AG31" s="53">
        <v>2.1999999999999999E-2</v>
      </c>
      <c r="AH31" s="53">
        <v>1.7999999999999999E-2</v>
      </c>
      <c r="AI31" s="53">
        <v>1.2E-2</v>
      </c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</row>
    <row r="32" spans="2:55" s="82" customFormat="1" ht="13.5" customHeight="1">
      <c r="B32" s="84">
        <v>33</v>
      </c>
      <c r="C32" s="85">
        <f t="shared" si="0"/>
        <v>0.99999999999999978</v>
      </c>
      <c r="D32" s="53">
        <v>1E-3</v>
      </c>
      <c r="E32" s="53">
        <v>3.7000000000000002E-3</v>
      </c>
      <c r="F32" s="53">
        <v>1.3899999999999999E-2</v>
      </c>
      <c r="G32" s="53">
        <v>1.8100000000000002E-2</v>
      </c>
      <c r="H32" s="53">
        <v>2.1000000000000001E-2</v>
      </c>
      <c r="I32" s="53">
        <v>2.3800000000000002E-2</v>
      </c>
      <c r="J32" s="53">
        <v>2.6599999999999999E-2</v>
      </c>
      <c r="K32" s="53">
        <v>2.9399999999999999E-2</v>
      </c>
      <c r="L32" s="53">
        <v>3.2199999999999999E-2</v>
      </c>
      <c r="M32" s="53">
        <v>3.3700000000000001E-2</v>
      </c>
      <c r="N32" s="53">
        <v>3.4599999999999999E-2</v>
      </c>
      <c r="O32" s="53">
        <v>3.5499999999999997E-2</v>
      </c>
      <c r="P32" s="53">
        <v>3.7100000000000001E-2</v>
      </c>
      <c r="Q32" s="53">
        <v>3.8399999999999997E-2</v>
      </c>
      <c r="R32" s="53">
        <v>3.9300000000000002E-2</v>
      </c>
      <c r="S32" s="53">
        <v>4.0300000000000002E-2</v>
      </c>
      <c r="T32" s="53">
        <v>4.1200000000000001E-2</v>
      </c>
      <c r="U32" s="53">
        <v>4.2200000000000001E-2</v>
      </c>
      <c r="V32" s="53">
        <v>4.3499999999999997E-2</v>
      </c>
      <c r="W32" s="53">
        <v>4.3799999999999999E-2</v>
      </c>
      <c r="X32" s="53">
        <v>4.19E-2</v>
      </c>
      <c r="Y32" s="53">
        <v>4.0399999999999998E-2</v>
      </c>
      <c r="Z32" s="53">
        <v>3.95E-2</v>
      </c>
      <c r="AA32" s="53">
        <v>3.85E-2</v>
      </c>
      <c r="AB32" s="53">
        <v>3.7600000000000001E-2</v>
      </c>
      <c r="AC32" s="53">
        <v>3.6600000000000001E-2</v>
      </c>
      <c r="AD32" s="53">
        <v>3.5000000000000003E-2</v>
      </c>
      <c r="AE32" s="53">
        <v>3.0599999999999999E-2</v>
      </c>
      <c r="AF32" s="53">
        <v>2.75E-2</v>
      </c>
      <c r="AG32" s="53">
        <v>2.3099999999999999E-2</v>
      </c>
      <c r="AH32" s="53">
        <v>2.1100000000000001E-2</v>
      </c>
      <c r="AI32" s="53">
        <v>1.7299999999999999E-2</v>
      </c>
      <c r="AJ32" s="53">
        <v>1.1599999999999999E-2</v>
      </c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</row>
    <row r="33" spans="2:55" s="82" customFormat="1" ht="13.5" customHeight="1">
      <c r="B33" s="84">
        <v>34</v>
      </c>
      <c r="C33" s="85">
        <f t="shared" si="0"/>
        <v>1</v>
      </c>
      <c r="D33" s="53">
        <v>8.9999999999999998E-4</v>
      </c>
      <c r="E33" s="53">
        <v>3.5999999999999999E-3</v>
      </c>
      <c r="F33" s="53">
        <v>1.2800000000000001E-2</v>
      </c>
      <c r="G33" s="53">
        <v>1.72E-2</v>
      </c>
      <c r="H33" s="53">
        <v>0.02</v>
      </c>
      <c r="I33" s="53">
        <v>2.2599999999999999E-2</v>
      </c>
      <c r="J33" s="53">
        <v>2.53E-2</v>
      </c>
      <c r="K33" s="53">
        <v>2.7900000000000001E-2</v>
      </c>
      <c r="L33" s="53">
        <v>3.0599999999999999E-2</v>
      </c>
      <c r="M33" s="53">
        <v>3.2399999999999998E-2</v>
      </c>
      <c r="N33" s="53">
        <v>3.3300000000000003E-2</v>
      </c>
      <c r="O33" s="53">
        <v>3.4200000000000001E-2</v>
      </c>
      <c r="P33" s="53">
        <v>3.5299999999999998E-2</v>
      </c>
      <c r="Q33" s="53">
        <v>3.6900000000000002E-2</v>
      </c>
      <c r="R33" s="53">
        <v>3.78E-2</v>
      </c>
      <c r="S33" s="53">
        <v>3.8600000000000002E-2</v>
      </c>
      <c r="T33" s="53">
        <v>3.95E-2</v>
      </c>
      <c r="U33" s="53">
        <v>4.0500000000000001E-2</v>
      </c>
      <c r="V33" s="53">
        <v>4.1399999999999999E-2</v>
      </c>
      <c r="W33" s="53">
        <v>4.3099999999999999E-2</v>
      </c>
      <c r="X33" s="53">
        <v>4.1799999999999997E-2</v>
      </c>
      <c r="Y33" s="53">
        <v>0.04</v>
      </c>
      <c r="Z33" s="53">
        <v>3.8899999999999997E-2</v>
      </c>
      <c r="AA33" s="53">
        <v>3.7999999999999999E-2</v>
      </c>
      <c r="AB33" s="53">
        <v>3.7100000000000001E-2</v>
      </c>
      <c r="AC33" s="53">
        <v>3.6200000000000003E-2</v>
      </c>
      <c r="AD33" s="53">
        <v>3.5400000000000001E-2</v>
      </c>
      <c r="AE33" s="53">
        <v>3.3099999999999997E-2</v>
      </c>
      <c r="AF33" s="53">
        <v>2.92E-2</v>
      </c>
      <c r="AG33" s="53">
        <v>2.6100000000000002E-2</v>
      </c>
      <c r="AH33" s="53">
        <v>2.2200000000000001E-2</v>
      </c>
      <c r="AI33" s="53">
        <v>2.0199999999999999E-2</v>
      </c>
      <c r="AJ33" s="53">
        <v>1.66E-2</v>
      </c>
      <c r="AK33" s="53">
        <v>1.1299999999999999E-2</v>
      </c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</row>
    <row r="34" spans="2:55" s="82" customFormat="1" ht="13.5" customHeight="1">
      <c r="B34" s="84">
        <v>35</v>
      </c>
      <c r="C34" s="85">
        <f t="shared" si="0"/>
        <v>1</v>
      </c>
      <c r="D34" s="53">
        <v>8.9999999999999998E-4</v>
      </c>
      <c r="E34" s="53">
        <v>3.3999999999999998E-3</v>
      </c>
      <c r="F34" s="53">
        <v>1.18E-2</v>
      </c>
      <c r="G34" s="53">
        <v>1.6299999999999999E-2</v>
      </c>
      <c r="H34" s="53">
        <v>1.9099999999999999E-2</v>
      </c>
      <c r="I34" s="53">
        <v>2.1600000000000001E-2</v>
      </c>
      <c r="J34" s="53">
        <v>2.41E-2</v>
      </c>
      <c r="K34" s="53">
        <v>2.6499999999999999E-2</v>
      </c>
      <c r="L34" s="53">
        <v>2.9000000000000001E-2</v>
      </c>
      <c r="M34" s="53">
        <v>3.1199999999999999E-2</v>
      </c>
      <c r="N34" s="53">
        <v>3.2099999999999997E-2</v>
      </c>
      <c r="O34" s="53">
        <v>3.2899999999999999E-2</v>
      </c>
      <c r="P34" s="53">
        <v>3.3799999999999997E-2</v>
      </c>
      <c r="Q34" s="53">
        <v>3.5400000000000001E-2</v>
      </c>
      <c r="R34" s="53">
        <v>3.6400000000000002E-2</v>
      </c>
      <c r="S34" s="53">
        <v>3.7199999999999997E-2</v>
      </c>
      <c r="T34" s="53">
        <v>3.7999999999999999E-2</v>
      </c>
      <c r="U34" s="53">
        <v>3.8899999999999997E-2</v>
      </c>
      <c r="V34" s="53">
        <v>3.9699999999999999E-2</v>
      </c>
      <c r="W34" s="53">
        <v>4.0800000000000003E-2</v>
      </c>
      <c r="X34" s="53">
        <v>4.1700000000000001E-2</v>
      </c>
      <c r="Y34" s="53">
        <v>0.04</v>
      </c>
      <c r="Z34" s="53">
        <v>3.8399999999999997E-2</v>
      </c>
      <c r="AA34" s="53">
        <v>3.7499999999999999E-2</v>
      </c>
      <c r="AB34" s="53">
        <v>3.6600000000000001E-2</v>
      </c>
      <c r="AC34" s="53">
        <v>3.5799999999999998E-2</v>
      </c>
      <c r="AD34" s="53">
        <v>3.5000000000000003E-2</v>
      </c>
      <c r="AE34" s="53">
        <v>3.4099999999999998E-2</v>
      </c>
      <c r="AF34" s="53">
        <v>3.1300000000000001E-2</v>
      </c>
      <c r="AG34" s="53">
        <v>2.8000000000000001E-2</v>
      </c>
      <c r="AH34" s="53">
        <v>2.4799999999999999E-2</v>
      </c>
      <c r="AI34" s="53">
        <v>2.1399999999999999E-2</v>
      </c>
      <c r="AJ34" s="53">
        <v>1.9400000000000001E-2</v>
      </c>
      <c r="AK34" s="53">
        <v>1.5900000000000001E-2</v>
      </c>
      <c r="AL34" s="53">
        <v>1.0999999999999999E-2</v>
      </c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</row>
    <row r="35" spans="2:55" s="89" customFormat="1" ht="13.5" customHeight="1">
      <c r="B35" s="90">
        <v>36</v>
      </c>
      <c r="C35" s="91">
        <f t="shared" si="0"/>
        <v>1.0000000000000002</v>
      </c>
      <c r="D35" s="92">
        <v>8.9999999999999998E-4</v>
      </c>
      <c r="E35" s="92">
        <v>3.2000000000000002E-3</v>
      </c>
      <c r="F35" s="92">
        <v>1.0800000000000001E-2</v>
      </c>
      <c r="G35" s="92">
        <v>1.55E-2</v>
      </c>
      <c r="H35" s="92">
        <v>1.8100000000000002E-2</v>
      </c>
      <c r="I35" s="92">
        <v>2.06E-2</v>
      </c>
      <c r="J35" s="92">
        <v>2.29E-2</v>
      </c>
      <c r="K35" s="92">
        <v>2.52E-2</v>
      </c>
      <c r="L35" s="92">
        <v>2.76E-2</v>
      </c>
      <c r="M35" s="92">
        <v>3.0200000000000001E-2</v>
      </c>
      <c r="N35" s="92">
        <v>3.1E-2</v>
      </c>
      <c r="O35" s="92">
        <v>3.1800000000000002E-2</v>
      </c>
      <c r="P35" s="92">
        <v>3.2599999999999997E-2</v>
      </c>
      <c r="Q35" s="92">
        <v>3.3799999999999997E-2</v>
      </c>
      <c r="R35" s="92">
        <v>3.5000000000000003E-2</v>
      </c>
      <c r="S35" s="92">
        <v>3.5799999999999998E-2</v>
      </c>
      <c r="T35" s="92">
        <v>3.6600000000000001E-2</v>
      </c>
      <c r="U35" s="92">
        <v>3.73E-2</v>
      </c>
      <c r="V35" s="92">
        <v>3.8199999999999998E-2</v>
      </c>
      <c r="W35" s="92">
        <v>3.9E-2</v>
      </c>
      <c r="X35" s="92">
        <v>4.0399999999999998E-2</v>
      </c>
      <c r="Y35" s="92">
        <v>3.9800000000000002E-2</v>
      </c>
      <c r="Z35" s="92">
        <v>3.8199999999999998E-2</v>
      </c>
      <c r="AA35" s="92">
        <v>3.6999999999999998E-2</v>
      </c>
      <c r="AB35" s="92">
        <v>3.6200000000000003E-2</v>
      </c>
      <c r="AC35" s="92">
        <v>3.5400000000000001E-2</v>
      </c>
      <c r="AD35" s="92">
        <v>3.4700000000000002E-2</v>
      </c>
      <c r="AE35" s="92">
        <v>3.3799999999999997E-2</v>
      </c>
      <c r="AF35" s="92">
        <v>3.3000000000000002E-2</v>
      </c>
      <c r="AG35" s="92">
        <v>2.9600000000000001E-2</v>
      </c>
      <c r="AH35" s="92">
        <v>2.6800000000000001E-2</v>
      </c>
      <c r="AI35" s="92">
        <v>2.3599999999999999E-2</v>
      </c>
      <c r="AJ35" s="92">
        <v>2.07E-2</v>
      </c>
      <c r="AK35" s="92">
        <v>1.8700000000000001E-2</v>
      </c>
      <c r="AL35" s="92">
        <v>1.5299999999999999E-2</v>
      </c>
      <c r="AM35" s="92">
        <v>1.0699999999999999E-2</v>
      </c>
      <c r="AN35" s="92"/>
      <c r="AO35" s="92"/>
      <c r="AP35" s="92"/>
      <c r="AQ35" s="92"/>
      <c r="AR35" s="92"/>
      <c r="AS35" s="92"/>
      <c r="AT35" s="92"/>
      <c r="AU35" s="92"/>
      <c r="AV35" s="92"/>
      <c r="AW35" s="92"/>
      <c r="AX35" s="92"/>
      <c r="AY35" s="92"/>
      <c r="AZ35" s="92"/>
      <c r="BA35" s="92"/>
      <c r="BB35" s="92"/>
      <c r="BC35" s="92"/>
    </row>
    <row r="36" spans="2:55" s="82" customFormat="1" ht="13.5" customHeight="1">
      <c r="B36" s="84">
        <v>37</v>
      </c>
      <c r="C36" s="85">
        <f t="shared" si="0"/>
        <v>1</v>
      </c>
      <c r="D36" s="53">
        <v>8.9999999999999998E-4</v>
      </c>
      <c r="E36" s="53">
        <v>3.0999999999999999E-3</v>
      </c>
      <c r="F36" s="53">
        <v>0.01</v>
      </c>
      <c r="G36" s="53">
        <v>1.4800000000000001E-2</v>
      </c>
      <c r="H36" s="53">
        <v>1.7399999999999999E-2</v>
      </c>
      <c r="I36" s="53">
        <v>1.9599999999999999E-2</v>
      </c>
      <c r="J36" s="53">
        <v>2.18E-2</v>
      </c>
      <c r="K36" s="53">
        <v>2.4199999999999999E-2</v>
      </c>
      <c r="L36" s="53">
        <v>2.6599999999999999E-2</v>
      </c>
      <c r="M36" s="53">
        <v>2.8799999999999999E-2</v>
      </c>
      <c r="N36" s="53">
        <v>2.9899999999999999E-2</v>
      </c>
      <c r="O36" s="53">
        <v>3.0599999999999999E-2</v>
      </c>
      <c r="P36" s="53">
        <v>3.1399999999999997E-2</v>
      </c>
      <c r="Q36" s="53">
        <v>3.2199999999999999E-2</v>
      </c>
      <c r="R36" s="53">
        <v>3.3700000000000001E-2</v>
      </c>
      <c r="S36" s="53">
        <v>3.4599999999999999E-2</v>
      </c>
      <c r="T36" s="53">
        <v>3.5299999999999998E-2</v>
      </c>
      <c r="U36" s="53">
        <v>3.5999999999999997E-2</v>
      </c>
      <c r="V36" s="53">
        <v>3.6799999999999999E-2</v>
      </c>
      <c r="W36" s="53">
        <v>3.7499999999999999E-2</v>
      </c>
      <c r="X36" s="53">
        <v>3.8399999999999997E-2</v>
      </c>
      <c r="Y36" s="53">
        <v>3.9699999999999999E-2</v>
      </c>
      <c r="Z36" s="53">
        <v>3.8100000000000002E-2</v>
      </c>
      <c r="AA36" s="53">
        <v>3.6499999999999998E-2</v>
      </c>
      <c r="AB36" s="53">
        <v>3.5700000000000003E-2</v>
      </c>
      <c r="AC36" s="53">
        <v>3.5000000000000003E-2</v>
      </c>
      <c r="AD36" s="53">
        <v>3.4200000000000001E-2</v>
      </c>
      <c r="AE36" s="53">
        <v>3.3500000000000002E-2</v>
      </c>
      <c r="AF36" s="53">
        <v>3.2800000000000003E-2</v>
      </c>
      <c r="AG36" s="53">
        <v>3.2000000000000001E-2</v>
      </c>
      <c r="AH36" s="53">
        <v>2.7900000000000001E-2</v>
      </c>
      <c r="AI36" s="53">
        <v>2.5600000000000001E-2</v>
      </c>
      <c r="AJ36" s="53">
        <v>2.24E-2</v>
      </c>
      <c r="AK36" s="53">
        <v>1.9900000000000001E-2</v>
      </c>
      <c r="AL36" s="53">
        <v>1.7899999999999999E-2</v>
      </c>
      <c r="AM36" s="53">
        <v>1.4800000000000001E-2</v>
      </c>
      <c r="AN36" s="53">
        <v>1.04E-2</v>
      </c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</row>
    <row r="37" spans="2:55" s="82" customFormat="1" ht="13.5" customHeight="1">
      <c r="B37" s="84">
        <v>38</v>
      </c>
      <c r="C37" s="85">
        <f t="shared" si="0"/>
        <v>0.99999999999999978</v>
      </c>
      <c r="D37" s="53">
        <v>8.0000000000000004E-4</v>
      </c>
      <c r="E37" s="53">
        <v>2.8999999999999998E-3</v>
      </c>
      <c r="F37" s="53">
        <v>9.1999999999999998E-3</v>
      </c>
      <c r="G37" s="53">
        <v>1.41E-2</v>
      </c>
      <c r="H37" s="53">
        <v>1.66E-2</v>
      </c>
      <c r="I37" s="53">
        <v>1.8700000000000001E-2</v>
      </c>
      <c r="J37" s="53">
        <v>2.1100000000000001E-2</v>
      </c>
      <c r="K37" s="53">
        <v>2.3300000000000001E-2</v>
      </c>
      <c r="L37" s="53">
        <v>2.53E-2</v>
      </c>
      <c r="M37" s="53">
        <v>2.7400000000000001E-2</v>
      </c>
      <c r="N37" s="53">
        <v>2.8899999999999999E-2</v>
      </c>
      <c r="O37" s="53">
        <v>2.9600000000000001E-2</v>
      </c>
      <c r="P37" s="53">
        <v>3.0300000000000001E-2</v>
      </c>
      <c r="Q37" s="53">
        <v>3.1099999999999999E-2</v>
      </c>
      <c r="R37" s="53">
        <v>3.2399999999999998E-2</v>
      </c>
      <c r="S37" s="53">
        <v>3.3300000000000003E-2</v>
      </c>
      <c r="T37" s="53">
        <v>3.4000000000000002E-2</v>
      </c>
      <c r="U37" s="53">
        <v>3.4700000000000002E-2</v>
      </c>
      <c r="V37" s="53">
        <v>3.5400000000000001E-2</v>
      </c>
      <c r="W37" s="53">
        <v>3.6200000000000003E-2</v>
      </c>
      <c r="X37" s="53">
        <v>3.6900000000000002E-2</v>
      </c>
      <c r="Y37" s="53">
        <v>3.8100000000000002E-2</v>
      </c>
      <c r="Z37" s="53">
        <v>3.7999999999999999E-2</v>
      </c>
      <c r="AA37" s="53">
        <v>3.6600000000000001E-2</v>
      </c>
      <c r="AB37" s="53">
        <v>3.5299999999999998E-2</v>
      </c>
      <c r="AC37" s="53">
        <v>3.4500000000000003E-2</v>
      </c>
      <c r="AD37" s="53">
        <v>3.3799999999999997E-2</v>
      </c>
      <c r="AE37" s="53">
        <v>3.3099999999999997E-2</v>
      </c>
      <c r="AF37" s="53">
        <v>3.2399999999999998E-2</v>
      </c>
      <c r="AG37" s="53">
        <v>3.1699999999999999E-2</v>
      </c>
      <c r="AH37" s="53">
        <v>3.0599999999999999E-2</v>
      </c>
      <c r="AI37" s="53">
        <v>2.69E-2</v>
      </c>
      <c r="AJ37" s="53">
        <v>2.46E-2</v>
      </c>
      <c r="AK37" s="53">
        <v>2.1299999999999999E-2</v>
      </c>
      <c r="AL37" s="53">
        <v>1.9300000000000001E-2</v>
      </c>
      <c r="AM37" s="53">
        <v>1.7299999999999999E-2</v>
      </c>
      <c r="AN37" s="53">
        <v>1.4200000000000001E-2</v>
      </c>
      <c r="AO37" s="53">
        <v>1.01E-2</v>
      </c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</row>
    <row r="38" spans="2:55" s="82" customFormat="1" ht="13.5" customHeight="1">
      <c r="B38" s="84">
        <v>39</v>
      </c>
      <c r="C38" s="85">
        <f t="shared" si="0"/>
        <v>1</v>
      </c>
      <c r="D38" s="53">
        <v>8.0000000000000004E-4</v>
      </c>
      <c r="E38" s="53">
        <v>2.7000000000000001E-3</v>
      </c>
      <c r="F38" s="53">
        <v>8.5000000000000006E-3</v>
      </c>
      <c r="G38" s="53">
        <v>1.35E-2</v>
      </c>
      <c r="H38" s="53">
        <v>1.5900000000000001E-2</v>
      </c>
      <c r="I38" s="53">
        <v>1.8100000000000002E-2</v>
      </c>
      <c r="J38" s="53">
        <v>2.0299999999999999E-2</v>
      </c>
      <c r="K38" s="53">
        <v>2.2200000000000001E-2</v>
      </c>
      <c r="L38" s="53">
        <v>2.41E-2</v>
      </c>
      <c r="M38" s="53">
        <v>2.6100000000000002E-2</v>
      </c>
      <c r="N38" s="53">
        <v>2.7900000000000001E-2</v>
      </c>
      <c r="O38" s="53">
        <v>2.87E-2</v>
      </c>
      <c r="P38" s="53">
        <v>2.9399999999999999E-2</v>
      </c>
      <c r="Q38" s="53">
        <v>0.03</v>
      </c>
      <c r="R38" s="53">
        <v>3.1E-2</v>
      </c>
      <c r="S38" s="53">
        <v>3.2099999999999997E-2</v>
      </c>
      <c r="T38" s="53">
        <v>3.2800000000000003E-2</v>
      </c>
      <c r="U38" s="53">
        <v>3.3599999999999998E-2</v>
      </c>
      <c r="V38" s="53">
        <v>3.4200000000000001E-2</v>
      </c>
      <c r="W38" s="53">
        <v>3.49E-2</v>
      </c>
      <c r="X38" s="53">
        <v>3.5499999999999997E-2</v>
      </c>
      <c r="Y38" s="53">
        <v>3.6200000000000003E-2</v>
      </c>
      <c r="Z38" s="53">
        <v>3.7699999999999997E-2</v>
      </c>
      <c r="AA38" s="53">
        <v>3.6400000000000002E-2</v>
      </c>
      <c r="AB38" s="53">
        <v>3.5099999999999999E-2</v>
      </c>
      <c r="AC38" s="53">
        <v>3.4099999999999998E-2</v>
      </c>
      <c r="AD38" s="53">
        <v>3.3500000000000002E-2</v>
      </c>
      <c r="AE38" s="53">
        <v>3.2800000000000003E-2</v>
      </c>
      <c r="AF38" s="53">
        <v>3.2000000000000001E-2</v>
      </c>
      <c r="AG38" s="53">
        <v>3.1399999999999997E-2</v>
      </c>
      <c r="AH38" s="53">
        <v>3.0700000000000002E-2</v>
      </c>
      <c r="AI38" s="53">
        <v>2.9100000000000001E-2</v>
      </c>
      <c r="AJ38" s="53">
        <v>2.5999999999999999E-2</v>
      </c>
      <c r="AK38" s="53">
        <v>2.3800000000000002E-2</v>
      </c>
      <c r="AL38" s="53">
        <v>2.0199999999999999E-2</v>
      </c>
      <c r="AM38" s="53">
        <v>1.8599999999999998E-2</v>
      </c>
      <c r="AN38" s="53">
        <v>1.66E-2</v>
      </c>
      <c r="AO38" s="53">
        <v>1.37E-2</v>
      </c>
      <c r="AP38" s="53">
        <v>9.7999999999999997E-3</v>
      </c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</row>
    <row r="39" spans="2:55" s="82" customFormat="1" ht="13.5" customHeight="1">
      <c r="B39" s="84">
        <v>40</v>
      </c>
      <c r="C39" s="85">
        <f t="shared" si="0"/>
        <v>1</v>
      </c>
      <c r="D39" s="53">
        <v>8.0000000000000004E-4</v>
      </c>
      <c r="E39" s="53">
        <v>2.5999999999999999E-3</v>
      </c>
      <c r="F39" s="53">
        <v>7.6E-3</v>
      </c>
      <c r="G39" s="53">
        <v>1.2800000000000001E-2</v>
      </c>
      <c r="H39" s="53">
        <v>1.52E-2</v>
      </c>
      <c r="I39" s="53">
        <v>1.7600000000000001E-2</v>
      </c>
      <c r="J39" s="53">
        <v>1.9400000000000001E-2</v>
      </c>
      <c r="K39" s="53">
        <v>2.12E-2</v>
      </c>
      <c r="L39" s="53">
        <v>2.3E-2</v>
      </c>
      <c r="M39" s="53">
        <v>2.4799999999999999E-2</v>
      </c>
      <c r="N39" s="53">
        <v>2.7199999999999998E-2</v>
      </c>
      <c r="O39" s="53">
        <v>2.7799999999999998E-2</v>
      </c>
      <c r="P39" s="53">
        <v>2.8400000000000002E-2</v>
      </c>
      <c r="Q39" s="53">
        <v>2.9000000000000001E-2</v>
      </c>
      <c r="R39" s="53">
        <v>2.9600000000000001E-2</v>
      </c>
      <c r="S39" s="53">
        <v>3.1199999999999999E-2</v>
      </c>
      <c r="T39" s="53">
        <v>3.1800000000000002E-2</v>
      </c>
      <c r="U39" s="53">
        <v>3.2399999999999998E-2</v>
      </c>
      <c r="V39" s="53">
        <v>3.3000000000000002E-2</v>
      </c>
      <c r="W39" s="53">
        <v>3.3599999999999998E-2</v>
      </c>
      <c r="X39" s="53">
        <v>3.44E-2</v>
      </c>
      <c r="Y39" s="53">
        <v>3.5000000000000003E-2</v>
      </c>
      <c r="Z39" s="53">
        <v>3.5999999999999997E-2</v>
      </c>
      <c r="AA39" s="53">
        <v>3.6400000000000002E-2</v>
      </c>
      <c r="AB39" s="53">
        <v>3.5200000000000002E-2</v>
      </c>
      <c r="AC39" s="53">
        <v>3.3599999999999998E-2</v>
      </c>
      <c r="AD39" s="53">
        <v>3.3000000000000002E-2</v>
      </c>
      <c r="AE39" s="53">
        <v>3.2399999999999998E-2</v>
      </c>
      <c r="AF39" s="53">
        <v>3.1800000000000002E-2</v>
      </c>
      <c r="AG39" s="53">
        <v>3.1199999999999999E-2</v>
      </c>
      <c r="AH39" s="53">
        <v>3.04E-2</v>
      </c>
      <c r="AI39" s="53">
        <v>2.98E-2</v>
      </c>
      <c r="AJ39" s="53">
        <v>2.76E-2</v>
      </c>
      <c r="AK39" s="53">
        <v>2.5000000000000001E-2</v>
      </c>
      <c r="AL39" s="53">
        <v>2.3199999999999998E-2</v>
      </c>
      <c r="AM39" s="53">
        <v>1.9199999999999998E-2</v>
      </c>
      <c r="AN39" s="53">
        <v>1.7999999999999999E-2</v>
      </c>
      <c r="AO39" s="53">
        <v>1.6E-2</v>
      </c>
      <c r="AP39" s="53">
        <v>1.32E-2</v>
      </c>
      <c r="AQ39" s="53">
        <v>9.5999999999999992E-3</v>
      </c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</row>
    <row r="40" spans="2:55" s="82" customFormat="1" ht="13.5" customHeight="1">
      <c r="B40" s="84">
        <v>41</v>
      </c>
      <c r="C40" s="85">
        <f t="shared" si="0"/>
        <v>1.0000000000000002</v>
      </c>
      <c r="D40" s="53">
        <v>8.0000000000000004E-4</v>
      </c>
      <c r="E40" s="53">
        <v>2.5000000000000001E-3</v>
      </c>
      <c r="F40" s="53">
        <v>6.7999999999999996E-3</v>
      </c>
      <c r="G40" s="53">
        <v>1.2200000000000001E-2</v>
      </c>
      <c r="H40" s="53">
        <v>1.4800000000000001E-2</v>
      </c>
      <c r="I40" s="53">
        <v>1.6899999999999998E-2</v>
      </c>
      <c r="J40" s="53">
        <v>1.8599999999999998E-2</v>
      </c>
      <c r="K40" s="53">
        <v>2.0199999999999999E-2</v>
      </c>
      <c r="L40" s="53">
        <v>2.1899999999999999E-2</v>
      </c>
      <c r="M40" s="53">
        <v>2.4199999999999999E-2</v>
      </c>
      <c r="N40" s="53">
        <v>2.5999999999999999E-2</v>
      </c>
      <c r="O40" s="53">
        <v>2.69E-2</v>
      </c>
      <c r="P40" s="53">
        <v>2.75E-2</v>
      </c>
      <c r="Q40" s="53">
        <v>2.81E-2</v>
      </c>
      <c r="R40" s="53">
        <v>2.8799999999999999E-2</v>
      </c>
      <c r="S40" s="53">
        <v>2.9899999999999999E-2</v>
      </c>
      <c r="T40" s="53">
        <v>3.0700000000000002E-2</v>
      </c>
      <c r="U40" s="53">
        <v>3.1300000000000001E-2</v>
      </c>
      <c r="V40" s="53">
        <v>3.2000000000000001E-2</v>
      </c>
      <c r="W40" s="53">
        <v>3.2599999999999997E-2</v>
      </c>
      <c r="X40" s="53">
        <v>3.32E-2</v>
      </c>
      <c r="Y40" s="53">
        <v>3.3700000000000001E-2</v>
      </c>
      <c r="Z40" s="53">
        <v>3.4299999999999997E-2</v>
      </c>
      <c r="AA40" s="53">
        <v>3.5799999999999998E-2</v>
      </c>
      <c r="AB40" s="53">
        <v>3.49E-2</v>
      </c>
      <c r="AC40" s="53">
        <v>3.3799999999999997E-2</v>
      </c>
      <c r="AD40" s="53">
        <v>3.27E-2</v>
      </c>
      <c r="AE40" s="53">
        <v>3.2000000000000001E-2</v>
      </c>
      <c r="AF40" s="53">
        <v>3.1399999999999997E-2</v>
      </c>
      <c r="AG40" s="53">
        <v>3.0800000000000001E-2</v>
      </c>
      <c r="AH40" s="53">
        <v>3.0200000000000001E-2</v>
      </c>
      <c r="AI40" s="53">
        <v>2.9700000000000001E-2</v>
      </c>
      <c r="AJ40" s="53">
        <v>2.8899999999999999E-2</v>
      </c>
      <c r="AK40" s="53">
        <v>2.6200000000000001E-2</v>
      </c>
      <c r="AL40" s="53">
        <v>2.4E-2</v>
      </c>
      <c r="AM40" s="53">
        <v>2.2100000000000002E-2</v>
      </c>
      <c r="AN40" s="53">
        <v>1.8700000000000001E-2</v>
      </c>
      <c r="AO40" s="53">
        <v>1.7399999999999999E-2</v>
      </c>
      <c r="AP40" s="53">
        <v>1.54E-2</v>
      </c>
      <c r="AQ40" s="53">
        <v>1.2699999999999999E-2</v>
      </c>
      <c r="AR40" s="53">
        <v>9.4000000000000004E-3</v>
      </c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</row>
    <row r="41" spans="2:55" s="82" customFormat="1" ht="13.5" customHeight="1">
      <c r="B41" s="84">
        <v>42</v>
      </c>
      <c r="C41" s="85">
        <f t="shared" si="0"/>
        <v>1.0000000000000002</v>
      </c>
      <c r="D41" s="53">
        <v>8.0000000000000004E-4</v>
      </c>
      <c r="E41" s="53">
        <v>2.3E-3</v>
      </c>
      <c r="F41" s="53">
        <v>6.1000000000000004E-3</v>
      </c>
      <c r="G41" s="53">
        <v>1.15E-2</v>
      </c>
      <c r="H41" s="53">
        <v>1.44E-2</v>
      </c>
      <c r="I41" s="53">
        <v>1.6199999999999999E-2</v>
      </c>
      <c r="J41" s="53">
        <v>1.78E-2</v>
      </c>
      <c r="K41" s="53">
        <v>1.9300000000000001E-2</v>
      </c>
      <c r="L41" s="53">
        <v>2.1299999999999999E-2</v>
      </c>
      <c r="M41" s="53">
        <v>2.3199999999999998E-2</v>
      </c>
      <c r="N41" s="53">
        <v>2.4799999999999999E-2</v>
      </c>
      <c r="O41" s="53">
        <v>2.5999999999999999E-2</v>
      </c>
      <c r="P41" s="53">
        <v>2.6700000000000002E-2</v>
      </c>
      <c r="Q41" s="53">
        <v>2.7300000000000001E-2</v>
      </c>
      <c r="R41" s="53">
        <v>2.7900000000000001E-2</v>
      </c>
      <c r="S41" s="53">
        <v>2.86E-2</v>
      </c>
      <c r="T41" s="53">
        <v>2.9700000000000001E-2</v>
      </c>
      <c r="U41" s="53">
        <v>3.04E-2</v>
      </c>
      <c r="V41" s="53">
        <v>3.1E-2</v>
      </c>
      <c r="W41" s="53">
        <v>3.15E-2</v>
      </c>
      <c r="X41" s="53">
        <v>3.2000000000000001E-2</v>
      </c>
      <c r="Y41" s="53">
        <v>3.2800000000000003E-2</v>
      </c>
      <c r="Z41" s="53">
        <v>3.3300000000000003E-2</v>
      </c>
      <c r="AA41" s="53">
        <v>3.4099999999999998E-2</v>
      </c>
      <c r="AB41" s="53">
        <v>3.5000000000000003E-2</v>
      </c>
      <c r="AC41" s="53">
        <v>3.3500000000000002E-2</v>
      </c>
      <c r="AD41" s="53">
        <v>3.2399999999999998E-2</v>
      </c>
      <c r="AE41" s="53">
        <v>3.1699999999999999E-2</v>
      </c>
      <c r="AF41" s="53">
        <v>3.1099999999999999E-2</v>
      </c>
      <c r="AG41" s="53">
        <v>3.0499999999999999E-2</v>
      </c>
      <c r="AH41" s="53">
        <v>2.9899999999999999E-2</v>
      </c>
      <c r="AI41" s="53">
        <v>2.93E-2</v>
      </c>
      <c r="AJ41" s="53">
        <v>2.8799999999999999E-2</v>
      </c>
      <c r="AK41" s="53">
        <v>2.8199999999999999E-2</v>
      </c>
      <c r="AL41" s="53">
        <v>2.4899999999999999E-2</v>
      </c>
      <c r="AM41" s="53">
        <v>2.3099999999999999E-2</v>
      </c>
      <c r="AN41" s="53">
        <v>2.1100000000000001E-2</v>
      </c>
      <c r="AO41" s="53">
        <v>1.83E-2</v>
      </c>
      <c r="AP41" s="53">
        <v>1.6899999999999998E-2</v>
      </c>
      <c r="AQ41" s="53">
        <v>1.49E-2</v>
      </c>
      <c r="AR41" s="53">
        <v>1.23E-2</v>
      </c>
      <c r="AS41" s="53">
        <v>9.1000000000000004E-3</v>
      </c>
      <c r="AT41" s="53"/>
      <c r="AU41" s="53"/>
      <c r="AV41" s="53"/>
      <c r="AW41" s="53"/>
      <c r="AX41" s="53"/>
      <c r="AY41" s="53"/>
      <c r="AZ41" s="53"/>
      <c r="BA41" s="53"/>
      <c r="BB41" s="53"/>
      <c r="BC41" s="53"/>
    </row>
    <row r="42" spans="2:55" s="82" customFormat="1" ht="13.5" customHeight="1">
      <c r="B42" s="84">
        <v>43</v>
      </c>
      <c r="C42" s="85">
        <f t="shared" si="0"/>
        <v>1</v>
      </c>
      <c r="D42" s="53">
        <v>6.9999999999999999E-4</v>
      </c>
      <c r="E42" s="53">
        <v>2.2000000000000001E-3</v>
      </c>
      <c r="F42" s="53">
        <v>5.5999999999999999E-3</v>
      </c>
      <c r="G42" s="53">
        <v>1.12E-2</v>
      </c>
      <c r="H42" s="53">
        <v>1.4E-2</v>
      </c>
      <c r="I42" s="53">
        <v>1.55E-2</v>
      </c>
      <c r="J42" s="53">
        <v>1.7000000000000001E-2</v>
      </c>
      <c r="K42" s="53">
        <v>1.8599999999999998E-2</v>
      </c>
      <c r="L42" s="53">
        <v>2.07E-2</v>
      </c>
      <c r="M42" s="53">
        <v>2.2200000000000001E-2</v>
      </c>
      <c r="N42" s="53">
        <v>2.3599999999999999E-2</v>
      </c>
      <c r="O42" s="53">
        <v>2.53E-2</v>
      </c>
      <c r="P42" s="53">
        <v>2.5999999999999999E-2</v>
      </c>
      <c r="Q42" s="53">
        <v>2.6499999999999999E-2</v>
      </c>
      <c r="R42" s="53">
        <v>2.7E-2</v>
      </c>
      <c r="S42" s="53">
        <v>2.75E-2</v>
      </c>
      <c r="T42" s="53">
        <v>2.8799999999999999E-2</v>
      </c>
      <c r="U42" s="53">
        <v>2.9399999999999999E-2</v>
      </c>
      <c r="V42" s="53">
        <v>2.9899999999999999E-2</v>
      </c>
      <c r="W42" s="53">
        <v>3.0499999999999999E-2</v>
      </c>
      <c r="X42" s="53">
        <v>3.1099999999999999E-2</v>
      </c>
      <c r="Y42" s="53">
        <v>3.1600000000000003E-2</v>
      </c>
      <c r="Z42" s="53">
        <v>3.2099999999999997E-2</v>
      </c>
      <c r="AA42" s="53">
        <v>3.27E-2</v>
      </c>
      <c r="AB42" s="53">
        <v>3.4000000000000002E-2</v>
      </c>
      <c r="AC42" s="53">
        <v>3.3500000000000002E-2</v>
      </c>
      <c r="AD42" s="53">
        <v>3.2599999999999997E-2</v>
      </c>
      <c r="AE42" s="53">
        <v>3.1300000000000001E-2</v>
      </c>
      <c r="AF42" s="53">
        <v>3.0700000000000002E-2</v>
      </c>
      <c r="AG42" s="53">
        <v>3.0200000000000001E-2</v>
      </c>
      <c r="AH42" s="53">
        <v>2.9700000000000001E-2</v>
      </c>
      <c r="AI42" s="53">
        <v>2.9000000000000001E-2</v>
      </c>
      <c r="AJ42" s="53">
        <v>2.8500000000000001E-2</v>
      </c>
      <c r="AK42" s="53">
        <v>2.8000000000000001E-2</v>
      </c>
      <c r="AL42" s="53">
        <v>2.7300000000000001E-2</v>
      </c>
      <c r="AM42" s="53">
        <v>2.3800000000000002E-2</v>
      </c>
      <c r="AN42" s="53">
        <v>2.2200000000000001E-2</v>
      </c>
      <c r="AO42" s="53">
        <v>2.0199999999999999E-2</v>
      </c>
      <c r="AP42" s="53">
        <v>1.78E-2</v>
      </c>
      <c r="AQ42" s="53">
        <v>1.6400000000000001E-2</v>
      </c>
      <c r="AR42" s="53">
        <v>1.43E-2</v>
      </c>
      <c r="AS42" s="53">
        <v>1.1900000000000001E-2</v>
      </c>
      <c r="AT42" s="53">
        <v>8.8999999999999999E-3</v>
      </c>
      <c r="AU42" s="53"/>
      <c r="AV42" s="53"/>
      <c r="AW42" s="53"/>
      <c r="AX42" s="53"/>
      <c r="AY42" s="53"/>
      <c r="AZ42" s="53"/>
      <c r="BA42" s="53"/>
      <c r="BB42" s="53"/>
      <c r="BC42" s="53"/>
    </row>
    <row r="43" spans="2:55" s="82" customFormat="1" ht="13.5" customHeight="1">
      <c r="B43" s="84">
        <v>44</v>
      </c>
      <c r="C43" s="85">
        <f t="shared" si="0"/>
        <v>1</v>
      </c>
      <c r="D43" s="53">
        <v>6.9999999999999999E-4</v>
      </c>
      <c r="E43" s="53">
        <v>2.0999999999999999E-3</v>
      </c>
      <c r="F43" s="53">
        <v>4.7999999999999996E-3</v>
      </c>
      <c r="G43" s="53">
        <v>1.09E-2</v>
      </c>
      <c r="H43" s="53">
        <v>1.34E-2</v>
      </c>
      <c r="I43" s="53">
        <v>1.49E-2</v>
      </c>
      <c r="J43" s="53">
        <v>1.6299999999999999E-2</v>
      </c>
      <c r="K43" s="53">
        <v>1.8200000000000001E-2</v>
      </c>
      <c r="L43" s="53">
        <v>1.9800000000000002E-2</v>
      </c>
      <c r="M43" s="53">
        <v>2.12E-2</v>
      </c>
      <c r="N43" s="53">
        <v>2.2499999999999999E-2</v>
      </c>
      <c r="O43" s="53">
        <v>2.47E-2</v>
      </c>
      <c r="P43" s="53">
        <v>2.52E-2</v>
      </c>
      <c r="Q43" s="53">
        <v>2.5600000000000001E-2</v>
      </c>
      <c r="R43" s="53">
        <v>2.6200000000000001E-2</v>
      </c>
      <c r="S43" s="53">
        <v>2.6800000000000001E-2</v>
      </c>
      <c r="T43" s="53">
        <v>2.76E-2</v>
      </c>
      <c r="U43" s="53">
        <v>2.8500000000000001E-2</v>
      </c>
      <c r="V43" s="53">
        <v>2.9100000000000001E-2</v>
      </c>
      <c r="W43" s="53">
        <v>2.9600000000000001E-2</v>
      </c>
      <c r="X43" s="53">
        <v>3.0099999999999998E-2</v>
      </c>
      <c r="Y43" s="53">
        <v>3.0499999999999999E-2</v>
      </c>
      <c r="Z43" s="53">
        <v>3.1300000000000001E-2</v>
      </c>
      <c r="AA43" s="53">
        <v>3.1699999999999999E-2</v>
      </c>
      <c r="AB43" s="53">
        <v>3.2399999999999998E-2</v>
      </c>
      <c r="AC43" s="53">
        <v>3.3500000000000002E-2</v>
      </c>
      <c r="AD43" s="53">
        <v>3.2199999999999999E-2</v>
      </c>
      <c r="AE43" s="53">
        <v>3.1300000000000001E-2</v>
      </c>
      <c r="AF43" s="53">
        <v>3.0499999999999999E-2</v>
      </c>
      <c r="AG43" s="53">
        <v>2.98E-2</v>
      </c>
      <c r="AH43" s="53">
        <v>2.93E-2</v>
      </c>
      <c r="AI43" s="53">
        <v>2.8799999999999999E-2</v>
      </c>
      <c r="AJ43" s="53">
        <v>2.8400000000000002E-2</v>
      </c>
      <c r="AK43" s="53">
        <v>2.76E-2</v>
      </c>
      <c r="AL43" s="53">
        <v>2.7199999999999998E-2</v>
      </c>
      <c r="AM43" s="53">
        <v>2.5999999999999999E-2</v>
      </c>
      <c r="AN43" s="53">
        <v>2.3300000000000001E-2</v>
      </c>
      <c r="AO43" s="53">
        <v>2.1399999999999999E-2</v>
      </c>
      <c r="AP43" s="53">
        <v>1.9300000000000001E-2</v>
      </c>
      <c r="AQ43" s="53">
        <v>1.7299999999999999E-2</v>
      </c>
      <c r="AR43" s="53">
        <v>1.6E-2</v>
      </c>
      <c r="AS43" s="53">
        <v>1.38E-2</v>
      </c>
      <c r="AT43" s="53">
        <v>1.15E-2</v>
      </c>
      <c r="AU43" s="53">
        <v>8.6999999999999994E-3</v>
      </c>
      <c r="AV43" s="53"/>
      <c r="AW43" s="53"/>
      <c r="AX43" s="53"/>
      <c r="AY43" s="53"/>
      <c r="AZ43" s="53"/>
      <c r="BA43" s="53"/>
      <c r="BB43" s="53"/>
      <c r="BC43" s="53"/>
    </row>
    <row r="44" spans="2:55" s="82" customFormat="1" ht="13.5" customHeight="1">
      <c r="B44" s="84">
        <v>45</v>
      </c>
      <c r="C44" s="85">
        <f t="shared" si="0"/>
        <v>1</v>
      </c>
      <c r="D44" s="53">
        <v>6.9999999999999999E-4</v>
      </c>
      <c r="E44" s="53">
        <v>2E-3</v>
      </c>
      <c r="F44" s="53">
        <v>4.4000000000000003E-3</v>
      </c>
      <c r="G44" s="53">
        <v>1.0699999999999999E-2</v>
      </c>
      <c r="H44" s="53">
        <v>1.29E-2</v>
      </c>
      <c r="I44" s="53">
        <v>1.44E-2</v>
      </c>
      <c r="J44" s="53">
        <v>1.5599999999999999E-2</v>
      </c>
      <c r="K44" s="53">
        <v>1.77E-2</v>
      </c>
      <c r="L44" s="53">
        <v>1.9E-2</v>
      </c>
      <c r="M44" s="53">
        <v>2.0199999999999999E-2</v>
      </c>
      <c r="N44" s="53">
        <v>2.1999999999999999E-2</v>
      </c>
      <c r="O44" s="53">
        <v>2.3599999999999999E-2</v>
      </c>
      <c r="P44" s="53">
        <v>2.4400000000000002E-2</v>
      </c>
      <c r="Q44" s="53">
        <v>2.4899999999999999E-2</v>
      </c>
      <c r="R44" s="53">
        <v>2.5600000000000001E-2</v>
      </c>
      <c r="S44" s="53">
        <v>2.5999999999999999E-2</v>
      </c>
      <c r="T44" s="53">
        <v>2.6499999999999999E-2</v>
      </c>
      <c r="U44" s="53">
        <v>2.7699999999999999E-2</v>
      </c>
      <c r="V44" s="53">
        <v>2.8199999999999999E-2</v>
      </c>
      <c r="W44" s="53">
        <v>2.87E-2</v>
      </c>
      <c r="X44" s="53">
        <v>2.92E-2</v>
      </c>
      <c r="Y44" s="53">
        <v>2.98E-2</v>
      </c>
      <c r="Z44" s="53">
        <v>3.0200000000000001E-2</v>
      </c>
      <c r="AA44" s="53">
        <v>3.0599999999999999E-2</v>
      </c>
      <c r="AB44" s="53">
        <v>3.1300000000000001E-2</v>
      </c>
      <c r="AC44" s="53">
        <v>3.2300000000000002E-2</v>
      </c>
      <c r="AD44" s="53">
        <v>3.2300000000000002E-2</v>
      </c>
      <c r="AE44" s="53">
        <v>3.1300000000000001E-2</v>
      </c>
      <c r="AF44" s="53">
        <v>0.03</v>
      </c>
      <c r="AG44" s="53">
        <v>2.9499999999999998E-2</v>
      </c>
      <c r="AH44" s="53">
        <v>2.9100000000000001E-2</v>
      </c>
      <c r="AI44" s="53">
        <v>2.8400000000000002E-2</v>
      </c>
      <c r="AJ44" s="53">
        <v>2.8000000000000001E-2</v>
      </c>
      <c r="AK44" s="53">
        <v>2.76E-2</v>
      </c>
      <c r="AL44" s="53">
        <v>2.7E-2</v>
      </c>
      <c r="AM44" s="53">
        <v>2.64E-2</v>
      </c>
      <c r="AN44" s="53">
        <v>2.4799999999999999E-2</v>
      </c>
      <c r="AO44" s="53">
        <v>2.2700000000000001E-2</v>
      </c>
      <c r="AP44" s="53">
        <v>2.06E-2</v>
      </c>
      <c r="AQ44" s="53">
        <v>1.84E-2</v>
      </c>
      <c r="AR44" s="53">
        <v>1.6799999999999999E-2</v>
      </c>
      <c r="AS44" s="53">
        <v>1.5599999999999999E-2</v>
      </c>
      <c r="AT44" s="53">
        <v>1.3299999999999999E-2</v>
      </c>
      <c r="AU44" s="53">
        <v>1.11E-2</v>
      </c>
      <c r="AV44" s="53">
        <v>8.5000000000000006E-3</v>
      </c>
      <c r="AW44" s="53"/>
      <c r="AX44" s="53"/>
      <c r="AY44" s="53"/>
      <c r="AZ44" s="53"/>
      <c r="BA44" s="53"/>
      <c r="BB44" s="53"/>
      <c r="BC44" s="53"/>
    </row>
    <row r="45" spans="2:55" s="82" customFormat="1" ht="13.5" customHeight="1">
      <c r="B45" s="84">
        <v>46</v>
      </c>
      <c r="C45" s="85">
        <f t="shared" si="0"/>
        <v>1.0000000000000002</v>
      </c>
      <c r="D45" s="53">
        <v>6.9999999999999999E-4</v>
      </c>
      <c r="E45" s="53">
        <v>1.9E-3</v>
      </c>
      <c r="F45" s="53">
        <v>3.7000000000000002E-3</v>
      </c>
      <c r="G45" s="53">
        <v>1.04E-2</v>
      </c>
      <c r="H45" s="53">
        <v>1.23E-2</v>
      </c>
      <c r="I45" s="53">
        <v>1.37E-2</v>
      </c>
      <c r="J45" s="53">
        <v>1.5299999999999999E-2</v>
      </c>
      <c r="K45" s="53">
        <v>1.7000000000000001E-2</v>
      </c>
      <c r="L45" s="53">
        <v>1.8200000000000001E-2</v>
      </c>
      <c r="M45" s="53">
        <v>1.95E-2</v>
      </c>
      <c r="N45" s="53">
        <v>2.1499999999999998E-2</v>
      </c>
      <c r="O45" s="53">
        <v>2.2599999999999999E-2</v>
      </c>
      <c r="P45" s="53">
        <v>2.3699999999999999E-2</v>
      </c>
      <c r="Q45" s="53">
        <v>2.4299999999999999E-2</v>
      </c>
      <c r="R45" s="53">
        <v>2.4799999999999999E-2</v>
      </c>
      <c r="S45" s="53">
        <v>2.52E-2</v>
      </c>
      <c r="T45" s="53">
        <v>2.5700000000000001E-2</v>
      </c>
      <c r="U45" s="53">
        <v>2.6800000000000001E-2</v>
      </c>
      <c r="V45" s="53">
        <v>2.7300000000000001E-2</v>
      </c>
      <c r="W45" s="53">
        <v>2.7799999999999998E-2</v>
      </c>
      <c r="X45" s="53">
        <v>2.8400000000000002E-2</v>
      </c>
      <c r="Y45" s="53">
        <v>2.8799999999999999E-2</v>
      </c>
      <c r="Z45" s="53">
        <v>2.92E-2</v>
      </c>
      <c r="AA45" s="53">
        <v>2.9899999999999999E-2</v>
      </c>
      <c r="AB45" s="53">
        <v>3.0300000000000001E-2</v>
      </c>
      <c r="AC45" s="53">
        <v>3.0800000000000001E-2</v>
      </c>
      <c r="AD45" s="53">
        <v>3.2000000000000001E-2</v>
      </c>
      <c r="AE45" s="53">
        <v>3.1E-2</v>
      </c>
      <c r="AF45" s="53">
        <v>3.0300000000000001E-2</v>
      </c>
      <c r="AG45" s="53">
        <v>2.92E-2</v>
      </c>
      <c r="AH45" s="53">
        <v>2.87E-2</v>
      </c>
      <c r="AI45" s="53">
        <v>2.8299999999999999E-2</v>
      </c>
      <c r="AJ45" s="53">
        <v>2.7799999999999998E-2</v>
      </c>
      <c r="AK45" s="53">
        <v>2.7199999999999998E-2</v>
      </c>
      <c r="AL45" s="53">
        <v>2.6800000000000001E-2</v>
      </c>
      <c r="AM45" s="53">
        <v>2.64E-2</v>
      </c>
      <c r="AN45" s="53">
        <v>2.5700000000000001E-2</v>
      </c>
      <c r="AO45" s="53">
        <v>2.3599999999999999E-2</v>
      </c>
      <c r="AP45" s="53">
        <v>2.1899999999999999E-2</v>
      </c>
      <c r="AQ45" s="53">
        <v>2.0199999999999999E-2</v>
      </c>
      <c r="AR45" s="53">
        <v>1.7600000000000001E-2</v>
      </c>
      <c r="AS45" s="53">
        <v>1.6299999999999999E-2</v>
      </c>
      <c r="AT45" s="53">
        <v>1.5299999999999999E-2</v>
      </c>
      <c r="AU45" s="53">
        <v>1.29E-2</v>
      </c>
      <c r="AV45" s="53">
        <v>1.0699999999999999E-2</v>
      </c>
      <c r="AW45" s="53">
        <v>8.3000000000000001E-3</v>
      </c>
      <c r="AX45" s="53"/>
      <c r="AY45" s="53"/>
      <c r="AZ45" s="53"/>
      <c r="BA45" s="53"/>
      <c r="BB45" s="53"/>
      <c r="BC45" s="53"/>
    </row>
    <row r="46" spans="2:55" s="82" customFormat="1" ht="13.5" customHeight="1">
      <c r="B46" s="84">
        <v>47</v>
      </c>
      <c r="C46" s="85">
        <f t="shared" si="0"/>
        <v>1</v>
      </c>
      <c r="D46" s="53">
        <v>6.9999999999999999E-4</v>
      </c>
      <c r="E46" s="53">
        <v>1.8E-3</v>
      </c>
      <c r="F46" s="53">
        <v>3.2000000000000002E-3</v>
      </c>
      <c r="G46" s="53">
        <v>1.0200000000000001E-2</v>
      </c>
      <c r="H46" s="53">
        <v>1.18E-2</v>
      </c>
      <c r="I46" s="53">
        <v>1.32E-2</v>
      </c>
      <c r="J46" s="53">
        <v>1.4999999999999999E-2</v>
      </c>
      <c r="K46" s="53">
        <v>1.6299999999999999E-2</v>
      </c>
      <c r="L46" s="53">
        <v>1.7399999999999999E-2</v>
      </c>
      <c r="M46" s="53">
        <v>1.9099999999999999E-2</v>
      </c>
      <c r="N46" s="53">
        <v>2.0500000000000001E-2</v>
      </c>
      <c r="O46" s="53">
        <v>2.1600000000000001E-2</v>
      </c>
      <c r="P46" s="53">
        <v>2.3099999999999999E-2</v>
      </c>
      <c r="Q46" s="53">
        <v>2.3699999999999999E-2</v>
      </c>
      <c r="R46" s="53">
        <v>2.4E-2</v>
      </c>
      <c r="S46" s="53">
        <v>2.4500000000000001E-2</v>
      </c>
      <c r="T46" s="53">
        <v>2.5100000000000001E-2</v>
      </c>
      <c r="U46" s="53">
        <v>2.5700000000000001E-2</v>
      </c>
      <c r="V46" s="53">
        <v>2.6599999999999999E-2</v>
      </c>
      <c r="W46" s="53">
        <v>2.7199999999999998E-2</v>
      </c>
      <c r="X46" s="53">
        <v>2.75E-2</v>
      </c>
      <c r="Y46" s="53">
        <v>2.7900000000000001E-2</v>
      </c>
      <c r="Z46" s="53">
        <v>2.86E-2</v>
      </c>
      <c r="AA46" s="53">
        <v>2.8899999999999999E-2</v>
      </c>
      <c r="AB46" s="53">
        <v>2.93E-2</v>
      </c>
      <c r="AC46" s="53">
        <v>0.03</v>
      </c>
      <c r="AD46" s="53">
        <v>3.0700000000000002E-2</v>
      </c>
      <c r="AE46" s="53">
        <v>3.1199999999999999E-2</v>
      </c>
      <c r="AF46" s="53">
        <v>0.03</v>
      </c>
      <c r="AG46" s="53">
        <v>2.9100000000000001E-2</v>
      </c>
      <c r="AH46" s="53">
        <v>2.8500000000000001E-2</v>
      </c>
      <c r="AI46" s="53">
        <v>2.7900000000000001E-2</v>
      </c>
      <c r="AJ46" s="53">
        <v>2.7400000000000001E-2</v>
      </c>
      <c r="AK46" s="53">
        <v>2.7099999999999999E-2</v>
      </c>
      <c r="AL46" s="53">
        <v>2.6599999999999999E-2</v>
      </c>
      <c r="AM46" s="53">
        <v>2.5999999999999999E-2</v>
      </c>
      <c r="AN46" s="53">
        <v>2.5700000000000001E-2</v>
      </c>
      <c r="AO46" s="53">
        <v>2.52E-2</v>
      </c>
      <c r="AP46" s="53">
        <v>2.24E-2</v>
      </c>
      <c r="AQ46" s="53">
        <v>2.1100000000000001E-2</v>
      </c>
      <c r="AR46" s="53">
        <v>1.9699999999999999E-2</v>
      </c>
      <c r="AS46" s="53">
        <v>1.6799999999999999E-2</v>
      </c>
      <c r="AT46" s="53">
        <v>1.5800000000000002E-2</v>
      </c>
      <c r="AU46" s="53">
        <v>1.4999999999999999E-2</v>
      </c>
      <c r="AV46" s="53">
        <v>1.24E-2</v>
      </c>
      <c r="AW46" s="53">
        <v>1.03E-2</v>
      </c>
      <c r="AX46" s="53">
        <v>8.2000000000000007E-3</v>
      </c>
      <c r="AY46" s="53"/>
      <c r="AZ46" s="53"/>
      <c r="BA46" s="53"/>
      <c r="BB46" s="53"/>
      <c r="BC46" s="53"/>
    </row>
    <row r="47" spans="2:55" s="82" customFormat="1" ht="13.5" customHeight="1">
      <c r="B47" s="84">
        <v>48</v>
      </c>
      <c r="C47" s="85">
        <f t="shared" si="0"/>
        <v>1.0000000000000002</v>
      </c>
      <c r="D47" s="53">
        <v>5.9999999999999995E-4</v>
      </c>
      <c r="E47" s="53">
        <v>1.6999999999999999E-3</v>
      </c>
      <c r="F47" s="53">
        <v>2.7000000000000001E-3</v>
      </c>
      <c r="G47" s="53">
        <v>0.01</v>
      </c>
      <c r="H47" s="53">
        <v>1.1299999999999999E-2</v>
      </c>
      <c r="I47" s="53">
        <v>1.2699999999999999E-2</v>
      </c>
      <c r="J47" s="53">
        <v>1.47E-2</v>
      </c>
      <c r="K47" s="53">
        <v>1.5599999999999999E-2</v>
      </c>
      <c r="L47" s="53">
        <v>1.66E-2</v>
      </c>
      <c r="M47" s="53">
        <v>1.8699999999999998E-2</v>
      </c>
      <c r="N47" s="53">
        <v>0.02</v>
      </c>
      <c r="O47" s="53">
        <v>2.06E-2</v>
      </c>
      <c r="P47" s="53">
        <v>2.2499999999999999E-2</v>
      </c>
      <c r="Q47" s="53">
        <v>2.3099999999999999E-2</v>
      </c>
      <c r="R47" s="53">
        <v>2.3200000000000002E-2</v>
      </c>
      <c r="S47" s="53">
        <v>2.3800000000000002E-2</v>
      </c>
      <c r="T47" s="53">
        <v>2.4500000000000001E-2</v>
      </c>
      <c r="U47" s="53">
        <v>2.46E-2</v>
      </c>
      <c r="V47" s="53">
        <v>2.5899999999999999E-2</v>
      </c>
      <c r="W47" s="53">
        <v>2.6599999999999999E-2</v>
      </c>
      <c r="X47" s="53">
        <v>2.6599999999999999E-2</v>
      </c>
      <c r="Y47" s="53">
        <v>2.7E-2</v>
      </c>
      <c r="Z47" s="53">
        <v>2.8000000000000001E-2</v>
      </c>
      <c r="AA47" s="53">
        <v>2.7899999999999998E-2</v>
      </c>
      <c r="AB47" s="53">
        <v>2.8299999999999999E-2</v>
      </c>
      <c r="AC47" s="53">
        <v>2.92E-2</v>
      </c>
      <c r="AD47" s="53">
        <v>2.9400000000000003E-2</v>
      </c>
      <c r="AE47" s="53">
        <v>3.1199999999999999E-2</v>
      </c>
      <c r="AF47" s="53">
        <v>0.03</v>
      </c>
      <c r="AG47" s="53">
        <v>2.9100000000000001E-2</v>
      </c>
      <c r="AH47" s="53">
        <v>2.8500000000000001E-2</v>
      </c>
      <c r="AI47" s="53">
        <v>2.7900000000000001E-2</v>
      </c>
      <c r="AJ47" s="53">
        <v>2.7400000000000001E-2</v>
      </c>
      <c r="AK47" s="53">
        <v>2.7099999999999999E-2</v>
      </c>
      <c r="AL47" s="53">
        <v>2.6599999999999999E-2</v>
      </c>
      <c r="AM47" s="53">
        <v>2.5999999999999999E-2</v>
      </c>
      <c r="AN47" s="53">
        <v>2.5700000000000001E-2</v>
      </c>
      <c r="AO47" s="53">
        <v>2.52E-2</v>
      </c>
      <c r="AP47" s="53">
        <v>2.24E-2</v>
      </c>
      <c r="AQ47" s="53">
        <v>2.1100000000000001E-2</v>
      </c>
      <c r="AR47" s="53">
        <v>1.9699999999999999E-2</v>
      </c>
      <c r="AS47" s="53">
        <v>1.6799999999999999E-2</v>
      </c>
      <c r="AT47" s="53">
        <v>1.5800000000000002E-2</v>
      </c>
      <c r="AU47" s="53">
        <v>1.4999999999999999E-2</v>
      </c>
      <c r="AV47" s="53">
        <v>2.24E-2</v>
      </c>
      <c r="AW47" s="53">
        <v>0.01</v>
      </c>
      <c r="AX47" s="53">
        <v>8.2000000000000007E-3</v>
      </c>
      <c r="AY47" s="53">
        <v>8.0999999999999996E-3</v>
      </c>
      <c r="AZ47" s="53"/>
      <c r="BA47" s="53"/>
      <c r="BB47" s="53"/>
      <c r="BC47" s="53"/>
    </row>
    <row r="48" spans="2:55" s="82" customFormat="1" ht="13.5" customHeight="1">
      <c r="B48" s="84">
        <v>49</v>
      </c>
      <c r="C48" s="85">
        <f t="shared" si="0"/>
        <v>1.0000000000000002</v>
      </c>
      <c r="D48" s="53">
        <v>5.9999999999999995E-4</v>
      </c>
      <c r="E48" s="53">
        <v>1.6000000000000001E-3</v>
      </c>
      <c r="F48" s="53">
        <v>2.2000000000000001E-3</v>
      </c>
      <c r="G48" s="53">
        <v>9.7999999999999997E-3</v>
      </c>
      <c r="H48" s="53">
        <v>1.0800000000000001E-2</v>
      </c>
      <c r="I48" s="53">
        <v>1.2200000000000001E-2</v>
      </c>
      <c r="J48" s="53">
        <v>1.44E-2</v>
      </c>
      <c r="K48" s="53">
        <v>1.49E-2</v>
      </c>
      <c r="L48" s="53">
        <v>1.5800000000000002E-2</v>
      </c>
      <c r="M48" s="53">
        <v>1.8299999999999997E-2</v>
      </c>
      <c r="N48" s="53">
        <v>1.95E-2</v>
      </c>
      <c r="O48" s="53">
        <v>1.9599999999999999E-2</v>
      </c>
      <c r="P48" s="53">
        <v>2.1899999999999999E-2</v>
      </c>
      <c r="Q48" s="53">
        <v>2.2499999999999999E-2</v>
      </c>
      <c r="R48" s="53">
        <v>2.2400000000000003E-2</v>
      </c>
      <c r="S48" s="53">
        <v>2.3100000000000002E-2</v>
      </c>
      <c r="T48" s="53">
        <v>2.3900000000000001E-2</v>
      </c>
      <c r="U48" s="53">
        <v>2.35E-2</v>
      </c>
      <c r="V48" s="53">
        <v>2.52E-2</v>
      </c>
      <c r="W48" s="53">
        <v>2.5999999999999999E-2</v>
      </c>
      <c r="X48" s="53">
        <v>2.5699999999999997E-2</v>
      </c>
      <c r="Y48" s="53">
        <v>2.6099999999999998E-2</v>
      </c>
      <c r="Z48" s="53">
        <v>2.7400000000000001E-2</v>
      </c>
      <c r="AA48" s="53">
        <v>2.6899999999999997E-2</v>
      </c>
      <c r="AB48" s="53">
        <v>2.7299999999999998E-2</v>
      </c>
      <c r="AC48" s="53">
        <v>2.8400000000000002E-2</v>
      </c>
      <c r="AD48" s="53">
        <v>2.8100000000000003E-2</v>
      </c>
      <c r="AE48" s="53">
        <v>3.1199999999999999E-2</v>
      </c>
      <c r="AF48" s="53">
        <v>0.03</v>
      </c>
      <c r="AG48" s="53">
        <v>2.9100000000000001E-2</v>
      </c>
      <c r="AH48" s="53">
        <v>2.8500000000000001E-2</v>
      </c>
      <c r="AI48" s="53">
        <v>2.7900000000000001E-2</v>
      </c>
      <c r="AJ48" s="53">
        <v>2.7400000000000001E-2</v>
      </c>
      <c r="AK48" s="53">
        <v>2.7099999999999999E-2</v>
      </c>
      <c r="AL48" s="53">
        <v>2.6599999999999999E-2</v>
      </c>
      <c r="AM48" s="53">
        <v>2.5999999999999999E-2</v>
      </c>
      <c r="AN48" s="53">
        <v>2.5700000000000001E-2</v>
      </c>
      <c r="AO48" s="53">
        <v>2.52E-2</v>
      </c>
      <c r="AP48" s="53">
        <v>2.24E-2</v>
      </c>
      <c r="AQ48" s="53">
        <v>2.1100000000000001E-2</v>
      </c>
      <c r="AR48" s="53">
        <v>1.9699999999999999E-2</v>
      </c>
      <c r="AS48" s="53">
        <v>1.6799999999999999E-2</v>
      </c>
      <c r="AT48" s="53">
        <v>1.5800000000000002E-2</v>
      </c>
      <c r="AU48" s="53">
        <v>1.4999999999999999E-2</v>
      </c>
      <c r="AV48" s="53">
        <v>2.24E-2</v>
      </c>
      <c r="AW48" s="53">
        <v>1.8700000000000001E-2</v>
      </c>
      <c r="AX48" s="53">
        <v>9.1999999999999998E-3</v>
      </c>
      <c r="AY48" s="53">
        <v>8.0999999999999996E-3</v>
      </c>
      <c r="AZ48" s="53">
        <v>8.0000000000000002E-3</v>
      </c>
      <c r="BA48" s="53"/>
      <c r="BB48" s="53"/>
      <c r="BC48" s="53"/>
    </row>
    <row r="49" spans="2:55" s="82" customFormat="1" ht="13.5" customHeight="1">
      <c r="B49" s="84">
        <v>50</v>
      </c>
      <c r="C49" s="85">
        <f t="shared" si="0"/>
        <v>1.0000000000000002</v>
      </c>
      <c r="D49" s="53">
        <v>5.9999999999999995E-4</v>
      </c>
      <c r="E49" s="53">
        <v>1.5E-3</v>
      </c>
      <c r="F49" s="53">
        <v>1.6999999999999999E-3</v>
      </c>
      <c r="G49" s="53">
        <v>9.5999999999999992E-3</v>
      </c>
      <c r="H49" s="53">
        <v>1.03E-2</v>
      </c>
      <c r="I49" s="53">
        <v>1.17E-2</v>
      </c>
      <c r="J49" s="53">
        <v>1.41E-2</v>
      </c>
      <c r="K49" s="53">
        <v>1.4200000000000001E-2</v>
      </c>
      <c r="L49" s="53">
        <v>1.5000000000000001E-2</v>
      </c>
      <c r="M49" s="53">
        <v>1.7899999999999996E-2</v>
      </c>
      <c r="N49" s="53">
        <v>1.9E-2</v>
      </c>
      <c r="O49" s="53">
        <v>1.8599999999999998E-2</v>
      </c>
      <c r="P49" s="53">
        <v>2.1299999999999999E-2</v>
      </c>
      <c r="Q49" s="53">
        <v>2.1899999999999999E-2</v>
      </c>
      <c r="R49" s="53">
        <v>2.1600000000000005E-2</v>
      </c>
      <c r="S49" s="53">
        <v>2.2400000000000003E-2</v>
      </c>
      <c r="T49" s="53">
        <v>2.3300000000000001E-2</v>
      </c>
      <c r="U49" s="53">
        <v>2.24E-2</v>
      </c>
      <c r="V49" s="53">
        <v>2.4500000000000001E-2</v>
      </c>
      <c r="W49" s="53">
        <v>2.5399999999999999E-2</v>
      </c>
      <c r="X49" s="53">
        <v>2.4799999999999996E-2</v>
      </c>
      <c r="Y49" s="53">
        <v>2.5199999999999997E-2</v>
      </c>
      <c r="Z49" s="53">
        <v>2.6800000000000001E-2</v>
      </c>
      <c r="AA49" s="53">
        <v>2.5899999999999996E-2</v>
      </c>
      <c r="AB49" s="53">
        <v>2.6299999999999997E-2</v>
      </c>
      <c r="AC49" s="53">
        <v>2.7600000000000003E-2</v>
      </c>
      <c r="AD49" s="53">
        <v>2.6800000000000004E-2</v>
      </c>
      <c r="AE49" s="53">
        <v>3.1199999999999999E-2</v>
      </c>
      <c r="AF49" s="53">
        <v>0.03</v>
      </c>
      <c r="AG49" s="53">
        <v>2.9100000000000001E-2</v>
      </c>
      <c r="AH49" s="53">
        <v>2.8500000000000001E-2</v>
      </c>
      <c r="AI49" s="53">
        <v>2.7900000000000001E-2</v>
      </c>
      <c r="AJ49" s="53">
        <v>2.7400000000000001E-2</v>
      </c>
      <c r="AK49" s="53">
        <v>2.7099999999999999E-2</v>
      </c>
      <c r="AL49" s="53">
        <v>2.6599999999999999E-2</v>
      </c>
      <c r="AM49" s="53">
        <v>2.5999999999999999E-2</v>
      </c>
      <c r="AN49" s="53">
        <v>2.5700000000000001E-2</v>
      </c>
      <c r="AO49" s="53">
        <v>2.52E-2</v>
      </c>
      <c r="AP49" s="53">
        <v>2.24E-2</v>
      </c>
      <c r="AQ49" s="53">
        <v>2.1100000000000001E-2</v>
      </c>
      <c r="AR49" s="53">
        <v>1.9699999999999999E-2</v>
      </c>
      <c r="AS49" s="53">
        <v>1.6799999999999999E-2</v>
      </c>
      <c r="AT49" s="53">
        <v>1.5800000000000002E-2</v>
      </c>
      <c r="AU49" s="53">
        <v>1.4999999999999999E-2</v>
      </c>
      <c r="AV49" s="53">
        <v>2.24E-2</v>
      </c>
      <c r="AW49" s="53">
        <v>1.8700000000000001E-2</v>
      </c>
      <c r="AX49" s="53">
        <v>1.9E-2</v>
      </c>
      <c r="AY49" s="53">
        <v>8.0999999999999996E-3</v>
      </c>
      <c r="AZ49" s="53">
        <v>8.0000000000000002E-3</v>
      </c>
      <c r="BA49" s="53">
        <v>7.9000000000000008E-3</v>
      </c>
      <c r="BB49" s="53"/>
      <c r="BC49" s="53"/>
    </row>
    <row r="50" spans="2:55" s="82" customFormat="1" ht="13.5" customHeight="1">
      <c r="B50" s="84">
        <v>51</v>
      </c>
      <c r="C50" s="85">
        <f t="shared" si="0"/>
        <v>1.0000000000000002</v>
      </c>
      <c r="D50" s="53">
        <v>5.9999999999999995E-4</v>
      </c>
      <c r="E50" s="53">
        <v>1.4E-3</v>
      </c>
      <c r="F50" s="53">
        <v>1.1999999999999999E-3</v>
      </c>
      <c r="G50" s="53">
        <v>9.4000000000000004E-3</v>
      </c>
      <c r="H50" s="53">
        <v>9.7999999999999997E-3</v>
      </c>
      <c r="I50" s="53">
        <v>1.12E-2</v>
      </c>
      <c r="J50" s="53">
        <v>1.38E-2</v>
      </c>
      <c r="K50" s="53">
        <v>1.3500000000000002E-2</v>
      </c>
      <c r="L50" s="53">
        <v>1.4200000000000001E-2</v>
      </c>
      <c r="M50" s="53">
        <v>1.7499999999999995E-2</v>
      </c>
      <c r="N50" s="53">
        <v>1.8499999999999999E-2</v>
      </c>
      <c r="O50" s="53">
        <v>1.7599999999999998E-2</v>
      </c>
      <c r="P50" s="53">
        <v>2.07E-2</v>
      </c>
      <c r="Q50" s="53">
        <v>2.1299999999999999E-2</v>
      </c>
      <c r="R50" s="53">
        <v>2.0800000000000006E-2</v>
      </c>
      <c r="S50" s="53">
        <v>2.1700000000000004E-2</v>
      </c>
      <c r="T50" s="53">
        <v>2.2700000000000001E-2</v>
      </c>
      <c r="U50" s="53">
        <v>2.1299999999999999E-2</v>
      </c>
      <c r="V50" s="53">
        <v>2.3800000000000002E-2</v>
      </c>
      <c r="W50" s="53">
        <v>2.4799999999999999E-2</v>
      </c>
      <c r="X50" s="53">
        <v>2.3899999999999994E-2</v>
      </c>
      <c r="Y50" s="53">
        <v>2.4299999999999995E-2</v>
      </c>
      <c r="Z50" s="53">
        <v>2.6200000000000001E-2</v>
      </c>
      <c r="AA50" s="53">
        <v>2.4899999999999995E-2</v>
      </c>
      <c r="AB50" s="53">
        <v>2.5299999999999996E-2</v>
      </c>
      <c r="AC50" s="53">
        <v>2.6800000000000004E-2</v>
      </c>
      <c r="AD50" s="53">
        <v>2.5500000000000005E-2</v>
      </c>
      <c r="AE50" s="53">
        <v>3.1199999999999999E-2</v>
      </c>
      <c r="AF50" s="53">
        <v>0.03</v>
      </c>
      <c r="AG50" s="53">
        <v>2.9100000000000001E-2</v>
      </c>
      <c r="AH50" s="53">
        <v>2.8500000000000001E-2</v>
      </c>
      <c r="AI50" s="53">
        <v>2.7900000000000001E-2</v>
      </c>
      <c r="AJ50" s="53">
        <v>2.7400000000000001E-2</v>
      </c>
      <c r="AK50" s="53">
        <v>2.7099999999999999E-2</v>
      </c>
      <c r="AL50" s="53">
        <v>2.6599999999999999E-2</v>
      </c>
      <c r="AM50" s="53">
        <v>2.5999999999999999E-2</v>
      </c>
      <c r="AN50" s="53">
        <v>2.5700000000000001E-2</v>
      </c>
      <c r="AO50" s="53">
        <v>2.52E-2</v>
      </c>
      <c r="AP50" s="53">
        <v>2.24E-2</v>
      </c>
      <c r="AQ50" s="53">
        <v>2.1100000000000001E-2</v>
      </c>
      <c r="AR50" s="53">
        <v>1.9699999999999999E-2</v>
      </c>
      <c r="AS50" s="53">
        <v>1.6799999999999999E-2</v>
      </c>
      <c r="AT50" s="53">
        <v>1.5800000000000002E-2</v>
      </c>
      <c r="AU50" s="53">
        <v>1.4999999999999999E-2</v>
      </c>
      <c r="AV50" s="53">
        <v>2.24E-2</v>
      </c>
      <c r="AW50" s="53">
        <v>1.8700000000000001E-2</v>
      </c>
      <c r="AX50" s="53">
        <v>1.9E-2</v>
      </c>
      <c r="AY50" s="53">
        <v>1.7000000000000001E-2</v>
      </c>
      <c r="AZ50" s="53">
        <v>8.9999999999999993E-3</v>
      </c>
      <c r="BA50" s="53">
        <v>7.9000000000000008E-3</v>
      </c>
      <c r="BB50" s="53">
        <v>7.7999999999999996E-3</v>
      </c>
      <c r="BC50" s="53"/>
    </row>
    <row r="51" spans="2:55" s="82" customFormat="1" ht="13.5" customHeight="1">
      <c r="B51" s="86">
        <v>52</v>
      </c>
      <c r="C51" s="87">
        <f t="shared" si="0"/>
        <v>1.0000000000000002</v>
      </c>
      <c r="D51" s="88">
        <v>5.9999999999999995E-4</v>
      </c>
      <c r="E51" s="88">
        <v>1.2999999999999999E-3</v>
      </c>
      <c r="F51" s="88">
        <v>6.9999999999999999E-4</v>
      </c>
      <c r="G51" s="88">
        <v>9.1999999999999998E-3</v>
      </c>
      <c r="H51" s="88">
        <v>9.2999999999999992E-3</v>
      </c>
      <c r="I51" s="88">
        <v>1.0699999999999999E-2</v>
      </c>
      <c r="J51" s="88">
        <v>1.35E-2</v>
      </c>
      <c r="K51" s="88">
        <v>1.2800000000000002E-2</v>
      </c>
      <c r="L51" s="88">
        <v>1.34E-2</v>
      </c>
      <c r="M51" s="88">
        <v>1.7099999999999994E-2</v>
      </c>
      <c r="N51" s="88">
        <v>1.7999999999999999E-2</v>
      </c>
      <c r="O51" s="88">
        <v>1.6599999999999997E-2</v>
      </c>
      <c r="P51" s="88">
        <v>2.01E-2</v>
      </c>
      <c r="Q51" s="88">
        <v>2.07E-2</v>
      </c>
      <c r="R51" s="88">
        <v>2.0000000000000007E-2</v>
      </c>
      <c r="S51" s="88">
        <v>2.1000000000000005E-2</v>
      </c>
      <c r="T51" s="88">
        <v>2.2100000000000002E-2</v>
      </c>
      <c r="U51" s="88">
        <v>2.0199999999999999E-2</v>
      </c>
      <c r="V51" s="88">
        <v>2.3100000000000002E-2</v>
      </c>
      <c r="W51" s="88">
        <v>2.4199999999999999E-2</v>
      </c>
      <c r="X51" s="88">
        <v>2.2999999999999993E-2</v>
      </c>
      <c r="Y51" s="88">
        <v>2.3399999999999994E-2</v>
      </c>
      <c r="Z51" s="88">
        <v>2.5600000000000001E-2</v>
      </c>
      <c r="AA51" s="88">
        <v>2.3899999999999994E-2</v>
      </c>
      <c r="AB51" s="88">
        <v>2.4299999999999995E-2</v>
      </c>
      <c r="AC51" s="88">
        <v>2.6000000000000006E-2</v>
      </c>
      <c r="AD51" s="88">
        <v>2.4200000000000006E-2</v>
      </c>
      <c r="AE51" s="88">
        <v>3.1199999999999999E-2</v>
      </c>
      <c r="AF51" s="88">
        <v>0.03</v>
      </c>
      <c r="AG51" s="88">
        <v>2.9100000000000001E-2</v>
      </c>
      <c r="AH51" s="88">
        <v>2.8500000000000001E-2</v>
      </c>
      <c r="AI51" s="88">
        <v>2.7900000000000001E-2</v>
      </c>
      <c r="AJ51" s="88">
        <v>2.7400000000000001E-2</v>
      </c>
      <c r="AK51" s="88">
        <v>2.7099999999999999E-2</v>
      </c>
      <c r="AL51" s="88">
        <v>2.6599999999999999E-2</v>
      </c>
      <c r="AM51" s="88">
        <v>2.5999999999999999E-2</v>
      </c>
      <c r="AN51" s="88">
        <v>2.5700000000000001E-2</v>
      </c>
      <c r="AO51" s="88">
        <v>2.52E-2</v>
      </c>
      <c r="AP51" s="88">
        <v>2.24E-2</v>
      </c>
      <c r="AQ51" s="88">
        <v>2.1100000000000001E-2</v>
      </c>
      <c r="AR51" s="88">
        <v>1.9699999999999999E-2</v>
      </c>
      <c r="AS51" s="88">
        <v>1.6799999999999999E-2</v>
      </c>
      <c r="AT51" s="88">
        <v>1.5800000000000002E-2</v>
      </c>
      <c r="AU51" s="88">
        <v>1.4999999999999999E-2</v>
      </c>
      <c r="AV51" s="88">
        <v>2.24E-2</v>
      </c>
      <c r="AW51" s="88">
        <v>1.8700000000000001E-2</v>
      </c>
      <c r="AX51" s="88">
        <v>1.9E-2</v>
      </c>
      <c r="AY51" s="88">
        <v>1.7000000000000001E-2</v>
      </c>
      <c r="AZ51" s="88">
        <v>1.9E-2</v>
      </c>
      <c r="BA51" s="88">
        <v>7.9000000000000008E-3</v>
      </c>
      <c r="BB51" s="88">
        <v>7.7999999999999996E-3</v>
      </c>
      <c r="BC51" s="88">
        <v>7.7000000000000002E-3</v>
      </c>
    </row>
    <row r="53" spans="2:55" ht="13.5" customHeight="1">
      <c r="B53" s="1" t="s">
        <v>99</v>
      </c>
    </row>
    <row r="54" spans="2:55" ht="13.5" customHeight="1">
      <c r="B54" s="93">
        <f>'A&amp;R'!D19</f>
        <v>36</v>
      </c>
      <c r="C54" s="96">
        <f>SUM(D54:XFD54)</f>
        <v>1.0000000000000002</v>
      </c>
      <c r="D54" s="94" cm="1">
        <f t="array" ref="D54:BC54">INDEX($D$9:$BC$51,MATCH($B$54,$B$9:$B$51,0),0)</f>
        <v>8.9999999999999998E-4</v>
      </c>
      <c r="E54" s="94">
        <v>3.2000000000000002E-3</v>
      </c>
      <c r="F54" s="94">
        <v>1.0800000000000001E-2</v>
      </c>
      <c r="G54" s="94">
        <v>1.55E-2</v>
      </c>
      <c r="H54" s="94">
        <v>1.8100000000000002E-2</v>
      </c>
      <c r="I54" s="94">
        <v>2.06E-2</v>
      </c>
      <c r="J54" s="94">
        <v>2.29E-2</v>
      </c>
      <c r="K54" s="94">
        <v>2.52E-2</v>
      </c>
      <c r="L54" s="94">
        <v>2.76E-2</v>
      </c>
      <c r="M54" s="94">
        <v>3.0200000000000001E-2</v>
      </c>
      <c r="N54" s="94">
        <v>3.1E-2</v>
      </c>
      <c r="O54" s="94">
        <v>3.1800000000000002E-2</v>
      </c>
      <c r="P54" s="94">
        <v>3.2599999999999997E-2</v>
      </c>
      <c r="Q54" s="94">
        <v>3.3799999999999997E-2</v>
      </c>
      <c r="R54" s="94">
        <v>3.5000000000000003E-2</v>
      </c>
      <c r="S54" s="94">
        <v>3.5799999999999998E-2</v>
      </c>
      <c r="T54" s="94">
        <v>3.6600000000000001E-2</v>
      </c>
      <c r="U54" s="94">
        <v>3.73E-2</v>
      </c>
      <c r="V54" s="94">
        <v>3.8199999999999998E-2</v>
      </c>
      <c r="W54" s="94">
        <v>3.9E-2</v>
      </c>
      <c r="X54" s="94">
        <v>4.0399999999999998E-2</v>
      </c>
      <c r="Y54" s="94">
        <v>3.9800000000000002E-2</v>
      </c>
      <c r="Z54" s="94">
        <v>3.8199999999999998E-2</v>
      </c>
      <c r="AA54" s="94">
        <v>3.6999999999999998E-2</v>
      </c>
      <c r="AB54" s="94">
        <v>3.6200000000000003E-2</v>
      </c>
      <c r="AC54" s="94">
        <v>3.5400000000000001E-2</v>
      </c>
      <c r="AD54" s="94">
        <v>3.4700000000000002E-2</v>
      </c>
      <c r="AE54" s="94">
        <v>3.3799999999999997E-2</v>
      </c>
      <c r="AF54" s="94">
        <v>3.3000000000000002E-2</v>
      </c>
      <c r="AG54" s="94">
        <v>2.9600000000000001E-2</v>
      </c>
      <c r="AH54" s="94">
        <v>2.6800000000000001E-2</v>
      </c>
      <c r="AI54" s="94">
        <v>2.3599999999999999E-2</v>
      </c>
      <c r="AJ54" s="94">
        <v>2.07E-2</v>
      </c>
      <c r="AK54" s="94">
        <v>1.8700000000000001E-2</v>
      </c>
      <c r="AL54" s="94">
        <v>1.5299999999999999E-2</v>
      </c>
      <c r="AM54" s="94">
        <v>1.0699999999999999E-2</v>
      </c>
      <c r="AN54" s="94">
        <v>0</v>
      </c>
      <c r="AO54" s="94">
        <v>0</v>
      </c>
      <c r="AP54" s="94">
        <v>0</v>
      </c>
      <c r="AQ54" s="94">
        <v>0</v>
      </c>
      <c r="AR54" s="94">
        <v>0</v>
      </c>
      <c r="AS54" s="94">
        <v>0</v>
      </c>
      <c r="AT54" s="94">
        <v>0</v>
      </c>
      <c r="AU54" s="94">
        <v>0</v>
      </c>
      <c r="AV54" s="94">
        <v>0</v>
      </c>
      <c r="AW54" s="94">
        <v>0</v>
      </c>
      <c r="AX54" s="94">
        <v>0</v>
      </c>
      <c r="AY54" s="94">
        <v>0</v>
      </c>
      <c r="AZ54" s="94">
        <v>0</v>
      </c>
      <c r="BA54" s="94">
        <v>0</v>
      </c>
      <c r="BB54" s="94">
        <v>0</v>
      </c>
      <c r="BC54" s="95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101"/>
  <sheetViews>
    <sheetView showGridLines="0" topLeftCell="A72" workbookViewId="0">
      <selection activeCell="A99" sqref="A99:XFD100"/>
    </sheetView>
  </sheetViews>
  <sheetFormatPr defaultColWidth="9" defaultRowHeight="13.5" customHeight="1" outlineLevelRow="1"/>
  <cols>
    <col min="1" max="1" width="3.3984375" style="1" customWidth="1"/>
    <col min="2" max="2" width="4" style="1" customWidth="1"/>
    <col min="3" max="3" width="4.69921875" style="1" customWidth="1"/>
    <col min="4" max="16384" width="9" style="1"/>
  </cols>
  <sheetData>
    <row r="1" spans="1:30" ht="12.9" customHeight="1"/>
    <row r="2" spans="1:30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30" ht="12.9" customHeight="1">
      <c r="K3" s="11" t="s">
        <v>252</v>
      </c>
      <c r="AB3" s="6" t="s">
        <v>3</v>
      </c>
      <c r="AC3" s="7" t="s">
        <v>4</v>
      </c>
      <c r="AD3" s="8" t="s">
        <v>5</v>
      </c>
    </row>
    <row r="4" spans="1:30" ht="12.9" customHeight="1">
      <c r="K4" s="98" t="s">
        <v>253</v>
      </c>
      <c r="AB4" s="9" t="s">
        <v>6</v>
      </c>
      <c r="AC4" s="10" t="s">
        <v>7</v>
      </c>
      <c r="AD4" s="11" t="s">
        <v>8</v>
      </c>
    </row>
    <row r="5" spans="1:30" s="12" customFormat="1" ht="12.9" customHeight="1" thickBot="1"/>
    <row r="6" spans="1:30" ht="12.9" customHeight="1" thickTop="1">
      <c r="A6" s="1" t="s">
        <v>9</v>
      </c>
      <c r="AD6" s="13">
        <v>44381</v>
      </c>
    </row>
    <row r="7" spans="1:30" ht="12.9" customHeight="1">
      <c r="A7" s="14" t="s">
        <v>14</v>
      </c>
    </row>
    <row r="8" spans="1:30" s="45" customFormat="1" ht="13.5" customHeight="1">
      <c r="K8" s="136">
        <v>2021</v>
      </c>
      <c r="L8" s="136">
        <f>K8+1</f>
        <v>2022</v>
      </c>
      <c r="M8" s="136">
        <f t="shared" ref="M8:T8" si="0">L8+1</f>
        <v>2023</v>
      </c>
      <c r="N8" s="136">
        <f t="shared" si="0"/>
        <v>2024</v>
      </c>
      <c r="O8" s="136">
        <f t="shared" si="0"/>
        <v>2025</v>
      </c>
      <c r="P8" s="136">
        <f t="shared" si="0"/>
        <v>2026</v>
      </c>
      <c r="Q8" s="136">
        <f t="shared" si="0"/>
        <v>2027</v>
      </c>
      <c r="R8" s="136">
        <f t="shared" si="0"/>
        <v>2028</v>
      </c>
      <c r="S8" s="136">
        <f t="shared" si="0"/>
        <v>2029</v>
      </c>
      <c r="T8" s="136">
        <f t="shared" si="0"/>
        <v>2030</v>
      </c>
    </row>
    <row r="9" spans="1:30" ht="13.5" customHeight="1">
      <c r="B9" s="14" t="s">
        <v>184</v>
      </c>
    </row>
    <row r="10" spans="1:30" ht="13.5" customHeight="1">
      <c r="C10" s="14" t="s">
        <v>185</v>
      </c>
    </row>
    <row r="11" spans="1:30" ht="13.5" customHeight="1">
      <c r="D11" s="1" t="s">
        <v>186</v>
      </c>
      <c r="F11" s="1">
        <v>6</v>
      </c>
      <c r="G11" s="1" t="s">
        <v>187</v>
      </c>
    </row>
    <row r="12" spans="1:30" ht="13.5" customHeight="1">
      <c r="D12" s="1" t="s">
        <v>188</v>
      </c>
      <c r="F12" s="1">
        <v>9</v>
      </c>
      <c r="G12" s="1" t="s">
        <v>187</v>
      </c>
    </row>
    <row r="13" spans="1:30" ht="13.5" customHeight="1">
      <c r="D13" s="1" t="s">
        <v>189</v>
      </c>
      <c r="G13" s="3">
        <f>'A&amp;R'!D27</f>
        <v>49875</v>
      </c>
      <c r="H13" s="1" t="s">
        <v>190</v>
      </c>
    </row>
    <row r="14" spans="1:30" ht="13.5" customHeight="1">
      <c r="D14" s="1" t="s">
        <v>191</v>
      </c>
      <c r="G14" s="3">
        <f>'A&amp;R'!D28</f>
        <v>1982000</v>
      </c>
      <c r="H14" s="1" t="s">
        <v>192</v>
      </c>
      <c r="K14" s="1">
        <f>G14</f>
        <v>1982000</v>
      </c>
      <c r="L14" s="1">
        <f>K14*(1+$G$15)</f>
        <v>2041460</v>
      </c>
      <c r="M14" s="1">
        <f t="shared" ref="M14:T14" si="1">L14*(1+$G$15)</f>
        <v>2102703.8000000003</v>
      </c>
      <c r="N14" s="1">
        <f t="shared" si="1"/>
        <v>2165784.9140000003</v>
      </c>
      <c r="O14" s="1">
        <f t="shared" si="1"/>
        <v>2230758.4614200005</v>
      </c>
      <c r="P14" s="1">
        <f t="shared" si="1"/>
        <v>2297681.2152626007</v>
      </c>
      <c r="Q14" s="1">
        <f t="shared" si="1"/>
        <v>2366611.6517204787</v>
      </c>
      <c r="R14" s="1">
        <f t="shared" si="1"/>
        <v>2437610.001272093</v>
      </c>
      <c r="S14" s="1">
        <f t="shared" si="1"/>
        <v>2510738.3013102561</v>
      </c>
      <c r="T14" s="1">
        <f t="shared" si="1"/>
        <v>2586060.4503495637</v>
      </c>
    </row>
    <row r="15" spans="1:30" ht="13.5" customHeight="1">
      <c r="D15" s="24" t="s">
        <v>193</v>
      </c>
      <c r="E15" s="24"/>
      <c r="F15" s="24"/>
      <c r="G15" s="137">
        <v>0.03</v>
      </c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</row>
    <row r="16" spans="1:30" ht="13.5" customHeight="1">
      <c r="D16" s="1" t="s">
        <v>194</v>
      </c>
      <c r="K16" s="1">
        <f t="shared" ref="K16:T16" si="2">$G$13*K14/unit</f>
        <v>98852.25</v>
      </c>
      <c r="L16" s="1">
        <f t="shared" si="2"/>
        <v>101817.8175</v>
      </c>
      <c r="M16" s="1">
        <f t="shared" si="2"/>
        <v>104872.35202500001</v>
      </c>
      <c r="N16" s="1">
        <f t="shared" si="2"/>
        <v>108018.52258575002</v>
      </c>
      <c r="O16" s="1">
        <f t="shared" si="2"/>
        <v>111259.07826332253</v>
      </c>
      <c r="P16" s="1">
        <f t="shared" si="2"/>
        <v>114596.85061122221</v>
      </c>
      <c r="Q16" s="1">
        <f t="shared" si="2"/>
        <v>118034.75612955887</v>
      </c>
      <c r="R16" s="1">
        <f t="shared" si="2"/>
        <v>121575.79881344564</v>
      </c>
      <c r="S16" s="1">
        <f t="shared" si="2"/>
        <v>125223.07277784903</v>
      </c>
      <c r="T16" s="1">
        <f t="shared" si="2"/>
        <v>128979.7649611845</v>
      </c>
    </row>
    <row r="18" spans="3:20" ht="13.5" customHeight="1">
      <c r="C18" s="14" t="s">
        <v>256</v>
      </c>
    </row>
    <row r="19" spans="3:20" ht="13.5" customHeight="1">
      <c r="C19" s="1" t="s">
        <v>195</v>
      </c>
    </row>
    <row r="20" spans="3:20" ht="13.5" customHeight="1">
      <c r="D20" s="1" t="s">
        <v>196</v>
      </c>
      <c r="K20" s="138">
        <v>0.7</v>
      </c>
      <c r="L20" s="138">
        <v>0.7</v>
      </c>
      <c r="M20" s="138">
        <v>0.7</v>
      </c>
      <c r="N20" s="138">
        <v>0.7</v>
      </c>
      <c r="O20" s="138">
        <v>0.7</v>
      </c>
      <c r="P20" s="138">
        <v>0.7</v>
      </c>
      <c r="Q20" s="138">
        <v>0.7</v>
      </c>
      <c r="R20" s="138">
        <v>0.7</v>
      </c>
      <c r="S20" s="138">
        <v>0.7</v>
      </c>
      <c r="T20" s="138">
        <v>0.7</v>
      </c>
    </row>
    <row r="21" spans="3:20" ht="13.5" customHeight="1">
      <c r="D21" s="1" t="s">
        <v>197</v>
      </c>
      <c r="K21" s="1">
        <f>K16*K20</f>
        <v>69196.574999999997</v>
      </c>
      <c r="L21" s="1">
        <f t="shared" ref="L21:T21" si="3">L16*L20</f>
        <v>71272.472249999992</v>
      </c>
      <c r="M21" s="1">
        <f t="shared" si="3"/>
        <v>73410.6464175</v>
      </c>
      <c r="N21" s="1">
        <f t="shared" si="3"/>
        <v>75612.965810025009</v>
      </c>
      <c r="O21" s="1">
        <f t="shared" si="3"/>
        <v>77881.354784325769</v>
      </c>
      <c r="P21" s="1">
        <f t="shared" si="3"/>
        <v>80217.795427855541</v>
      </c>
      <c r="Q21" s="1">
        <f t="shared" si="3"/>
        <v>82624.329290691196</v>
      </c>
      <c r="R21" s="1">
        <f t="shared" si="3"/>
        <v>85103.059169411936</v>
      </c>
      <c r="S21" s="1">
        <f t="shared" si="3"/>
        <v>87656.150944494308</v>
      </c>
      <c r="T21" s="1">
        <f t="shared" si="3"/>
        <v>90285.835472829145</v>
      </c>
    </row>
    <row r="22" spans="3:20" ht="13.5" customHeight="1">
      <c r="D22" s="24" t="s">
        <v>198</v>
      </c>
      <c r="E22" s="24"/>
      <c r="F22" s="24"/>
      <c r="G22" s="24"/>
      <c r="H22" s="24"/>
      <c r="I22" s="24"/>
      <c r="J22" s="24"/>
      <c r="K22" s="137">
        <f>2/1000</f>
        <v>2E-3</v>
      </c>
      <c r="L22" s="137">
        <f t="shared" ref="L22:T22" si="4">2/1000</f>
        <v>2E-3</v>
      </c>
      <c r="M22" s="137">
        <f t="shared" si="4"/>
        <v>2E-3</v>
      </c>
      <c r="N22" s="137">
        <f t="shared" si="4"/>
        <v>2E-3</v>
      </c>
      <c r="O22" s="137">
        <f t="shared" si="4"/>
        <v>2E-3</v>
      </c>
      <c r="P22" s="137">
        <f t="shared" si="4"/>
        <v>2E-3</v>
      </c>
      <c r="Q22" s="137">
        <f t="shared" si="4"/>
        <v>2E-3</v>
      </c>
      <c r="R22" s="137">
        <f t="shared" si="4"/>
        <v>2E-3</v>
      </c>
      <c r="S22" s="137">
        <f t="shared" si="4"/>
        <v>2E-3</v>
      </c>
      <c r="T22" s="137">
        <f t="shared" si="4"/>
        <v>2E-3</v>
      </c>
    </row>
    <row r="23" spans="3:20" ht="13.5" customHeight="1">
      <c r="D23" s="1" t="s">
        <v>199</v>
      </c>
      <c r="K23" s="1">
        <f>K21*K22</f>
        <v>138.39314999999999</v>
      </c>
      <c r="L23" s="1">
        <f t="shared" ref="L23:T23" si="5">L21*L22</f>
        <v>142.54494449999999</v>
      </c>
      <c r="M23" s="1">
        <f t="shared" si="5"/>
        <v>146.82129283500001</v>
      </c>
      <c r="N23" s="1">
        <f t="shared" si="5"/>
        <v>151.22593162005003</v>
      </c>
      <c r="O23" s="1">
        <f t="shared" si="5"/>
        <v>155.76270956865153</v>
      </c>
      <c r="P23" s="1">
        <f t="shared" si="5"/>
        <v>160.4355908557111</v>
      </c>
      <c r="Q23" s="1">
        <f t="shared" si="5"/>
        <v>165.24865858138239</v>
      </c>
      <c r="R23" s="1">
        <f t="shared" si="5"/>
        <v>170.20611833882387</v>
      </c>
      <c r="S23" s="1">
        <f t="shared" si="5"/>
        <v>175.31230188898863</v>
      </c>
      <c r="T23" s="1">
        <f t="shared" si="5"/>
        <v>180.5716709456583</v>
      </c>
    </row>
    <row r="24" spans="3:20" ht="13.5" customHeight="1">
      <c r="D24" s="24" t="s">
        <v>200</v>
      </c>
      <c r="E24" s="24"/>
      <c r="F24" s="24"/>
      <c r="G24" s="38">
        <v>1.5</v>
      </c>
      <c r="H24" s="24"/>
      <c r="I24" s="24"/>
      <c r="J24" s="24"/>
      <c r="K24" s="24"/>
      <c r="L24" s="24">
        <f>K25*$G$24</f>
        <v>207.58972499999999</v>
      </c>
      <c r="M24" s="24">
        <f t="shared" ref="M24:T24" si="6">L25*$G$24</f>
        <v>213.81741674999998</v>
      </c>
      <c r="N24" s="24">
        <f t="shared" si="6"/>
        <v>220.23193925250001</v>
      </c>
      <c r="O24" s="24">
        <f t="shared" si="6"/>
        <v>226.83889743007506</v>
      </c>
      <c r="P24" s="24">
        <f t="shared" si="6"/>
        <v>233.6440643529773</v>
      </c>
      <c r="Q24" s="24">
        <f t="shared" si="6"/>
        <v>240.65338628356665</v>
      </c>
      <c r="R24" s="24">
        <f t="shared" si="6"/>
        <v>247.87298787207357</v>
      </c>
      <c r="S24" s="24">
        <f t="shared" si="6"/>
        <v>255.30917750823579</v>
      </c>
      <c r="T24" s="24">
        <f t="shared" si="6"/>
        <v>262.96845283348296</v>
      </c>
    </row>
    <row r="25" spans="3:20" ht="13.5" customHeight="1">
      <c r="D25" s="139" t="s">
        <v>201</v>
      </c>
      <c r="E25" s="139"/>
      <c r="F25" s="139"/>
      <c r="G25" s="139"/>
      <c r="H25" s="139"/>
      <c r="I25" s="139"/>
      <c r="J25" s="139"/>
      <c r="K25" s="139">
        <f>K23</f>
        <v>138.39314999999999</v>
      </c>
      <c r="L25" s="139">
        <f>MIN(L23,L24)</f>
        <v>142.54494449999999</v>
      </c>
      <c r="M25" s="139">
        <f t="shared" ref="M25:T25" si="7">MIN(M23,M24)</f>
        <v>146.82129283500001</v>
      </c>
      <c r="N25" s="139">
        <f t="shared" si="7"/>
        <v>151.22593162005003</v>
      </c>
      <c r="O25" s="139">
        <f t="shared" si="7"/>
        <v>155.76270956865153</v>
      </c>
      <c r="P25" s="139">
        <f t="shared" si="7"/>
        <v>160.4355908557111</v>
      </c>
      <c r="Q25" s="139">
        <f t="shared" si="7"/>
        <v>165.24865858138239</v>
      </c>
      <c r="R25" s="139">
        <f t="shared" si="7"/>
        <v>170.20611833882387</v>
      </c>
      <c r="S25" s="139">
        <f t="shared" si="7"/>
        <v>175.31230188898863</v>
      </c>
      <c r="T25" s="139">
        <f t="shared" si="7"/>
        <v>180.5716709456583</v>
      </c>
    </row>
    <row r="26" spans="3:20" ht="13.5" customHeight="1">
      <c r="C26" s="1" t="s">
        <v>202</v>
      </c>
    </row>
    <row r="27" spans="3:20" ht="13.5" customHeight="1">
      <c r="D27" s="24" t="s">
        <v>203</v>
      </c>
      <c r="E27" s="24"/>
      <c r="F27" s="24">
        <v>1</v>
      </c>
      <c r="G27" s="24"/>
      <c r="H27" s="24"/>
      <c r="I27" s="24"/>
      <c r="J27" s="24"/>
      <c r="K27" s="140">
        <f>IF($F$27=1,0.14%,0)</f>
        <v>1.4000000000000002E-3</v>
      </c>
      <c r="L27" s="140">
        <f t="shared" ref="L27:T27" si="8">IF($F$27=1,0.14%,0)</f>
        <v>1.4000000000000002E-3</v>
      </c>
      <c r="M27" s="140">
        <f t="shared" si="8"/>
        <v>1.4000000000000002E-3</v>
      </c>
      <c r="N27" s="140">
        <f t="shared" si="8"/>
        <v>1.4000000000000002E-3</v>
      </c>
      <c r="O27" s="140">
        <f t="shared" si="8"/>
        <v>1.4000000000000002E-3</v>
      </c>
      <c r="P27" s="140">
        <f t="shared" si="8"/>
        <v>1.4000000000000002E-3</v>
      </c>
      <c r="Q27" s="140">
        <f t="shared" si="8"/>
        <v>1.4000000000000002E-3</v>
      </c>
      <c r="R27" s="140">
        <f t="shared" si="8"/>
        <v>1.4000000000000002E-3</v>
      </c>
      <c r="S27" s="140">
        <f t="shared" si="8"/>
        <v>1.4000000000000002E-3</v>
      </c>
      <c r="T27" s="140">
        <f t="shared" si="8"/>
        <v>1.4000000000000002E-3</v>
      </c>
    </row>
    <row r="28" spans="3:20" ht="13.5" customHeight="1">
      <c r="D28" s="1" t="s">
        <v>204</v>
      </c>
      <c r="K28" s="1">
        <f>K21*K27</f>
        <v>96.875205000000008</v>
      </c>
      <c r="L28" s="1">
        <f t="shared" ref="L28:T28" si="9">L21*L27</f>
        <v>99.781461149999998</v>
      </c>
      <c r="M28" s="1">
        <f t="shared" si="9"/>
        <v>102.77490498450001</v>
      </c>
      <c r="N28" s="1">
        <f t="shared" si="9"/>
        <v>105.85815213403502</v>
      </c>
      <c r="O28" s="1">
        <f t="shared" si="9"/>
        <v>109.0338966980561</v>
      </c>
      <c r="P28" s="1">
        <f t="shared" si="9"/>
        <v>112.30491359899777</v>
      </c>
      <c r="Q28" s="1">
        <f t="shared" si="9"/>
        <v>115.67406100696769</v>
      </c>
      <c r="R28" s="1">
        <f t="shared" si="9"/>
        <v>119.14428283717673</v>
      </c>
      <c r="S28" s="1">
        <f t="shared" si="9"/>
        <v>122.71861132229205</v>
      </c>
      <c r="T28" s="1">
        <f t="shared" si="9"/>
        <v>126.40016966196082</v>
      </c>
    </row>
    <row r="29" spans="3:20" ht="13.5" customHeight="1">
      <c r="D29" s="24" t="s">
        <v>205</v>
      </c>
      <c r="E29" s="24"/>
      <c r="F29" s="24"/>
      <c r="G29" s="38">
        <v>1.5</v>
      </c>
      <c r="H29" s="24"/>
      <c r="I29" s="24"/>
      <c r="J29" s="24"/>
      <c r="K29" s="24"/>
      <c r="L29" s="24">
        <f>K30*$G$29</f>
        <v>145.31280750000002</v>
      </c>
      <c r="M29" s="24">
        <f t="shared" ref="M29:T29" si="10">L30*$G$29</f>
        <v>149.672191725</v>
      </c>
      <c r="N29" s="24">
        <f t="shared" si="10"/>
        <v>154.16235747675</v>
      </c>
      <c r="O29" s="24">
        <f t="shared" si="10"/>
        <v>158.78722820105253</v>
      </c>
      <c r="P29" s="24">
        <f t="shared" si="10"/>
        <v>163.55084504708415</v>
      </c>
      <c r="Q29" s="24">
        <f t="shared" si="10"/>
        <v>168.45737039849666</v>
      </c>
      <c r="R29" s="24">
        <f t="shared" si="10"/>
        <v>173.51109151045154</v>
      </c>
      <c r="S29" s="24">
        <f t="shared" si="10"/>
        <v>178.71642425576511</v>
      </c>
      <c r="T29" s="24">
        <f t="shared" si="10"/>
        <v>184.07791698343806</v>
      </c>
    </row>
    <row r="30" spans="3:20" ht="13.5" customHeight="1">
      <c r="D30" s="139" t="s">
        <v>206</v>
      </c>
      <c r="E30" s="139"/>
      <c r="F30" s="139"/>
      <c r="G30" s="139"/>
      <c r="H30" s="139"/>
      <c r="I30" s="139"/>
      <c r="J30" s="139"/>
      <c r="K30" s="139">
        <f>K28</f>
        <v>96.875205000000008</v>
      </c>
      <c r="L30" s="139">
        <f>MIN(L28,L29)</f>
        <v>99.781461149999998</v>
      </c>
      <c r="M30" s="139">
        <f t="shared" ref="M30:T30" si="11">MIN(M28,M29)</f>
        <v>102.77490498450001</v>
      </c>
      <c r="N30" s="139">
        <f t="shared" si="11"/>
        <v>105.85815213403502</v>
      </c>
      <c r="O30" s="139">
        <f t="shared" si="11"/>
        <v>109.0338966980561</v>
      </c>
      <c r="P30" s="139">
        <f t="shared" si="11"/>
        <v>112.30491359899777</v>
      </c>
      <c r="Q30" s="139">
        <f t="shared" si="11"/>
        <v>115.67406100696769</v>
      </c>
      <c r="R30" s="139">
        <f t="shared" si="11"/>
        <v>119.14428283717673</v>
      </c>
      <c r="S30" s="139">
        <f t="shared" si="11"/>
        <v>122.71861132229205</v>
      </c>
      <c r="T30" s="139">
        <f t="shared" si="11"/>
        <v>126.40016966196082</v>
      </c>
    </row>
    <row r="31" spans="3:20" ht="13.5" customHeight="1">
      <c r="C31" s="1" t="s">
        <v>207</v>
      </c>
    </row>
    <row r="32" spans="3:20" ht="13.5" customHeight="1">
      <c r="D32" s="1" t="s">
        <v>208</v>
      </c>
      <c r="K32" s="138">
        <v>0.2</v>
      </c>
      <c r="L32" s="138">
        <v>0.2</v>
      </c>
      <c r="M32" s="138">
        <v>0.2</v>
      </c>
      <c r="N32" s="138">
        <v>0.2</v>
      </c>
      <c r="O32" s="138">
        <v>0.2</v>
      </c>
      <c r="P32" s="138">
        <v>0.2</v>
      </c>
      <c r="Q32" s="138">
        <v>0.2</v>
      </c>
      <c r="R32" s="138">
        <v>0.2</v>
      </c>
      <c r="S32" s="138">
        <v>0.2</v>
      </c>
      <c r="T32" s="138">
        <v>0.2</v>
      </c>
    </row>
    <row r="33" spans="3:20" ht="13.5" customHeight="1">
      <c r="D33" s="139" t="s">
        <v>209</v>
      </c>
      <c r="E33" s="139"/>
      <c r="F33" s="139"/>
      <c r="G33" s="139"/>
      <c r="H33" s="139"/>
      <c r="I33" s="139"/>
      <c r="J33" s="139"/>
      <c r="K33" s="139">
        <f>K25*K32</f>
        <v>27.678629999999998</v>
      </c>
      <c r="L33" s="139">
        <f t="shared" ref="L33:T33" si="12">L25*L32</f>
        <v>28.508988899999999</v>
      </c>
      <c r="M33" s="139">
        <f t="shared" si="12"/>
        <v>29.364258567000004</v>
      </c>
      <c r="N33" s="139">
        <f t="shared" si="12"/>
        <v>30.245186324010007</v>
      </c>
      <c r="O33" s="139">
        <f t="shared" si="12"/>
        <v>31.152541913730307</v>
      </c>
      <c r="P33" s="139">
        <f t="shared" si="12"/>
        <v>32.087118171142222</v>
      </c>
      <c r="Q33" s="139">
        <f t="shared" si="12"/>
        <v>33.049731716276476</v>
      </c>
      <c r="R33" s="139">
        <f t="shared" si="12"/>
        <v>34.041223667764775</v>
      </c>
      <c r="S33" s="139">
        <f t="shared" si="12"/>
        <v>35.062460377797727</v>
      </c>
      <c r="T33" s="139">
        <f t="shared" si="12"/>
        <v>36.114334189131661</v>
      </c>
    </row>
    <row r="34" spans="3:20" ht="13.5" customHeight="1">
      <c r="C34" s="141" t="s">
        <v>210</v>
      </c>
      <c r="D34" s="141"/>
      <c r="E34" s="141"/>
      <c r="F34" s="141"/>
      <c r="G34" s="141"/>
      <c r="H34" s="141"/>
      <c r="I34" s="141"/>
      <c r="J34" s="141"/>
      <c r="K34" s="141">
        <f>K25+K30+K33</f>
        <v>262.94698499999998</v>
      </c>
      <c r="L34" s="141">
        <f t="shared" ref="L34:T34" si="13">L25+L30+L33</f>
        <v>270.83539454999999</v>
      </c>
      <c r="M34" s="141">
        <f t="shared" si="13"/>
        <v>278.96045638650003</v>
      </c>
      <c r="N34" s="141">
        <f t="shared" si="13"/>
        <v>287.32927007809508</v>
      </c>
      <c r="O34" s="141">
        <f t="shared" si="13"/>
        <v>295.94914818043793</v>
      </c>
      <c r="P34" s="141">
        <f t="shared" si="13"/>
        <v>304.82762262585106</v>
      </c>
      <c r="Q34" s="141">
        <f t="shared" si="13"/>
        <v>313.97245130462659</v>
      </c>
      <c r="R34" s="141">
        <f t="shared" si="13"/>
        <v>323.39162484376538</v>
      </c>
      <c r="S34" s="141">
        <f t="shared" si="13"/>
        <v>333.0933735890784</v>
      </c>
      <c r="T34" s="141">
        <f t="shared" si="13"/>
        <v>343.08617479675081</v>
      </c>
    </row>
    <row r="36" spans="3:20" ht="13.5" customHeight="1">
      <c r="C36" s="14" t="s">
        <v>211</v>
      </c>
    </row>
    <row r="37" spans="3:20" ht="13.5" customHeight="1">
      <c r="C37" s="1" t="s">
        <v>195</v>
      </c>
    </row>
    <row r="38" spans="3:20" ht="13.5" customHeight="1">
      <c r="D38" s="1" t="s">
        <v>196</v>
      </c>
      <c r="K38" s="138">
        <v>0.7</v>
      </c>
      <c r="L38" s="138">
        <v>0.7</v>
      </c>
      <c r="M38" s="138">
        <v>0.7</v>
      </c>
      <c r="N38" s="138">
        <v>0.7</v>
      </c>
      <c r="O38" s="138">
        <v>0.7</v>
      </c>
      <c r="P38" s="138">
        <v>0.7</v>
      </c>
      <c r="Q38" s="138">
        <v>0.7</v>
      </c>
      <c r="R38" s="138">
        <v>0.7</v>
      </c>
      <c r="S38" s="138">
        <v>0.7</v>
      </c>
      <c r="T38" s="138">
        <v>0.7</v>
      </c>
    </row>
    <row r="39" spans="3:20" ht="13.5" customHeight="1">
      <c r="D39" s="1" t="s">
        <v>197</v>
      </c>
      <c r="K39" s="1">
        <f>K16*K38</f>
        <v>69196.574999999997</v>
      </c>
      <c r="L39" s="1">
        <f t="shared" ref="L39:T39" si="14">L16*L38</f>
        <v>71272.472249999992</v>
      </c>
      <c r="M39" s="1">
        <f t="shared" si="14"/>
        <v>73410.6464175</v>
      </c>
      <c r="N39" s="1">
        <f t="shared" si="14"/>
        <v>75612.965810025009</v>
      </c>
      <c r="O39" s="1">
        <f t="shared" si="14"/>
        <v>77881.354784325769</v>
      </c>
      <c r="P39" s="1">
        <f t="shared" si="14"/>
        <v>80217.795427855541</v>
      </c>
      <c r="Q39" s="1">
        <f t="shared" si="14"/>
        <v>82624.329290691196</v>
      </c>
      <c r="R39" s="1">
        <f t="shared" si="14"/>
        <v>85103.059169411936</v>
      </c>
      <c r="S39" s="1">
        <f t="shared" si="14"/>
        <v>87656.150944494308</v>
      </c>
      <c r="T39" s="1">
        <f t="shared" si="14"/>
        <v>90285.835472829145</v>
      </c>
    </row>
    <row r="40" spans="3:20" ht="13.5" customHeight="1">
      <c r="D40" s="1" t="s">
        <v>212</v>
      </c>
      <c r="K40" s="52">
        <f>(K$39&lt;=$G$46)*$H$46+(K$39&gt;$F$47)*(K$39&lt;=$G$47)*$H$47+(K$39&gt;$F$48)*$H$48</f>
        <v>2.8</v>
      </c>
      <c r="L40" s="52">
        <f t="shared" ref="L40:T40" si="15">(L$39&lt;=$G$46)*$H$46+(L$39&gt;$F$47)*(L$39&lt;=$G$47)*$H$47+(L$39&gt;$F$48)*$H$48</f>
        <v>2.8</v>
      </c>
      <c r="M40" s="52">
        <f t="shared" si="15"/>
        <v>2.8</v>
      </c>
      <c r="N40" s="52">
        <f t="shared" si="15"/>
        <v>2.8</v>
      </c>
      <c r="O40" s="52">
        <f t="shared" si="15"/>
        <v>2.8</v>
      </c>
      <c r="P40" s="52">
        <f t="shared" si="15"/>
        <v>2.8</v>
      </c>
      <c r="Q40" s="52">
        <f t="shared" si="15"/>
        <v>2.8</v>
      </c>
      <c r="R40" s="52">
        <f t="shared" si="15"/>
        <v>2.8</v>
      </c>
      <c r="S40" s="52">
        <f t="shared" si="15"/>
        <v>2.8</v>
      </c>
      <c r="T40" s="52">
        <f t="shared" si="15"/>
        <v>2.8</v>
      </c>
    </row>
    <row r="41" spans="3:20" ht="13.5" customHeight="1">
      <c r="D41" s="1" t="s">
        <v>213</v>
      </c>
      <c r="K41" s="1">
        <f>(K$39&lt;=$G$46)*$I$46+(K$39&gt;$F$47)*(K$39&lt;=$G$47)*$I$47+(K$39&gt;$F$48)*$I$48</f>
        <v>1000</v>
      </c>
      <c r="L41" s="1">
        <f t="shared" ref="L41:T41" si="16">(L$39&lt;=$G$46)*$I$46+(L$39&gt;$F$47)*(L$39&lt;=$G$47)*$I$47+(L$39&gt;$F$48)*$I$48</f>
        <v>1000</v>
      </c>
      <c r="M41" s="1">
        <f t="shared" si="16"/>
        <v>1000</v>
      </c>
      <c r="N41" s="1">
        <f t="shared" si="16"/>
        <v>1000</v>
      </c>
      <c r="O41" s="1">
        <f t="shared" si="16"/>
        <v>1000</v>
      </c>
      <c r="P41" s="1">
        <f t="shared" si="16"/>
        <v>1000</v>
      </c>
      <c r="Q41" s="1">
        <f t="shared" si="16"/>
        <v>1000</v>
      </c>
      <c r="R41" s="1">
        <f t="shared" si="16"/>
        <v>1000</v>
      </c>
      <c r="S41" s="1">
        <f t="shared" si="16"/>
        <v>1000</v>
      </c>
      <c r="T41" s="1">
        <f t="shared" si="16"/>
        <v>1000</v>
      </c>
    </row>
    <row r="42" spans="3:20" ht="13.5" customHeight="1">
      <c r="D42" s="1" t="s">
        <v>214</v>
      </c>
      <c r="K42" s="53">
        <f>(K$39&lt;=$G$46)*$J$46+(K$39&gt;$F$47)*(K$39&lt;=$G$47)*$J$47+(K$39&gt;$F$48)*$J$48</f>
        <v>4.0000000000000001E-3</v>
      </c>
      <c r="L42" s="53">
        <f t="shared" ref="L42:T42" si="17">(L$39&lt;=$G$46)*$J$46+(L$39&gt;$F$47)*(L$39&lt;=$G$47)*$J$47+(L$39&gt;$F$48)*$J$48</f>
        <v>4.0000000000000001E-3</v>
      </c>
      <c r="M42" s="53">
        <f t="shared" si="17"/>
        <v>4.0000000000000001E-3</v>
      </c>
      <c r="N42" s="53">
        <f t="shared" si="17"/>
        <v>4.0000000000000001E-3</v>
      </c>
      <c r="O42" s="53">
        <f t="shared" si="17"/>
        <v>4.0000000000000001E-3</v>
      </c>
      <c r="P42" s="53">
        <f t="shared" si="17"/>
        <v>4.0000000000000001E-3</v>
      </c>
      <c r="Q42" s="53">
        <f t="shared" si="17"/>
        <v>4.0000000000000001E-3</v>
      </c>
      <c r="R42" s="53">
        <f t="shared" si="17"/>
        <v>4.0000000000000001E-3</v>
      </c>
      <c r="S42" s="53">
        <f t="shared" si="17"/>
        <v>4.0000000000000001E-3</v>
      </c>
      <c r="T42" s="53">
        <f t="shared" si="17"/>
        <v>4.0000000000000001E-3</v>
      </c>
    </row>
    <row r="43" spans="3:20" ht="13.5" customHeight="1">
      <c r="F43" s="15" t="s">
        <v>215</v>
      </c>
    </row>
    <row r="44" spans="3:20" ht="13.5" customHeight="1">
      <c r="F44" s="406" t="s">
        <v>216</v>
      </c>
      <c r="G44" s="407"/>
      <c r="H44" s="408" t="s">
        <v>217</v>
      </c>
      <c r="I44" s="406"/>
      <c r="J44" s="406"/>
    </row>
    <row r="45" spans="3:20" ht="13.5" customHeight="1">
      <c r="F45" s="56" t="s">
        <v>82</v>
      </c>
      <c r="G45" s="115" t="s">
        <v>83</v>
      </c>
      <c r="H45" s="115" t="s">
        <v>218</v>
      </c>
      <c r="I45" s="115" t="s">
        <v>219</v>
      </c>
      <c r="J45" s="55" t="s">
        <v>220</v>
      </c>
    </row>
    <row r="46" spans="3:20" ht="13.5" customHeight="1">
      <c r="F46" s="58">
        <v>0</v>
      </c>
      <c r="G46" s="116">
        <v>200</v>
      </c>
      <c r="H46" s="116">
        <v>0</v>
      </c>
      <c r="I46" s="116">
        <v>0</v>
      </c>
      <c r="J46" s="142">
        <f>2/1000</f>
        <v>2E-3</v>
      </c>
    </row>
    <row r="47" spans="3:20" ht="13.5" customHeight="1">
      <c r="F47" s="63">
        <v>200</v>
      </c>
      <c r="G47" s="117">
        <v>1000</v>
      </c>
      <c r="H47" s="143">
        <v>0.4</v>
      </c>
      <c r="I47" s="117">
        <v>200</v>
      </c>
      <c r="J47" s="144">
        <f>3/1000</f>
        <v>3.0000000000000001E-3</v>
      </c>
    </row>
    <row r="48" spans="3:20" ht="13.5" customHeight="1">
      <c r="D48" s="24"/>
      <c r="E48" s="24"/>
      <c r="F48" s="34">
        <v>1000</v>
      </c>
      <c r="G48" s="54"/>
      <c r="H48" s="145">
        <v>2.8</v>
      </c>
      <c r="I48" s="54">
        <v>1000</v>
      </c>
      <c r="J48" s="146">
        <f>4/1000</f>
        <v>4.0000000000000001E-3</v>
      </c>
      <c r="K48" s="24"/>
      <c r="L48" s="24"/>
      <c r="M48" s="24"/>
      <c r="N48" s="24"/>
      <c r="O48" s="24"/>
      <c r="P48" s="24"/>
      <c r="Q48" s="24"/>
      <c r="R48" s="24"/>
      <c r="S48" s="24"/>
      <c r="T48" s="24"/>
    </row>
    <row r="49" spans="3:20" ht="13.5" customHeight="1">
      <c r="D49" s="1" t="s">
        <v>221</v>
      </c>
      <c r="K49" s="1">
        <f>K40+(K39-K41)*K42</f>
        <v>275.58629999999999</v>
      </c>
      <c r="L49" s="1">
        <f t="shared" ref="L49:T49" si="18">L40+(L39-L41)*L42</f>
        <v>283.88988899999998</v>
      </c>
      <c r="M49" s="1">
        <f t="shared" si="18"/>
        <v>292.44258567000003</v>
      </c>
      <c r="N49" s="1">
        <f t="shared" si="18"/>
        <v>301.25186324010008</v>
      </c>
      <c r="O49" s="1">
        <f t="shared" si="18"/>
        <v>310.32541913730307</v>
      </c>
      <c r="P49" s="1">
        <f t="shared" si="18"/>
        <v>319.67118171142221</v>
      </c>
      <c r="Q49" s="1">
        <f t="shared" si="18"/>
        <v>329.29731716276478</v>
      </c>
      <c r="R49" s="1">
        <f t="shared" si="18"/>
        <v>339.21223667764775</v>
      </c>
      <c r="S49" s="1">
        <f t="shared" si="18"/>
        <v>349.42460377797727</v>
      </c>
      <c r="T49" s="1">
        <f t="shared" si="18"/>
        <v>359.94334189131661</v>
      </c>
    </row>
    <row r="50" spans="3:20" ht="13.5" customHeight="1">
      <c r="D50" s="24" t="s">
        <v>222</v>
      </c>
      <c r="E50" s="24"/>
      <c r="F50" s="24"/>
      <c r="G50" s="38">
        <v>1.5</v>
      </c>
      <c r="H50" s="24"/>
      <c r="I50" s="24"/>
      <c r="J50" s="24"/>
      <c r="K50" s="24"/>
      <c r="L50" s="24">
        <f>K51*$G$50</f>
        <v>413.37945000000002</v>
      </c>
      <c r="M50" s="24">
        <f t="shared" ref="M50:T50" si="19">L51*$G$50</f>
        <v>425.83483349999995</v>
      </c>
      <c r="N50" s="24">
        <f t="shared" si="19"/>
        <v>438.66387850500007</v>
      </c>
      <c r="O50" s="24">
        <f t="shared" si="19"/>
        <v>451.87779486015012</v>
      </c>
      <c r="P50" s="24">
        <f t="shared" si="19"/>
        <v>465.48812870595464</v>
      </c>
      <c r="Q50" s="24">
        <f t="shared" si="19"/>
        <v>479.50677256713334</v>
      </c>
      <c r="R50" s="24">
        <f t="shared" si="19"/>
        <v>493.94597574414718</v>
      </c>
      <c r="S50" s="24">
        <f t="shared" si="19"/>
        <v>508.81835501647163</v>
      </c>
      <c r="T50" s="24">
        <f t="shared" si="19"/>
        <v>524.13690566696596</v>
      </c>
    </row>
    <row r="51" spans="3:20" ht="13.5" customHeight="1">
      <c r="D51" s="139" t="s">
        <v>223</v>
      </c>
      <c r="E51" s="139"/>
      <c r="F51" s="139"/>
      <c r="G51" s="139"/>
      <c r="H51" s="139"/>
      <c r="I51" s="139"/>
      <c r="J51" s="139"/>
      <c r="K51" s="139">
        <f>K49</f>
        <v>275.58629999999999</v>
      </c>
      <c r="L51" s="139">
        <f>MIN(L49,L50)</f>
        <v>283.88988899999998</v>
      </c>
      <c r="M51" s="139">
        <f t="shared" ref="M51:T51" si="20">MIN(M49,M50)</f>
        <v>292.44258567000003</v>
      </c>
      <c r="N51" s="139">
        <f t="shared" si="20"/>
        <v>301.25186324010008</v>
      </c>
      <c r="O51" s="139">
        <f t="shared" si="20"/>
        <v>310.32541913730307</v>
      </c>
      <c r="P51" s="139">
        <f t="shared" si="20"/>
        <v>319.67118171142221</v>
      </c>
      <c r="Q51" s="139">
        <f t="shared" si="20"/>
        <v>329.29731716276478</v>
      </c>
      <c r="R51" s="139">
        <f t="shared" si="20"/>
        <v>339.21223667764775</v>
      </c>
      <c r="S51" s="139">
        <f t="shared" si="20"/>
        <v>349.42460377797727</v>
      </c>
      <c r="T51" s="139">
        <f t="shared" si="20"/>
        <v>359.94334189131661</v>
      </c>
    </row>
    <row r="52" spans="3:20" ht="13.5" customHeight="1">
      <c r="C52" s="1" t="s">
        <v>202</v>
      </c>
    </row>
    <row r="53" spans="3:20" ht="13.5" customHeight="1">
      <c r="D53" s="1" t="s">
        <v>224</v>
      </c>
      <c r="K53" s="53">
        <f>K27</f>
        <v>1.4000000000000002E-3</v>
      </c>
      <c r="L53" s="140">
        <f t="shared" ref="L53:T53" si="21">L27</f>
        <v>1.4000000000000002E-3</v>
      </c>
      <c r="M53" s="140">
        <f t="shared" si="21"/>
        <v>1.4000000000000002E-3</v>
      </c>
      <c r="N53" s="140">
        <f t="shared" si="21"/>
        <v>1.4000000000000002E-3</v>
      </c>
      <c r="O53" s="140">
        <f t="shared" si="21"/>
        <v>1.4000000000000002E-3</v>
      </c>
      <c r="P53" s="140">
        <f t="shared" si="21"/>
        <v>1.4000000000000002E-3</v>
      </c>
      <c r="Q53" s="140">
        <f t="shared" si="21"/>
        <v>1.4000000000000002E-3</v>
      </c>
      <c r="R53" s="140">
        <f t="shared" si="21"/>
        <v>1.4000000000000002E-3</v>
      </c>
      <c r="S53" s="140">
        <f t="shared" si="21"/>
        <v>1.4000000000000002E-3</v>
      </c>
      <c r="T53" s="140">
        <f t="shared" si="21"/>
        <v>1.4000000000000002E-3</v>
      </c>
    </row>
    <row r="54" spans="3:20" ht="13.5" customHeight="1">
      <c r="D54" s="22" t="s">
        <v>225</v>
      </c>
      <c r="E54" s="22"/>
      <c r="F54" s="22"/>
      <c r="G54" s="22"/>
      <c r="H54" s="22"/>
      <c r="I54" s="22"/>
      <c r="J54" s="22"/>
      <c r="K54" s="22">
        <f>K39*K53</f>
        <v>96.875205000000008</v>
      </c>
      <c r="L54" s="1">
        <f t="shared" ref="L54:T54" si="22">L39*L53</f>
        <v>99.781461149999998</v>
      </c>
      <c r="M54" s="1">
        <f t="shared" si="22"/>
        <v>102.77490498450001</v>
      </c>
      <c r="N54" s="1">
        <f t="shared" si="22"/>
        <v>105.85815213403502</v>
      </c>
      <c r="O54" s="1">
        <f t="shared" si="22"/>
        <v>109.0338966980561</v>
      </c>
      <c r="P54" s="1">
        <f t="shared" si="22"/>
        <v>112.30491359899777</v>
      </c>
      <c r="Q54" s="1">
        <f t="shared" si="22"/>
        <v>115.67406100696769</v>
      </c>
      <c r="R54" s="1">
        <f t="shared" si="22"/>
        <v>119.14428283717673</v>
      </c>
      <c r="S54" s="1">
        <f t="shared" si="22"/>
        <v>122.71861132229205</v>
      </c>
      <c r="T54" s="1">
        <f t="shared" si="22"/>
        <v>126.40016966196082</v>
      </c>
    </row>
    <row r="55" spans="3:20" ht="13.5" customHeight="1">
      <c r="D55" s="24" t="s">
        <v>226</v>
      </c>
      <c r="E55" s="24"/>
      <c r="F55" s="24"/>
      <c r="G55" s="38">
        <v>1.5</v>
      </c>
      <c r="H55" s="24"/>
      <c r="I55" s="24"/>
      <c r="J55" s="24"/>
      <c r="K55" s="24"/>
      <c r="L55" s="24">
        <f>K56*$G$55</f>
        <v>145.31280750000002</v>
      </c>
      <c r="M55" s="24">
        <f t="shared" ref="M55:T55" si="23">L56*$G$55</f>
        <v>149.672191725</v>
      </c>
      <c r="N55" s="24">
        <f t="shared" si="23"/>
        <v>154.16235747675</v>
      </c>
      <c r="O55" s="24">
        <f t="shared" si="23"/>
        <v>158.78722820105253</v>
      </c>
      <c r="P55" s="24">
        <f t="shared" si="23"/>
        <v>163.55084504708415</v>
      </c>
      <c r="Q55" s="24">
        <f t="shared" si="23"/>
        <v>168.45737039849666</v>
      </c>
      <c r="R55" s="24">
        <f t="shared" si="23"/>
        <v>173.51109151045154</v>
      </c>
      <c r="S55" s="24">
        <f t="shared" si="23"/>
        <v>178.71642425576511</v>
      </c>
      <c r="T55" s="24">
        <f t="shared" si="23"/>
        <v>184.07791698343806</v>
      </c>
    </row>
    <row r="56" spans="3:20" ht="13.5" customHeight="1">
      <c r="D56" s="139" t="s">
        <v>227</v>
      </c>
      <c r="E56" s="139"/>
      <c r="F56" s="139"/>
      <c r="G56" s="139"/>
      <c r="H56" s="139"/>
      <c r="I56" s="139"/>
      <c r="J56" s="139"/>
      <c r="K56" s="139">
        <f>K54</f>
        <v>96.875205000000008</v>
      </c>
      <c r="L56" s="139">
        <f>MIN(L54,L55)</f>
        <v>99.781461149999998</v>
      </c>
      <c r="M56" s="139">
        <f t="shared" ref="M56:T56" si="24">MIN(M54,M55)</f>
        <v>102.77490498450001</v>
      </c>
      <c r="N56" s="139">
        <f t="shared" si="24"/>
        <v>105.85815213403502</v>
      </c>
      <c r="O56" s="139">
        <f t="shared" si="24"/>
        <v>109.0338966980561</v>
      </c>
      <c r="P56" s="139">
        <f t="shared" si="24"/>
        <v>112.30491359899777</v>
      </c>
      <c r="Q56" s="139">
        <f t="shared" si="24"/>
        <v>115.67406100696769</v>
      </c>
      <c r="R56" s="139">
        <f t="shared" si="24"/>
        <v>119.14428283717673</v>
      </c>
      <c r="S56" s="139">
        <f t="shared" si="24"/>
        <v>122.71861132229205</v>
      </c>
      <c r="T56" s="139">
        <f t="shared" si="24"/>
        <v>126.40016966196082</v>
      </c>
    </row>
    <row r="57" spans="3:20" ht="13.5" customHeight="1">
      <c r="C57" s="1" t="s">
        <v>207</v>
      </c>
    </row>
    <row r="58" spans="3:20" ht="13.5" customHeight="1">
      <c r="D58" s="1" t="s">
        <v>228</v>
      </c>
      <c r="K58" s="138">
        <v>0.2</v>
      </c>
      <c r="L58" s="138">
        <v>0.2</v>
      </c>
      <c r="M58" s="138">
        <v>0.2</v>
      </c>
      <c r="N58" s="138">
        <v>0.2</v>
      </c>
      <c r="O58" s="138">
        <v>0.2</v>
      </c>
      <c r="P58" s="138">
        <v>0.2</v>
      </c>
      <c r="Q58" s="138">
        <v>0.2</v>
      </c>
      <c r="R58" s="138">
        <v>0.2</v>
      </c>
      <c r="S58" s="138">
        <v>0.2</v>
      </c>
      <c r="T58" s="138">
        <v>0.2</v>
      </c>
    </row>
    <row r="59" spans="3:20" ht="13.5" customHeight="1">
      <c r="D59" s="139" t="s">
        <v>209</v>
      </c>
      <c r="E59" s="139"/>
      <c r="F59" s="139"/>
      <c r="G59" s="139"/>
      <c r="H59" s="139"/>
      <c r="I59" s="139"/>
      <c r="J59" s="139"/>
      <c r="K59" s="139">
        <f>K51*K58</f>
        <v>55.117260000000002</v>
      </c>
      <c r="L59" s="139">
        <f t="shared" ref="L59:T59" si="25">L51*L58</f>
        <v>56.777977800000002</v>
      </c>
      <c r="M59" s="139">
        <f t="shared" si="25"/>
        <v>58.488517134000006</v>
      </c>
      <c r="N59" s="139">
        <f t="shared" si="25"/>
        <v>60.250372648020019</v>
      </c>
      <c r="O59" s="139">
        <f t="shared" si="25"/>
        <v>62.065083827460619</v>
      </c>
      <c r="P59" s="139">
        <f t="shared" si="25"/>
        <v>63.934236342284443</v>
      </c>
      <c r="Q59" s="139">
        <f t="shared" si="25"/>
        <v>65.859463432552957</v>
      </c>
      <c r="R59" s="139">
        <f t="shared" si="25"/>
        <v>67.842447335529556</v>
      </c>
      <c r="S59" s="139">
        <f t="shared" si="25"/>
        <v>69.884920755595459</v>
      </c>
      <c r="T59" s="139">
        <f t="shared" si="25"/>
        <v>71.988668378263327</v>
      </c>
    </row>
    <row r="60" spans="3:20" ht="13.5" customHeight="1">
      <c r="C60" s="141" t="s">
        <v>229</v>
      </c>
      <c r="D60" s="141"/>
      <c r="E60" s="141"/>
      <c r="F60" s="141"/>
      <c r="G60" s="141"/>
      <c r="H60" s="141"/>
      <c r="I60" s="141"/>
      <c r="J60" s="141"/>
      <c r="K60" s="141">
        <f>K51+K56+K59</f>
        <v>427.57876499999998</v>
      </c>
      <c r="L60" s="141">
        <f t="shared" ref="L60:T60" si="26">L51+L56+L59</f>
        <v>440.44932795</v>
      </c>
      <c r="M60" s="141">
        <f t="shared" si="26"/>
        <v>453.70600778850002</v>
      </c>
      <c r="N60" s="141">
        <f t="shared" si="26"/>
        <v>467.36038802215512</v>
      </c>
      <c r="O60" s="141">
        <f t="shared" si="26"/>
        <v>481.42439966281978</v>
      </c>
      <c r="P60" s="141">
        <f t="shared" si="26"/>
        <v>495.91033165270443</v>
      </c>
      <c r="Q60" s="141">
        <f t="shared" si="26"/>
        <v>510.83084160228543</v>
      </c>
      <c r="R60" s="141">
        <f t="shared" si="26"/>
        <v>526.19896685035405</v>
      </c>
      <c r="S60" s="141">
        <f t="shared" si="26"/>
        <v>542.02813585586478</v>
      </c>
      <c r="T60" s="141">
        <f t="shared" si="26"/>
        <v>558.33217993154074</v>
      </c>
    </row>
    <row r="62" spans="3:20" ht="13.5" customHeight="1">
      <c r="C62" s="8" t="s">
        <v>230</v>
      </c>
      <c r="D62" s="8"/>
      <c r="E62" s="8"/>
      <c r="F62" s="155" t="s">
        <v>257</v>
      </c>
      <c r="G62" s="156">
        <f>'A&amp;R'!D16</f>
        <v>44804</v>
      </c>
      <c r="H62" s="8"/>
      <c r="I62" s="8"/>
      <c r="J62" s="8"/>
      <c r="K62" s="147">
        <f>DATE(K8,$F$11,30)</f>
        <v>44377</v>
      </c>
      <c r="L62" s="147">
        <f t="shared" ref="L62:T62" si="27">DATE(L8,$F$11,30)</f>
        <v>44742</v>
      </c>
      <c r="M62" s="147">
        <f t="shared" si="27"/>
        <v>45107</v>
      </c>
      <c r="N62" s="147">
        <f t="shared" si="27"/>
        <v>45473</v>
      </c>
      <c r="O62" s="147">
        <f t="shared" si="27"/>
        <v>45838</v>
      </c>
      <c r="P62" s="147">
        <f t="shared" si="27"/>
        <v>46203</v>
      </c>
      <c r="Q62" s="147">
        <f t="shared" si="27"/>
        <v>46568</v>
      </c>
      <c r="R62" s="147">
        <f t="shared" si="27"/>
        <v>46934</v>
      </c>
      <c r="S62" s="147">
        <f t="shared" si="27"/>
        <v>47299</v>
      </c>
      <c r="T62" s="147">
        <f t="shared" si="27"/>
        <v>47664</v>
      </c>
    </row>
    <row r="63" spans="3:20" ht="13.5" customHeight="1">
      <c r="C63" s="7" t="s">
        <v>231</v>
      </c>
      <c r="D63" s="7"/>
      <c r="E63" s="7"/>
      <c r="F63" s="7"/>
      <c r="G63" s="148"/>
      <c r="H63" s="7"/>
      <c r="I63" s="7"/>
      <c r="J63" s="7"/>
      <c r="K63" s="7">
        <f>IF(K62&lt;=$G$62,K64,K65)</f>
        <v>427.57876499999998</v>
      </c>
      <c r="L63" s="7">
        <f t="shared" ref="L63:T63" si="28">IF(L62&lt;=$G$62,L64,L65)</f>
        <v>440.44932795</v>
      </c>
      <c r="M63" s="7">
        <f t="shared" si="28"/>
        <v>278.96045638650003</v>
      </c>
      <c r="N63" s="7">
        <f t="shared" si="28"/>
        <v>287.32927007809508</v>
      </c>
      <c r="O63" s="7">
        <f t="shared" si="28"/>
        <v>295.94914818043793</v>
      </c>
      <c r="P63" s="7">
        <f t="shared" si="28"/>
        <v>304.82762262585106</v>
      </c>
      <c r="Q63" s="7">
        <f t="shared" si="28"/>
        <v>313.97245130462659</v>
      </c>
      <c r="R63" s="7">
        <f t="shared" si="28"/>
        <v>323.39162484376538</v>
      </c>
      <c r="S63" s="7">
        <f t="shared" si="28"/>
        <v>333.0933735890784</v>
      </c>
      <c r="T63" s="7">
        <f t="shared" si="28"/>
        <v>343.08617479675081</v>
      </c>
    </row>
    <row r="64" spans="3:20" s="11" customFormat="1" ht="13.5" hidden="1" customHeight="1" outlineLevel="1">
      <c r="E64" s="11" t="s">
        <v>254</v>
      </c>
      <c r="F64" s="11">
        <f>총투자비!I94</f>
        <v>2</v>
      </c>
      <c r="K64" s="11">
        <f>IF($F$64=1,K34,K60)</f>
        <v>427.57876499999998</v>
      </c>
      <c r="L64" s="11">
        <f t="shared" ref="L64:T64" si="29">IF($F$64=1,L34,L60)</f>
        <v>440.44932795</v>
      </c>
      <c r="M64" s="11">
        <f t="shared" si="29"/>
        <v>453.70600778850002</v>
      </c>
      <c r="N64" s="11">
        <f t="shared" si="29"/>
        <v>467.36038802215512</v>
      </c>
      <c r="O64" s="11">
        <f t="shared" si="29"/>
        <v>481.42439966281978</v>
      </c>
      <c r="P64" s="11">
        <f t="shared" si="29"/>
        <v>495.91033165270443</v>
      </c>
      <c r="Q64" s="11">
        <f t="shared" si="29"/>
        <v>510.83084160228543</v>
      </c>
      <c r="R64" s="11">
        <f t="shared" si="29"/>
        <v>526.19896685035405</v>
      </c>
      <c r="S64" s="11">
        <f t="shared" si="29"/>
        <v>542.02813585586478</v>
      </c>
      <c r="T64" s="11">
        <f t="shared" si="29"/>
        <v>558.33217993154074</v>
      </c>
    </row>
    <row r="65" spans="2:20" s="11" customFormat="1" ht="13.5" hidden="1" customHeight="1" outlineLevel="1">
      <c r="E65" s="11" t="s">
        <v>255</v>
      </c>
      <c r="F65" s="11">
        <f>총투자비!L94</f>
        <v>1</v>
      </c>
      <c r="K65" s="11">
        <f>IF($F$65=1,K34,K60)</f>
        <v>262.94698499999998</v>
      </c>
      <c r="L65" s="11">
        <f t="shared" ref="L65:T65" si="30">IF($F$65=1,L34,L60)</f>
        <v>270.83539454999999</v>
      </c>
      <c r="M65" s="11">
        <f t="shared" si="30"/>
        <v>278.96045638650003</v>
      </c>
      <c r="N65" s="11">
        <f t="shared" si="30"/>
        <v>287.32927007809508</v>
      </c>
      <c r="O65" s="11">
        <f t="shared" si="30"/>
        <v>295.94914818043793</v>
      </c>
      <c r="P65" s="11">
        <f t="shared" si="30"/>
        <v>304.82762262585106</v>
      </c>
      <c r="Q65" s="11">
        <f t="shared" si="30"/>
        <v>313.97245130462659</v>
      </c>
      <c r="R65" s="11">
        <f t="shared" si="30"/>
        <v>323.39162484376538</v>
      </c>
      <c r="S65" s="11">
        <f t="shared" si="30"/>
        <v>333.0933735890784</v>
      </c>
      <c r="T65" s="11">
        <f t="shared" si="30"/>
        <v>343.08617479675081</v>
      </c>
    </row>
    <row r="66" spans="2:20" ht="13.5" customHeight="1" collapsed="1">
      <c r="B66" s="14" t="s">
        <v>232</v>
      </c>
    </row>
    <row r="67" spans="2:20" ht="13.5" customHeight="1">
      <c r="C67" s="14" t="s">
        <v>233</v>
      </c>
    </row>
    <row r="68" spans="2:20" ht="13.5" customHeight="1">
      <c r="D68" s="1" t="s">
        <v>186</v>
      </c>
      <c r="F68" s="1">
        <v>6</v>
      </c>
      <c r="G68" s="1" t="s">
        <v>187</v>
      </c>
    </row>
    <row r="69" spans="2:20" ht="13.5" customHeight="1">
      <c r="D69" s="1" t="s">
        <v>188</v>
      </c>
      <c r="F69" s="1">
        <v>12</v>
      </c>
      <c r="G69" s="1" t="s">
        <v>187</v>
      </c>
    </row>
    <row r="70" spans="2:20" ht="13.5" customHeight="1">
      <c r="D70" s="1" t="s">
        <v>234</v>
      </c>
      <c r="K70" s="1">
        <f t="shared" ref="K70:T70" si="31">K16</f>
        <v>98852.25</v>
      </c>
      <c r="L70" s="1">
        <f t="shared" si="31"/>
        <v>101817.8175</v>
      </c>
      <c r="M70" s="1">
        <f t="shared" si="31"/>
        <v>104872.35202500001</v>
      </c>
      <c r="N70" s="1">
        <f t="shared" si="31"/>
        <v>108018.52258575002</v>
      </c>
      <c r="O70" s="1">
        <f t="shared" si="31"/>
        <v>111259.07826332253</v>
      </c>
      <c r="P70" s="1">
        <f t="shared" si="31"/>
        <v>114596.85061122221</v>
      </c>
      <c r="Q70" s="1">
        <f t="shared" si="31"/>
        <v>118034.75612955887</v>
      </c>
      <c r="R70" s="1">
        <f t="shared" si="31"/>
        <v>121575.79881344564</v>
      </c>
      <c r="S70" s="1">
        <f t="shared" si="31"/>
        <v>125223.07277784903</v>
      </c>
      <c r="T70" s="1">
        <f t="shared" si="31"/>
        <v>128979.7649611845</v>
      </c>
    </row>
    <row r="71" spans="2:20" ht="13.5" customHeight="1">
      <c r="D71" s="1" t="s">
        <v>235</v>
      </c>
      <c r="K71" s="3">
        <v>8000</v>
      </c>
      <c r="L71" s="3">
        <v>8000</v>
      </c>
      <c r="M71" s="3">
        <v>8000</v>
      </c>
      <c r="N71" s="3">
        <v>8000</v>
      </c>
      <c r="O71" s="3">
        <v>8000</v>
      </c>
      <c r="P71" s="3">
        <v>8000</v>
      </c>
      <c r="Q71" s="3">
        <v>8000</v>
      </c>
      <c r="R71" s="3">
        <v>8000</v>
      </c>
      <c r="S71" s="3">
        <v>8000</v>
      </c>
      <c r="T71" s="3">
        <v>8000</v>
      </c>
    </row>
    <row r="72" spans="2:20" ht="13.5" customHeight="1">
      <c r="D72" s="24" t="s">
        <v>236</v>
      </c>
      <c r="E72" s="24"/>
      <c r="F72" s="24"/>
      <c r="G72" s="24"/>
      <c r="H72" s="24"/>
      <c r="I72" s="24"/>
      <c r="J72" s="24"/>
      <c r="K72" s="38">
        <v>0.95</v>
      </c>
      <c r="L72" s="38">
        <v>1</v>
      </c>
      <c r="M72" s="38">
        <v>1</v>
      </c>
      <c r="N72" s="38">
        <v>1</v>
      </c>
      <c r="O72" s="38">
        <v>1</v>
      </c>
      <c r="P72" s="38">
        <v>1</v>
      </c>
      <c r="Q72" s="38">
        <v>1</v>
      </c>
      <c r="R72" s="38">
        <v>1</v>
      </c>
      <c r="S72" s="38">
        <v>1</v>
      </c>
      <c r="T72" s="38">
        <v>1</v>
      </c>
    </row>
    <row r="73" spans="2:20" ht="13.5" customHeight="1">
      <c r="D73" s="1" t="s">
        <v>237</v>
      </c>
      <c r="K73" s="1">
        <f>MAX((K70-K71)*K72,0)</f>
        <v>86309.637499999997</v>
      </c>
      <c r="L73" s="1">
        <f t="shared" ref="L73:T73" si="32">MAX((L70-L71)*L72,0)</f>
        <v>93817.817500000005</v>
      </c>
      <c r="M73" s="1">
        <f t="shared" si="32"/>
        <v>96872.352025000015</v>
      </c>
      <c r="N73" s="1">
        <f t="shared" si="32"/>
        <v>100018.52258575002</v>
      </c>
      <c r="O73" s="1">
        <f t="shared" si="32"/>
        <v>103259.07826332253</v>
      </c>
      <c r="P73" s="1">
        <f t="shared" si="32"/>
        <v>106596.85061122221</v>
      </c>
      <c r="Q73" s="1">
        <f t="shared" si="32"/>
        <v>110034.75612955887</v>
      </c>
      <c r="R73" s="1">
        <f t="shared" si="32"/>
        <v>113575.79881344564</v>
      </c>
      <c r="S73" s="1">
        <f t="shared" si="32"/>
        <v>117223.07277784903</v>
      </c>
      <c r="T73" s="1">
        <f t="shared" si="32"/>
        <v>120979.7649611845</v>
      </c>
    </row>
    <row r="74" spans="2:20" ht="13.5" customHeight="1">
      <c r="D74" s="1" t="s">
        <v>238</v>
      </c>
      <c r="K74" s="1">
        <f>(K$73&lt;=$G$81)*$H$81+(K$73&gt;$F$82)*(K$73&lt;=$G$82)*$H$82+(K$73&gt;$F$83)*$H$83</f>
        <v>220</v>
      </c>
      <c r="L74" s="1">
        <f t="shared" ref="L74:T74" si="33">(L$73&lt;=$G$81)*$H$81+(L$73&gt;$F$82)*(L$73&lt;=$G$82)*$H$82+(L$73&gt;$F$83)*$H$83</f>
        <v>220</v>
      </c>
      <c r="M74" s="1">
        <f t="shared" si="33"/>
        <v>220</v>
      </c>
      <c r="N74" s="1">
        <f t="shared" si="33"/>
        <v>220</v>
      </c>
      <c r="O74" s="1">
        <f t="shared" si="33"/>
        <v>220</v>
      </c>
      <c r="P74" s="1">
        <f t="shared" si="33"/>
        <v>220</v>
      </c>
      <c r="Q74" s="1">
        <f t="shared" si="33"/>
        <v>220</v>
      </c>
      <c r="R74" s="1">
        <f t="shared" si="33"/>
        <v>220</v>
      </c>
      <c r="S74" s="1">
        <f t="shared" si="33"/>
        <v>220</v>
      </c>
      <c r="T74" s="1">
        <f t="shared" si="33"/>
        <v>220</v>
      </c>
    </row>
    <row r="75" spans="2:20" ht="13.5" customHeight="1">
      <c r="D75" s="1" t="s">
        <v>239</v>
      </c>
      <c r="K75" s="1">
        <f>(K$73&lt;=$G$81)*$I$81+(K$73&gt;$F$82)*(K$73&lt;=$G$82)*$I$82+(K$73&gt;$F$83)*$I$83</f>
        <v>40000</v>
      </c>
      <c r="L75" s="1">
        <f t="shared" ref="L75:T75" si="34">(L$73&lt;=$G$81)*$I$81+(L$73&gt;$F$82)*(L$73&lt;=$G$82)*$I$82+(L$73&gt;$F$83)*$I$83</f>
        <v>40000</v>
      </c>
      <c r="M75" s="1">
        <f t="shared" si="34"/>
        <v>40000</v>
      </c>
      <c r="N75" s="1">
        <f t="shared" si="34"/>
        <v>40000</v>
      </c>
      <c r="O75" s="1">
        <f t="shared" si="34"/>
        <v>40000</v>
      </c>
      <c r="P75" s="1">
        <f t="shared" si="34"/>
        <v>40000</v>
      </c>
      <c r="Q75" s="1">
        <f t="shared" si="34"/>
        <v>40000</v>
      </c>
      <c r="R75" s="1">
        <f t="shared" si="34"/>
        <v>40000</v>
      </c>
      <c r="S75" s="1">
        <f t="shared" si="34"/>
        <v>40000</v>
      </c>
      <c r="T75" s="1">
        <f t="shared" si="34"/>
        <v>40000</v>
      </c>
    </row>
    <row r="76" spans="2:20" ht="13.5" customHeight="1">
      <c r="D76" s="24" t="s">
        <v>240</v>
      </c>
      <c r="E76" s="24"/>
      <c r="F76" s="24"/>
      <c r="G76" s="24"/>
      <c r="H76" s="24"/>
      <c r="I76" s="24"/>
      <c r="J76" s="24"/>
      <c r="K76" s="140">
        <f>(K$73&lt;=$G$81)*$J$81+(K$73&gt;$F$82)*(K$73&lt;=$G$82)*$J$82+(K$73&gt;$F$83)*$J$83</f>
        <v>7.0000000000000001E-3</v>
      </c>
      <c r="L76" s="140">
        <f t="shared" ref="L76:T76" si="35">(L$73&lt;=$G$81)*$J$81+(L$73&gt;$F$82)*(L$73&lt;=$G$82)*$J$82+(L$73&gt;$F$83)*$J$83</f>
        <v>7.0000000000000001E-3</v>
      </c>
      <c r="M76" s="140">
        <f t="shared" si="35"/>
        <v>7.0000000000000001E-3</v>
      </c>
      <c r="N76" s="140">
        <f t="shared" si="35"/>
        <v>7.0000000000000001E-3</v>
      </c>
      <c r="O76" s="140">
        <f t="shared" si="35"/>
        <v>7.0000000000000001E-3</v>
      </c>
      <c r="P76" s="140">
        <f t="shared" si="35"/>
        <v>7.0000000000000001E-3</v>
      </c>
      <c r="Q76" s="140">
        <f t="shared" si="35"/>
        <v>7.0000000000000001E-3</v>
      </c>
      <c r="R76" s="140">
        <f t="shared" si="35"/>
        <v>7.0000000000000001E-3</v>
      </c>
      <c r="S76" s="140">
        <f t="shared" si="35"/>
        <v>7.0000000000000001E-3</v>
      </c>
      <c r="T76" s="140">
        <f t="shared" si="35"/>
        <v>7.0000000000000001E-3</v>
      </c>
    </row>
    <row r="77" spans="2:20" ht="13.5" customHeight="1">
      <c r="D77" s="1" t="s">
        <v>241</v>
      </c>
      <c r="K77" s="1">
        <f>K74+(K73-K75)*K76</f>
        <v>544.16746250000006</v>
      </c>
      <c r="L77" s="1">
        <f t="shared" ref="L77:T77" si="36">L74+(L73-L75)*L76</f>
        <v>596.7247225000001</v>
      </c>
      <c r="M77" s="1">
        <f t="shared" si="36"/>
        <v>618.10646417500016</v>
      </c>
      <c r="N77" s="1">
        <f t="shared" si="36"/>
        <v>640.12965810025014</v>
      </c>
      <c r="O77" s="1">
        <f t="shared" si="36"/>
        <v>662.81354784325777</v>
      </c>
      <c r="P77" s="1">
        <f t="shared" si="36"/>
        <v>686.17795427855549</v>
      </c>
      <c r="Q77" s="1">
        <f t="shared" si="36"/>
        <v>710.24329290691207</v>
      </c>
      <c r="R77" s="1">
        <f t="shared" si="36"/>
        <v>735.03059169411949</v>
      </c>
      <c r="S77" s="1">
        <f t="shared" si="36"/>
        <v>760.56150944494323</v>
      </c>
      <c r="T77" s="1">
        <f t="shared" si="36"/>
        <v>786.85835472829149</v>
      </c>
    </row>
    <row r="78" spans="2:20" ht="13.5" customHeight="1">
      <c r="F78" s="15" t="s">
        <v>242</v>
      </c>
    </row>
    <row r="79" spans="2:20" ht="13.5" customHeight="1">
      <c r="F79" s="406" t="s">
        <v>216</v>
      </c>
      <c r="G79" s="407"/>
      <c r="H79" s="408" t="s">
        <v>217</v>
      </c>
      <c r="I79" s="406"/>
      <c r="J79" s="406"/>
    </row>
    <row r="80" spans="2:20" ht="13.5" customHeight="1">
      <c r="F80" s="56" t="s">
        <v>82</v>
      </c>
      <c r="G80" s="115" t="s">
        <v>83</v>
      </c>
      <c r="H80" s="115" t="s">
        <v>218</v>
      </c>
      <c r="I80" s="115" t="s">
        <v>219</v>
      </c>
      <c r="J80" s="55" t="s">
        <v>220</v>
      </c>
    </row>
    <row r="81" spans="3:20" ht="13.5" customHeight="1">
      <c r="F81" s="58"/>
      <c r="G81" s="116">
        <v>20000</v>
      </c>
      <c r="H81" s="116">
        <v>0</v>
      </c>
      <c r="I81" s="116">
        <v>0</v>
      </c>
      <c r="J81" s="142">
        <f>5/1000</f>
        <v>5.0000000000000001E-3</v>
      </c>
    </row>
    <row r="82" spans="3:20" ht="13.5" customHeight="1">
      <c r="F82" s="63">
        <v>20000</v>
      </c>
      <c r="G82" s="117">
        <v>40000</v>
      </c>
      <c r="H82" s="143">
        <v>100</v>
      </c>
      <c r="I82" s="117">
        <v>20000</v>
      </c>
      <c r="J82" s="144">
        <f>6/1000</f>
        <v>6.0000000000000001E-3</v>
      </c>
    </row>
    <row r="83" spans="3:20" ht="13.5" customHeight="1">
      <c r="F83" s="34">
        <v>40000</v>
      </c>
      <c r="G83" s="54"/>
      <c r="H83" s="145">
        <v>220</v>
      </c>
      <c r="I83" s="54">
        <v>40000</v>
      </c>
      <c r="J83" s="146">
        <f>7/1000</f>
        <v>7.0000000000000001E-3</v>
      </c>
    </row>
    <row r="84" spans="3:20" ht="13.5" customHeight="1">
      <c r="D84" s="1" t="s">
        <v>243</v>
      </c>
      <c r="K84" s="1">
        <f>K86+(K85-K87)*K88</f>
        <v>240.46698499999999</v>
      </c>
      <c r="L84" s="1">
        <f t="shared" ref="L84:T84" si="37">L86+(L85-L87)*L88</f>
        <v>261.48988900000006</v>
      </c>
      <c r="M84" s="1">
        <f t="shared" si="37"/>
        <v>270.04258566999999</v>
      </c>
      <c r="N84" s="1">
        <f t="shared" si="37"/>
        <v>278.85186324010004</v>
      </c>
      <c r="O84" s="1">
        <f t="shared" si="37"/>
        <v>287.92541913730309</v>
      </c>
      <c r="P84" s="1">
        <f t="shared" si="37"/>
        <v>297.27118171142217</v>
      </c>
      <c r="Q84" s="1">
        <f t="shared" si="37"/>
        <v>306.89731716276481</v>
      </c>
      <c r="R84" s="1">
        <f t="shared" si="37"/>
        <v>316.81223667764777</v>
      </c>
      <c r="S84" s="1">
        <f t="shared" si="37"/>
        <v>327.02460377797723</v>
      </c>
      <c r="T84" s="1">
        <f t="shared" si="37"/>
        <v>337.54334189131657</v>
      </c>
    </row>
    <row r="85" spans="3:20" s="11" customFormat="1" ht="13.5" hidden="1" customHeight="1" outlineLevel="1">
      <c r="E85" s="11" t="s">
        <v>244</v>
      </c>
      <c r="K85" s="11">
        <f t="shared" ref="K85:T85" si="38">K73*K38</f>
        <v>60416.746249999997</v>
      </c>
      <c r="L85" s="11">
        <f t="shared" si="38"/>
        <v>65672.472250000006</v>
      </c>
      <c r="M85" s="11">
        <f t="shared" si="38"/>
        <v>67810.6464175</v>
      </c>
      <c r="N85" s="11">
        <f t="shared" si="38"/>
        <v>70012.965810025009</v>
      </c>
      <c r="O85" s="11">
        <f t="shared" si="38"/>
        <v>72281.354784325769</v>
      </c>
      <c r="P85" s="11">
        <f t="shared" si="38"/>
        <v>74617.795427855541</v>
      </c>
      <c r="Q85" s="11">
        <f t="shared" si="38"/>
        <v>77024.329290691196</v>
      </c>
      <c r="R85" s="11">
        <f t="shared" si="38"/>
        <v>79503.059169411936</v>
      </c>
      <c r="S85" s="11">
        <f t="shared" si="38"/>
        <v>82056.150944494308</v>
      </c>
      <c r="T85" s="11">
        <f t="shared" si="38"/>
        <v>84685.835472829145</v>
      </c>
    </row>
    <row r="86" spans="3:20" s="11" customFormat="1" ht="13.5" hidden="1" customHeight="1" outlineLevel="1">
      <c r="E86" s="11" t="s">
        <v>212</v>
      </c>
      <c r="K86" s="149">
        <f t="shared" ref="K86:T86" si="39">(K$85&lt;=$G$46)*$H$46+(K$85&gt;$F$47)*(K$85&lt;=$G$47)*$H$47+(K$85&gt;$F$48)*$H$48</f>
        <v>2.8</v>
      </c>
      <c r="L86" s="149">
        <f t="shared" si="39"/>
        <v>2.8</v>
      </c>
      <c r="M86" s="149">
        <f t="shared" si="39"/>
        <v>2.8</v>
      </c>
      <c r="N86" s="149">
        <f t="shared" si="39"/>
        <v>2.8</v>
      </c>
      <c r="O86" s="149">
        <f t="shared" si="39"/>
        <v>2.8</v>
      </c>
      <c r="P86" s="149">
        <f t="shared" si="39"/>
        <v>2.8</v>
      </c>
      <c r="Q86" s="149">
        <f t="shared" si="39"/>
        <v>2.8</v>
      </c>
      <c r="R86" s="149">
        <f t="shared" si="39"/>
        <v>2.8</v>
      </c>
      <c r="S86" s="149">
        <f t="shared" si="39"/>
        <v>2.8</v>
      </c>
      <c r="T86" s="149">
        <f t="shared" si="39"/>
        <v>2.8</v>
      </c>
    </row>
    <row r="87" spans="3:20" s="11" customFormat="1" ht="13.5" hidden="1" customHeight="1" outlineLevel="1">
      <c r="E87" s="11" t="s">
        <v>213</v>
      </c>
      <c r="K87" s="11">
        <f t="shared" ref="K87:T87" si="40">(K$85&lt;=$G$46)*$I$46+(K$85&gt;$F$47)*(K$85&lt;=$G$47)*$I$47+(K$85&gt;$F$48)*$I$48</f>
        <v>1000</v>
      </c>
      <c r="L87" s="11">
        <f t="shared" si="40"/>
        <v>1000</v>
      </c>
      <c r="M87" s="11">
        <f t="shared" si="40"/>
        <v>1000</v>
      </c>
      <c r="N87" s="11">
        <f t="shared" si="40"/>
        <v>1000</v>
      </c>
      <c r="O87" s="11">
        <f t="shared" si="40"/>
        <v>1000</v>
      </c>
      <c r="P87" s="11">
        <f t="shared" si="40"/>
        <v>1000</v>
      </c>
      <c r="Q87" s="11">
        <f t="shared" si="40"/>
        <v>1000</v>
      </c>
      <c r="R87" s="11">
        <f t="shared" si="40"/>
        <v>1000</v>
      </c>
      <c r="S87" s="11">
        <f t="shared" si="40"/>
        <v>1000</v>
      </c>
      <c r="T87" s="11">
        <f t="shared" si="40"/>
        <v>1000</v>
      </c>
    </row>
    <row r="88" spans="3:20" s="11" customFormat="1" ht="13.5" hidden="1" customHeight="1" outlineLevel="1">
      <c r="D88" s="150"/>
      <c r="E88" s="150" t="s">
        <v>214</v>
      </c>
      <c r="F88" s="150"/>
      <c r="G88" s="150"/>
      <c r="H88" s="150"/>
      <c r="I88" s="150"/>
      <c r="J88" s="150"/>
      <c r="K88" s="151">
        <f t="shared" ref="K88:T88" si="41">(K$85&lt;=$G$46)*$J$46+(K$85&gt;$F$47)*(K$85&lt;=$G$47)*$J$47+(K$85&gt;$F$48)*$J$48</f>
        <v>4.0000000000000001E-3</v>
      </c>
      <c r="L88" s="151">
        <f t="shared" si="41"/>
        <v>4.0000000000000001E-3</v>
      </c>
      <c r="M88" s="151">
        <f t="shared" si="41"/>
        <v>4.0000000000000001E-3</v>
      </c>
      <c r="N88" s="151">
        <f t="shared" si="41"/>
        <v>4.0000000000000001E-3</v>
      </c>
      <c r="O88" s="151">
        <f t="shared" si="41"/>
        <v>4.0000000000000001E-3</v>
      </c>
      <c r="P88" s="151">
        <f t="shared" si="41"/>
        <v>4.0000000000000001E-3</v>
      </c>
      <c r="Q88" s="151">
        <f t="shared" si="41"/>
        <v>4.0000000000000001E-3</v>
      </c>
      <c r="R88" s="151">
        <f t="shared" si="41"/>
        <v>4.0000000000000001E-3</v>
      </c>
      <c r="S88" s="151">
        <f t="shared" si="41"/>
        <v>4.0000000000000001E-3</v>
      </c>
      <c r="T88" s="151">
        <f t="shared" si="41"/>
        <v>4.0000000000000001E-3</v>
      </c>
    </row>
    <row r="89" spans="3:20" ht="13.5" customHeight="1" collapsed="1">
      <c r="D89" s="52" t="s">
        <v>245</v>
      </c>
      <c r="E89" s="52"/>
      <c r="F89" s="52"/>
      <c r="G89" s="52"/>
      <c r="H89" s="52"/>
      <c r="I89" s="52"/>
      <c r="J89" s="52"/>
      <c r="K89" s="52">
        <f>K77-K84</f>
        <v>303.70047750000003</v>
      </c>
      <c r="L89" s="52">
        <f t="shared" ref="L89:T89" si="42">L77-L84</f>
        <v>335.23483350000004</v>
      </c>
      <c r="M89" s="52">
        <f t="shared" si="42"/>
        <v>348.06387850500016</v>
      </c>
      <c r="N89" s="52">
        <f t="shared" si="42"/>
        <v>361.2777948601501</v>
      </c>
      <c r="O89" s="52">
        <f t="shared" si="42"/>
        <v>374.88812870595467</v>
      </c>
      <c r="P89" s="52">
        <f t="shared" si="42"/>
        <v>388.90677256713332</v>
      </c>
      <c r="Q89" s="52">
        <f t="shared" si="42"/>
        <v>403.34597574414727</v>
      </c>
      <c r="R89" s="52">
        <f t="shared" si="42"/>
        <v>418.21835501647172</v>
      </c>
      <c r="S89" s="52">
        <f t="shared" si="42"/>
        <v>433.53690566696599</v>
      </c>
      <c r="T89" s="52">
        <f t="shared" si="42"/>
        <v>449.31501283697492</v>
      </c>
    </row>
    <row r="90" spans="3:20" ht="13.5" customHeight="1">
      <c r="D90" s="24" t="s">
        <v>246</v>
      </c>
      <c r="E90" s="24"/>
      <c r="F90" s="24"/>
      <c r="G90" s="38">
        <v>1.5</v>
      </c>
      <c r="H90" s="24"/>
      <c r="I90" s="24"/>
      <c r="J90" s="24"/>
      <c r="K90" s="24"/>
      <c r="L90" s="152">
        <f>K91*$G$90</f>
        <v>455.55071625000005</v>
      </c>
      <c r="M90" s="152">
        <f t="shared" ref="M90:T90" si="43">L91*$G$90</f>
        <v>502.85225025000005</v>
      </c>
      <c r="N90" s="152">
        <f t="shared" si="43"/>
        <v>522.0958177575003</v>
      </c>
      <c r="O90" s="152">
        <f t="shared" si="43"/>
        <v>541.91669229022511</v>
      </c>
      <c r="P90" s="152">
        <f t="shared" si="43"/>
        <v>562.33219305893203</v>
      </c>
      <c r="Q90" s="152">
        <f t="shared" si="43"/>
        <v>583.36015885069992</v>
      </c>
      <c r="R90" s="152">
        <f t="shared" si="43"/>
        <v>605.01896361622084</v>
      </c>
      <c r="S90" s="152">
        <f t="shared" si="43"/>
        <v>627.32753252470752</v>
      </c>
      <c r="T90" s="152">
        <f t="shared" si="43"/>
        <v>650.30535850044896</v>
      </c>
    </row>
    <row r="91" spans="3:20" ht="13.5" customHeight="1">
      <c r="D91" s="139" t="s">
        <v>247</v>
      </c>
      <c r="E91" s="139"/>
      <c r="F91" s="139"/>
      <c r="G91" s="139"/>
      <c r="H91" s="139"/>
      <c r="I91" s="139"/>
      <c r="J91" s="139"/>
      <c r="K91" s="153">
        <f>K89</f>
        <v>303.70047750000003</v>
      </c>
      <c r="L91" s="153">
        <f t="shared" ref="L91:T91" si="44">MIN(L89,L90)</f>
        <v>335.23483350000004</v>
      </c>
      <c r="M91" s="153">
        <f t="shared" si="44"/>
        <v>348.06387850500016</v>
      </c>
      <c r="N91" s="153">
        <f t="shared" si="44"/>
        <v>361.2777948601501</v>
      </c>
      <c r="O91" s="153">
        <f t="shared" si="44"/>
        <v>374.88812870595467</v>
      </c>
      <c r="P91" s="153">
        <f t="shared" si="44"/>
        <v>388.90677256713332</v>
      </c>
      <c r="Q91" s="153">
        <f t="shared" si="44"/>
        <v>403.34597574414727</v>
      </c>
      <c r="R91" s="153">
        <f t="shared" si="44"/>
        <v>418.21835501647172</v>
      </c>
      <c r="S91" s="153">
        <f t="shared" si="44"/>
        <v>433.53690566696599</v>
      </c>
      <c r="T91" s="153">
        <f t="shared" si="44"/>
        <v>449.31501283697492</v>
      </c>
    </row>
    <row r="92" spans="3:20" ht="13.5" customHeight="1">
      <c r="C92" s="1" t="s">
        <v>248</v>
      </c>
    </row>
    <row r="93" spans="3:20" ht="13.5" customHeight="1">
      <c r="D93" s="1" t="s">
        <v>249</v>
      </c>
      <c r="K93" s="138">
        <v>0.2</v>
      </c>
      <c r="L93" s="138">
        <v>0.2</v>
      </c>
      <c r="M93" s="138">
        <v>0.2</v>
      </c>
      <c r="N93" s="138">
        <v>0.2</v>
      </c>
      <c r="O93" s="138">
        <v>0.2</v>
      </c>
      <c r="P93" s="138">
        <v>0.2</v>
      </c>
      <c r="Q93" s="138">
        <v>0.2</v>
      </c>
      <c r="R93" s="138">
        <v>0.2</v>
      </c>
      <c r="S93" s="138">
        <v>0.2</v>
      </c>
      <c r="T93" s="138">
        <v>0.2</v>
      </c>
    </row>
    <row r="94" spans="3:20" ht="13.5" customHeight="1">
      <c r="D94" s="153" t="s">
        <v>250</v>
      </c>
      <c r="E94" s="153"/>
      <c r="F94" s="153"/>
      <c r="G94" s="153"/>
      <c r="H94" s="153"/>
      <c r="I94" s="153"/>
      <c r="J94" s="153"/>
      <c r="K94" s="153">
        <f>K91*K93</f>
        <v>60.74009550000001</v>
      </c>
      <c r="L94" s="153">
        <f t="shared" ref="L94:T94" si="45">L91*L93</f>
        <v>67.046966700000013</v>
      </c>
      <c r="M94" s="153">
        <f t="shared" si="45"/>
        <v>69.612775701000032</v>
      </c>
      <c r="N94" s="153">
        <f t="shared" si="45"/>
        <v>72.255558972030016</v>
      </c>
      <c r="O94" s="153">
        <f t="shared" si="45"/>
        <v>74.977625741190934</v>
      </c>
      <c r="P94" s="153">
        <f t="shared" si="45"/>
        <v>77.781354513426663</v>
      </c>
      <c r="Q94" s="153">
        <f t="shared" si="45"/>
        <v>80.669195148829459</v>
      </c>
      <c r="R94" s="153">
        <f t="shared" si="45"/>
        <v>83.643671003294344</v>
      </c>
      <c r="S94" s="153">
        <f t="shared" si="45"/>
        <v>86.707381133393199</v>
      </c>
      <c r="T94" s="153">
        <f t="shared" si="45"/>
        <v>89.863002567394986</v>
      </c>
    </row>
    <row r="95" spans="3:20" ht="13.5" customHeight="1">
      <c r="C95" s="154" t="s">
        <v>251</v>
      </c>
      <c r="D95" s="154"/>
      <c r="E95" s="154"/>
      <c r="F95" s="154"/>
      <c r="G95" s="154"/>
      <c r="H95" s="154"/>
      <c r="I95" s="154"/>
      <c r="J95" s="154"/>
      <c r="K95" s="154">
        <f>K91+K94</f>
        <v>364.44057300000003</v>
      </c>
      <c r="L95" s="154">
        <f t="shared" ref="L95:T95" si="46">L91+L94</f>
        <v>402.28180020000002</v>
      </c>
      <c r="M95" s="154">
        <f t="shared" si="46"/>
        <v>417.67665420600019</v>
      </c>
      <c r="N95" s="154">
        <f t="shared" si="46"/>
        <v>433.53335383218013</v>
      </c>
      <c r="O95" s="154">
        <f t="shared" si="46"/>
        <v>449.8657544471456</v>
      </c>
      <c r="P95" s="154">
        <f t="shared" si="46"/>
        <v>466.68812708055998</v>
      </c>
      <c r="Q95" s="154">
        <f t="shared" si="46"/>
        <v>484.0151708929767</v>
      </c>
      <c r="R95" s="154">
        <f t="shared" si="46"/>
        <v>501.86202601976606</v>
      </c>
      <c r="S95" s="154">
        <f t="shared" si="46"/>
        <v>520.24428680035919</v>
      </c>
      <c r="T95" s="154">
        <f t="shared" si="46"/>
        <v>539.17801540436994</v>
      </c>
    </row>
    <row r="97" spans="3:20" ht="13.5" customHeight="1">
      <c r="C97" s="8" t="s">
        <v>230</v>
      </c>
      <c r="D97" s="8"/>
      <c r="E97" s="8"/>
      <c r="F97" s="8"/>
      <c r="G97" s="8"/>
      <c r="H97" s="8"/>
      <c r="I97" s="8"/>
      <c r="J97" s="8"/>
      <c r="K97" s="147">
        <f t="shared" ref="K97:T97" si="47">DATE(K8,$F$68,30)</f>
        <v>44377</v>
      </c>
      <c r="L97" s="147">
        <f t="shared" si="47"/>
        <v>44742</v>
      </c>
      <c r="M97" s="147">
        <f t="shared" si="47"/>
        <v>45107</v>
      </c>
      <c r="N97" s="147">
        <f t="shared" si="47"/>
        <v>45473</v>
      </c>
      <c r="O97" s="147">
        <f t="shared" si="47"/>
        <v>45838</v>
      </c>
      <c r="P97" s="147">
        <f t="shared" si="47"/>
        <v>46203</v>
      </c>
      <c r="Q97" s="147">
        <f t="shared" si="47"/>
        <v>46568</v>
      </c>
      <c r="R97" s="147">
        <f t="shared" si="47"/>
        <v>46934</v>
      </c>
      <c r="S97" s="147">
        <f t="shared" si="47"/>
        <v>47299</v>
      </c>
      <c r="T97" s="147">
        <f t="shared" si="47"/>
        <v>47664</v>
      </c>
    </row>
    <row r="98" spans="3:20" ht="13.5" customHeight="1">
      <c r="C98" s="7" t="s">
        <v>258</v>
      </c>
      <c r="D98" s="7"/>
      <c r="E98" s="7"/>
      <c r="F98" s="7"/>
      <c r="G98" s="148"/>
      <c r="H98" s="7"/>
      <c r="I98" s="7"/>
      <c r="J98" s="7"/>
      <c r="K98" s="7">
        <f>IF(K97&lt;=$G$62,K99,K100)</f>
        <v>364.44057300000003</v>
      </c>
      <c r="L98" s="7">
        <f t="shared" ref="L98:T98" si="48">IF(L97&lt;=$G$62,L99,L100)</f>
        <v>402.28180020000002</v>
      </c>
      <c r="M98" s="7">
        <f t="shared" si="48"/>
        <v>0</v>
      </c>
      <c r="N98" s="7">
        <f t="shared" si="48"/>
        <v>0</v>
      </c>
      <c r="O98" s="7">
        <f t="shared" si="48"/>
        <v>0</v>
      </c>
      <c r="P98" s="7">
        <f t="shared" si="48"/>
        <v>0</v>
      </c>
      <c r="Q98" s="7">
        <f t="shared" si="48"/>
        <v>0</v>
      </c>
      <c r="R98" s="7">
        <f t="shared" si="48"/>
        <v>0</v>
      </c>
      <c r="S98" s="7">
        <f t="shared" si="48"/>
        <v>0</v>
      </c>
      <c r="T98" s="7">
        <f t="shared" si="48"/>
        <v>0</v>
      </c>
    </row>
    <row r="99" spans="3:20" s="11" customFormat="1" ht="13.5" hidden="1" customHeight="1" outlineLevel="1">
      <c r="E99" s="11" t="s">
        <v>254</v>
      </c>
      <c r="F99" s="11">
        <f>F64</f>
        <v>2</v>
      </c>
      <c r="K99" s="11">
        <f>IF($F$99=2,K95,0)</f>
        <v>364.44057300000003</v>
      </c>
      <c r="L99" s="11">
        <f t="shared" ref="L99:T99" si="49">IF($F$99=2,L95,0)</f>
        <v>402.28180020000002</v>
      </c>
      <c r="M99" s="11">
        <f t="shared" si="49"/>
        <v>417.67665420600019</v>
      </c>
      <c r="N99" s="11">
        <f t="shared" si="49"/>
        <v>433.53335383218013</v>
      </c>
      <c r="O99" s="11">
        <f t="shared" si="49"/>
        <v>449.8657544471456</v>
      </c>
      <c r="P99" s="11">
        <f t="shared" si="49"/>
        <v>466.68812708055998</v>
      </c>
      <c r="Q99" s="11">
        <f t="shared" si="49"/>
        <v>484.0151708929767</v>
      </c>
      <c r="R99" s="11">
        <f t="shared" si="49"/>
        <v>501.86202601976606</v>
      </c>
      <c r="S99" s="11">
        <f t="shared" si="49"/>
        <v>520.24428680035919</v>
      </c>
      <c r="T99" s="11">
        <f t="shared" si="49"/>
        <v>539.17801540436994</v>
      </c>
    </row>
    <row r="100" spans="3:20" s="11" customFormat="1" ht="13.5" hidden="1" customHeight="1" outlineLevel="1">
      <c r="E100" s="11" t="s">
        <v>255</v>
      </c>
      <c r="F100" s="11">
        <f>F65</f>
        <v>1</v>
      </c>
      <c r="K100" s="11">
        <f>IF($F$100=2,K95,0)</f>
        <v>0</v>
      </c>
      <c r="L100" s="11">
        <f t="shared" ref="L100:T100" si="50">IF($F$100=2,L95,0)</f>
        <v>0</v>
      </c>
      <c r="M100" s="11">
        <f t="shared" si="50"/>
        <v>0</v>
      </c>
      <c r="N100" s="11">
        <f t="shared" si="50"/>
        <v>0</v>
      </c>
      <c r="O100" s="11">
        <f t="shared" si="50"/>
        <v>0</v>
      </c>
      <c r="P100" s="11">
        <f t="shared" si="50"/>
        <v>0</v>
      </c>
      <c r="Q100" s="11">
        <f t="shared" si="50"/>
        <v>0</v>
      </c>
      <c r="R100" s="11">
        <f t="shared" si="50"/>
        <v>0</v>
      </c>
      <c r="S100" s="11">
        <f t="shared" si="50"/>
        <v>0</v>
      </c>
      <c r="T100" s="11">
        <f t="shared" si="50"/>
        <v>0</v>
      </c>
    </row>
    <row r="101" spans="3:20" ht="13.5" customHeight="1" collapsed="1"/>
  </sheetData>
  <mergeCells count="4">
    <mergeCell ref="F44:G44"/>
    <mergeCell ref="H44:J44"/>
    <mergeCell ref="F79:G79"/>
    <mergeCell ref="H79:J7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>
                <anchor moveWithCells="1">
                  <from>
                    <xdr:col>5</xdr:col>
                    <xdr:colOff>198120</xdr:colOff>
                    <xdr:row>25</xdr:row>
                    <xdr:rowOff>144780</xdr:rowOff>
                  </from>
                  <to>
                    <xdr:col>8</xdr:col>
                    <xdr:colOff>22860</xdr:colOff>
                    <xdr:row>27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91"/>
  <sheetViews>
    <sheetView showGridLines="0" topLeftCell="A25" workbookViewId="0">
      <selection activeCell="G73" sqref="G73"/>
    </sheetView>
  </sheetViews>
  <sheetFormatPr defaultColWidth="9" defaultRowHeight="13.5" customHeight="1"/>
  <cols>
    <col min="1" max="1" width="3.3984375" style="1" customWidth="1"/>
    <col min="2" max="2" width="3.69921875" style="1" customWidth="1"/>
    <col min="3" max="3" width="4.19921875" style="1" customWidth="1"/>
    <col min="4" max="13" width="9" style="1"/>
    <col min="14" max="14" width="10.19921875" style="1" customWidth="1"/>
    <col min="15" max="15" width="10.59765625" style="1" customWidth="1"/>
    <col min="16" max="16384" width="9" style="1"/>
  </cols>
  <sheetData>
    <row r="1" spans="1:30" ht="12.9" customHeight="1"/>
    <row r="2" spans="1:30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30" ht="12.9" customHeight="1">
      <c r="AB3" s="6" t="s">
        <v>3</v>
      </c>
      <c r="AC3" s="7" t="s">
        <v>4</v>
      </c>
      <c r="AD3" s="8" t="s">
        <v>5</v>
      </c>
    </row>
    <row r="4" spans="1:30" ht="12.9" customHeight="1">
      <c r="AB4" s="9" t="s">
        <v>6</v>
      </c>
      <c r="AC4" s="10" t="s">
        <v>7</v>
      </c>
      <c r="AD4" s="11" t="s">
        <v>8</v>
      </c>
    </row>
    <row r="5" spans="1:30" s="12" customFormat="1" ht="12.9" customHeight="1" thickBot="1"/>
    <row r="6" spans="1:30" ht="12.9" customHeight="1" thickTop="1">
      <c r="A6" s="1" t="s">
        <v>9</v>
      </c>
      <c r="AD6" s="13">
        <v>44381</v>
      </c>
    </row>
    <row r="7" spans="1:30" ht="12.9" customHeight="1">
      <c r="A7" s="14" t="s">
        <v>15</v>
      </c>
    </row>
    <row r="8" spans="1:30" ht="13.5" customHeight="1">
      <c r="B8" s="1" t="s">
        <v>283</v>
      </c>
    </row>
    <row r="9" spans="1:30" ht="13.5" customHeight="1">
      <c r="C9" s="65" t="s">
        <v>55</v>
      </c>
      <c r="D9" s="66"/>
      <c r="E9" s="174" t="s">
        <v>284</v>
      </c>
      <c r="F9" s="174" t="s">
        <v>285</v>
      </c>
      <c r="G9" s="174" t="s">
        <v>286</v>
      </c>
      <c r="H9" s="174" t="s">
        <v>287</v>
      </c>
      <c r="I9" s="64" t="s">
        <v>287</v>
      </c>
      <c r="J9" s="115" t="s">
        <v>289</v>
      </c>
      <c r="K9" s="64"/>
      <c r="L9" s="65"/>
      <c r="M9" s="66"/>
      <c r="N9" s="174"/>
      <c r="O9" s="64" t="s">
        <v>294</v>
      </c>
      <c r="P9" s="65" t="s">
        <v>295</v>
      </c>
      <c r="Q9" s="65" t="s">
        <v>296</v>
      </c>
      <c r="R9" s="65" t="s">
        <v>297</v>
      </c>
    </row>
    <row r="10" spans="1:30" ht="13.5" customHeight="1">
      <c r="C10" s="68"/>
      <c r="D10" s="69"/>
      <c r="E10" s="175"/>
      <c r="F10" s="175"/>
      <c r="G10" s="175"/>
      <c r="H10" s="175" t="s">
        <v>288</v>
      </c>
      <c r="I10" s="67"/>
      <c r="J10" s="115" t="s">
        <v>288</v>
      </c>
      <c r="K10" s="67" t="s">
        <v>290</v>
      </c>
      <c r="L10" s="68" t="s">
        <v>291</v>
      </c>
      <c r="M10" s="69" t="s">
        <v>292</v>
      </c>
      <c r="N10" s="175" t="s">
        <v>293</v>
      </c>
      <c r="O10" s="67"/>
      <c r="P10" s="68"/>
      <c r="Q10" s="68"/>
      <c r="R10" s="68"/>
    </row>
    <row r="11" spans="1:30" ht="13.5" customHeight="1">
      <c r="C11" s="22" t="s">
        <v>53</v>
      </c>
      <c r="D11" s="169"/>
      <c r="E11" s="170">
        <f>'A&amp;R'!F38</f>
        <v>188467</v>
      </c>
      <c r="F11" s="171">
        <f>E11/$E$15</f>
        <v>0.98957223041905351</v>
      </c>
      <c r="G11" s="170">
        <f>$G$15*F11</f>
        <v>49354.91499215029</v>
      </c>
      <c r="H11" s="170">
        <f>'A&amp;R'!$D$28</f>
        <v>1982000</v>
      </c>
      <c r="I11" s="101">
        <f>G11*H11/unit</f>
        <v>97821.441514441874</v>
      </c>
      <c r="J11" s="170">
        <v>740000</v>
      </c>
      <c r="K11" s="101"/>
      <c r="L11" s="102"/>
      <c r="M11" s="169"/>
      <c r="N11" s="170"/>
      <c r="O11" s="101"/>
      <c r="P11" s="102"/>
      <c r="Q11" s="102"/>
      <c r="R11" s="102"/>
    </row>
    <row r="12" spans="1:30" ht="13.5" customHeight="1">
      <c r="C12" s="32"/>
      <c r="D12" s="116" t="str">
        <f>'A&amp;R'!C34</f>
        <v>85㎡이하</v>
      </c>
      <c r="E12" s="116">
        <f>E11*('A&amp;R'!H34/'A&amp;R'!H38)</f>
        <v>154452.56881611823</v>
      </c>
      <c r="F12" s="172">
        <f t="shared" ref="F12:F15" si="0">E12/$E$15</f>
        <v>0.81097472245707991</v>
      </c>
      <c r="G12" s="116">
        <f t="shared" ref="G12:G14" si="1">$G$15*F12</f>
        <v>40447.364282546863</v>
      </c>
      <c r="H12" s="116">
        <f>'A&amp;R'!$D$28</f>
        <v>1982000</v>
      </c>
      <c r="I12" s="30">
        <f>G12*H12/unit</f>
        <v>80166.676008007882</v>
      </c>
      <c r="J12" s="116">
        <v>740000</v>
      </c>
      <c r="K12" s="179">
        <v>1</v>
      </c>
      <c r="L12" s="36">
        <v>1.1000000000000001</v>
      </c>
      <c r="M12" s="180">
        <v>1.1000000000000001</v>
      </c>
      <c r="N12" s="116">
        <f>E12*J12*K12*L12*M12/unit</f>
        <v>138296.83011795231</v>
      </c>
      <c r="O12" s="187">
        <f>N12/SUM(I12,N12)</f>
        <v>0.63304316849247155</v>
      </c>
      <c r="P12" s="35">
        <v>1</v>
      </c>
      <c r="Q12" s="22">
        <f>E12*P12</f>
        <v>154452.56881611823</v>
      </c>
      <c r="R12" s="22"/>
    </row>
    <row r="13" spans="1:30" ht="13.5" customHeight="1">
      <c r="C13" s="24"/>
      <c r="D13" s="54" t="str">
        <f>'A&amp;R'!C36</f>
        <v>85㎡초과</v>
      </c>
      <c r="E13" s="54">
        <f>E11-E12</f>
        <v>34014.431183881767</v>
      </c>
      <c r="F13" s="173">
        <f t="shared" si="0"/>
        <v>0.17859750796197366</v>
      </c>
      <c r="G13" s="54">
        <f t="shared" si="1"/>
        <v>8907.5507096034362</v>
      </c>
      <c r="H13" s="54">
        <f>'A&amp;R'!$D$28</f>
        <v>1982000</v>
      </c>
      <c r="I13" s="33">
        <f>G13*H13/unit</f>
        <v>17654.765506434011</v>
      </c>
      <c r="J13" s="54">
        <v>740000</v>
      </c>
      <c r="K13" s="181">
        <v>1</v>
      </c>
      <c r="L13" s="38">
        <v>1.1000000000000001</v>
      </c>
      <c r="M13" s="182">
        <v>1.1000000000000001</v>
      </c>
      <c r="N13" s="54">
        <f>E13*J13*K13*L13*M13/unit</f>
        <v>30456.521682047736</v>
      </c>
      <c r="O13" s="188">
        <f t="shared" ref="O13:O15" si="2">N13/SUM(I13,N13)</f>
        <v>0.63304316849247155</v>
      </c>
      <c r="P13" s="165">
        <v>0</v>
      </c>
      <c r="Q13" s="24">
        <f t="shared" ref="Q13:Q14" si="3">E13*P13</f>
        <v>0</v>
      </c>
      <c r="R13" s="24"/>
    </row>
    <row r="14" spans="1:30" ht="13.5" customHeight="1">
      <c r="C14" s="102" t="s">
        <v>54</v>
      </c>
      <c r="D14" s="169"/>
      <c r="E14" s="170">
        <f>'A&amp;R'!L38</f>
        <v>1986</v>
      </c>
      <c r="F14" s="171">
        <f t="shared" si="0"/>
        <v>1.042776958094648E-2</v>
      </c>
      <c r="G14" s="170">
        <f t="shared" si="1"/>
        <v>520.08500784970568</v>
      </c>
      <c r="H14" s="170">
        <f>'A&amp;R'!$D$28</f>
        <v>1982000</v>
      </c>
      <c r="I14" s="101">
        <f>G14*H14/unit</f>
        <v>1030.8084855581167</v>
      </c>
      <c r="J14" s="170">
        <v>740000</v>
      </c>
      <c r="K14" s="176">
        <v>1</v>
      </c>
      <c r="L14" s="177">
        <v>1</v>
      </c>
      <c r="M14" s="178">
        <v>1.1000000000000001</v>
      </c>
      <c r="N14" s="170">
        <f>E14*J14*K14*L14*M14/unit</f>
        <v>1616.6040000000003</v>
      </c>
      <c r="O14" s="183">
        <f t="shared" si="2"/>
        <v>0.61063548231290987</v>
      </c>
      <c r="P14" s="189">
        <v>0</v>
      </c>
      <c r="Q14" s="102">
        <f t="shared" si="3"/>
        <v>0</v>
      </c>
      <c r="R14" s="102"/>
    </row>
    <row r="15" spans="1:30" ht="13.5" customHeight="1">
      <c r="C15" s="102" t="s">
        <v>62</v>
      </c>
      <c r="D15" s="169"/>
      <c r="E15" s="170">
        <f>E11+E14</f>
        <v>190453</v>
      </c>
      <c r="F15" s="171">
        <f t="shared" si="0"/>
        <v>1</v>
      </c>
      <c r="G15" s="170">
        <f>'A&amp;R'!D27</f>
        <v>49875</v>
      </c>
      <c r="H15" s="170">
        <f>'A&amp;R'!$D$28</f>
        <v>1982000</v>
      </c>
      <c r="I15" s="101">
        <f>G15*H15/unit</f>
        <v>98852.25</v>
      </c>
      <c r="J15" s="170">
        <v>740000</v>
      </c>
      <c r="K15" s="101"/>
      <c r="L15" s="102"/>
      <c r="M15" s="169"/>
      <c r="N15" s="170">
        <f>SUM(N12:N14)</f>
        <v>170369.95580000005</v>
      </c>
      <c r="O15" s="186">
        <f t="shared" si="2"/>
        <v>0.63282282118498268</v>
      </c>
      <c r="P15" s="102"/>
      <c r="Q15" s="102">
        <f>SUM(Q12:Q14)</f>
        <v>154452.56881611823</v>
      </c>
      <c r="R15" s="190">
        <f>Q15/E15</f>
        <v>0.81097472245707991</v>
      </c>
    </row>
    <row r="17" spans="2:15" ht="13.5" customHeight="1">
      <c r="B17" s="1" t="s">
        <v>298</v>
      </c>
    </row>
    <row r="18" spans="2:15" ht="13.5" customHeight="1">
      <c r="C18" s="8" t="s">
        <v>55</v>
      </c>
      <c r="D18" s="8"/>
      <c r="E18" s="8"/>
      <c r="F18" s="8"/>
      <c r="G18" s="8" t="s">
        <v>70</v>
      </c>
      <c r="H18" s="202" t="s">
        <v>299</v>
      </c>
      <c r="I18" s="67" t="s">
        <v>300</v>
      </c>
      <c r="J18" s="68"/>
      <c r="K18" s="409" t="s">
        <v>303</v>
      </c>
      <c r="L18" s="410"/>
      <c r="M18" s="410"/>
      <c r="N18" s="411" t="s">
        <v>436</v>
      </c>
      <c r="O18" s="413" t="s">
        <v>437</v>
      </c>
    </row>
    <row r="19" spans="2:15" ht="13.5" customHeight="1">
      <c r="C19" s="68"/>
      <c r="D19" s="68"/>
      <c r="E19" s="68"/>
      <c r="F19" s="68"/>
      <c r="G19" s="68"/>
      <c r="H19" s="175"/>
      <c r="I19" s="68" t="s">
        <v>301</v>
      </c>
      <c r="J19" s="68" t="s">
        <v>302</v>
      </c>
      <c r="K19" s="67" t="s">
        <v>301</v>
      </c>
      <c r="L19" s="68" t="s">
        <v>302</v>
      </c>
      <c r="M19" s="55" t="s">
        <v>62</v>
      </c>
      <c r="N19" s="412"/>
      <c r="O19" s="409"/>
    </row>
    <row r="20" spans="2:15" ht="13.5" customHeight="1">
      <c r="C20" s="80" t="str">
        <f>총투자비!B12</f>
        <v>토지비 등</v>
      </c>
      <c r="D20" s="80"/>
      <c r="E20" s="80"/>
      <c r="F20" s="80"/>
      <c r="G20" s="80">
        <f ca="1">총투자비!F12</f>
        <v>158300.60757219471</v>
      </c>
      <c r="H20" s="203"/>
      <c r="I20" s="80"/>
      <c r="J20" s="80"/>
      <c r="K20" s="214"/>
      <c r="L20" s="215"/>
      <c r="M20" s="214"/>
      <c r="N20" s="203"/>
      <c r="O20" s="214"/>
    </row>
    <row r="21" spans="2:15" ht="13.5" customHeight="1">
      <c r="D21" s="79" t="str">
        <f>총투자비!C13</f>
        <v>토지비</v>
      </c>
      <c r="E21" s="49"/>
      <c r="F21" s="49"/>
      <c r="G21" s="192">
        <f>총투자비!F13</f>
        <v>150871.875</v>
      </c>
      <c r="H21" s="204"/>
      <c r="I21" s="198"/>
      <c r="J21" s="198"/>
      <c r="K21" s="216">
        <f t="shared" ref="K21:K34" si="4">G21*H21*10%*I21*$R$15</f>
        <v>0</v>
      </c>
      <c r="L21" s="192">
        <f t="shared" ref="L21:L23" si="5">G21*H21*10%*J21</f>
        <v>0</v>
      </c>
      <c r="M21" s="216">
        <f>SUM(K21:L21)</f>
        <v>0</v>
      </c>
      <c r="N21" s="204"/>
      <c r="O21" s="298">
        <v>1</v>
      </c>
    </row>
    <row r="22" spans="2:15" ht="13.5" customHeight="1">
      <c r="D22" s="79" t="str">
        <f>총투자비!C17</f>
        <v>토지취득관련 부대비용</v>
      </c>
      <c r="E22" s="49"/>
      <c r="F22" s="49"/>
      <c r="G22" s="192">
        <f>총투자비!F17</f>
        <v>0</v>
      </c>
      <c r="H22" s="204">
        <v>1</v>
      </c>
      <c r="I22" s="198"/>
      <c r="J22" s="198">
        <v>1</v>
      </c>
      <c r="K22" s="216">
        <f t="shared" si="4"/>
        <v>0</v>
      </c>
      <c r="L22" s="192">
        <f t="shared" si="5"/>
        <v>0</v>
      </c>
      <c r="M22" s="216">
        <f t="shared" ref="M22:M73" si="6">SUM(K22:L22)</f>
        <v>0</v>
      </c>
      <c r="N22" s="204"/>
      <c r="O22" s="298">
        <v>1</v>
      </c>
    </row>
    <row r="23" spans="2:15" ht="13.5" customHeight="1">
      <c r="D23" s="79" t="str">
        <f>총투자비!C18</f>
        <v>취득세</v>
      </c>
      <c r="E23" s="49"/>
      <c r="F23" s="49"/>
      <c r="G23" s="192">
        <f ca="1">총투자비!F18</f>
        <v>7379.196839933993</v>
      </c>
      <c r="H23" s="204"/>
      <c r="I23" s="198"/>
      <c r="J23" s="198"/>
      <c r="K23" s="216">
        <f t="shared" ca="1" si="4"/>
        <v>0</v>
      </c>
      <c r="L23" s="192">
        <f t="shared" ca="1" si="5"/>
        <v>0</v>
      </c>
      <c r="M23" s="216">
        <f t="shared" ca="1" si="6"/>
        <v>0</v>
      </c>
      <c r="N23" s="204"/>
      <c r="O23" s="298">
        <v>0</v>
      </c>
    </row>
    <row r="24" spans="2:15" ht="13.5" customHeight="1">
      <c r="D24" s="79" t="str">
        <f>총투자비!C19</f>
        <v>등기비용</v>
      </c>
      <c r="E24" s="49"/>
      <c r="F24" s="49"/>
      <c r="G24" s="192">
        <f ca="1">총투자비!F19</f>
        <v>22.625732260726075</v>
      </c>
      <c r="H24" s="204">
        <v>1</v>
      </c>
      <c r="I24" s="198"/>
      <c r="J24" s="198">
        <v>1</v>
      </c>
      <c r="K24" s="216">
        <f t="shared" ca="1" si="4"/>
        <v>0</v>
      </c>
      <c r="L24" s="192">
        <f ca="1">G24*H24*10%*J24</f>
        <v>2.2625732260726075</v>
      </c>
      <c r="M24" s="216">
        <f t="shared" ca="1" si="6"/>
        <v>2.2625732260726075</v>
      </c>
      <c r="N24" s="204"/>
      <c r="O24" s="298">
        <v>1</v>
      </c>
    </row>
    <row r="25" spans="2:15" ht="13.5" customHeight="1">
      <c r="D25" s="76" t="str">
        <f>총투자비!C20</f>
        <v>PFV설립관련</v>
      </c>
      <c r="E25" s="77"/>
      <c r="F25" s="77"/>
      <c r="G25" s="193">
        <f>총투자비!F20</f>
        <v>26.91</v>
      </c>
      <c r="H25" s="205"/>
      <c r="I25" s="193"/>
      <c r="J25" s="193"/>
      <c r="K25" s="217">
        <f t="shared" si="4"/>
        <v>0</v>
      </c>
      <c r="L25" s="193">
        <f t="shared" ref="L25:L73" si="7">G25*H25*10%*J25</f>
        <v>0</v>
      </c>
      <c r="M25" s="217">
        <f t="shared" si="6"/>
        <v>0</v>
      </c>
      <c r="N25" s="205"/>
      <c r="O25" s="217"/>
    </row>
    <row r="26" spans="2:15" ht="13.5" customHeight="1">
      <c r="D26" s="31"/>
      <c r="E26" s="30" t="str">
        <f>총투자비!D21</f>
        <v>등록면허세</v>
      </c>
      <c r="F26" s="22"/>
      <c r="G26" s="194">
        <f>총투자비!F21</f>
        <v>20</v>
      </c>
      <c r="H26" s="206">
        <v>0</v>
      </c>
      <c r="I26" s="199"/>
      <c r="J26" s="199"/>
      <c r="K26" s="218">
        <f t="shared" si="4"/>
        <v>0</v>
      </c>
      <c r="L26" s="194">
        <f t="shared" si="7"/>
        <v>0</v>
      </c>
      <c r="M26" s="218">
        <f t="shared" si="6"/>
        <v>0</v>
      </c>
      <c r="N26" s="206"/>
      <c r="O26" s="299">
        <v>0</v>
      </c>
    </row>
    <row r="27" spans="2:15" ht="13.5" customHeight="1">
      <c r="D27" s="31"/>
      <c r="E27" s="31" t="str">
        <f>총투자비!D22</f>
        <v>지방교육세</v>
      </c>
      <c r="F27" s="32"/>
      <c r="G27" s="195">
        <f>총투자비!F22</f>
        <v>4</v>
      </c>
      <c r="H27" s="207">
        <v>0</v>
      </c>
      <c r="I27" s="200"/>
      <c r="J27" s="200"/>
      <c r="K27" s="219">
        <f t="shared" si="4"/>
        <v>0</v>
      </c>
      <c r="L27" s="195">
        <f t="shared" si="7"/>
        <v>0</v>
      </c>
      <c r="M27" s="219">
        <f t="shared" si="6"/>
        <v>0</v>
      </c>
      <c r="N27" s="207"/>
      <c r="O27" s="300">
        <v>0</v>
      </c>
    </row>
    <row r="28" spans="2:15" ht="13.5" customHeight="1">
      <c r="C28" s="34"/>
      <c r="D28" s="54"/>
      <c r="E28" s="33" t="str">
        <f>총투자비!D23</f>
        <v>법무사 비용</v>
      </c>
      <c r="F28" s="24"/>
      <c r="G28" s="196">
        <f>총투자비!F23</f>
        <v>2.91</v>
      </c>
      <c r="H28" s="208">
        <v>1</v>
      </c>
      <c r="I28" s="201"/>
      <c r="J28" s="201"/>
      <c r="K28" s="220">
        <f t="shared" si="4"/>
        <v>0</v>
      </c>
      <c r="L28" s="196">
        <f t="shared" si="7"/>
        <v>0</v>
      </c>
      <c r="M28" s="220">
        <f t="shared" si="6"/>
        <v>0</v>
      </c>
      <c r="N28" s="208"/>
      <c r="O28" s="301">
        <v>0</v>
      </c>
    </row>
    <row r="29" spans="2:15" ht="13.5" customHeight="1">
      <c r="C29" s="80" t="str">
        <f>총투자비!B24</f>
        <v>공사비</v>
      </c>
      <c r="D29" s="80"/>
      <c r="E29" s="80"/>
      <c r="F29" s="80"/>
      <c r="G29" s="80">
        <f>총투자비!F24</f>
        <v>276537.75599999999</v>
      </c>
      <c r="H29" s="203"/>
      <c r="I29" s="80"/>
      <c r="J29" s="80"/>
      <c r="K29" s="214">
        <f t="shared" si="4"/>
        <v>0</v>
      </c>
      <c r="L29" s="215">
        <f t="shared" si="7"/>
        <v>0</v>
      </c>
      <c r="M29" s="214">
        <f t="shared" si="6"/>
        <v>0</v>
      </c>
      <c r="N29" s="203"/>
      <c r="O29" s="214"/>
    </row>
    <row r="30" spans="2:15" ht="13.5" customHeight="1">
      <c r="C30" s="14"/>
      <c r="D30" s="79" t="str">
        <f>총투자비!C25</f>
        <v>공동주택</v>
      </c>
      <c r="E30" s="49"/>
      <c r="F30" s="49"/>
      <c r="G30" s="49">
        <f>총투자비!F25</f>
        <v>273654.08399999997</v>
      </c>
      <c r="H30" s="204">
        <v>1</v>
      </c>
      <c r="I30" s="198">
        <v>0</v>
      </c>
      <c r="J30" s="198"/>
      <c r="K30" s="216">
        <f t="shared" si="4"/>
        <v>0</v>
      </c>
      <c r="L30" s="192">
        <f t="shared" si="7"/>
        <v>0</v>
      </c>
      <c r="M30" s="216">
        <f t="shared" si="6"/>
        <v>0</v>
      </c>
      <c r="N30" s="204">
        <v>1</v>
      </c>
      <c r="O30" s="298"/>
    </row>
    <row r="31" spans="2:15" ht="13.5" customHeight="1">
      <c r="C31" s="109"/>
      <c r="D31" s="79" t="str">
        <f>총투자비!C26</f>
        <v>근린생활시설</v>
      </c>
      <c r="E31" s="49"/>
      <c r="F31" s="49"/>
      <c r="G31" s="49">
        <f>총투자비!F26</f>
        <v>2883.672</v>
      </c>
      <c r="H31" s="204">
        <v>1</v>
      </c>
      <c r="I31" s="198">
        <v>0</v>
      </c>
      <c r="J31" s="198"/>
      <c r="K31" s="216">
        <f t="shared" si="4"/>
        <v>0</v>
      </c>
      <c r="L31" s="192">
        <f t="shared" si="7"/>
        <v>0</v>
      </c>
      <c r="M31" s="216">
        <f t="shared" si="6"/>
        <v>0</v>
      </c>
      <c r="N31" s="204">
        <v>1</v>
      </c>
      <c r="O31" s="298"/>
    </row>
    <row r="32" spans="2:15" ht="13.5" customHeight="1">
      <c r="C32" s="80" t="str">
        <f>총투자비!B27</f>
        <v>용역비 및 부대비용</v>
      </c>
      <c r="D32" s="80"/>
      <c r="E32" s="80"/>
      <c r="F32" s="80"/>
      <c r="G32" s="80">
        <f ca="1">총투자비!F27</f>
        <v>15629.695268889802</v>
      </c>
      <c r="H32" s="203"/>
      <c r="I32" s="80"/>
      <c r="J32" s="80"/>
      <c r="K32" s="214">
        <f t="shared" ca="1" si="4"/>
        <v>0</v>
      </c>
      <c r="L32" s="215">
        <f t="shared" ca="1" si="7"/>
        <v>0</v>
      </c>
      <c r="M32" s="214">
        <f t="shared" ca="1" si="6"/>
        <v>0</v>
      </c>
      <c r="N32" s="203"/>
      <c r="O32" s="214"/>
    </row>
    <row r="33" spans="3:15" ht="13.5" customHeight="1">
      <c r="C33" s="14"/>
      <c r="D33" s="79" t="str">
        <f>총투자비!C28</f>
        <v>건축 설계비</v>
      </c>
      <c r="E33" s="49"/>
      <c r="F33" s="49"/>
      <c r="G33" s="49">
        <f>총투자비!F28</f>
        <v>8641.8048749999998</v>
      </c>
      <c r="H33" s="204">
        <v>1</v>
      </c>
      <c r="I33" s="198">
        <v>0</v>
      </c>
      <c r="J33" s="198"/>
      <c r="K33" s="216">
        <f t="shared" si="4"/>
        <v>0</v>
      </c>
      <c r="L33" s="192">
        <f t="shared" si="7"/>
        <v>0</v>
      </c>
      <c r="M33" s="216">
        <f t="shared" si="6"/>
        <v>0</v>
      </c>
      <c r="N33" s="204">
        <v>1</v>
      </c>
      <c r="O33" s="298"/>
    </row>
    <row r="34" spans="3:15" ht="13.5" customHeight="1">
      <c r="C34" s="14"/>
      <c r="D34" s="71" t="str">
        <f>총투자비!C32</f>
        <v>각종 인허가 관련비용</v>
      </c>
      <c r="E34" s="72"/>
      <c r="F34" s="72"/>
      <c r="G34" s="72">
        <f>총투자비!F32</f>
        <v>1056.6475756735001</v>
      </c>
      <c r="H34" s="209"/>
      <c r="I34" s="72"/>
      <c r="J34" s="72"/>
      <c r="K34" s="71">
        <f t="shared" si="4"/>
        <v>0</v>
      </c>
      <c r="L34" s="72">
        <f t="shared" si="7"/>
        <v>0</v>
      </c>
      <c r="M34" s="71">
        <f t="shared" si="6"/>
        <v>0</v>
      </c>
      <c r="N34" s="209"/>
      <c r="O34" s="71"/>
    </row>
    <row r="35" spans="3:15" ht="13.5" customHeight="1">
      <c r="D35" s="31"/>
      <c r="E35" s="30" t="str">
        <f>총투자비!D33</f>
        <v>환경영향평가2)</v>
      </c>
      <c r="F35" s="22"/>
      <c r="G35" s="22">
        <f>총투자비!F33</f>
        <v>654.44167800000002</v>
      </c>
      <c r="H35" s="206">
        <v>1</v>
      </c>
      <c r="I35" s="199">
        <v>1</v>
      </c>
      <c r="J35" s="199"/>
      <c r="K35" s="218">
        <f>G35*H35*10%*I35*$R$15</f>
        <v>53.073565818039569</v>
      </c>
      <c r="L35" s="194">
        <f t="shared" si="7"/>
        <v>0</v>
      </c>
      <c r="M35" s="218">
        <f t="shared" si="6"/>
        <v>53.073565818039569</v>
      </c>
      <c r="N35" s="206">
        <v>1</v>
      </c>
      <c r="O35" s="299"/>
    </row>
    <row r="36" spans="3:15" ht="13.5" customHeight="1">
      <c r="D36" s="31"/>
      <c r="E36" s="31" t="str">
        <f>총투자비!D37</f>
        <v>교통영향평가3)</v>
      </c>
      <c r="F36" s="32"/>
      <c r="G36" s="32">
        <f>총투자비!F37</f>
        <v>142.26922023600002</v>
      </c>
      <c r="H36" s="207">
        <v>1</v>
      </c>
      <c r="I36" s="200">
        <v>1</v>
      </c>
      <c r="J36" s="200"/>
      <c r="K36" s="219">
        <f t="shared" ref="K36:K73" si="8">G36*H36*10%*I36*$R$15</f>
        <v>11.53767413950753</v>
      </c>
      <c r="L36" s="195">
        <f t="shared" si="7"/>
        <v>0</v>
      </c>
      <c r="M36" s="219">
        <f t="shared" si="6"/>
        <v>11.53767413950753</v>
      </c>
      <c r="N36" s="207">
        <v>1</v>
      </c>
      <c r="O36" s="300"/>
    </row>
    <row r="37" spans="3:15" ht="13.5" customHeight="1">
      <c r="D37" s="31"/>
      <c r="E37" s="31" t="str">
        <f>총투자비!D41</f>
        <v>재해영향평가4)</v>
      </c>
      <c r="F37" s="32"/>
      <c r="G37" s="32">
        <f>총투자비!F41</f>
        <v>125.18362411749997</v>
      </c>
      <c r="H37" s="207">
        <v>1</v>
      </c>
      <c r="I37" s="200">
        <v>1</v>
      </c>
      <c r="J37" s="200"/>
      <c r="K37" s="219">
        <f t="shared" si="8"/>
        <v>10.152075482486095</v>
      </c>
      <c r="L37" s="195">
        <f t="shared" si="7"/>
        <v>0</v>
      </c>
      <c r="M37" s="219">
        <f t="shared" si="6"/>
        <v>10.152075482486095</v>
      </c>
      <c r="N37" s="207">
        <v>1</v>
      </c>
      <c r="O37" s="300"/>
    </row>
    <row r="38" spans="3:15" ht="13.5" customHeight="1">
      <c r="D38" s="31"/>
      <c r="E38" s="31" t="str">
        <f>총투자비!D45</f>
        <v>지하안전영향평가5)</v>
      </c>
      <c r="F38" s="32"/>
      <c r="G38" s="32">
        <f>총투자비!F45</f>
        <v>84.753053319999992</v>
      </c>
      <c r="H38" s="207">
        <v>1</v>
      </c>
      <c r="I38" s="200">
        <v>1</v>
      </c>
      <c r="J38" s="200"/>
      <c r="K38" s="219">
        <f t="shared" si="8"/>
        <v>6.8732583893577095</v>
      </c>
      <c r="L38" s="195">
        <f t="shared" si="7"/>
        <v>0</v>
      </c>
      <c r="M38" s="219">
        <f t="shared" si="6"/>
        <v>6.8732583893577095</v>
      </c>
      <c r="N38" s="207">
        <v>1</v>
      </c>
      <c r="O38" s="300"/>
    </row>
    <row r="39" spans="3:15" ht="13.5" customHeight="1">
      <c r="D39" s="31"/>
      <c r="E39" s="33" t="str">
        <f>총투자비!D49</f>
        <v>교육환경영향평가</v>
      </c>
      <c r="F39" s="24"/>
      <c r="G39" s="196">
        <f>총투자비!F49</f>
        <v>50</v>
      </c>
      <c r="H39" s="208">
        <v>1</v>
      </c>
      <c r="I39" s="201">
        <v>1</v>
      </c>
      <c r="J39" s="201"/>
      <c r="K39" s="220">
        <f t="shared" si="8"/>
        <v>4.0548736122853999</v>
      </c>
      <c r="L39" s="196">
        <f t="shared" si="7"/>
        <v>0</v>
      </c>
      <c r="M39" s="220">
        <f t="shared" si="6"/>
        <v>4.0548736122853999</v>
      </c>
      <c r="N39" s="208">
        <v>1</v>
      </c>
      <c r="O39" s="301"/>
    </row>
    <row r="40" spans="3:15" ht="13.5" customHeight="1">
      <c r="C40" s="14"/>
      <c r="D40" s="79" t="str">
        <f>총투자비!C53</f>
        <v>AMC매입보수</v>
      </c>
      <c r="E40" s="49"/>
      <c r="F40" s="49"/>
      <c r="G40" s="192">
        <f ca="1">총투자비!F53</f>
        <v>3222.5587386095162</v>
      </c>
      <c r="H40" s="204">
        <v>1</v>
      </c>
      <c r="I40" s="198">
        <v>1</v>
      </c>
      <c r="J40" s="198"/>
      <c r="K40" s="216">
        <f t="shared" ca="1" si="8"/>
        <v>261.341367864549</v>
      </c>
      <c r="L40" s="192">
        <f t="shared" ca="1" si="7"/>
        <v>0</v>
      </c>
      <c r="M40" s="216">
        <f t="shared" ca="1" si="6"/>
        <v>261.341367864549</v>
      </c>
      <c r="N40" s="204">
        <v>1</v>
      </c>
      <c r="O40" s="298"/>
    </row>
    <row r="41" spans="3:15" ht="13.5" customHeight="1">
      <c r="C41" s="14"/>
      <c r="D41" s="79" t="str">
        <f>총투자비!C57</f>
        <v>사업타당성 용역비</v>
      </c>
      <c r="E41" s="49"/>
      <c r="F41" s="49"/>
      <c r="G41" s="192">
        <f>총투자비!F57</f>
        <v>70</v>
      </c>
      <c r="H41" s="204">
        <v>1</v>
      </c>
      <c r="I41" s="198">
        <v>1</v>
      </c>
      <c r="J41" s="198"/>
      <c r="K41" s="216">
        <f t="shared" si="8"/>
        <v>5.6768230571995595</v>
      </c>
      <c r="L41" s="192">
        <f t="shared" si="7"/>
        <v>0</v>
      </c>
      <c r="M41" s="216">
        <f t="shared" si="6"/>
        <v>5.6768230571995595</v>
      </c>
      <c r="N41" s="204">
        <v>1</v>
      </c>
      <c r="O41" s="298"/>
    </row>
    <row r="42" spans="3:15" ht="13.5" customHeight="1">
      <c r="C42" s="14"/>
      <c r="D42" s="79" t="str">
        <f>총투자비!C61</f>
        <v>법률자문</v>
      </c>
      <c r="E42" s="49"/>
      <c r="F42" s="49"/>
      <c r="G42" s="192">
        <f>총투자비!F61</f>
        <v>100</v>
      </c>
      <c r="H42" s="204">
        <v>1</v>
      </c>
      <c r="I42" s="198">
        <v>1</v>
      </c>
      <c r="J42" s="198"/>
      <c r="K42" s="216">
        <f t="shared" si="8"/>
        <v>8.1097472245707998</v>
      </c>
      <c r="L42" s="192">
        <f t="shared" si="7"/>
        <v>0</v>
      </c>
      <c r="M42" s="216">
        <f t="shared" si="6"/>
        <v>8.1097472245707998</v>
      </c>
      <c r="N42" s="204">
        <v>1</v>
      </c>
      <c r="O42" s="298"/>
    </row>
    <row r="43" spans="3:15" ht="13.5" customHeight="1">
      <c r="C43" s="14"/>
      <c r="D43" s="79" t="str">
        <f>총투자비!C65</f>
        <v>감정평가6)</v>
      </c>
      <c r="E43" s="49"/>
      <c r="F43" s="49"/>
      <c r="G43" s="192">
        <f>총투자비!F65</f>
        <v>77.193749999999994</v>
      </c>
      <c r="H43" s="204">
        <v>1</v>
      </c>
      <c r="I43" s="198">
        <v>0</v>
      </c>
      <c r="J43" s="198">
        <v>1</v>
      </c>
      <c r="K43" s="216">
        <f t="shared" si="8"/>
        <v>0</v>
      </c>
      <c r="L43" s="192">
        <f t="shared" si="7"/>
        <v>7.7193749999999994</v>
      </c>
      <c r="M43" s="216">
        <f t="shared" si="6"/>
        <v>7.7193749999999994</v>
      </c>
      <c r="N43" s="204"/>
      <c r="O43" s="298">
        <v>1</v>
      </c>
    </row>
    <row r="44" spans="3:15" ht="13.5" customHeight="1">
      <c r="C44" s="14"/>
      <c r="D44" s="71" t="str">
        <f>총투자비!C69</f>
        <v>미술장식품 설치비</v>
      </c>
      <c r="E44" s="72"/>
      <c r="F44" s="72"/>
      <c r="G44" s="191">
        <f>총투자비!F69</f>
        <v>2161.4903296000002</v>
      </c>
      <c r="H44" s="210">
        <v>1</v>
      </c>
      <c r="I44" s="73">
        <v>1</v>
      </c>
      <c r="J44" s="73"/>
      <c r="K44" s="221">
        <f t="shared" si="8"/>
        <v>175.29140201410223</v>
      </c>
      <c r="L44" s="191">
        <f t="shared" si="7"/>
        <v>0</v>
      </c>
      <c r="M44" s="221">
        <f t="shared" si="6"/>
        <v>175.29140201410223</v>
      </c>
      <c r="N44" s="210">
        <v>1</v>
      </c>
      <c r="O44" s="302"/>
    </row>
    <row r="45" spans="3:15" ht="13.5" customHeight="1">
      <c r="C45" s="14"/>
      <c r="D45" s="71" t="str">
        <f>총투자비!C75</f>
        <v>용역 예비비</v>
      </c>
      <c r="E45" s="72"/>
      <c r="F45" s="72"/>
      <c r="G45" s="191">
        <f>총투자비!F75</f>
        <v>300</v>
      </c>
      <c r="H45" s="210">
        <v>1</v>
      </c>
      <c r="I45" s="73">
        <v>1</v>
      </c>
      <c r="J45" s="73"/>
      <c r="K45" s="221">
        <f t="shared" si="8"/>
        <v>24.329241673712396</v>
      </c>
      <c r="L45" s="191">
        <f t="shared" si="7"/>
        <v>0</v>
      </c>
      <c r="M45" s="221">
        <f t="shared" si="6"/>
        <v>24.329241673712396</v>
      </c>
      <c r="N45" s="210">
        <v>1</v>
      </c>
      <c r="O45" s="302"/>
    </row>
    <row r="46" spans="3:15" ht="13.5" customHeight="1">
      <c r="C46" s="80" t="str">
        <f>총투자비!B78</f>
        <v>제세공과금</v>
      </c>
      <c r="D46" s="80"/>
      <c r="E46" s="80"/>
      <c r="F46" s="80"/>
      <c r="G46" s="80">
        <f ca="1">총투자비!F78</f>
        <v>30553.282674803875</v>
      </c>
      <c r="H46" s="203"/>
      <c r="I46" s="80"/>
      <c r="J46" s="80"/>
      <c r="K46" s="214">
        <f t="shared" ca="1" si="8"/>
        <v>0</v>
      </c>
      <c r="L46" s="215">
        <f t="shared" ca="1" si="7"/>
        <v>0</v>
      </c>
      <c r="M46" s="214">
        <f t="shared" ca="1" si="6"/>
        <v>0</v>
      </c>
      <c r="N46" s="203"/>
      <c r="O46" s="214"/>
    </row>
    <row r="47" spans="3:15" ht="13.5" customHeight="1">
      <c r="C47" s="14"/>
      <c r="D47" s="71" t="str">
        <f>총투자비!C79</f>
        <v>각종 부담금</v>
      </c>
      <c r="E47" s="72"/>
      <c r="F47" s="72"/>
      <c r="G47" s="72">
        <f ca="1">총투자비!F79</f>
        <v>17931.610903808978</v>
      </c>
      <c r="H47" s="209"/>
      <c r="I47" s="72"/>
      <c r="J47" s="72"/>
      <c r="K47" s="71">
        <f t="shared" ca="1" si="8"/>
        <v>0</v>
      </c>
      <c r="L47" s="72">
        <f t="shared" ca="1" si="7"/>
        <v>0</v>
      </c>
      <c r="M47" s="71">
        <f t="shared" ca="1" si="6"/>
        <v>0</v>
      </c>
      <c r="N47" s="209"/>
      <c r="O47" s="71"/>
    </row>
    <row r="48" spans="3:15" ht="13.5" customHeight="1">
      <c r="D48" s="31"/>
      <c r="E48" s="30" t="str">
        <f>총투자비!D80</f>
        <v>인입공사분담금</v>
      </c>
      <c r="F48" s="22"/>
      <c r="G48" s="22">
        <f>총투자비!F80</f>
        <v>2880.6016250000002</v>
      </c>
      <c r="H48" s="184">
        <v>1</v>
      </c>
      <c r="I48" s="35">
        <v>1</v>
      </c>
      <c r="J48" s="35"/>
      <c r="K48" s="218">
        <f t="shared" si="8"/>
        <v>233.60951033437888</v>
      </c>
      <c r="L48" s="194">
        <f t="shared" si="7"/>
        <v>0</v>
      </c>
      <c r="M48" s="218">
        <f t="shared" si="6"/>
        <v>233.60951033437888</v>
      </c>
      <c r="N48" s="184">
        <v>0</v>
      </c>
      <c r="O48" s="303"/>
    </row>
    <row r="49" spans="3:15" ht="13.5" customHeight="1">
      <c r="D49" s="31"/>
      <c r="E49" s="31" t="str">
        <f>총투자비!D82</f>
        <v>광역교통시설부담금</v>
      </c>
      <c r="F49" s="32"/>
      <c r="G49" s="32">
        <f>총투자비!F82</f>
        <v>6734.7551647999999</v>
      </c>
      <c r="H49" s="211">
        <v>0</v>
      </c>
      <c r="I49" s="104"/>
      <c r="J49" s="104"/>
      <c r="K49" s="219">
        <f t="shared" si="8"/>
        <v>0</v>
      </c>
      <c r="L49" s="195">
        <f t="shared" si="7"/>
        <v>0</v>
      </c>
      <c r="M49" s="219">
        <f t="shared" si="6"/>
        <v>0</v>
      </c>
      <c r="N49" s="211">
        <v>1</v>
      </c>
      <c r="O49" s="304"/>
    </row>
    <row r="50" spans="3:15" ht="13.5" customHeight="1">
      <c r="D50" s="31"/>
      <c r="E50" s="31" t="str">
        <f>총투자비!D89</f>
        <v>학교용지부담금</v>
      </c>
      <c r="F50" s="32"/>
      <c r="G50" s="32">
        <f ca="1">총투자비!F89</f>
        <v>5614.6785534608707</v>
      </c>
      <c r="H50" s="211">
        <v>0</v>
      </c>
      <c r="I50" s="104"/>
      <c r="J50" s="104"/>
      <c r="K50" s="219">
        <f t="shared" ca="1" si="8"/>
        <v>0</v>
      </c>
      <c r="L50" s="195">
        <f t="shared" ca="1" si="7"/>
        <v>0</v>
      </c>
      <c r="M50" s="219">
        <f t="shared" ca="1" si="6"/>
        <v>0</v>
      </c>
      <c r="N50" s="211">
        <v>1</v>
      </c>
      <c r="O50" s="304"/>
    </row>
    <row r="51" spans="3:15" ht="13.5" customHeight="1">
      <c r="D51" s="54"/>
      <c r="E51" s="33" t="str">
        <f>총투자비!D92</f>
        <v>매입VAT불공제분8)</v>
      </c>
      <c r="F51" s="24"/>
      <c r="G51" s="24">
        <f ca="1">총투자비!F92</f>
        <v>2701.575560547376</v>
      </c>
      <c r="H51" s="185">
        <v>0</v>
      </c>
      <c r="I51" s="165"/>
      <c r="J51" s="165"/>
      <c r="K51" s="220">
        <f t="shared" ca="1" si="8"/>
        <v>0</v>
      </c>
      <c r="L51" s="196">
        <f t="shared" ca="1" si="7"/>
        <v>0</v>
      </c>
      <c r="M51" s="220">
        <f t="shared" ca="1" si="6"/>
        <v>0</v>
      </c>
      <c r="N51" s="185">
        <v>0</v>
      </c>
      <c r="O51" s="305"/>
    </row>
    <row r="52" spans="3:15" ht="13.5" customHeight="1">
      <c r="C52" s="14"/>
      <c r="D52" s="76" t="str">
        <f>총투자비!C93</f>
        <v>토지보유세</v>
      </c>
      <c r="E52" s="77"/>
      <c r="F52" s="77"/>
      <c r="G52" s="77">
        <f>총투자비!F93</f>
        <v>1704.970002795033</v>
      </c>
      <c r="H52" s="212"/>
      <c r="I52" s="77"/>
      <c r="J52" s="77"/>
      <c r="K52" s="217">
        <f t="shared" si="8"/>
        <v>0</v>
      </c>
      <c r="L52" s="193">
        <f t="shared" si="7"/>
        <v>0</v>
      </c>
      <c r="M52" s="217">
        <f t="shared" si="6"/>
        <v>0</v>
      </c>
      <c r="N52" s="212"/>
      <c r="O52" s="76"/>
    </row>
    <row r="53" spans="3:15" ht="13.5" customHeight="1">
      <c r="D53" s="31"/>
      <c r="E53" s="30" t="str">
        <f>총투자비!D98</f>
        <v>재산세</v>
      </c>
      <c r="F53" s="22"/>
      <c r="G53" s="22">
        <f>총투자비!F98</f>
        <v>0</v>
      </c>
      <c r="H53" s="184">
        <v>0</v>
      </c>
      <c r="I53" s="35"/>
      <c r="J53" s="35"/>
      <c r="K53" s="218">
        <f t="shared" si="8"/>
        <v>0</v>
      </c>
      <c r="L53" s="194">
        <f t="shared" si="7"/>
        <v>0</v>
      </c>
      <c r="M53" s="218">
        <f t="shared" si="6"/>
        <v>0</v>
      </c>
      <c r="N53" s="184">
        <v>0</v>
      </c>
      <c r="O53" s="303"/>
    </row>
    <row r="54" spans="3:15" ht="13.5" customHeight="1">
      <c r="D54" s="33"/>
      <c r="E54" s="33" t="str">
        <f>총투자비!D101</f>
        <v>종합부동산세</v>
      </c>
      <c r="F54" s="24"/>
      <c r="G54" s="24">
        <f>총투자비!F101</f>
        <v>0</v>
      </c>
      <c r="H54" s="185">
        <v>0</v>
      </c>
      <c r="I54" s="165"/>
      <c r="J54" s="165"/>
      <c r="K54" s="220">
        <f t="shared" si="8"/>
        <v>0</v>
      </c>
      <c r="L54" s="196">
        <f t="shared" si="7"/>
        <v>0</v>
      </c>
      <c r="M54" s="220">
        <f t="shared" si="6"/>
        <v>0</v>
      </c>
      <c r="N54" s="185">
        <v>0</v>
      </c>
      <c r="O54" s="305"/>
    </row>
    <row r="55" spans="3:15" ht="13.5" customHeight="1">
      <c r="C55" s="14"/>
      <c r="D55" s="76" t="str">
        <f>총투자비!C104</f>
        <v>소유권 보전등기 관련</v>
      </c>
      <c r="E55" s="77"/>
      <c r="F55" s="77"/>
      <c r="G55" s="77">
        <f ca="1">총투자비!F104</f>
        <v>10916.701766937003</v>
      </c>
      <c r="H55" s="212"/>
      <c r="I55" s="77"/>
      <c r="J55" s="77"/>
      <c r="K55" s="217">
        <f t="shared" ca="1" si="8"/>
        <v>0</v>
      </c>
      <c r="L55" s="193">
        <f t="shared" ca="1" si="7"/>
        <v>0</v>
      </c>
      <c r="M55" s="217">
        <f t="shared" ca="1" si="6"/>
        <v>0</v>
      </c>
      <c r="N55" s="212"/>
      <c r="O55" s="76"/>
    </row>
    <row r="56" spans="3:15" ht="13.5" customHeight="1">
      <c r="D56" s="31"/>
      <c r="E56" s="30" t="str">
        <f>총투자비!D105</f>
        <v>건물 취득세</v>
      </c>
      <c r="F56" s="22"/>
      <c r="G56" s="22">
        <f>총투자비!F105</f>
        <v>0</v>
      </c>
      <c r="H56" s="184">
        <v>0</v>
      </c>
      <c r="I56" s="35"/>
      <c r="J56" s="35"/>
      <c r="K56" s="218">
        <f t="shared" si="8"/>
        <v>0</v>
      </c>
      <c r="L56" s="194">
        <f t="shared" si="7"/>
        <v>0</v>
      </c>
      <c r="M56" s="218">
        <f t="shared" si="6"/>
        <v>0</v>
      </c>
      <c r="N56" s="184">
        <v>0</v>
      </c>
      <c r="O56" s="303"/>
    </row>
    <row r="57" spans="3:15" ht="13.5" customHeight="1">
      <c r="D57" s="54"/>
      <c r="E57" s="33" t="str">
        <f>총투자비!D108</f>
        <v>법무사 수수료</v>
      </c>
      <c r="F57" s="24"/>
      <c r="G57" s="24">
        <f ca="1">총투자비!F108</f>
        <v>40.784767575084416</v>
      </c>
      <c r="H57" s="185">
        <v>1</v>
      </c>
      <c r="I57" s="165">
        <v>1</v>
      </c>
      <c r="J57" s="165"/>
      <c r="K57" s="220">
        <f t="shared" ca="1" si="8"/>
        <v>3.3075415564680601</v>
      </c>
      <c r="L57" s="196">
        <f t="shared" ca="1" si="7"/>
        <v>0</v>
      </c>
      <c r="M57" s="220">
        <f t="shared" ca="1" si="6"/>
        <v>3.3075415564680601</v>
      </c>
      <c r="N57" s="185">
        <v>1</v>
      </c>
      <c r="O57" s="305"/>
    </row>
    <row r="58" spans="3:15" ht="13.5" customHeight="1">
      <c r="C58" s="80" t="str">
        <f>총투자비!B109</f>
        <v>판매 및 관리비</v>
      </c>
      <c r="D58" s="80"/>
      <c r="E58" s="80"/>
      <c r="F58" s="80"/>
      <c r="G58" s="80">
        <f ca="1">총투자비!F109</f>
        <v>56071.781584520504</v>
      </c>
      <c r="H58" s="203"/>
      <c r="I58" s="80"/>
      <c r="J58" s="80"/>
      <c r="K58" s="214">
        <f t="shared" ca="1" si="8"/>
        <v>0</v>
      </c>
      <c r="L58" s="215">
        <f t="shared" ca="1" si="7"/>
        <v>0</v>
      </c>
      <c r="M58" s="214">
        <f t="shared" ca="1" si="6"/>
        <v>0</v>
      </c>
      <c r="N58" s="203"/>
      <c r="O58" s="214"/>
    </row>
    <row r="59" spans="3:15" ht="13.5" customHeight="1">
      <c r="C59" s="14"/>
      <c r="D59" s="71" t="str">
        <f>총투자비!C110</f>
        <v>판매비</v>
      </c>
      <c r="E59" s="72"/>
      <c r="F59" s="72"/>
      <c r="G59" s="72">
        <f ca="1">총투자비!F110</f>
        <v>50023.781584520504</v>
      </c>
      <c r="H59" s="209"/>
      <c r="I59" s="72"/>
      <c r="J59" s="72"/>
      <c r="K59" s="71">
        <f t="shared" ca="1" si="8"/>
        <v>0</v>
      </c>
      <c r="L59" s="72">
        <f t="shared" ca="1" si="7"/>
        <v>0</v>
      </c>
      <c r="M59" s="71">
        <f t="shared" ca="1" si="6"/>
        <v>0</v>
      </c>
      <c r="N59" s="209"/>
      <c r="O59" s="71"/>
    </row>
    <row r="60" spans="3:15" ht="13.5" customHeight="1">
      <c r="D60" s="31"/>
      <c r="E60" s="30" t="str">
        <f>총투자비!D111</f>
        <v>M/H부지 임차료</v>
      </c>
      <c r="F60" s="22"/>
      <c r="G60" s="22">
        <f>총투자비!F111</f>
        <v>165</v>
      </c>
      <c r="H60" s="184">
        <v>1</v>
      </c>
      <c r="I60" s="35">
        <v>1</v>
      </c>
      <c r="J60" s="35"/>
      <c r="K60" s="218">
        <f t="shared" si="8"/>
        <v>13.381082920541818</v>
      </c>
      <c r="L60" s="194">
        <f t="shared" si="7"/>
        <v>0</v>
      </c>
      <c r="M60" s="218">
        <f t="shared" si="6"/>
        <v>13.381082920541818</v>
      </c>
      <c r="N60" s="184">
        <v>0</v>
      </c>
      <c r="O60" s="303"/>
    </row>
    <row r="61" spans="3:15" ht="13.5" customHeight="1">
      <c r="D61" s="31"/>
      <c r="E61" s="31" t="str">
        <f>총투자비!D112</f>
        <v>M/H건설비</v>
      </c>
      <c r="F61" s="32"/>
      <c r="G61" s="32">
        <f>총투자비!F112</f>
        <v>2310</v>
      </c>
      <c r="H61" s="211">
        <v>1</v>
      </c>
      <c r="I61" s="104">
        <v>1</v>
      </c>
      <c r="J61" s="104"/>
      <c r="K61" s="219">
        <f t="shared" si="8"/>
        <v>187.33516088758546</v>
      </c>
      <c r="L61" s="195">
        <f t="shared" si="7"/>
        <v>0</v>
      </c>
      <c r="M61" s="219">
        <f t="shared" si="6"/>
        <v>187.33516088758546</v>
      </c>
      <c r="N61" s="211">
        <v>0</v>
      </c>
      <c r="O61" s="304"/>
    </row>
    <row r="62" spans="3:15" ht="13.5" customHeight="1">
      <c r="D62" s="31"/>
      <c r="E62" s="31" t="str">
        <f>총투자비!D113</f>
        <v>M/H운영비</v>
      </c>
      <c r="F62" s="32"/>
      <c r="G62" s="32">
        <f>총투자비!F113</f>
        <v>75</v>
      </c>
      <c r="H62" s="211">
        <v>1</v>
      </c>
      <c r="I62" s="104">
        <v>1</v>
      </c>
      <c r="J62" s="104"/>
      <c r="K62" s="219">
        <f t="shared" si="8"/>
        <v>6.0823104184280989</v>
      </c>
      <c r="L62" s="195">
        <f t="shared" si="7"/>
        <v>0</v>
      </c>
      <c r="M62" s="219">
        <f t="shared" si="6"/>
        <v>6.0823104184280989</v>
      </c>
      <c r="N62" s="211">
        <v>0</v>
      </c>
      <c r="O62" s="304"/>
    </row>
    <row r="63" spans="3:15" ht="13.5" customHeight="1">
      <c r="D63" s="31"/>
      <c r="E63" s="31" t="str">
        <f>총투자비!D116</f>
        <v>광고선전비</v>
      </c>
      <c r="F63" s="32"/>
      <c r="G63" s="32">
        <f ca="1">총투자비!F116</f>
        <v>3674.384470913044</v>
      </c>
      <c r="H63" s="211">
        <v>1</v>
      </c>
      <c r="I63" s="104">
        <v>1</v>
      </c>
      <c r="J63" s="104"/>
      <c r="K63" s="219">
        <f t="shared" ca="1" si="8"/>
        <v>297.983292649931</v>
      </c>
      <c r="L63" s="195">
        <f t="shared" ca="1" si="7"/>
        <v>0</v>
      </c>
      <c r="M63" s="219">
        <f t="shared" ca="1" si="6"/>
        <v>297.983292649931</v>
      </c>
      <c r="N63" s="211">
        <v>0</v>
      </c>
      <c r="O63" s="304"/>
    </row>
    <row r="64" spans="3:15" ht="13.5" customHeight="1">
      <c r="D64" s="31"/>
      <c r="E64" s="31" t="str">
        <f>총투자비!D117</f>
        <v>분양대행 수수료</v>
      </c>
      <c r="F64" s="32"/>
      <c r="G64" s="32">
        <f ca="1">총투자비!F117</f>
        <v>8670.4519418260879</v>
      </c>
      <c r="H64" s="211">
        <v>1</v>
      </c>
      <c r="I64" s="104">
        <v>1</v>
      </c>
      <c r="J64" s="104"/>
      <c r="K64" s="219">
        <f t="shared" ca="1" si="8"/>
        <v>703.15173570998616</v>
      </c>
      <c r="L64" s="195">
        <f t="shared" ca="1" si="7"/>
        <v>0</v>
      </c>
      <c r="M64" s="219">
        <f t="shared" ca="1" si="6"/>
        <v>703.15173570998616</v>
      </c>
      <c r="N64" s="211">
        <v>0</v>
      </c>
      <c r="O64" s="304"/>
    </row>
    <row r="65" spans="3:15" ht="13.5" customHeight="1">
      <c r="D65" s="31"/>
      <c r="E65" s="31" t="str">
        <f>총투자비!D120</f>
        <v>분양보증 수수료</v>
      </c>
      <c r="F65" s="32"/>
      <c r="G65" s="32">
        <f ca="1">총투자비!F120</f>
        <v>2414.6922339567409</v>
      </c>
      <c r="H65" s="211">
        <v>1</v>
      </c>
      <c r="I65" s="104">
        <v>1</v>
      </c>
      <c r="J65" s="104"/>
      <c r="K65" s="219">
        <f t="shared" ca="1" si="8"/>
        <v>195.82543642523345</v>
      </c>
      <c r="L65" s="195">
        <f t="shared" ca="1" si="7"/>
        <v>0</v>
      </c>
      <c r="M65" s="219">
        <f t="shared" ca="1" si="6"/>
        <v>195.82543642523345</v>
      </c>
      <c r="N65" s="211">
        <v>0</v>
      </c>
      <c r="O65" s="304"/>
    </row>
    <row r="66" spans="3:15" ht="13.5" customHeight="1">
      <c r="D66" s="54"/>
      <c r="E66" s="33" t="str">
        <f>총투자비!D131</f>
        <v>중도금 이자비용7)</v>
      </c>
      <c r="F66" s="24"/>
      <c r="G66" s="24">
        <f ca="1">총투자비!F131</f>
        <v>32714.252937824636</v>
      </c>
      <c r="H66" s="185">
        <v>0</v>
      </c>
      <c r="I66" s="165"/>
      <c r="J66" s="165"/>
      <c r="K66" s="220">
        <f t="shared" ca="1" si="8"/>
        <v>0</v>
      </c>
      <c r="L66" s="196">
        <f t="shared" ca="1" si="7"/>
        <v>0</v>
      </c>
      <c r="M66" s="220">
        <f t="shared" ca="1" si="6"/>
        <v>0</v>
      </c>
      <c r="N66" s="185">
        <v>0</v>
      </c>
      <c r="O66" s="305"/>
    </row>
    <row r="67" spans="3:15" ht="13.5" customHeight="1">
      <c r="C67" s="14"/>
      <c r="D67" s="76" t="str">
        <f>총투자비!C132</f>
        <v>관리운영비</v>
      </c>
      <c r="E67" s="77"/>
      <c r="F67" s="77"/>
      <c r="G67" s="77">
        <f>총투자비!F132</f>
        <v>6048</v>
      </c>
      <c r="H67" s="212"/>
      <c r="I67" s="77"/>
      <c r="J67" s="77"/>
      <c r="K67" s="217">
        <f t="shared" si="8"/>
        <v>0</v>
      </c>
      <c r="L67" s="193">
        <f t="shared" si="7"/>
        <v>0</v>
      </c>
      <c r="M67" s="217">
        <f t="shared" si="6"/>
        <v>0</v>
      </c>
      <c r="N67" s="212"/>
      <c r="O67" s="76"/>
    </row>
    <row r="68" spans="3:15" ht="13.5" customHeight="1">
      <c r="D68" s="31"/>
      <c r="E68" s="30" t="str">
        <f>총투자비!D133</f>
        <v>PMC운영비</v>
      </c>
      <c r="F68" s="22"/>
      <c r="G68" s="22">
        <f>총투자비!F133</f>
        <v>2700</v>
      </c>
      <c r="H68" s="184">
        <v>1</v>
      </c>
      <c r="I68" s="35">
        <v>1</v>
      </c>
      <c r="J68" s="35"/>
      <c r="K68" s="218">
        <f t="shared" si="8"/>
        <v>218.96317506341157</v>
      </c>
      <c r="L68" s="194">
        <f t="shared" si="7"/>
        <v>0</v>
      </c>
      <c r="M68" s="218">
        <f t="shared" si="6"/>
        <v>218.96317506341157</v>
      </c>
      <c r="N68" s="184">
        <v>0</v>
      </c>
      <c r="O68" s="303"/>
    </row>
    <row r="69" spans="3:15" ht="13.5" customHeight="1">
      <c r="D69" s="31"/>
      <c r="E69" s="31" t="str">
        <f>총투자비!D134</f>
        <v>AMC수수료</v>
      </c>
      <c r="F69" s="32"/>
      <c r="G69" s="32">
        <f>총투자비!F134</f>
        <v>2700</v>
      </c>
      <c r="H69" s="211">
        <v>1</v>
      </c>
      <c r="I69" s="104">
        <v>1</v>
      </c>
      <c r="J69" s="104"/>
      <c r="K69" s="219">
        <f t="shared" si="8"/>
        <v>218.96317506341157</v>
      </c>
      <c r="L69" s="195">
        <f t="shared" si="7"/>
        <v>0</v>
      </c>
      <c r="M69" s="219">
        <f t="shared" si="6"/>
        <v>218.96317506341157</v>
      </c>
      <c r="N69" s="211">
        <v>0</v>
      </c>
      <c r="O69" s="304"/>
    </row>
    <row r="70" spans="3:15" ht="13.5" customHeight="1">
      <c r="D70" s="31"/>
      <c r="E70" s="31" t="str">
        <f>총투자비!D135</f>
        <v>자금관리사무수탁</v>
      </c>
      <c r="F70" s="32"/>
      <c r="G70" s="32">
        <f>총투자비!F135</f>
        <v>270</v>
      </c>
      <c r="H70" s="211">
        <v>1</v>
      </c>
      <c r="I70" s="104">
        <v>1</v>
      </c>
      <c r="J70" s="104"/>
      <c r="K70" s="219">
        <f t="shared" si="8"/>
        <v>21.896317506341159</v>
      </c>
      <c r="L70" s="195">
        <f t="shared" si="7"/>
        <v>0</v>
      </c>
      <c r="M70" s="219">
        <f t="shared" si="6"/>
        <v>21.896317506341159</v>
      </c>
      <c r="N70" s="211">
        <v>0</v>
      </c>
      <c r="O70" s="304"/>
    </row>
    <row r="71" spans="3:15" ht="13.5" customHeight="1">
      <c r="D71" s="31"/>
      <c r="E71" s="31" t="str">
        <f>총투자비!D136</f>
        <v>회계감사</v>
      </c>
      <c r="F71" s="32"/>
      <c r="G71" s="32">
        <f>총투자비!F136</f>
        <v>54</v>
      </c>
      <c r="H71" s="211">
        <v>1</v>
      </c>
      <c r="I71" s="104">
        <v>1</v>
      </c>
      <c r="J71" s="104"/>
      <c r="K71" s="219">
        <f t="shared" si="8"/>
        <v>4.3792635012682322</v>
      </c>
      <c r="L71" s="195">
        <f t="shared" si="7"/>
        <v>0</v>
      </c>
      <c r="M71" s="219">
        <f t="shared" si="6"/>
        <v>4.3792635012682322</v>
      </c>
      <c r="N71" s="211">
        <v>0</v>
      </c>
      <c r="O71" s="304"/>
    </row>
    <row r="72" spans="3:15" ht="13.5" customHeight="1">
      <c r="D72" s="31"/>
      <c r="E72" s="31" t="str">
        <f>총투자비!D137</f>
        <v>세무용역</v>
      </c>
      <c r="F72" s="32"/>
      <c r="G72" s="32">
        <f>총투자비!F137</f>
        <v>54</v>
      </c>
      <c r="H72" s="211">
        <v>1</v>
      </c>
      <c r="I72" s="104">
        <v>1</v>
      </c>
      <c r="J72" s="104"/>
      <c r="K72" s="219">
        <f t="shared" si="8"/>
        <v>4.3792635012682322</v>
      </c>
      <c r="L72" s="195">
        <f t="shared" si="7"/>
        <v>0</v>
      </c>
      <c r="M72" s="219">
        <f t="shared" si="6"/>
        <v>4.3792635012682322</v>
      </c>
      <c r="N72" s="211">
        <v>0</v>
      </c>
      <c r="O72" s="304"/>
    </row>
    <row r="73" spans="3:15" ht="13.5" customHeight="1">
      <c r="C73" s="34"/>
      <c r="D73" s="54"/>
      <c r="E73" s="33" t="str">
        <f>총투자비!D138</f>
        <v>관리/운영예비비</v>
      </c>
      <c r="F73" s="24"/>
      <c r="G73" s="24">
        <f>총투자비!F138</f>
        <v>270</v>
      </c>
      <c r="H73" s="185">
        <v>1</v>
      </c>
      <c r="I73" s="165">
        <v>1</v>
      </c>
      <c r="J73" s="165"/>
      <c r="K73" s="220">
        <f t="shared" si="8"/>
        <v>21.896317506341159</v>
      </c>
      <c r="L73" s="196">
        <f t="shared" si="7"/>
        <v>0</v>
      </c>
      <c r="M73" s="220">
        <f t="shared" si="6"/>
        <v>21.896317506341159</v>
      </c>
      <c r="N73" s="185">
        <v>0</v>
      </c>
      <c r="O73" s="305"/>
    </row>
    <row r="74" spans="3:15" ht="13.5" customHeight="1">
      <c r="C74" s="167" t="str">
        <f>총투자비!B139</f>
        <v>총 사업비</v>
      </c>
      <c r="D74" s="167"/>
      <c r="E74" s="167"/>
      <c r="F74" s="197" t="b">
        <f ca="1">ABS(G74-총투자비!F139)&lt;0.001</f>
        <v>1</v>
      </c>
      <c r="G74" s="167">
        <f ca="1">G58+G46+G32+G29+G20</f>
        <v>537093.12310040882</v>
      </c>
      <c r="H74" s="213"/>
      <c r="I74" s="167"/>
      <c r="J74" s="167"/>
      <c r="K74" s="222">
        <f ca="1">SUM(K20:K73)</f>
        <v>2691.5936123204056</v>
      </c>
      <c r="L74" s="167">
        <f ca="1">SUM(L20:L73)</f>
        <v>9.9819482260726069</v>
      </c>
      <c r="M74" s="222">
        <f ca="1">SUM(M20:M73)</f>
        <v>2701.5755605464783</v>
      </c>
      <c r="N74" s="213"/>
      <c r="O74" s="222"/>
    </row>
    <row r="75" spans="3:15" ht="13.5" customHeight="1">
      <c r="C75" s="80" t="str">
        <f>총투자비!B140</f>
        <v>금융비용</v>
      </c>
      <c r="D75" s="80"/>
      <c r="E75" s="80"/>
      <c r="F75" s="80"/>
      <c r="G75" s="80">
        <f ca="1">SUM(G76:G90)</f>
        <v>46972.827871114307</v>
      </c>
      <c r="H75" s="80"/>
      <c r="I75" s="80"/>
      <c r="J75" s="80"/>
      <c r="K75" s="80"/>
      <c r="L75" s="80"/>
      <c r="M75" s="80"/>
      <c r="N75" s="203"/>
      <c r="O75" s="214"/>
    </row>
    <row r="76" spans="3:15" ht="13.5" customHeight="1">
      <c r="D76" s="30" t="str">
        <f>총투자비!C141</f>
        <v>담보신탁</v>
      </c>
      <c r="E76" s="22"/>
      <c r="F76" s="22"/>
      <c r="G76" s="22">
        <f>총투자비!F141</f>
        <v>150.87187500000002</v>
      </c>
      <c r="H76" s="22"/>
      <c r="I76" s="22"/>
      <c r="J76" s="22"/>
      <c r="K76" s="22"/>
      <c r="L76" s="22"/>
      <c r="M76" s="22"/>
      <c r="N76" s="184"/>
      <c r="O76" s="303">
        <v>1</v>
      </c>
    </row>
    <row r="77" spans="3:15" ht="13.5" customHeight="1">
      <c r="D77" s="30" t="str">
        <f>총투자비!C142</f>
        <v>브릿지론</v>
      </c>
      <c r="E77" s="22"/>
      <c r="F77" s="22"/>
      <c r="G77" s="22"/>
      <c r="H77" s="22"/>
      <c r="I77" s="22"/>
      <c r="J77" s="22"/>
      <c r="K77" s="22"/>
      <c r="L77" s="22"/>
      <c r="M77" s="22"/>
      <c r="N77" s="116"/>
      <c r="O77" s="30"/>
    </row>
    <row r="78" spans="3:15" ht="13.5" customHeight="1">
      <c r="D78" s="31"/>
      <c r="E78" s="32" t="str">
        <f>총투자비!D143</f>
        <v>선순위</v>
      </c>
      <c r="F78" s="32"/>
      <c r="G78" s="32"/>
      <c r="H78" s="32"/>
      <c r="I78" s="32"/>
      <c r="J78" s="32"/>
      <c r="K78" s="32"/>
      <c r="L78" s="32"/>
      <c r="M78" s="32"/>
      <c r="N78" s="117"/>
      <c r="O78" s="31"/>
    </row>
    <row r="79" spans="3:15" ht="13.5" customHeight="1">
      <c r="D79" s="31"/>
      <c r="E79" s="30" t="str">
        <f>총투자비!D144</f>
        <v>자문수수료</v>
      </c>
      <c r="F79" s="22">
        <f>총투자비!E144</f>
        <v>0</v>
      </c>
      <c r="G79" s="22">
        <f>총투자비!F144</f>
        <v>2112.2062500000002</v>
      </c>
      <c r="H79" s="22"/>
      <c r="I79" s="22"/>
      <c r="J79" s="22"/>
      <c r="K79" s="22"/>
      <c r="L79" s="22"/>
      <c r="M79" s="22"/>
      <c r="N79" s="184"/>
      <c r="O79" s="303">
        <v>1</v>
      </c>
    </row>
    <row r="80" spans="3:15" ht="13.5" customHeight="1">
      <c r="D80" s="31"/>
      <c r="E80" s="33" t="str">
        <f>총투자비!D145</f>
        <v>이자비용</v>
      </c>
      <c r="F80" s="24">
        <f>총투자비!E145</f>
        <v>0</v>
      </c>
      <c r="G80" s="24">
        <f>총투자비!F145</f>
        <v>5632.55</v>
      </c>
      <c r="H80" s="24"/>
      <c r="I80" s="24"/>
      <c r="J80" s="24"/>
      <c r="K80" s="24"/>
      <c r="L80" s="24"/>
      <c r="M80" s="24"/>
      <c r="N80" s="185"/>
      <c r="O80" s="305">
        <v>1</v>
      </c>
    </row>
    <row r="81" spans="3:15" ht="13.5" customHeight="1">
      <c r="D81" s="31"/>
      <c r="E81" s="32" t="str">
        <f>총투자비!D146</f>
        <v>후순위</v>
      </c>
      <c r="F81" s="32"/>
      <c r="G81" s="32"/>
      <c r="H81" s="32"/>
      <c r="I81" s="32"/>
      <c r="J81" s="32"/>
      <c r="K81" s="32"/>
      <c r="L81" s="32"/>
      <c r="M81" s="32"/>
      <c r="N81" s="117"/>
      <c r="O81" s="31"/>
    </row>
    <row r="82" spans="3:15" ht="13.5" customHeight="1">
      <c r="D82" s="31"/>
      <c r="E82" s="30" t="str">
        <f>총투자비!D147</f>
        <v>자문수수료</v>
      </c>
      <c r="F82" s="22">
        <f>총투자비!E147</f>
        <v>0</v>
      </c>
      <c r="G82" s="22">
        <f>총투자비!F147</f>
        <v>1550</v>
      </c>
      <c r="H82" s="22"/>
      <c r="I82" s="22"/>
      <c r="J82" s="22"/>
      <c r="K82" s="22"/>
      <c r="L82" s="22"/>
      <c r="M82" s="22"/>
      <c r="N82" s="184"/>
      <c r="O82" s="303">
        <v>1</v>
      </c>
    </row>
    <row r="83" spans="3:15" ht="13.5" customHeight="1">
      <c r="D83" s="31"/>
      <c r="E83" s="33" t="str">
        <f>총투자비!D148</f>
        <v>이자비용9)</v>
      </c>
      <c r="F83" s="24">
        <f>총투자비!E148</f>
        <v>0</v>
      </c>
      <c r="G83" s="24">
        <f>총투자비!F148</f>
        <v>10333.333333333334</v>
      </c>
      <c r="H83" s="24"/>
      <c r="I83" s="24"/>
      <c r="J83" s="24"/>
      <c r="K83" s="24"/>
      <c r="L83" s="24"/>
      <c r="M83" s="24"/>
      <c r="N83" s="185">
        <v>1</v>
      </c>
      <c r="O83" s="305"/>
    </row>
    <row r="84" spans="3:15" ht="13.5" customHeight="1">
      <c r="D84" s="30" t="str">
        <f>총투자비!C149</f>
        <v>본 PF</v>
      </c>
      <c r="E84" s="32"/>
      <c r="F84" s="32"/>
      <c r="G84" s="32"/>
      <c r="H84" s="32"/>
      <c r="I84" s="32"/>
      <c r="J84" s="32"/>
      <c r="K84" s="32"/>
      <c r="L84" s="32"/>
      <c r="M84" s="32"/>
      <c r="N84" s="117"/>
      <c r="O84" s="31"/>
    </row>
    <row r="85" spans="3:15" ht="13.5" customHeight="1">
      <c r="D85" s="31"/>
      <c r="E85" s="32" t="str">
        <f>총투자비!D150</f>
        <v>Tranche A</v>
      </c>
      <c r="F85" s="32"/>
      <c r="G85" s="32"/>
      <c r="H85" s="32"/>
      <c r="I85" s="32"/>
      <c r="J85" s="32"/>
      <c r="K85" s="32"/>
      <c r="L85" s="32"/>
      <c r="M85" s="32"/>
      <c r="N85" s="117"/>
      <c r="O85" s="31"/>
    </row>
    <row r="86" spans="3:15" ht="13.5" customHeight="1">
      <c r="D86" s="31"/>
      <c r="E86" s="30" t="str">
        <f>총투자비!D151</f>
        <v>자문수수료</v>
      </c>
      <c r="F86" s="22">
        <f>총투자비!E151</f>
        <v>0</v>
      </c>
      <c r="G86" s="22">
        <f>총투자비!F151</f>
        <v>1831.1031250000001</v>
      </c>
      <c r="H86" s="22"/>
      <c r="I86" s="22"/>
      <c r="J86" s="22"/>
      <c r="K86" s="22"/>
      <c r="L86" s="22"/>
      <c r="M86" s="22"/>
      <c r="N86" s="184">
        <v>1</v>
      </c>
      <c r="O86" s="303"/>
    </row>
    <row r="87" spans="3:15" ht="13.5" customHeight="1">
      <c r="D87" s="31"/>
      <c r="E87" s="33" t="str">
        <f>총투자비!D152</f>
        <v>이자비용10)</v>
      </c>
      <c r="F87" s="24">
        <f>총투자비!E152</f>
        <v>0</v>
      </c>
      <c r="G87" s="24">
        <f>총투자비!F152</f>
        <v>23193.97291666668</v>
      </c>
      <c r="H87" s="24"/>
      <c r="I87" s="24"/>
      <c r="J87" s="24"/>
      <c r="K87" s="24"/>
      <c r="L87" s="24"/>
      <c r="M87" s="24"/>
      <c r="N87" s="185">
        <v>1</v>
      </c>
      <c r="O87" s="305"/>
    </row>
    <row r="88" spans="3:15" ht="13.5" customHeight="1">
      <c r="D88" s="31"/>
      <c r="E88" s="32" t="str">
        <f>총투자비!D153</f>
        <v>Tranche B</v>
      </c>
      <c r="F88" s="32"/>
      <c r="G88" s="32"/>
      <c r="H88" s="32"/>
      <c r="I88" s="32"/>
      <c r="J88" s="32"/>
      <c r="K88" s="32"/>
      <c r="L88" s="32"/>
      <c r="M88" s="32"/>
      <c r="N88" s="117"/>
      <c r="O88" s="31"/>
    </row>
    <row r="89" spans="3:15" ht="13.5" customHeight="1">
      <c r="D89" s="31"/>
      <c r="E89" s="30" t="str">
        <f>총투자비!D154</f>
        <v>자문수수료</v>
      </c>
      <c r="F89" s="22">
        <f>총투자비!E154</f>
        <v>0</v>
      </c>
      <c r="G89" s="22">
        <f>총투자비!F154</f>
        <v>160.6344717495503</v>
      </c>
      <c r="H89" s="22"/>
      <c r="I89" s="22"/>
      <c r="J89" s="22"/>
      <c r="K89" s="22"/>
      <c r="L89" s="22"/>
      <c r="M89" s="22"/>
      <c r="N89" s="184">
        <v>1</v>
      </c>
      <c r="O89" s="303"/>
    </row>
    <row r="90" spans="3:15" ht="13.5" customHeight="1">
      <c r="D90" s="31"/>
      <c r="E90" s="31" t="str">
        <f>총투자비!D155</f>
        <v>이자비용10)</v>
      </c>
      <c r="F90" s="32">
        <f>총투자비!E155</f>
        <v>0</v>
      </c>
      <c r="G90" s="32">
        <f ca="1">총투자비!F155</f>
        <v>2008.1558550953864</v>
      </c>
      <c r="H90" s="32"/>
      <c r="I90" s="32"/>
      <c r="J90" s="32"/>
      <c r="K90" s="32"/>
      <c r="L90" s="32"/>
      <c r="M90" s="32"/>
      <c r="N90" s="185">
        <v>1</v>
      </c>
      <c r="O90" s="305"/>
    </row>
    <row r="91" spans="3:15" ht="13.5" customHeight="1">
      <c r="C91" s="289" t="str">
        <f>총투자비!B156</f>
        <v>총 투자비</v>
      </c>
      <c r="D91" s="289"/>
      <c r="E91" s="289"/>
      <c r="F91" s="309" t="b">
        <f ca="1">ABS(G91-총투자비!F156)&lt;0.001</f>
        <v>1</v>
      </c>
      <c r="G91" s="289">
        <f ca="1">G74+G75</f>
        <v>584065.95097152307</v>
      </c>
      <c r="H91" s="289"/>
      <c r="I91" s="289"/>
      <c r="J91" s="289"/>
      <c r="K91" s="289"/>
      <c r="L91" s="289"/>
      <c r="M91" s="289"/>
      <c r="N91" s="306">
        <f ca="1">SUMPRODUCT($G$20:$G$90,N20:N90)</f>
        <v>342007.67570656387</v>
      </c>
      <c r="O91" s="307">
        <f ca="1">SUMPRODUCT($G$20:$G$90,O20:O90)</f>
        <v>160417.32260726072</v>
      </c>
    </row>
  </sheetData>
  <mergeCells count="3">
    <mergeCell ref="K18:M18"/>
    <mergeCell ref="N18:N19"/>
    <mergeCell ref="O18:O19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M35"/>
  <sheetViews>
    <sheetView showGridLines="0" workbookViewId="0">
      <selection activeCell="C38" sqref="C38"/>
    </sheetView>
  </sheetViews>
  <sheetFormatPr defaultColWidth="9" defaultRowHeight="13.5" customHeight="1" outlineLevelRow="1"/>
  <cols>
    <col min="1" max="1" width="3.3984375" style="1" customWidth="1"/>
    <col min="2" max="7" width="9" style="1"/>
    <col min="8" max="8" width="3.59765625" style="1" customWidth="1"/>
    <col min="9" max="10" width="9" style="1"/>
    <col min="11" max="11" width="10.09765625" style="1" bestFit="1" customWidth="1"/>
    <col min="12" max="12" width="9.5" style="1" bestFit="1" customWidth="1"/>
    <col min="13" max="13" width="9.5" style="1" customWidth="1"/>
    <col min="14" max="16384" width="9" style="1"/>
  </cols>
  <sheetData>
    <row r="1" spans="1:65" ht="12.9" customHeight="1"/>
    <row r="2" spans="1:65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65" ht="12.9" customHeight="1">
      <c r="AB3" s="6" t="s">
        <v>3</v>
      </c>
      <c r="AC3" s="7" t="s">
        <v>4</v>
      </c>
      <c r="AD3" s="8" t="s">
        <v>5</v>
      </c>
    </row>
    <row r="4" spans="1:65" ht="12.9" customHeight="1">
      <c r="AB4" s="9" t="s">
        <v>6</v>
      </c>
      <c r="AC4" s="10" t="s">
        <v>7</v>
      </c>
      <c r="AD4" s="11" t="s">
        <v>8</v>
      </c>
    </row>
    <row r="5" spans="1:65" s="12" customFormat="1" ht="12.9" customHeight="1" thickBot="1"/>
    <row r="6" spans="1:65" ht="12.9" customHeight="1" thickTop="1">
      <c r="A6" s="1" t="s">
        <v>9</v>
      </c>
      <c r="AD6" s="13">
        <v>44381</v>
      </c>
    </row>
    <row r="7" spans="1:65" ht="12.9" customHeight="1">
      <c r="A7" s="14" t="s">
        <v>16</v>
      </c>
    </row>
    <row r="8" spans="1:65" ht="13.5" customHeight="1">
      <c r="B8" s="45" t="s">
        <v>55</v>
      </c>
      <c r="C8" s="45"/>
      <c r="D8" s="45"/>
      <c r="E8" s="45"/>
      <c r="F8" s="45"/>
      <c r="G8" s="45" t="s">
        <v>62</v>
      </c>
      <c r="H8" s="45"/>
      <c r="I8" s="47">
        <f>Est</f>
        <v>44377</v>
      </c>
      <c r="J8" s="47">
        <f>EOMONTH(I8,1)</f>
        <v>44408</v>
      </c>
      <c r="K8" s="47">
        <f t="shared" ref="K8:BK8" si="0">EOMONTH(J8,1)</f>
        <v>44439</v>
      </c>
      <c r="L8" s="47">
        <f t="shared" si="0"/>
        <v>44469</v>
      </c>
      <c r="M8" s="47">
        <f t="shared" si="0"/>
        <v>44500</v>
      </c>
      <c r="N8" s="47">
        <f t="shared" si="0"/>
        <v>44530</v>
      </c>
      <c r="O8" s="47">
        <f t="shared" si="0"/>
        <v>44561</v>
      </c>
      <c r="P8" s="47">
        <f t="shared" si="0"/>
        <v>44592</v>
      </c>
      <c r="Q8" s="47">
        <f t="shared" si="0"/>
        <v>44620</v>
      </c>
      <c r="R8" s="47">
        <f t="shared" si="0"/>
        <v>44651</v>
      </c>
      <c r="S8" s="47">
        <f t="shared" si="0"/>
        <v>44681</v>
      </c>
      <c r="T8" s="47">
        <f t="shared" si="0"/>
        <v>44712</v>
      </c>
      <c r="U8" s="47">
        <f t="shared" si="0"/>
        <v>44742</v>
      </c>
      <c r="V8" s="47">
        <f t="shared" si="0"/>
        <v>44773</v>
      </c>
      <c r="W8" s="47">
        <f t="shared" si="0"/>
        <v>44804</v>
      </c>
      <c r="X8" s="47">
        <f t="shared" si="0"/>
        <v>44834</v>
      </c>
      <c r="Y8" s="47">
        <f t="shared" si="0"/>
        <v>44865</v>
      </c>
      <c r="Z8" s="47">
        <f t="shared" si="0"/>
        <v>44895</v>
      </c>
      <c r="AA8" s="47">
        <f t="shared" si="0"/>
        <v>44926</v>
      </c>
      <c r="AB8" s="47">
        <f t="shared" si="0"/>
        <v>44957</v>
      </c>
      <c r="AC8" s="47">
        <f t="shared" si="0"/>
        <v>44985</v>
      </c>
      <c r="AD8" s="47">
        <f t="shared" si="0"/>
        <v>45016</v>
      </c>
      <c r="AE8" s="47">
        <f t="shared" si="0"/>
        <v>45046</v>
      </c>
      <c r="AF8" s="47">
        <f t="shared" si="0"/>
        <v>45077</v>
      </c>
      <c r="AG8" s="47">
        <f t="shared" si="0"/>
        <v>45107</v>
      </c>
      <c r="AH8" s="47">
        <f t="shared" si="0"/>
        <v>45138</v>
      </c>
      <c r="AI8" s="47">
        <f t="shared" si="0"/>
        <v>45169</v>
      </c>
      <c r="AJ8" s="47">
        <f t="shared" si="0"/>
        <v>45199</v>
      </c>
      <c r="AK8" s="47">
        <f t="shared" si="0"/>
        <v>45230</v>
      </c>
      <c r="AL8" s="47">
        <f t="shared" si="0"/>
        <v>45260</v>
      </c>
      <c r="AM8" s="47">
        <f t="shared" si="0"/>
        <v>45291</v>
      </c>
      <c r="AN8" s="47">
        <f t="shared" si="0"/>
        <v>45322</v>
      </c>
      <c r="AO8" s="47">
        <f t="shared" si="0"/>
        <v>45351</v>
      </c>
      <c r="AP8" s="47">
        <f t="shared" si="0"/>
        <v>45382</v>
      </c>
      <c r="AQ8" s="47">
        <f t="shared" si="0"/>
        <v>45412</v>
      </c>
      <c r="AR8" s="47">
        <f t="shared" si="0"/>
        <v>45443</v>
      </c>
      <c r="AS8" s="47">
        <f t="shared" si="0"/>
        <v>45473</v>
      </c>
      <c r="AT8" s="47">
        <f t="shared" si="0"/>
        <v>45504</v>
      </c>
      <c r="AU8" s="47">
        <f t="shared" si="0"/>
        <v>45535</v>
      </c>
      <c r="AV8" s="47">
        <f t="shared" si="0"/>
        <v>45565</v>
      </c>
      <c r="AW8" s="47">
        <f t="shared" si="0"/>
        <v>45596</v>
      </c>
      <c r="AX8" s="47">
        <f t="shared" si="0"/>
        <v>45626</v>
      </c>
      <c r="AY8" s="47">
        <f t="shared" si="0"/>
        <v>45657</v>
      </c>
      <c r="AZ8" s="47">
        <f t="shared" si="0"/>
        <v>45688</v>
      </c>
      <c r="BA8" s="47">
        <f t="shared" si="0"/>
        <v>45716</v>
      </c>
      <c r="BB8" s="47">
        <f t="shared" si="0"/>
        <v>45747</v>
      </c>
      <c r="BC8" s="47">
        <f t="shared" si="0"/>
        <v>45777</v>
      </c>
      <c r="BD8" s="47">
        <f t="shared" si="0"/>
        <v>45808</v>
      </c>
      <c r="BE8" s="47">
        <f t="shared" si="0"/>
        <v>45838</v>
      </c>
      <c r="BF8" s="47">
        <f t="shared" si="0"/>
        <v>45869</v>
      </c>
      <c r="BG8" s="47">
        <f t="shared" si="0"/>
        <v>45900</v>
      </c>
      <c r="BH8" s="47">
        <f t="shared" si="0"/>
        <v>45930</v>
      </c>
      <c r="BI8" s="47">
        <f t="shared" si="0"/>
        <v>45961</v>
      </c>
      <c r="BJ8" s="47">
        <f t="shared" si="0"/>
        <v>45991</v>
      </c>
      <c r="BK8" s="47">
        <f t="shared" si="0"/>
        <v>46022</v>
      </c>
      <c r="BL8" s="17"/>
      <c r="BM8" s="17"/>
    </row>
    <row r="9" spans="1:65" ht="13.5" customHeight="1">
      <c r="B9" s="1" t="s">
        <v>53</v>
      </c>
      <c r="G9" s="11">
        <f ca="1">'A&amp;R'!W17</f>
        <v>701834.81918260886</v>
      </c>
    </row>
    <row r="10" spans="1:65" ht="13.5" customHeight="1">
      <c r="C10" s="30" t="s">
        <v>312</v>
      </c>
      <c r="D10" s="22"/>
      <c r="E10" s="22"/>
      <c r="F10" s="22"/>
      <c r="G10" s="254">
        <f>SUM(H10:XFD10)</f>
        <v>1</v>
      </c>
      <c r="H10" s="22"/>
      <c r="I10" s="254">
        <f>(I$8&gt;='A&amp;R'!$AA$12)*(I$8&lt;='A&amp;R'!$AA$14)*(1/'A&amp;R'!$AA$13)</f>
        <v>0</v>
      </c>
      <c r="J10" s="254">
        <f>(J$8&gt;='A&amp;R'!$AA$12)*(J$8&lt;='A&amp;R'!$AA$14)*(1/'A&amp;R'!$AA$13)</f>
        <v>0</v>
      </c>
      <c r="K10" s="254">
        <f>(K$8&gt;='A&amp;R'!$AA$12)*(K$8&lt;='A&amp;R'!$AA$14)*(1/'A&amp;R'!$AA$13)</f>
        <v>0</v>
      </c>
      <c r="L10" s="254">
        <f>(L$8&gt;='A&amp;R'!$AA$12)*(L$8&lt;='A&amp;R'!$AA$14)*(1/'A&amp;R'!$AA$13)</f>
        <v>0</v>
      </c>
      <c r="M10" s="254">
        <f>(M$8&gt;='A&amp;R'!$AA$12)*(M$8&lt;='A&amp;R'!$AA$14)*(1/'A&amp;R'!$AA$13)</f>
        <v>0</v>
      </c>
      <c r="N10" s="254">
        <f>(N$8&gt;='A&amp;R'!$AA$12)*(N$8&lt;='A&amp;R'!$AA$14)*(1/'A&amp;R'!$AA$13)</f>
        <v>0</v>
      </c>
      <c r="O10" s="254">
        <f>(O$8&gt;='A&amp;R'!$AA$12)*(O$8&lt;='A&amp;R'!$AA$14)*(1/'A&amp;R'!$AA$13)</f>
        <v>0</v>
      </c>
      <c r="P10" s="254">
        <f>(P$8&gt;='A&amp;R'!$AA$12)*(P$8&lt;='A&amp;R'!$AA$14)*(1/'A&amp;R'!$AA$13)</f>
        <v>0</v>
      </c>
      <c r="Q10" s="254">
        <f>(Q$8&gt;='A&amp;R'!$AA$12)*(Q$8&lt;='A&amp;R'!$AA$14)*(1/'A&amp;R'!$AA$13)</f>
        <v>0</v>
      </c>
      <c r="R10" s="254">
        <f>(R$8&gt;='A&amp;R'!$AA$12)*(R$8&lt;='A&amp;R'!$AA$14)*(1/'A&amp;R'!$AA$13)</f>
        <v>0</v>
      </c>
      <c r="S10" s="254">
        <f>(S$8&gt;='A&amp;R'!$AA$12)*(S$8&lt;='A&amp;R'!$AA$14)*(1/'A&amp;R'!$AA$13)</f>
        <v>0</v>
      </c>
      <c r="T10" s="254">
        <f>(T$8&gt;='A&amp;R'!$AA$12)*(T$8&lt;='A&amp;R'!$AA$14)*(1/'A&amp;R'!$AA$13)</f>
        <v>0</v>
      </c>
      <c r="U10" s="254">
        <f>(U$8&gt;='A&amp;R'!$AA$12)*(U$8&lt;='A&amp;R'!$AA$14)*(1/'A&amp;R'!$AA$13)</f>
        <v>0</v>
      </c>
      <c r="V10" s="254">
        <f>(V$8&gt;='A&amp;R'!$AA$12)*(V$8&lt;='A&amp;R'!$AA$14)*(1/'A&amp;R'!$AA$13)</f>
        <v>0</v>
      </c>
      <c r="W10" s="254">
        <f>(W$8&gt;='A&amp;R'!$AA$12)*(W$8&lt;='A&amp;R'!$AA$14)*(1/'A&amp;R'!$AA$13)</f>
        <v>0</v>
      </c>
      <c r="X10" s="254">
        <f>(X$8&gt;='A&amp;R'!$AA$12)*(X$8&lt;='A&amp;R'!$AA$14)*(1/'A&amp;R'!$AA$13)</f>
        <v>0</v>
      </c>
      <c r="Y10" s="254">
        <f>(Y$8&gt;='A&amp;R'!$AA$12)*(Y$8&lt;='A&amp;R'!$AA$14)*(1/'A&amp;R'!$AA$13)</f>
        <v>8.3333333333333329E-2</v>
      </c>
      <c r="Z10" s="254">
        <f>(Z$8&gt;='A&amp;R'!$AA$12)*(Z$8&lt;='A&amp;R'!$AA$14)*(1/'A&amp;R'!$AA$13)</f>
        <v>8.3333333333333329E-2</v>
      </c>
      <c r="AA10" s="254">
        <f>(AA$8&gt;='A&amp;R'!$AA$12)*(AA$8&lt;='A&amp;R'!$AA$14)*(1/'A&amp;R'!$AA$13)</f>
        <v>8.3333333333333329E-2</v>
      </c>
      <c r="AB10" s="254">
        <f>(AB$8&gt;='A&amp;R'!$AA$12)*(AB$8&lt;='A&amp;R'!$AA$14)*(1/'A&amp;R'!$AA$13)</f>
        <v>8.3333333333333329E-2</v>
      </c>
      <c r="AC10" s="254">
        <f>(AC$8&gt;='A&amp;R'!$AA$12)*(AC$8&lt;='A&amp;R'!$AA$14)*(1/'A&amp;R'!$AA$13)</f>
        <v>8.3333333333333329E-2</v>
      </c>
      <c r="AD10" s="254">
        <f>(AD$8&gt;='A&amp;R'!$AA$12)*(AD$8&lt;='A&amp;R'!$AA$14)*(1/'A&amp;R'!$AA$13)</f>
        <v>8.3333333333333329E-2</v>
      </c>
      <c r="AE10" s="254">
        <f>(AE$8&gt;='A&amp;R'!$AA$12)*(AE$8&lt;='A&amp;R'!$AA$14)*(1/'A&amp;R'!$AA$13)</f>
        <v>8.3333333333333329E-2</v>
      </c>
      <c r="AF10" s="254">
        <f>(AF$8&gt;='A&amp;R'!$AA$12)*(AF$8&lt;='A&amp;R'!$AA$14)*(1/'A&amp;R'!$AA$13)</f>
        <v>8.3333333333333329E-2</v>
      </c>
      <c r="AG10" s="254">
        <f>(AG$8&gt;='A&amp;R'!$AA$12)*(AG$8&lt;='A&amp;R'!$AA$14)*(1/'A&amp;R'!$AA$13)</f>
        <v>8.3333333333333329E-2</v>
      </c>
      <c r="AH10" s="254">
        <f>(AH$8&gt;='A&amp;R'!$AA$12)*(AH$8&lt;='A&amp;R'!$AA$14)*(1/'A&amp;R'!$AA$13)</f>
        <v>8.3333333333333329E-2</v>
      </c>
      <c r="AI10" s="254">
        <f>(AI$8&gt;='A&amp;R'!$AA$12)*(AI$8&lt;='A&amp;R'!$AA$14)*(1/'A&amp;R'!$AA$13)</f>
        <v>8.3333333333333329E-2</v>
      </c>
      <c r="AJ10" s="254">
        <f>(AJ$8&gt;='A&amp;R'!$AA$12)*(AJ$8&lt;='A&amp;R'!$AA$14)*(1/'A&amp;R'!$AA$13)</f>
        <v>8.3333333333333329E-2</v>
      </c>
      <c r="AK10" s="254">
        <f>(AK$8&gt;='A&amp;R'!$AA$12)*(AK$8&lt;='A&amp;R'!$AA$14)*(1/'A&amp;R'!$AA$13)</f>
        <v>0</v>
      </c>
      <c r="AL10" s="254">
        <f>(AL$8&gt;='A&amp;R'!$AA$12)*(AL$8&lt;='A&amp;R'!$AA$14)*(1/'A&amp;R'!$AA$13)</f>
        <v>0</v>
      </c>
      <c r="AM10" s="254">
        <f>(AM$8&gt;='A&amp;R'!$AA$12)*(AM$8&lt;='A&amp;R'!$AA$14)*(1/'A&amp;R'!$AA$13)</f>
        <v>0</v>
      </c>
      <c r="AN10" s="254">
        <f>(AN$8&gt;='A&amp;R'!$AA$12)*(AN$8&lt;='A&amp;R'!$AA$14)*(1/'A&amp;R'!$AA$13)</f>
        <v>0</v>
      </c>
      <c r="AO10" s="254">
        <f>(AO$8&gt;='A&amp;R'!$AA$12)*(AO$8&lt;='A&amp;R'!$AA$14)*(1/'A&amp;R'!$AA$13)</f>
        <v>0</v>
      </c>
      <c r="AP10" s="254">
        <f>(AP$8&gt;='A&amp;R'!$AA$12)*(AP$8&lt;='A&amp;R'!$AA$14)*(1/'A&amp;R'!$AA$13)</f>
        <v>0</v>
      </c>
      <c r="AQ10" s="254">
        <f>(AQ$8&gt;='A&amp;R'!$AA$12)*(AQ$8&lt;='A&amp;R'!$AA$14)*(1/'A&amp;R'!$AA$13)</f>
        <v>0</v>
      </c>
      <c r="AR10" s="254">
        <f>(AR$8&gt;='A&amp;R'!$AA$12)*(AR$8&lt;='A&amp;R'!$AA$14)*(1/'A&amp;R'!$AA$13)</f>
        <v>0</v>
      </c>
      <c r="AS10" s="254">
        <f>(AS$8&gt;='A&amp;R'!$AA$12)*(AS$8&lt;='A&amp;R'!$AA$14)*(1/'A&amp;R'!$AA$13)</f>
        <v>0</v>
      </c>
      <c r="AT10" s="254">
        <f>(AT$8&gt;='A&amp;R'!$AA$12)*(AT$8&lt;='A&amp;R'!$AA$14)*(1/'A&amp;R'!$AA$13)</f>
        <v>0</v>
      </c>
      <c r="AU10" s="254">
        <f>(AU$8&gt;='A&amp;R'!$AA$12)*(AU$8&lt;='A&amp;R'!$AA$14)*(1/'A&amp;R'!$AA$13)</f>
        <v>0</v>
      </c>
      <c r="AV10" s="254">
        <f>(AV$8&gt;='A&amp;R'!$AA$12)*(AV$8&lt;='A&amp;R'!$AA$14)*(1/'A&amp;R'!$AA$13)</f>
        <v>0</v>
      </c>
      <c r="AW10" s="254">
        <f>(AW$8&gt;='A&amp;R'!$AA$12)*(AW$8&lt;='A&amp;R'!$AA$14)*(1/'A&amp;R'!$AA$13)</f>
        <v>0</v>
      </c>
      <c r="AX10" s="254">
        <f>(AX$8&gt;='A&amp;R'!$AA$12)*(AX$8&lt;='A&amp;R'!$AA$14)*(1/'A&amp;R'!$AA$13)</f>
        <v>0</v>
      </c>
      <c r="AY10" s="254">
        <f>(AY$8&gt;='A&amp;R'!$AA$12)*(AY$8&lt;='A&amp;R'!$AA$14)*(1/'A&amp;R'!$AA$13)</f>
        <v>0</v>
      </c>
      <c r="AZ10" s="254">
        <f>(AZ$8&gt;='A&amp;R'!$AA$12)*(AZ$8&lt;='A&amp;R'!$AA$14)*(1/'A&amp;R'!$AA$13)</f>
        <v>0</v>
      </c>
      <c r="BA10" s="254">
        <f>(BA$8&gt;='A&amp;R'!$AA$12)*(BA$8&lt;='A&amp;R'!$AA$14)*(1/'A&amp;R'!$AA$13)</f>
        <v>0</v>
      </c>
      <c r="BB10" s="254">
        <f>(BB$8&gt;='A&amp;R'!$AA$12)*(BB$8&lt;='A&amp;R'!$AA$14)*(1/'A&amp;R'!$AA$13)</f>
        <v>0</v>
      </c>
      <c r="BC10" s="254">
        <f>(BC$8&gt;='A&amp;R'!$AA$12)*(BC$8&lt;='A&amp;R'!$AA$14)*(1/'A&amp;R'!$AA$13)</f>
        <v>0</v>
      </c>
      <c r="BD10" s="254">
        <f>(BD$8&gt;='A&amp;R'!$AA$12)*(BD$8&lt;='A&amp;R'!$AA$14)*(1/'A&amp;R'!$AA$13)</f>
        <v>0</v>
      </c>
      <c r="BE10" s="254">
        <f>(BE$8&gt;='A&amp;R'!$AA$12)*(BE$8&lt;='A&amp;R'!$AA$14)*(1/'A&amp;R'!$AA$13)</f>
        <v>0</v>
      </c>
      <c r="BF10" s="254">
        <f>(BF$8&gt;='A&amp;R'!$AA$12)*(BF$8&lt;='A&amp;R'!$AA$14)*(1/'A&amp;R'!$AA$13)</f>
        <v>0</v>
      </c>
      <c r="BG10" s="254">
        <f>(BG$8&gt;='A&amp;R'!$AA$12)*(BG$8&lt;='A&amp;R'!$AA$14)*(1/'A&amp;R'!$AA$13)</f>
        <v>0</v>
      </c>
      <c r="BH10" s="254">
        <f>(BH$8&gt;='A&amp;R'!$AA$12)*(BH$8&lt;='A&amp;R'!$AA$14)*(1/'A&amp;R'!$AA$13)</f>
        <v>0</v>
      </c>
      <c r="BI10" s="254">
        <f>(BI$8&gt;='A&amp;R'!$AA$12)*(BI$8&lt;='A&amp;R'!$AA$14)*(1/'A&amp;R'!$AA$13)</f>
        <v>0</v>
      </c>
      <c r="BJ10" s="254">
        <f>(BJ$8&gt;='A&amp;R'!$AA$12)*(BJ$8&lt;='A&amp;R'!$AA$14)*(1/'A&amp;R'!$AA$13)</f>
        <v>0</v>
      </c>
      <c r="BK10" s="254">
        <f>(BK$8&gt;='A&amp;R'!$AA$12)*(BK$8&lt;='A&amp;R'!$AA$14)*(1/'A&amp;R'!$AA$13)</f>
        <v>0</v>
      </c>
    </row>
    <row r="11" spans="1:65" ht="13.5" customHeight="1">
      <c r="C11" s="33" t="s">
        <v>331</v>
      </c>
      <c r="D11" s="24"/>
      <c r="E11" s="24"/>
      <c r="F11" s="24"/>
      <c r="G11" s="24"/>
      <c r="H11" s="24"/>
      <c r="I11" s="140">
        <f>SUM($I10:I10)</f>
        <v>0</v>
      </c>
      <c r="J11" s="140">
        <f>SUM($I10:J10)</f>
        <v>0</v>
      </c>
      <c r="K11" s="140">
        <f>SUM($I10:K10)</f>
        <v>0</v>
      </c>
      <c r="L11" s="140">
        <f>SUM($I10:L10)</f>
        <v>0</v>
      </c>
      <c r="M11" s="140">
        <f>SUM($I10:M10)</f>
        <v>0</v>
      </c>
      <c r="N11" s="140">
        <f>SUM($I10:N10)</f>
        <v>0</v>
      </c>
      <c r="O11" s="140">
        <f>SUM($I10:O10)</f>
        <v>0</v>
      </c>
      <c r="P11" s="140">
        <f>SUM($I10:P10)</f>
        <v>0</v>
      </c>
      <c r="Q11" s="140">
        <f>SUM($I10:Q10)</f>
        <v>0</v>
      </c>
      <c r="R11" s="140">
        <f>SUM($I10:R10)</f>
        <v>0</v>
      </c>
      <c r="S11" s="140">
        <f>SUM($I10:S10)</f>
        <v>0</v>
      </c>
      <c r="T11" s="140">
        <f>SUM($I10:T10)</f>
        <v>0</v>
      </c>
      <c r="U11" s="140">
        <f>SUM($I10:U10)</f>
        <v>0</v>
      </c>
      <c r="V11" s="140">
        <f>SUM($I10:V10)</f>
        <v>0</v>
      </c>
      <c r="W11" s="140">
        <f>SUM($I10:W10)</f>
        <v>0</v>
      </c>
      <c r="X11" s="140">
        <f>SUM($I10:X10)</f>
        <v>0</v>
      </c>
      <c r="Y11" s="140">
        <f>SUM($I10:Y10)</f>
        <v>8.3333333333333329E-2</v>
      </c>
      <c r="Z11" s="140">
        <f>SUM($I10:Z10)</f>
        <v>0.16666666666666666</v>
      </c>
      <c r="AA11" s="140">
        <f>SUM($I10:AA10)</f>
        <v>0.25</v>
      </c>
      <c r="AB11" s="140">
        <f>SUM($I10:AB10)</f>
        <v>0.33333333333333331</v>
      </c>
      <c r="AC11" s="140">
        <f>SUM($I10:AC10)</f>
        <v>0.41666666666666663</v>
      </c>
      <c r="AD11" s="140">
        <f>SUM($I10:AD10)</f>
        <v>0.49999999999999994</v>
      </c>
      <c r="AE11" s="140">
        <f>SUM($I10:AE10)</f>
        <v>0.58333333333333326</v>
      </c>
      <c r="AF11" s="140">
        <f>SUM($I10:AF10)</f>
        <v>0.66666666666666663</v>
      </c>
      <c r="AG11" s="140">
        <f>SUM($I10:AG10)</f>
        <v>0.75</v>
      </c>
      <c r="AH11" s="140">
        <f>SUM($I10:AH10)</f>
        <v>0.83333333333333337</v>
      </c>
      <c r="AI11" s="140">
        <f>SUM($I10:AI10)</f>
        <v>0.91666666666666674</v>
      </c>
      <c r="AJ11" s="140">
        <f>SUM($I10:AJ10)</f>
        <v>1</v>
      </c>
      <c r="AK11" s="140">
        <f>SUM($I10:AK10)</f>
        <v>1</v>
      </c>
      <c r="AL11" s="140">
        <f>SUM($I10:AL10)</f>
        <v>1</v>
      </c>
      <c r="AM11" s="140">
        <f>SUM($I10:AM10)</f>
        <v>1</v>
      </c>
      <c r="AN11" s="140">
        <f>SUM($I10:AN10)</f>
        <v>1</v>
      </c>
      <c r="AO11" s="140">
        <f>SUM($I10:AO10)</f>
        <v>1</v>
      </c>
      <c r="AP11" s="140">
        <f>SUM($I10:AP10)</f>
        <v>1</v>
      </c>
      <c r="AQ11" s="140">
        <f>SUM($I10:AQ10)</f>
        <v>1</v>
      </c>
      <c r="AR11" s="140">
        <f>SUM($I10:AR10)</f>
        <v>1</v>
      </c>
      <c r="AS11" s="140">
        <f>SUM($I10:AS10)</f>
        <v>1</v>
      </c>
      <c r="AT11" s="140">
        <f>SUM($I10:AT10)</f>
        <v>1</v>
      </c>
      <c r="AU11" s="140">
        <f>SUM($I10:AU10)</f>
        <v>1</v>
      </c>
      <c r="AV11" s="140">
        <f>SUM($I10:AV10)</f>
        <v>1</v>
      </c>
      <c r="AW11" s="140">
        <f>SUM($I10:AW10)</f>
        <v>1</v>
      </c>
      <c r="AX11" s="140">
        <f>SUM($I10:AX10)</f>
        <v>1</v>
      </c>
      <c r="AY11" s="140">
        <f>SUM($I10:AY10)</f>
        <v>1</v>
      </c>
      <c r="AZ11" s="140">
        <f>SUM($I10:AZ10)</f>
        <v>1</v>
      </c>
      <c r="BA11" s="140">
        <f>SUM($I10:BA10)</f>
        <v>1</v>
      </c>
      <c r="BB11" s="140">
        <f>SUM($I10:BB10)</f>
        <v>1</v>
      </c>
      <c r="BC11" s="140">
        <f>SUM($I10:BC10)</f>
        <v>1</v>
      </c>
      <c r="BD11" s="140">
        <f>SUM($I10:BD10)</f>
        <v>1</v>
      </c>
      <c r="BE11" s="140">
        <f>SUM($I10:BE10)</f>
        <v>1</v>
      </c>
      <c r="BF11" s="140">
        <f>SUM($I10:BF10)</f>
        <v>1</v>
      </c>
      <c r="BG11" s="140">
        <f>SUM($I10:BG10)</f>
        <v>1</v>
      </c>
      <c r="BH11" s="140">
        <f>SUM($I10:BH10)</f>
        <v>1</v>
      </c>
      <c r="BI11" s="140">
        <f>SUM($I10:BI10)</f>
        <v>1</v>
      </c>
      <c r="BJ11" s="140">
        <f>SUM($I10:BJ10)</f>
        <v>1</v>
      </c>
      <c r="BK11" s="140">
        <f>SUM($I10:BK10)</f>
        <v>1</v>
      </c>
    </row>
    <row r="12" spans="1:65" ht="13.5" customHeight="1">
      <c r="C12" s="31" t="str">
        <f>'A&amp;R'!X16</f>
        <v>계약금</v>
      </c>
      <c r="D12" s="32"/>
      <c r="E12" s="255">
        <f>'A&amp;R'!Y16</f>
        <v>0.1</v>
      </c>
      <c r="F12" s="256">
        <f>'A&amp;R'!AA16</f>
        <v>44865</v>
      </c>
      <c r="G12" s="32">
        <f t="shared" ref="G12:G20" ca="1" si="1">SUM(H12:XFD12)</f>
        <v>70183.481918260906</v>
      </c>
      <c r="H12" s="32"/>
      <c r="I12" s="32">
        <f t="shared" ref="I12:AN12" ca="1" si="2">$G$9*I$10*$E12</f>
        <v>0</v>
      </c>
      <c r="J12" s="32">
        <f t="shared" ca="1" si="2"/>
        <v>0</v>
      </c>
      <c r="K12" s="32">
        <f t="shared" ca="1" si="2"/>
        <v>0</v>
      </c>
      <c r="L12" s="32">
        <f t="shared" ca="1" si="2"/>
        <v>0</v>
      </c>
      <c r="M12" s="32">
        <f t="shared" ca="1" si="2"/>
        <v>0</v>
      </c>
      <c r="N12" s="32">
        <f t="shared" ca="1" si="2"/>
        <v>0</v>
      </c>
      <c r="O12" s="32">
        <f t="shared" ca="1" si="2"/>
        <v>0</v>
      </c>
      <c r="P12" s="32">
        <f t="shared" ca="1" si="2"/>
        <v>0</v>
      </c>
      <c r="Q12" s="32">
        <f t="shared" ca="1" si="2"/>
        <v>0</v>
      </c>
      <c r="R12" s="32">
        <f t="shared" ca="1" si="2"/>
        <v>0</v>
      </c>
      <c r="S12" s="32">
        <f t="shared" ca="1" si="2"/>
        <v>0</v>
      </c>
      <c r="T12" s="32">
        <f t="shared" ca="1" si="2"/>
        <v>0</v>
      </c>
      <c r="U12" s="32">
        <f t="shared" ca="1" si="2"/>
        <v>0</v>
      </c>
      <c r="V12" s="32">
        <f t="shared" ca="1" si="2"/>
        <v>0</v>
      </c>
      <c r="W12" s="32">
        <f t="shared" ca="1" si="2"/>
        <v>0</v>
      </c>
      <c r="X12" s="32">
        <f t="shared" ca="1" si="2"/>
        <v>0</v>
      </c>
      <c r="Y12" s="32">
        <f t="shared" ca="1" si="2"/>
        <v>5848.6234931884073</v>
      </c>
      <c r="Z12" s="32">
        <f t="shared" ca="1" si="2"/>
        <v>5848.6234931884073</v>
      </c>
      <c r="AA12" s="32">
        <f t="shared" ca="1" si="2"/>
        <v>5848.6234931884073</v>
      </c>
      <c r="AB12" s="32">
        <f t="shared" ca="1" si="2"/>
        <v>5848.6234931884073</v>
      </c>
      <c r="AC12" s="32">
        <f t="shared" ca="1" si="2"/>
        <v>5848.6234931884073</v>
      </c>
      <c r="AD12" s="32">
        <f t="shared" ca="1" si="2"/>
        <v>5848.6234931884073</v>
      </c>
      <c r="AE12" s="32">
        <f t="shared" ca="1" si="2"/>
        <v>5848.6234931884073</v>
      </c>
      <c r="AF12" s="32">
        <f t="shared" ca="1" si="2"/>
        <v>5848.6234931884073</v>
      </c>
      <c r="AG12" s="32">
        <f t="shared" ca="1" si="2"/>
        <v>5848.6234931884073</v>
      </c>
      <c r="AH12" s="32">
        <f t="shared" ca="1" si="2"/>
        <v>5848.6234931884073</v>
      </c>
      <c r="AI12" s="32">
        <f t="shared" ca="1" si="2"/>
        <v>5848.6234931884073</v>
      </c>
      <c r="AJ12" s="32">
        <f t="shared" ca="1" si="2"/>
        <v>5848.6234931884073</v>
      </c>
      <c r="AK12" s="32">
        <f t="shared" ca="1" si="2"/>
        <v>0</v>
      </c>
      <c r="AL12" s="32">
        <f t="shared" ca="1" si="2"/>
        <v>0</v>
      </c>
      <c r="AM12" s="32">
        <f t="shared" ca="1" si="2"/>
        <v>0</v>
      </c>
      <c r="AN12" s="32">
        <f t="shared" ca="1" si="2"/>
        <v>0</v>
      </c>
      <c r="AO12" s="32">
        <f t="shared" ref="AO12:BK12" ca="1" si="3">$G$9*AO$10*$E12</f>
        <v>0</v>
      </c>
      <c r="AP12" s="32">
        <f t="shared" ca="1" si="3"/>
        <v>0</v>
      </c>
      <c r="AQ12" s="32">
        <f t="shared" ca="1" si="3"/>
        <v>0</v>
      </c>
      <c r="AR12" s="32">
        <f t="shared" ca="1" si="3"/>
        <v>0</v>
      </c>
      <c r="AS12" s="32">
        <f t="shared" ca="1" si="3"/>
        <v>0</v>
      </c>
      <c r="AT12" s="32">
        <f t="shared" ca="1" si="3"/>
        <v>0</v>
      </c>
      <c r="AU12" s="32">
        <f t="shared" ca="1" si="3"/>
        <v>0</v>
      </c>
      <c r="AV12" s="32">
        <f t="shared" ca="1" si="3"/>
        <v>0</v>
      </c>
      <c r="AW12" s="32">
        <f t="shared" ca="1" si="3"/>
        <v>0</v>
      </c>
      <c r="AX12" s="32">
        <f t="shared" ca="1" si="3"/>
        <v>0</v>
      </c>
      <c r="AY12" s="32">
        <f t="shared" ca="1" si="3"/>
        <v>0</v>
      </c>
      <c r="AZ12" s="32">
        <f t="shared" ca="1" si="3"/>
        <v>0</v>
      </c>
      <c r="BA12" s="32">
        <f t="shared" ca="1" si="3"/>
        <v>0</v>
      </c>
      <c r="BB12" s="32">
        <f t="shared" ca="1" si="3"/>
        <v>0</v>
      </c>
      <c r="BC12" s="32">
        <f t="shared" ca="1" si="3"/>
        <v>0</v>
      </c>
      <c r="BD12" s="32">
        <f t="shared" ca="1" si="3"/>
        <v>0</v>
      </c>
      <c r="BE12" s="32">
        <f t="shared" ca="1" si="3"/>
        <v>0</v>
      </c>
      <c r="BF12" s="32">
        <f t="shared" ca="1" si="3"/>
        <v>0</v>
      </c>
      <c r="BG12" s="32">
        <f t="shared" ca="1" si="3"/>
        <v>0</v>
      </c>
      <c r="BH12" s="32">
        <f t="shared" ca="1" si="3"/>
        <v>0</v>
      </c>
      <c r="BI12" s="32">
        <f t="shared" ca="1" si="3"/>
        <v>0</v>
      </c>
      <c r="BJ12" s="32">
        <f t="shared" ca="1" si="3"/>
        <v>0</v>
      </c>
      <c r="BK12" s="32">
        <f t="shared" ca="1" si="3"/>
        <v>0</v>
      </c>
    </row>
    <row r="13" spans="1:65" ht="13.5" customHeight="1">
      <c r="C13" s="31" t="str">
        <f>'A&amp;R'!X17</f>
        <v>중도금1차</v>
      </c>
      <c r="D13" s="32"/>
      <c r="E13" s="255">
        <f>'A&amp;R'!Y17</f>
        <v>0.1</v>
      </c>
      <c r="F13" s="256">
        <f>'A&amp;R'!AA17</f>
        <v>44957</v>
      </c>
      <c r="G13" s="32">
        <f t="shared" ca="1" si="1"/>
        <v>70183.481918260906</v>
      </c>
      <c r="H13" s="32"/>
      <c r="I13" s="32">
        <f t="shared" ref="I13:R19" ca="1" si="4">(I$8=$F13)*($G$9*I$11*$E13)+(I$8&gt;$F13)*($G$9*I$10*$E13)</f>
        <v>0</v>
      </c>
      <c r="J13" s="32">
        <f t="shared" ca="1" si="4"/>
        <v>0</v>
      </c>
      <c r="K13" s="32">
        <f t="shared" ca="1" si="4"/>
        <v>0</v>
      </c>
      <c r="L13" s="32">
        <f t="shared" ca="1" si="4"/>
        <v>0</v>
      </c>
      <c r="M13" s="32">
        <f t="shared" ca="1" si="4"/>
        <v>0</v>
      </c>
      <c r="N13" s="32">
        <f t="shared" ca="1" si="4"/>
        <v>0</v>
      </c>
      <c r="O13" s="32">
        <f t="shared" ca="1" si="4"/>
        <v>0</v>
      </c>
      <c r="P13" s="32">
        <f t="shared" ca="1" si="4"/>
        <v>0</v>
      </c>
      <c r="Q13" s="32">
        <f t="shared" ca="1" si="4"/>
        <v>0</v>
      </c>
      <c r="R13" s="32">
        <f t="shared" ca="1" si="4"/>
        <v>0</v>
      </c>
      <c r="S13" s="32">
        <f t="shared" ref="S13:AB19" ca="1" si="5">(S$8=$F13)*($G$9*S$11*$E13)+(S$8&gt;$F13)*($G$9*S$10*$E13)</f>
        <v>0</v>
      </c>
      <c r="T13" s="32">
        <f t="shared" ca="1" si="5"/>
        <v>0</v>
      </c>
      <c r="U13" s="32">
        <f t="shared" ca="1" si="5"/>
        <v>0</v>
      </c>
      <c r="V13" s="32">
        <f t="shared" ca="1" si="5"/>
        <v>0</v>
      </c>
      <c r="W13" s="32">
        <f t="shared" ca="1" si="5"/>
        <v>0</v>
      </c>
      <c r="X13" s="32">
        <f t="shared" ca="1" si="5"/>
        <v>0</v>
      </c>
      <c r="Y13" s="32">
        <f t="shared" ca="1" si="5"/>
        <v>0</v>
      </c>
      <c r="Z13" s="32">
        <f t="shared" ca="1" si="5"/>
        <v>0</v>
      </c>
      <c r="AA13" s="32">
        <f t="shared" ca="1" si="5"/>
        <v>0</v>
      </c>
      <c r="AB13" s="32">
        <f t="shared" ca="1" si="5"/>
        <v>23394.493972753629</v>
      </c>
      <c r="AC13" s="32">
        <f t="shared" ref="AC13:AL19" ca="1" si="6">(AC$8=$F13)*($G$9*AC$11*$E13)+(AC$8&gt;$F13)*($G$9*AC$10*$E13)</f>
        <v>5848.6234931884073</v>
      </c>
      <c r="AD13" s="32">
        <f t="shared" ca="1" si="6"/>
        <v>5848.6234931884073</v>
      </c>
      <c r="AE13" s="32">
        <f t="shared" ca="1" si="6"/>
        <v>5848.6234931884073</v>
      </c>
      <c r="AF13" s="32">
        <f t="shared" ca="1" si="6"/>
        <v>5848.6234931884073</v>
      </c>
      <c r="AG13" s="32">
        <f t="shared" ca="1" si="6"/>
        <v>5848.6234931884073</v>
      </c>
      <c r="AH13" s="32">
        <f t="shared" ca="1" si="6"/>
        <v>5848.6234931884073</v>
      </c>
      <c r="AI13" s="32">
        <f t="shared" ca="1" si="6"/>
        <v>5848.6234931884073</v>
      </c>
      <c r="AJ13" s="32">
        <f t="shared" ca="1" si="6"/>
        <v>5848.6234931884073</v>
      </c>
      <c r="AK13" s="32">
        <f t="shared" ca="1" si="6"/>
        <v>0</v>
      </c>
      <c r="AL13" s="32">
        <f t="shared" ca="1" si="6"/>
        <v>0</v>
      </c>
      <c r="AM13" s="32">
        <f t="shared" ref="AM13:AV19" ca="1" si="7">(AM$8=$F13)*($G$9*AM$11*$E13)+(AM$8&gt;$F13)*($G$9*AM$10*$E13)</f>
        <v>0</v>
      </c>
      <c r="AN13" s="32">
        <f t="shared" ca="1" si="7"/>
        <v>0</v>
      </c>
      <c r="AO13" s="32">
        <f t="shared" ca="1" si="7"/>
        <v>0</v>
      </c>
      <c r="AP13" s="32">
        <f t="shared" ca="1" si="7"/>
        <v>0</v>
      </c>
      <c r="AQ13" s="32">
        <f t="shared" ca="1" si="7"/>
        <v>0</v>
      </c>
      <c r="AR13" s="32">
        <f t="shared" ca="1" si="7"/>
        <v>0</v>
      </c>
      <c r="AS13" s="32">
        <f t="shared" ca="1" si="7"/>
        <v>0</v>
      </c>
      <c r="AT13" s="32">
        <f t="shared" ca="1" si="7"/>
        <v>0</v>
      </c>
      <c r="AU13" s="32">
        <f t="shared" ca="1" si="7"/>
        <v>0</v>
      </c>
      <c r="AV13" s="32">
        <f t="shared" ca="1" si="7"/>
        <v>0</v>
      </c>
      <c r="AW13" s="32">
        <f t="shared" ref="AW13:BK19" ca="1" si="8">(AW$8=$F13)*($G$9*AW$11*$E13)+(AW$8&gt;$F13)*($G$9*AW$10*$E13)</f>
        <v>0</v>
      </c>
      <c r="AX13" s="32">
        <f t="shared" ca="1" si="8"/>
        <v>0</v>
      </c>
      <c r="AY13" s="32">
        <f t="shared" ca="1" si="8"/>
        <v>0</v>
      </c>
      <c r="AZ13" s="32">
        <f t="shared" ca="1" si="8"/>
        <v>0</v>
      </c>
      <c r="BA13" s="32">
        <f t="shared" ca="1" si="8"/>
        <v>0</v>
      </c>
      <c r="BB13" s="32">
        <f t="shared" ca="1" si="8"/>
        <v>0</v>
      </c>
      <c r="BC13" s="32">
        <f t="shared" ca="1" si="8"/>
        <v>0</v>
      </c>
      <c r="BD13" s="32">
        <f t="shared" ca="1" si="8"/>
        <v>0</v>
      </c>
      <c r="BE13" s="32">
        <f t="shared" ca="1" si="8"/>
        <v>0</v>
      </c>
      <c r="BF13" s="32">
        <f t="shared" ca="1" si="8"/>
        <v>0</v>
      </c>
      <c r="BG13" s="32">
        <f t="shared" ca="1" si="8"/>
        <v>0</v>
      </c>
      <c r="BH13" s="32">
        <f t="shared" ca="1" si="8"/>
        <v>0</v>
      </c>
      <c r="BI13" s="32">
        <f t="shared" ca="1" si="8"/>
        <v>0</v>
      </c>
      <c r="BJ13" s="32">
        <f t="shared" ca="1" si="8"/>
        <v>0</v>
      </c>
      <c r="BK13" s="32">
        <f t="shared" ca="1" si="8"/>
        <v>0</v>
      </c>
    </row>
    <row r="14" spans="1:65" ht="13.5" customHeight="1">
      <c r="C14" s="31" t="str">
        <f>'A&amp;R'!X18</f>
        <v>중도금2차</v>
      </c>
      <c r="D14" s="32"/>
      <c r="E14" s="255">
        <f>'A&amp;R'!Y18</f>
        <v>0.1</v>
      </c>
      <c r="F14" s="256">
        <f>'A&amp;R'!AA18</f>
        <v>45046</v>
      </c>
      <c r="G14" s="32">
        <f t="shared" ca="1" si="1"/>
        <v>70183.481918260892</v>
      </c>
      <c r="H14" s="32"/>
      <c r="I14" s="32">
        <f t="shared" ca="1" si="4"/>
        <v>0</v>
      </c>
      <c r="J14" s="32">
        <f t="shared" ca="1" si="4"/>
        <v>0</v>
      </c>
      <c r="K14" s="32">
        <f t="shared" ca="1" si="4"/>
        <v>0</v>
      </c>
      <c r="L14" s="32">
        <f t="shared" ca="1" si="4"/>
        <v>0</v>
      </c>
      <c r="M14" s="32">
        <f t="shared" ca="1" si="4"/>
        <v>0</v>
      </c>
      <c r="N14" s="32">
        <f t="shared" ca="1" si="4"/>
        <v>0</v>
      </c>
      <c r="O14" s="32">
        <f t="shared" ca="1" si="4"/>
        <v>0</v>
      </c>
      <c r="P14" s="32">
        <f t="shared" ca="1" si="4"/>
        <v>0</v>
      </c>
      <c r="Q14" s="32">
        <f t="shared" ca="1" si="4"/>
        <v>0</v>
      </c>
      <c r="R14" s="32">
        <f t="shared" ca="1" si="4"/>
        <v>0</v>
      </c>
      <c r="S14" s="32">
        <f t="shared" ca="1" si="5"/>
        <v>0</v>
      </c>
      <c r="T14" s="32">
        <f t="shared" ca="1" si="5"/>
        <v>0</v>
      </c>
      <c r="U14" s="32">
        <f t="shared" ca="1" si="5"/>
        <v>0</v>
      </c>
      <c r="V14" s="32">
        <f t="shared" ca="1" si="5"/>
        <v>0</v>
      </c>
      <c r="W14" s="32">
        <f t="shared" ca="1" si="5"/>
        <v>0</v>
      </c>
      <c r="X14" s="32">
        <f t="shared" ca="1" si="5"/>
        <v>0</v>
      </c>
      <c r="Y14" s="32">
        <f t="shared" ca="1" si="5"/>
        <v>0</v>
      </c>
      <c r="Z14" s="32">
        <f t="shared" ca="1" si="5"/>
        <v>0</v>
      </c>
      <c r="AA14" s="32">
        <f t="shared" ca="1" si="5"/>
        <v>0</v>
      </c>
      <c r="AB14" s="32">
        <f t="shared" ca="1" si="5"/>
        <v>0</v>
      </c>
      <c r="AC14" s="32">
        <f t="shared" ca="1" si="6"/>
        <v>0</v>
      </c>
      <c r="AD14" s="32">
        <f t="shared" ca="1" si="6"/>
        <v>0</v>
      </c>
      <c r="AE14" s="32">
        <f t="shared" ca="1" si="6"/>
        <v>40940.364452318849</v>
      </c>
      <c r="AF14" s="32">
        <f t="shared" ca="1" si="6"/>
        <v>5848.6234931884073</v>
      </c>
      <c r="AG14" s="32">
        <f t="shared" ca="1" si="6"/>
        <v>5848.6234931884073</v>
      </c>
      <c r="AH14" s="32">
        <f t="shared" ca="1" si="6"/>
        <v>5848.6234931884073</v>
      </c>
      <c r="AI14" s="32">
        <f t="shared" ca="1" si="6"/>
        <v>5848.6234931884073</v>
      </c>
      <c r="AJ14" s="32">
        <f t="shared" ca="1" si="6"/>
        <v>5848.6234931884073</v>
      </c>
      <c r="AK14" s="32">
        <f t="shared" ca="1" si="6"/>
        <v>0</v>
      </c>
      <c r="AL14" s="32">
        <f t="shared" ca="1" si="6"/>
        <v>0</v>
      </c>
      <c r="AM14" s="32">
        <f t="shared" ca="1" si="7"/>
        <v>0</v>
      </c>
      <c r="AN14" s="32">
        <f t="shared" ca="1" si="7"/>
        <v>0</v>
      </c>
      <c r="AO14" s="32">
        <f t="shared" ca="1" si="7"/>
        <v>0</v>
      </c>
      <c r="AP14" s="32">
        <f t="shared" ca="1" si="7"/>
        <v>0</v>
      </c>
      <c r="AQ14" s="32">
        <f t="shared" ca="1" si="7"/>
        <v>0</v>
      </c>
      <c r="AR14" s="32">
        <f t="shared" ca="1" si="7"/>
        <v>0</v>
      </c>
      <c r="AS14" s="32">
        <f t="shared" ca="1" si="7"/>
        <v>0</v>
      </c>
      <c r="AT14" s="32">
        <f t="shared" ca="1" si="7"/>
        <v>0</v>
      </c>
      <c r="AU14" s="32">
        <f t="shared" ca="1" si="7"/>
        <v>0</v>
      </c>
      <c r="AV14" s="32">
        <f t="shared" ca="1" si="7"/>
        <v>0</v>
      </c>
      <c r="AW14" s="32">
        <f t="shared" ca="1" si="8"/>
        <v>0</v>
      </c>
      <c r="AX14" s="32">
        <f t="shared" ca="1" si="8"/>
        <v>0</v>
      </c>
      <c r="AY14" s="32">
        <f t="shared" ca="1" si="8"/>
        <v>0</v>
      </c>
      <c r="AZ14" s="32">
        <f t="shared" ca="1" si="8"/>
        <v>0</v>
      </c>
      <c r="BA14" s="32">
        <f t="shared" ca="1" si="8"/>
        <v>0</v>
      </c>
      <c r="BB14" s="32">
        <f t="shared" ca="1" si="8"/>
        <v>0</v>
      </c>
      <c r="BC14" s="32">
        <f t="shared" ca="1" si="8"/>
        <v>0</v>
      </c>
      <c r="BD14" s="32">
        <f t="shared" ca="1" si="8"/>
        <v>0</v>
      </c>
      <c r="BE14" s="32">
        <f t="shared" ca="1" si="8"/>
        <v>0</v>
      </c>
      <c r="BF14" s="32">
        <f t="shared" ca="1" si="8"/>
        <v>0</v>
      </c>
      <c r="BG14" s="32">
        <f t="shared" ca="1" si="8"/>
        <v>0</v>
      </c>
      <c r="BH14" s="32">
        <f t="shared" ca="1" si="8"/>
        <v>0</v>
      </c>
      <c r="BI14" s="32">
        <f t="shared" ca="1" si="8"/>
        <v>0</v>
      </c>
      <c r="BJ14" s="32">
        <f t="shared" ca="1" si="8"/>
        <v>0</v>
      </c>
      <c r="BK14" s="32">
        <f t="shared" ca="1" si="8"/>
        <v>0</v>
      </c>
    </row>
    <row r="15" spans="1:65" ht="13.5" customHeight="1">
      <c r="C15" s="31" t="str">
        <f>'A&amp;R'!X19</f>
        <v>중도금3차</v>
      </c>
      <c r="D15" s="32"/>
      <c r="E15" s="255">
        <f>'A&amp;R'!Y19</f>
        <v>0.1</v>
      </c>
      <c r="F15" s="256">
        <f>'A&amp;R'!AA19</f>
        <v>45138</v>
      </c>
      <c r="G15" s="32">
        <f t="shared" ca="1" si="1"/>
        <v>70183.481918260892</v>
      </c>
      <c r="H15" s="32"/>
      <c r="I15" s="32">
        <f t="shared" ca="1" si="4"/>
        <v>0</v>
      </c>
      <c r="J15" s="32">
        <f t="shared" ca="1" si="4"/>
        <v>0</v>
      </c>
      <c r="K15" s="32">
        <f t="shared" ca="1" si="4"/>
        <v>0</v>
      </c>
      <c r="L15" s="32">
        <f t="shared" ca="1" si="4"/>
        <v>0</v>
      </c>
      <c r="M15" s="32">
        <f t="shared" ca="1" si="4"/>
        <v>0</v>
      </c>
      <c r="N15" s="32">
        <f t="shared" ca="1" si="4"/>
        <v>0</v>
      </c>
      <c r="O15" s="32">
        <f t="shared" ca="1" si="4"/>
        <v>0</v>
      </c>
      <c r="P15" s="32">
        <f t="shared" ca="1" si="4"/>
        <v>0</v>
      </c>
      <c r="Q15" s="32">
        <f t="shared" ca="1" si="4"/>
        <v>0</v>
      </c>
      <c r="R15" s="32">
        <f t="shared" ca="1" si="4"/>
        <v>0</v>
      </c>
      <c r="S15" s="32">
        <f t="shared" ca="1" si="5"/>
        <v>0</v>
      </c>
      <c r="T15" s="32">
        <f t="shared" ca="1" si="5"/>
        <v>0</v>
      </c>
      <c r="U15" s="32">
        <f t="shared" ca="1" si="5"/>
        <v>0</v>
      </c>
      <c r="V15" s="32">
        <f t="shared" ca="1" si="5"/>
        <v>0</v>
      </c>
      <c r="W15" s="32">
        <f t="shared" ca="1" si="5"/>
        <v>0</v>
      </c>
      <c r="X15" s="32">
        <f t="shared" ca="1" si="5"/>
        <v>0</v>
      </c>
      <c r="Y15" s="32">
        <f t="shared" ca="1" si="5"/>
        <v>0</v>
      </c>
      <c r="Z15" s="32">
        <f t="shared" ca="1" si="5"/>
        <v>0</v>
      </c>
      <c r="AA15" s="32">
        <f t="shared" ca="1" si="5"/>
        <v>0</v>
      </c>
      <c r="AB15" s="32">
        <f t="shared" ca="1" si="5"/>
        <v>0</v>
      </c>
      <c r="AC15" s="32">
        <f t="shared" ca="1" si="6"/>
        <v>0</v>
      </c>
      <c r="AD15" s="32">
        <f t="shared" ca="1" si="6"/>
        <v>0</v>
      </c>
      <c r="AE15" s="32">
        <f t="shared" ca="1" si="6"/>
        <v>0</v>
      </c>
      <c r="AF15" s="32">
        <f t="shared" ca="1" si="6"/>
        <v>0</v>
      </c>
      <c r="AG15" s="32">
        <f t="shared" ca="1" si="6"/>
        <v>0</v>
      </c>
      <c r="AH15" s="32">
        <f t="shared" ca="1" si="6"/>
        <v>58486.234931884079</v>
      </c>
      <c r="AI15" s="32">
        <f t="shared" ca="1" si="6"/>
        <v>5848.6234931884073</v>
      </c>
      <c r="AJ15" s="32">
        <f t="shared" ca="1" si="6"/>
        <v>5848.6234931884073</v>
      </c>
      <c r="AK15" s="32">
        <f t="shared" ca="1" si="6"/>
        <v>0</v>
      </c>
      <c r="AL15" s="32">
        <f t="shared" ca="1" si="6"/>
        <v>0</v>
      </c>
      <c r="AM15" s="32">
        <f t="shared" ca="1" si="7"/>
        <v>0</v>
      </c>
      <c r="AN15" s="32">
        <f t="shared" ca="1" si="7"/>
        <v>0</v>
      </c>
      <c r="AO15" s="32">
        <f t="shared" ca="1" si="7"/>
        <v>0</v>
      </c>
      <c r="AP15" s="32">
        <f t="shared" ca="1" si="7"/>
        <v>0</v>
      </c>
      <c r="AQ15" s="32">
        <f t="shared" ca="1" si="7"/>
        <v>0</v>
      </c>
      <c r="AR15" s="32">
        <f t="shared" ca="1" si="7"/>
        <v>0</v>
      </c>
      <c r="AS15" s="32">
        <f t="shared" ca="1" si="7"/>
        <v>0</v>
      </c>
      <c r="AT15" s="32">
        <f t="shared" ca="1" si="7"/>
        <v>0</v>
      </c>
      <c r="AU15" s="32">
        <f t="shared" ca="1" si="7"/>
        <v>0</v>
      </c>
      <c r="AV15" s="32">
        <f t="shared" ca="1" si="7"/>
        <v>0</v>
      </c>
      <c r="AW15" s="32">
        <f t="shared" ca="1" si="8"/>
        <v>0</v>
      </c>
      <c r="AX15" s="32">
        <f t="shared" ca="1" si="8"/>
        <v>0</v>
      </c>
      <c r="AY15" s="32">
        <f t="shared" ca="1" si="8"/>
        <v>0</v>
      </c>
      <c r="AZ15" s="32">
        <f t="shared" ca="1" si="8"/>
        <v>0</v>
      </c>
      <c r="BA15" s="32">
        <f t="shared" ca="1" si="8"/>
        <v>0</v>
      </c>
      <c r="BB15" s="32">
        <f t="shared" ca="1" si="8"/>
        <v>0</v>
      </c>
      <c r="BC15" s="32">
        <f t="shared" ca="1" si="8"/>
        <v>0</v>
      </c>
      <c r="BD15" s="32">
        <f t="shared" ca="1" si="8"/>
        <v>0</v>
      </c>
      <c r="BE15" s="32">
        <f t="shared" ca="1" si="8"/>
        <v>0</v>
      </c>
      <c r="BF15" s="32">
        <f t="shared" ca="1" si="8"/>
        <v>0</v>
      </c>
      <c r="BG15" s="32">
        <f t="shared" ca="1" si="8"/>
        <v>0</v>
      </c>
      <c r="BH15" s="32">
        <f t="shared" ca="1" si="8"/>
        <v>0</v>
      </c>
      <c r="BI15" s="32">
        <f t="shared" ca="1" si="8"/>
        <v>0</v>
      </c>
      <c r="BJ15" s="32">
        <f t="shared" ca="1" si="8"/>
        <v>0</v>
      </c>
      <c r="BK15" s="32">
        <f t="shared" ca="1" si="8"/>
        <v>0</v>
      </c>
    </row>
    <row r="16" spans="1:65" ht="13.5" customHeight="1">
      <c r="C16" s="31" t="str">
        <f>'A&amp;R'!X20</f>
        <v>중도금4차</v>
      </c>
      <c r="D16" s="32"/>
      <c r="E16" s="255">
        <f>'A&amp;R'!Y20</f>
        <v>0.1</v>
      </c>
      <c r="F16" s="256">
        <f>'A&amp;R'!AA20</f>
        <v>45230</v>
      </c>
      <c r="G16" s="32">
        <f t="shared" ca="1" si="1"/>
        <v>70183.481918260892</v>
      </c>
      <c r="H16" s="32"/>
      <c r="I16" s="32">
        <f t="shared" ca="1" si="4"/>
        <v>0</v>
      </c>
      <c r="J16" s="32">
        <f t="shared" ca="1" si="4"/>
        <v>0</v>
      </c>
      <c r="K16" s="32">
        <f t="shared" ca="1" si="4"/>
        <v>0</v>
      </c>
      <c r="L16" s="32">
        <f t="shared" ca="1" si="4"/>
        <v>0</v>
      </c>
      <c r="M16" s="32">
        <f t="shared" ca="1" si="4"/>
        <v>0</v>
      </c>
      <c r="N16" s="32">
        <f t="shared" ca="1" si="4"/>
        <v>0</v>
      </c>
      <c r="O16" s="32">
        <f t="shared" ca="1" si="4"/>
        <v>0</v>
      </c>
      <c r="P16" s="32">
        <f t="shared" ca="1" si="4"/>
        <v>0</v>
      </c>
      <c r="Q16" s="32">
        <f t="shared" ca="1" si="4"/>
        <v>0</v>
      </c>
      <c r="R16" s="32">
        <f t="shared" ca="1" si="4"/>
        <v>0</v>
      </c>
      <c r="S16" s="32">
        <f t="shared" ca="1" si="5"/>
        <v>0</v>
      </c>
      <c r="T16" s="32">
        <f t="shared" ca="1" si="5"/>
        <v>0</v>
      </c>
      <c r="U16" s="32">
        <f t="shared" ca="1" si="5"/>
        <v>0</v>
      </c>
      <c r="V16" s="32">
        <f t="shared" ca="1" si="5"/>
        <v>0</v>
      </c>
      <c r="W16" s="32">
        <f t="shared" ca="1" si="5"/>
        <v>0</v>
      </c>
      <c r="X16" s="32">
        <f t="shared" ca="1" si="5"/>
        <v>0</v>
      </c>
      <c r="Y16" s="32">
        <f t="shared" ca="1" si="5"/>
        <v>0</v>
      </c>
      <c r="Z16" s="32">
        <f t="shared" ca="1" si="5"/>
        <v>0</v>
      </c>
      <c r="AA16" s="32">
        <f t="shared" ca="1" si="5"/>
        <v>0</v>
      </c>
      <c r="AB16" s="32">
        <f t="shared" ca="1" si="5"/>
        <v>0</v>
      </c>
      <c r="AC16" s="32">
        <f t="shared" ca="1" si="6"/>
        <v>0</v>
      </c>
      <c r="AD16" s="32">
        <f t="shared" ca="1" si="6"/>
        <v>0</v>
      </c>
      <c r="AE16" s="32">
        <f t="shared" ca="1" si="6"/>
        <v>0</v>
      </c>
      <c r="AF16" s="32">
        <f t="shared" ca="1" si="6"/>
        <v>0</v>
      </c>
      <c r="AG16" s="32">
        <f t="shared" ca="1" si="6"/>
        <v>0</v>
      </c>
      <c r="AH16" s="32">
        <f t="shared" ca="1" si="6"/>
        <v>0</v>
      </c>
      <c r="AI16" s="32">
        <f t="shared" ca="1" si="6"/>
        <v>0</v>
      </c>
      <c r="AJ16" s="32">
        <f t="shared" ca="1" si="6"/>
        <v>0</v>
      </c>
      <c r="AK16" s="32">
        <f t="shared" ca="1" si="6"/>
        <v>70183.481918260892</v>
      </c>
      <c r="AL16" s="32">
        <f t="shared" ca="1" si="6"/>
        <v>0</v>
      </c>
      <c r="AM16" s="32">
        <f t="shared" ca="1" si="7"/>
        <v>0</v>
      </c>
      <c r="AN16" s="32">
        <f t="shared" ca="1" si="7"/>
        <v>0</v>
      </c>
      <c r="AO16" s="32">
        <f t="shared" ca="1" si="7"/>
        <v>0</v>
      </c>
      <c r="AP16" s="32">
        <f t="shared" ca="1" si="7"/>
        <v>0</v>
      </c>
      <c r="AQ16" s="32">
        <f t="shared" ca="1" si="7"/>
        <v>0</v>
      </c>
      <c r="AR16" s="32">
        <f t="shared" ca="1" si="7"/>
        <v>0</v>
      </c>
      <c r="AS16" s="32">
        <f t="shared" ca="1" si="7"/>
        <v>0</v>
      </c>
      <c r="AT16" s="32">
        <f t="shared" ca="1" si="7"/>
        <v>0</v>
      </c>
      <c r="AU16" s="32">
        <f t="shared" ca="1" si="7"/>
        <v>0</v>
      </c>
      <c r="AV16" s="32">
        <f t="shared" ca="1" si="7"/>
        <v>0</v>
      </c>
      <c r="AW16" s="32">
        <f t="shared" ca="1" si="8"/>
        <v>0</v>
      </c>
      <c r="AX16" s="32">
        <f t="shared" ca="1" si="8"/>
        <v>0</v>
      </c>
      <c r="AY16" s="32">
        <f t="shared" ca="1" si="8"/>
        <v>0</v>
      </c>
      <c r="AZ16" s="32">
        <f t="shared" ca="1" si="8"/>
        <v>0</v>
      </c>
      <c r="BA16" s="32">
        <f t="shared" ca="1" si="8"/>
        <v>0</v>
      </c>
      <c r="BB16" s="32">
        <f t="shared" ca="1" si="8"/>
        <v>0</v>
      </c>
      <c r="BC16" s="32">
        <f t="shared" ca="1" si="8"/>
        <v>0</v>
      </c>
      <c r="BD16" s="32">
        <f t="shared" ca="1" si="8"/>
        <v>0</v>
      </c>
      <c r="BE16" s="32">
        <f t="shared" ca="1" si="8"/>
        <v>0</v>
      </c>
      <c r="BF16" s="32">
        <f t="shared" ca="1" si="8"/>
        <v>0</v>
      </c>
      <c r="BG16" s="32">
        <f t="shared" ca="1" si="8"/>
        <v>0</v>
      </c>
      <c r="BH16" s="32">
        <f t="shared" ca="1" si="8"/>
        <v>0</v>
      </c>
      <c r="BI16" s="32">
        <f t="shared" ca="1" si="8"/>
        <v>0</v>
      </c>
      <c r="BJ16" s="32">
        <f t="shared" ca="1" si="8"/>
        <v>0</v>
      </c>
      <c r="BK16" s="32">
        <f t="shared" ca="1" si="8"/>
        <v>0</v>
      </c>
    </row>
    <row r="17" spans="2:63" ht="13.5" customHeight="1">
      <c r="C17" s="31" t="str">
        <f>'A&amp;R'!X21</f>
        <v>중도금5차</v>
      </c>
      <c r="D17" s="32"/>
      <c r="E17" s="255">
        <f>'A&amp;R'!Y21</f>
        <v>0.1</v>
      </c>
      <c r="F17" s="256">
        <f>'A&amp;R'!AA21</f>
        <v>45322</v>
      </c>
      <c r="G17" s="32">
        <f t="shared" ca="1" si="1"/>
        <v>70183.481918260892</v>
      </c>
      <c r="H17" s="32"/>
      <c r="I17" s="32">
        <f t="shared" ca="1" si="4"/>
        <v>0</v>
      </c>
      <c r="J17" s="32">
        <f t="shared" ca="1" si="4"/>
        <v>0</v>
      </c>
      <c r="K17" s="32">
        <f t="shared" ca="1" si="4"/>
        <v>0</v>
      </c>
      <c r="L17" s="32">
        <f t="shared" ca="1" si="4"/>
        <v>0</v>
      </c>
      <c r="M17" s="32">
        <f t="shared" ca="1" si="4"/>
        <v>0</v>
      </c>
      <c r="N17" s="32">
        <f t="shared" ca="1" si="4"/>
        <v>0</v>
      </c>
      <c r="O17" s="32">
        <f t="shared" ca="1" si="4"/>
        <v>0</v>
      </c>
      <c r="P17" s="32">
        <f t="shared" ca="1" si="4"/>
        <v>0</v>
      </c>
      <c r="Q17" s="32">
        <f t="shared" ca="1" si="4"/>
        <v>0</v>
      </c>
      <c r="R17" s="32">
        <f t="shared" ca="1" si="4"/>
        <v>0</v>
      </c>
      <c r="S17" s="32">
        <f t="shared" ca="1" si="5"/>
        <v>0</v>
      </c>
      <c r="T17" s="32">
        <f t="shared" ca="1" si="5"/>
        <v>0</v>
      </c>
      <c r="U17" s="32">
        <f t="shared" ca="1" si="5"/>
        <v>0</v>
      </c>
      <c r="V17" s="32">
        <f t="shared" ca="1" si="5"/>
        <v>0</v>
      </c>
      <c r="W17" s="32">
        <f t="shared" ca="1" si="5"/>
        <v>0</v>
      </c>
      <c r="X17" s="32">
        <f t="shared" ca="1" si="5"/>
        <v>0</v>
      </c>
      <c r="Y17" s="32">
        <f t="shared" ca="1" si="5"/>
        <v>0</v>
      </c>
      <c r="Z17" s="32">
        <f t="shared" ca="1" si="5"/>
        <v>0</v>
      </c>
      <c r="AA17" s="32">
        <f t="shared" ca="1" si="5"/>
        <v>0</v>
      </c>
      <c r="AB17" s="32">
        <f t="shared" ca="1" si="5"/>
        <v>0</v>
      </c>
      <c r="AC17" s="32">
        <f t="shared" ca="1" si="6"/>
        <v>0</v>
      </c>
      <c r="AD17" s="32">
        <f t="shared" ca="1" si="6"/>
        <v>0</v>
      </c>
      <c r="AE17" s="32">
        <f t="shared" ca="1" si="6"/>
        <v>0</v>
      </c>
      <c r="AF17" s="32">
        <f t="shared" ca="1" si="6"/>
        <v>0</v>
      </c>
      <c r="AG17" s="32">
        <f t="shared" ca="1" si="6"/>
        <v>0</v>
      </c>
      <c r="AH17" s="32">
        <f t="shared" ca="1" si="6"/>
        <v>0</v>
      </c>
      <c r="AI17" s="32">
        <f t="shared" ca="1" si="6"/>
        <v>0</v>
      </c>
      <c r="AJ17" s="32">
        <f t="shared" ca="1" si="6"/>
        <v>0</v>
      </c>
      <c r="AK17" s="32">
        <f t="shared" ca="1" si="6"/>
        <v>0</v>
      </c>
      <c r="AL17" s="32">
        <f t="shared" ca="1" si="6"/>
        <v>0</v>
      </c>
      <c r="AM17" s="32">
        <f t="shared" ca="1" si="7"/>
        <v>0</v>
      </c>
      <c r="AN17" s="32">
        <f t="shared" ca="1" si="7"/>
        <v>70183.481918260892</v>
      </c>
      <c r="AO17" s="32">
        <f t="shared" ca="1" si="7"/>
        <v>0</v>
      </c>
      <c r="AP17" s="32">
        <f t="shared" ca="1" si="7"/>
        <v>0</v>
      </c>
      <c r="AQ17" s="32">
        <f t="shared" ca="1" si="7"/>
        <v>0</v>
      </c>
      <c r="AR17" s="32">
        <f t="shared" ca="1" si="7"/>
        <v>0</v>
      </c>
      <c r="AS17" s="32">
        <f t="shared" ca="1" si="7"/>
        <v>0</v>
      </c>
      <c r="AT17" s="32">
        <f t="shared" ca="1" si="7"/>
        <v>0</v>
      </c>
      <c r="AU17" s="32">
        <f t="shared" ca="1" si="7"/>
        <v>0</v>
      </c>
      <c r="AV17" s="32">
        <f t="shared" ca="1" si="7"/>
        <v>0</v>
      </c>
      <c r="AW17" s="32">
        <f t="shared" ca="1" si="8"/>
        <v>0</v>
      </c>
      <c r="AX17" s="32">
        <f t="shared" ca="1" si="8"/>
        <v>0</v>
      </c>
      <c r="AY17" s="32">
        <f t="shared" ca="1" si="8"/>
        <v>0</v>
      </c>
      <c r="AZ17" s="32">
        <f t="shared" ca="1" si="8"/>
        <v>0</v>
      </c>
      <c r="BA17" s="32">
        <f t="shared" ca="1" si="8"/>
        <v>0</v>
      </c>
      <c r="BB17" s="32">
        <f t="shared" ca="1" si="8"/>
        <v>0</v>
      </c>
      <c r="BC17" s="32">
        <f t="shared" ca="1" si="8"/>
        <v>0</v>
      </c>
      <c r="BD17" s="32">
        <f t="shared" ca="1" si="8"/>
        <v>0</v>
      </c>
      <c r="BE17" s="32">
        <f t="shared" ca="1" si="8"/>
        <v>0</v>
      </c>
      <c r="BF17" s="32">
        <f t="shared" ca="1" si="8"/>
        <v>0</v>
      </c>
      <c r="BG17" s="32">
        <f t="shared" ca="1" si="8"/>
        <v>0</v>
      </c>
      <c r="BH17" s="32">
        <f t="shared" ca="1" si="8"/>
        <v>0</v>
      </c>
      <c r="BI17" s="32">
        <f t="shared" ca="1" si="8"/>
        <v>0</v>
      </c>
      <c r="BJ17" s="32">
        <f t="shared" ca="1" si="8"/>
        <v>0</v>
      </c>
      <c r="BK17" s="32">
        <f t="shared" ca="1" si="8"/>
        <v>0</v>
      </c>
    </row>
    <row r="18" spans="2:63" ht="13.5" customHeight="1">
      <c r="C18" s="31" t="str">
        <f>'A&amp;R'!X22</f>
        <v>중도금6차</v>
      </c>
      <c r="D18" s="32"/>
      <c r="E18" s="255">
        <f>'A&amp;R'!Y22</f>
        <v>0.1</v>
      </c>
      <c r="F18" s="256">
        <f>'A&amp;R'!AA22</f>
        <v>45412</v>
      </c>
      <c r="G18" s="32">
        <f t="shared" ca="1" si="1"/>
        <v>70183.481918260892</v>
      </c>
      <c r="H18" s="32"/>
      <c r="I18" s="32">
        <f t="shared" ca="1" si="4"/>
        <v>0</v>
      </c>
      <c r="J18" s="32">
        <f t="shared" ca="1" si="4"/>
        <v>0</v>
      </c>
      <c r="K18" s="32">
        <f t="shared" ca="1" si="4"/>
        <v>0</v>
      </c>
      <c r="L18" s="32">
        <f t="shared" ca="1" si="4"/>
        <v>0</v>
      </c>
      <c r="M18" s="32">
        <f t="shared" ca="1" si="4"/>
        <v>0</v>
      </c>
      <c r="N18" s="32">
        <f t="shared" ca="1" si="4"/>
        <v>0</v>
      </c>
      <c r="O18" s="32">
        <f t="shared" ca="1" si="4"/>
        <v>0</v>
      </c>
      <c r="P18" s="32">
        <f t="shared" ca="1" si="4"/>
        <v>0</v>
      </c>
      <c r="Q18" s="32">
        <f t="shared" ca="1" si="4"/>
        <v>0</v>
      </c>
      <c r="R18" s="32">
        <f t="shared" ca="1" si="4"/>
        <v>0</v>
      </c>
      <c r="S18" s="32">
        <f t="shared" ca="1" si="5"/>
        <v>0</v>
      </c>
      <c r="T18" s="32">
        <f t="shared" ca="1" si="5"/>
        <v>0</v>
      </c>
      <c r="U18" s="32">
        <f t="shared" ca="1" si="5"/>
        <v>0</v>
      </c>
      <c r="V18" s="32">
        <f t="shared" ca="1" si="5"/>
        <v>0</v>
      </c>
      <c r="W18" s="32">
        <f t="shared" ca="1" si="5"/>
        <v>0</v>
      </c>
      <c r="X18" s="32">
        <f t="shared" ca="1" si="5"/>
        <v>0</v>
      </c>
      <c r="Y18" s="32">
        <f t="shared" ca="1" si="5"/>
        <v>0</v>
      </c>
      <c r="Z18" s="32">
        <f t="shared" ca="1" si="5"/>
        <v>0</v>
      </c>
      <c r="AA18" s="32">
        <f t="shared" ca="1" si="5"/>
        <v>0</v>
      </c>
      <c r="AB18" s="32">
        <f t="shared" ca="1" si="5"/>
        <v>0</v>
      </c>
      <c r="AC18" s="32">
        <f t="shared" ca="1" si="6"/>
        <v>0</v>
      </c>
      <c r="AD18" s="32">
        <f t="shared" ca="1" si="6"/>
        <v>0</v>
      </c>
      <c r="AE18" s="32">
        <f t="shared" ca="1" si="6"/>
        <v>0</v>
      </c>
      <c r="AF18" s="32">
        <f t="shared" ca="1" si="6"/>
        <v>0</v>
      </c>
      <c r="AG18" s="32">
        <f t="shared" ca="1" si="6"/>
        <v>0</v>
      </c>
      <c r="AH18" s="32">
        <f t="shared" ca="1" si="6"/>
        <v>0</v>
      </c>
      <c r="AI18" s="32">
        <f t="shared" ca="1" si="6"/>
        <v>0</v>
      </c>
      <c r="AJ18" s="32">
        <f t="shared" ca="1" si="6"/>
        <v>0</v>
      </c>
      <c r="AK18" s="32">
        <f t="shared" ca="1" si="6"/>
        <v>0</v>
      </c>
      <c r="AL18" s="32">
        <f t="shared" ca="1" si="6"/>
        <v>0</v>
      </c>
      <c r="AM18" s="32">
        <f t="shared" ca="1" si="7"/>
        <v>0</v>
      </c>
      <c r="AN18" s="32">
        <f t="shared" ca="1" si="7"/>
        <v>0</v>
      </c>
      <c r="AO18" s="32">
        <f t="shared" ca="1" si="7"/>
        <v>0</v>
      </c>
      <c r="AP18" s="32">
        <f t="shared" ca="1" si="7"/>
        <v>0</v>
      </c>
      <c r="AQ18" s="32">
        <f t="shared" ca="1" si="7"/>
        <v>70183.481918260892</v>
      </c>
      <c r="AR18" s="32">
        <f t="shared" ca="1" si="7"/>
        <v>0</v>
      </c>
      <c r="AS18" s="32">
        <f t="shared" ca="1" si="7"/>
        <v>0</v>
      </c>
      <c r="AT18" s="32">
        <f t="shared" ca="1" si="7"/>
        <v>0</v>
      </c>
      <c r="AU18" s="32">
        <f t="shared" ca="1" si="7"/>
        <v>0</v>
      </c>
      <c r="AV18" s="32">
        <f t="shared" ca="1" si="7"/>
        <v>0</v>
      </c>
      <c r="AW18" s="32">
        <f t="shared" ca="1" si="8"/>
        <v>0</v>
      </c>
      <c r="AX18" s="32">
        <f t="shared" ca="1" si="8"/>
        <v>0</v>
      </c>
      <c r="AY18" s="32">
        <f t="shared" ca="1" si="8"/>
        <v>0</v>
      </c>
      <c r="AZ18" s="32">
        <f t="shared" ca="1" si="8"/>
        <v>0</v>
      </c>
      <c r="BA18" s="32">
        <f t="shared" ca="1" si="8"/>
        <v>0</v>
      </c>
      <c r="BB18" s="32">
        <f t="shared" ca="1" si="8"/>
        <v>0</v>
      </c>
      <c r="BC18" s="32">
        <f t="shared" ca="1" si="8"/>
        <v>0</v>
      </c>
      <c r="BD18" s="32">
        <f t="shared" ca="1" si="8"/>
        <v>0</v>
      </c>
      <c r="BE18" s="32">
        <f t="shared" ca="1" si="8"/>
        <v>0</v>
      </c>
      <c r="BF18" s="32">
        <f t="shared" ca="1" si="8"/>
        <v>0</v>
      </c>
      <c r="BG18" s="32">
        <f t="shared" ca="1" si="8"/>
        <v>0</v>
      </c>
      <c r="BH18" s="32">
        <f t="shared" ca="1" si="8"/>
        <v>0</v>
      </c>
      <c r="BI18" s="32">
        <f t="shared" ca="1" si="8"/>
        <v>0</v>
      </c>
      <c r="BJ18" s="32">
        <f t="shared" ca="1" si="8"/>
        <v>0</v>
      </c>
      <c r="BK18" s="32">
        <f t="shared" ca="1" si="8"/>
        <v>0</v>
      </c>
    </row>
    <row r="19" spans="2:63" ht="13.5" customHeight="1">
      <c r="C19" s="33" t="str">
        <f>'A&amp;R'!X23</f>
        <v>잔금</v>
      </c>
      <c r="D19" s="24"/>
      <c r="E19" s="252">
        <f>'A&amp;R'!Y23</f>
        <v>0.30000000000000004</v>
      </c>
      <c r="F19" s="129">
        <f>'A&amp;R'!AA23</f>
        <v>45900</v>
      </c>
      <c r="G19" s="24">
        <f t="shared" ca="1" si="1"/>
        <v>210550.44575478268</v>
      </c>
      <c r="H19" s="24"/>
      <c r="I19" s="24">
        <f t="shared" ca="1" si="4"/>
        <v>0</v>
      </c>
      <c r="J19" s="24">
        <f t="shared" ca="1" si="4"/>
        <v>0</v>
      </c>
      <c r="K19" s="24">
        <f t="shared" ca="1" si="4"/>
        <v>0</v>
      </c>
      <c r="L19" s="24">
        <f t="shared" ca="1" si="4"/>
        <v>0</v>
      </c>
      <c r="M19" s="24">
        <f t="shared" ca="1" si="4"/>
        <v>0</v>
      </c>
      <c r="N19" s="24">
        <f t="shared" ca="1" si="4"/>
        <v>0</v>
      </c>
      <c r="O19" s="24">
        <f t="shared" ca="1" si="4"/>
        <v>0</v>
      </c>
      <c r="P19" s="24">
        <f t="shared" ca="1" si="4"/>
        <v>0</v>
      </c>
      <c r="Q19" s="24">
        <f t="shared" ca="1" si="4"/>
        <v>0</v>
      </c>
      <c r="R19" s="24">
        <f t="shared" ca="1" si="4"/>
        <v>0</v>
      </c>
      <c r="S19" s="24">
        <f t="shared" ca="1" si="5"/>
        <v>0</v>
      </c>
      <c r="T19" s="24">
        <f t="shared" ca="1" si="5"/>
        <v>0</v>
      </c>
      <c r="U19" s="24">
        <f t="shared" ca="1" si="5"/>
        <v>0</v>
      </c>
      <c r="V19" s="24">
        <f t="shared" ca="1" si="5"/>
        <v>0</v>
      </c>
      <c r="W19" s="24">
        <f t="shared" ca="1" si="5"/>
        <v>0</v>
      </c>
      <c r="X19" s="24">
        <f t="shared" ca="1" si="5"/>
        <v>0</v>
      </c>
      <c r="Y19" s="24">
        <f t="shared" ca="1" si="5"/>
        <v>0</v>
      </c>
      <c r="Z19" s="24">
        <f t="shared" ca="1" si="5"/>
        <v>0</v>
      </c>
      <c r="AA19" s="24">
        <f t="shared" ca="1" si="5"/>
        <v>0</v>
      </c>
      <c r="AB19" s="24">
        <f t="shared" ca="1" si="5"/>
        <v>0</v>
      </c>
      <c r="AC19" s="24">
        <f t="shared" ca="1" si="6"/>
        <v>0</v>
      </c>
      <c r="AD19" s="24">
        <f t="shared" ca="1" si="6"/>
        <v>0</v>
      </c>
      <c r="AE19" s="24">
        <f t="shared" ca="1" si="6"/>
        <v>0</v>
      </c>
      <c r="AF19" s="24">
        <f t="shared" ca="1" si="6"/>
        <v>0</v>
      </c>
      <c r="AG19" s="24">
        <f t="shared" ca="1" si="6"/>
        <v>0</v>
      </c>
      <c r="AH19" s="24">
        <f t="shared" ca="1" si="6"/>
        <v>0</v>
      </c>
      <c r="AI19" s="24">
        <f t="shared" ca="1" si="6"/>
        <v>0</v>
      </c>
      <c r="AJ19" s="24">
        <f t="shared" ca="1" si="6"/>
        <v>0</v>
      </c>
      <c r="AK19" s="24">
        <f t="shared" ca="1" si="6"/>
        <v>0</v>
      </c>
      <c r="AL19" s="24">
        <f t="shared" ca="1" si="6"/>
        <v>0</v>
      </c>
      <c r="AM19" s="24">
        <f t="shared" ca="1" si="7"/>
        <v>0</v>
      </c>
      <c r="AN19" s="24">
        <f t="shared" ca="1" si="7"/>
        <v>0</v>
      </c>
      <c r="AO19" s="24">
        <f t="shared" ca="1" si="7"/>
        <v>0</v>
      </c>
      <c r="AP19" s="24">
        <f t="shared" ca="1" si="7"/>
        <v>0</v>
      </c>
      <c r="AQ19" s="24">
        <f t="shared" ca="1" si="7"/>
        <v>0</v>
      </c>
      <c r="AR19" s="24">
        <f t="shared" ca="1" si="7"/>
        <v>0</v>
      </c>
      <c r="AS19" s="24">
        <f t="shared" ca="1" si="7"/>
        <v>0</v>
      </c>
      <c r="AT19" s="24">
        <f t="shared" ca="1" si="7"/>
        <v>0</v>
      </c>
      <c r="AU19" s="24">
        <f t="shared" ca="1" si="7"/>
        <v>0</v>
      </c>
      <c r="AV19" s="24">
        <f t="shared" ca="1" si="7"/>
        <v>0</v>
      </c>
      <c r="AW19" s="24">
        <f t="shared" ca="1" si="8"/>
        <v>0</v>
      </c>
      <c r="AX19" s="24">
        <f t="shared" ca="1" si="8"/>
        <v>0</v>
      </c>
      <c r="AY19" s="24">
        <f t="shared" ca="1" si="8"/>
        <v>0</v>
      </c>
      <c r="AZ19" s="24">
        <f t="shared" ca="1" si="8"/>
        <v>0</v>
      </c>
      <c r="BA19" s="24">
        <f t="shared" ca="1" si="8"/>
        <v>0</v>
      </c>
      <c r="BB19" s="24">
        <f t="shared" ca="1" si="8"/>
        <v>0</v>
      </c>
      <c r="BC19" s="24">
        <f t="shared" ca="1" si="8"/>
        <v>0</v>
      </c>
      <c r="BD19" s="24">
        <f t="shared" ca="1" si="8"/>
        <v>0</v>
      </c>
      <c r="BE19" s="24">
        <f t="shared" ca="1" si="8"/>
        <v>0</v>
      </c>
      <c r="BF19" s="24">
        <f t="shared" ca="1" si="8"/>
        <v>0</v>
      </c>
      <c r="BG19" s="24">
        <f t="shared" ca="1" si="8"/>
        <v>210550.44575478268</v>
      </c>
      <c r="BH19" s="24">
        <f t="shared" ca="1" si="8"/>
        <v>0</v>
      </c>
      <c r="BI19" s="24">
        <f t="shared" ca="1" si="8"/>
        <v>0</v>
      </c>
      <c r="BJ19" s="24">
        <f t="shared" ca="1" si="8"/>
        <v>0</v>
      </c>
      <c r="BK19" s="24">
        <f t="shared" ca="1" si="8"/>
        <v>0</v>
      </c>
    </row>
    <row r="20" spans="2:63" ht="13.5" customHeight="1">
      <c r="B20" s="258"/>
      <c r="C20" s="257" t="str">
        <f>'A&amp;R'!X24</f>
        <v>합계</v>
      </c>
      <c r="D20" s="230"/>
      <c r="E20" s="230"/>
      <c r="F20" s="197" t="b">
        <f ca="1">ABS(G20-'A&amp;R'!W17)&lt;0.001</f>
        <v>1</v>
      </c>
      <c r="G20" s="230">
        <f t="shared" ca="1" si="1"/>
        <v>701834.81918260898</v>
      </c>
      <c r="H20" s="230"/>
      <c r="I20" s="230">
        <f t="shared" ref="I20:AN20" ca="1" si="9">SUM(I12:I19)</f>
        <v>0</v>
      </c>
      <c r="J20" s="230">
        <f t="shared" ca="1" si="9"/>
        <v>0</v>
      </c>
      <c r="K20" s="230">
        <f t="shared" ca="1" si="9"/>
        <v>0</v>
      </c>
      <c r="L20" s="230">
        <f t="shared" ca="1" si="9"/>
        <v>0</v>
      </c>
      <c r="M20" s="230">
        <f t="shared" ca="1" si="9"/>
        <v>0</v>
      </c>
      <c r="N20" s="230">
        <f t="shared" ca="1" si="9"/>
        <v>0</v>
      </c>
      <c r="O20" s="230">
        <f t="shared" ca="1" si="9"/>
        <v>0</v>
      </c>
      <c r="P20" s="230">
        <f t="shared" ca="1" si="9"/>
        <v>0</v>
      </c>
      <c r="Q20" s="230">
        <f t="shared" ca="1" si="9"/>
        <v>0</v>
      </c>
      <c r="R20" s="230">
        <f t="shared" ca="1" si="9"/>
        <v>0</v>
      </c>
      <c r="S20" s="230">
        <f t="shared" ca="1" si="9"/>
        <v>0</v>
      </c>
      <c r="T20" s="230">
        <f t="shared" ca="1" si="9"/>
        <v>0</v>
      </c>
      <c r="U20" s="230">
        <f t="shared" ca="1" si="9"/>
        <v>0</v>
      </c>
      <c r="V20" s="230">
        <f t="shared" ca="1" si="9"/>
        <v>0</v>
      </c>
      <c r="W20" s="230">
        <f t="shared" ca="1" si="9"/>
        <v>0</v>
      </c>
      <c r="X20" s="230">
        <f t="shared" ca="1" si="9"/>
        <v>0</v>
      </c>
      <c r="Y20" s="230">
        <f t="shared" ca="1" si="9"/>
        <v>5848.6234931884073</v>
      </c>
      <c r="Z20" s="230">
        <f t="shared" ca="1" si="9"/>
        <v>5848.6234931884073</v>
      </c>
      <c r="AA20" s="230">
        <f t="shared" ca="1" si="9"/>
        <v>5848.6234931884073</v>
      </c>
      <c r="AB20" s="230">
        <f t="shared" ca="1" si="9"/>
        <v>29243.117465942036</v>
      </c>
      <c r="AC20" s="230">
        <f t="shared" ca="1" si="9"/>
        <v>11697.246986376815</v>
      </c>
      <c r="AD20" s="230">
        <f t="shared" ca="1" si="9"/>
        <v>11697.246986376815</v>
      </c>
      <c r="AE20" s="230">
        <f t="shared" ca="1" si="9"/>
        <v>52637.611438695661</v>
      </c>
      <c r="AF20" s="230">
        <f t="shared" ca="1" si="9"/>
        <v>17545.870479565223</v>
      </c>
      <c r="AG20" s="230">
        <f t="shared" ca="1" si="9"/>
        <v>17545.870479565223</v>
      </c>
      <c r="AH20" s="230">
        <f t="shared" ca="1" si="9"/>
        <v>76032.105411449302</v>
      </c>
      <c r="AI20" s="230">
        <f t="shared" ca="1" si="9"/>
        <v>23394.493972753629</v>
      </c>
      <c r="AJ20" s="230">
        <f t="shared" ca="1" si="9"/>
        <v>23394.493972753629</v>
      </c>
      <c r="AK20" s="230">
        <f t="shared" ca="1" si="9"/>
        <v>70183.481918260892</v>
      </c>
      <c r="AL20" s="230">
        <f t="shared" ca="1" si="9"/>
        <v>0</v>
      </c>
      <c r="AM20" s="230">
        <f t="shared" ca="1" si="9"/>
        <v>0</v>
      </c>
      <c r="AN20" s="230">
        <f t="shared" ca="1" si="9"/>
        <v>70183.481918260892</v>
      </c>
      <c r="AO20" s="230">
        <f t="shared" ref="AO20:BK20" ca="1" si="10">SUM(AO12:AO19)</f>
        <v>0</v>
      </c>
      <c r="AP20" s="230">
        <f t="shared" ca="1" si="10"/>
        <v>0</v>
      </c>
      <c r="AQ20" s="230">
        <f t="shared" ca="1" si="10"/>
        <v>70183.481918260892</v>
      </c>
      <c r="AR20" s="230">
        <f t="shared" ca="1" si="10"/>
        <v>0</v>
      </c>
      <c r="AS20" s="230">
        <f t="shared" ca="1" si="10"/>
        <v>0</v>
      </c>
      <c r="AT20" s="230">
        <f t="shared" ca="1" si="10"/>
        <v>0</v>
      </c>
      <c r="AU20" s="230">
        <f t="shared" ca="1" si="10"/>
        <v>0</v>
      </c>
      <c r="AV20" s="230">
        <f t="shared" ca="1" si="10"/>
        <v>0</v>
      </c>
      <c r="AW20" s="230">
        <f t="shared" ca="1" si="10"/>
        <v>0</v>
      </c>
      <c r="AX20" s="230">
        <f t="shared" ca="1" si="10"/>
        <v>0</v>
      </c>
      <c r="AY20" s="230">
        <f t="shared" ca="1" si="10"/>
        <v>0</v>
      </c>
      <c r="AZ20" s="230">
        <f t="shared" ca="1" si="10"/>
        <v>0</v>
      </c>
      <c r="BA20" s="230">
        <f t="shared" ca="1" si="10"/>
        <v>0</v>
      </c>
      <c r="BB20" s="230">
        <f t="shared" ca="1" si="10"/>
        <v>0</v>
      </c>
      <c r="BC20" s="230">
        <f t="shared" ca="1" si="10"/>
        <v>0</v>
      </c>
      <c r="BD20" s="230">
        <f t="shared" ca="1" si="10"/>
        <v>0</v>
      </c>
      <c r="BE20" s="230">
        <f t="shared" ca="1" si="10"/>
        <v>0</v>
      </c>
      <c r="BF20" s="230">
        <f t="shared" ca="1" si="10"/>
        <v>0</v>
      </c>
      <c r="BG20" s="230">
        <f t="shared" ca="1" si="10"/>
        <v>210550.44575478268</v>
      </c>
      <c r="BH20" s="230">
        <f t="shared" ca="1" si="10"/>
        <v>0</v>
      </c>
      <c r="BI20" s="230">
        <f t="shared" ca="1" si="10"/>
        <v>0</v>
      </c>
      <c r="BJ20" s="230">
        <f t="shared" ca="1" si="10"/>
        <v>0</v>
      </c>
      <c r="BK20" s="230">
        <f t="shared" ca="1" si="10"/>
        <v>0</v>
      </c>
    </row>
    <row r="21" spans="2:63" ht="13.5" customHeight="1">
      <c r="B21" s="1" t="s">
        <v>54</v>
      </c>
      <c r="G21" s="11">
        <f>'A&amp;R'!W23</f>
        <v>33042.074999999997</v>
      </c>
    </row>
    <row r="22" spans="2:63" ht="13.5" customHeight="1">
      <c r="C22" s="30" t="str">
        <f>C10</f>
        <v>분양률</v>
      </c>
      <c r="D22" s="22"/>
      <c r="E22" s="22"/>
      <c r="F22" s="22"/>
      <c r="G22" s="254"/>
      <c r="H22" s="22"/>
      <c r="I22" s="254">
        <f>(I$8&gt;='A&amp;R'!$AD$12)*(I$8&lt;='A&amp;R'!$AD$14)*(1/'A&amp;R'!$AD$13)</f>
        <v>0</v>
      </c>
      <c r="J22" s="254">
        <f>(J$8&gt;='A&amp;R'!$AD$12)*(J$8&lt;='A&amp;R'!$AD$14)*(1/'A&amp;R'!$AD$13)</f>
        <v>0</v>
      </c>
      <c r="K22" s="254">
        <f>(K$8&gt;='A&amp;R'!$AD$12)*(K$8&lt;='A&amp;R'!$AD$14)*(1/'A&amp;R'!$AD$13)</f>
        <v>0</v>
      </c>
      <c r="L22" s="254">
        <f>(L$8&gt;='A&amp;R'!$AD$12)*(L$8&lt;='A&amp;R'!$AD$14)*(1/'A&amp;R'!$AD$13)</f>
        <v>0</v>
      </c>
      <c r="M22" s="254">
        <f>(M$8&gt;='A&amp;R'!$AD$12)*(M$8&lt;='A&amp;R'!$AD$14)*(1/'A&amp;R'!$AD$13)</f>
        <v>0</v>
      </c>
      <c r="N22" s="254">
        <f>(N$8&gt;='A&amp;R'!$AD$12)*(N$8&lt;='A&amp;R'!$AD$14)*(1/'A&amp;R'!$AD$13)</f>
        <v>0</v>
      </c>
      <c r="O22" s="254">
        <f>(O$8&gt;='A&amp;R'!$AD$12)*(O$8&lt;='A&amp;R'!$AD$14)*(1/'A&amp;R'!$AD$13)</f>
        <v>0</v>
      </c>
      <c r="P22" s="254">
        <f>(P$8&gt;='A&amp;R'!$AD$12)*(P$8&lt;='A&amp;R'!$AD$14)*(1/'A&amp;R'!$AD$13)</f>
        <v>0</v>
      </c>
      <c r="Q22" s="254">
        <f>(Q$8&gt;='A&amp;R'!$AD$12)*(Q$8&lt;='A&amp;R'!$AD$14)*(1/'A&amp;R'!$AD$13)</f>
        <v>0</v>
      </c>
      <c r="R22" s="254">
        <f>(R$8&gt;='A&amp;R'!$AD$12)*(R$8&lt;='A&amp;R'!$AD$14)*(1/'A&amp;R'!$AD$13)</f>
        <v>0</v>
      </c>
      <c r="S22" s="254">
        <f>(S$8&gt;='A&amp;R'!$AD$12)*(S$8&lt;='A&amp;R'!$AD$14)*(1/'A&amp;R'!$AD$13)</f>
        <v>0</v>
      </c>
      <c r="T22" s="254">
        <f>(T$8&gt;='A&amp;R'!$AD$12)*(T$8&lt;='A&amp;R'!$AD$14)*(1/'A&amp;R'!$AD$13)</f>
        <v>0</v>
      </c>
      <c r="U22" s="254">
        <f>(U$8&gt;='A&amp;R'!$AD$12)*(U$8&lt;='A&amp;R'!$AD$14)*(1/'A&amp;R'!$AD$13)</f>
        <v>0</v>
      </c>
      <c r="V22" s="254">
        <f>(V$8&gt;='A&amp;R'!$AD$12)*(V$8&lt;='A&amp;R'!$AD$14)*(1/'A&amp;R'!$AD$13)</f>
        <v>0</v>
      </c>
      <c r="W22" s="254">
        <f>(W$8&gt;='A&amp;R'!$AD$12)*(W$8&lt;='A&amp;R'!$AD$14)*(1/'A&amp;R'!$AD$13)</f>
        <v>0</v>
      </c>
      <c r="X22" s="254">
        <f>(X$8&gt;='A&amp;R'!$AD$12)*(X$8&lt;='A&amp;R'!$AD$14)*(1/'A&amp;R'!$AD$13)</f>
        <v>0</v>
      </c>
      <c r="Y22" s="254">
        <f>(Y$8&gt;='A&amp;R'!$AD$12)*(Y$8&lt;='A&amp;R'!$AD$14)*(1/'A&amp;R'!$AD$13)</f>
        <v>0</v>
      </c>
      <c r="Z22" s="254">
        <f>(Z$8&gt;='A&amp;R'!$AD$12)*(Z$8&lt;='A&amp;R'!$AD$14)*(1/'A&amp;R'!$AD$13)</f>
        <v>0</v>
      </c>
      <c r="AA22" s="254">
        <f>(AA$8&gt;='A&amp;R'!$AD$12)*(AA$8&lt;='A&amp;R'!$AD$14)*(1/'A&amp;R'!$AD$13)</f>
        <v>0</v>
      </c>
      <c r="AB22" s="254">
        <f>(AB$8&gt;='A&amp;R'!$AD$12)*(AB$8&lt;='A&amp;R'!$AD$14)*(1/'A&amp;R'!$AD$13)</f>
        <v>0</v>
      </c>
      <c r="AC22" s="254">
        <f>(AC$8&gt;='A&amp;R'!$AD$12)*(AC$8&lt;='A&amp;R'!$AD$14)*(1/'A&amp;R'!$AD$13)</f>
        <v>0</v>
      </c>
      <c r="AD22" s="254">
        <f>(AD$8&gt;='A&amp;R'!$AD$12)*(AD$8&lt;='A&amp;R'!$AD$14)*(1/'A&amp;R'!$AD$13)</f>
        <v>0</v>
      </c>
      <c r="AE22" s="254">
        <f>(AE$8&gt;='A&amp;R'!$AD$12)*(AE$8&lt;='A&amp;R'!$AD$14)*(1/'A&amp;R'!$AD$13)</f>
        <v>0</v>
      </c>
      <c r="AF22" s="254">
        <f>(AF$8&gt;='A&amp;R'!$AD$12)*(AF$8&lt;='A&amp;R'!$AD$14)*(1/'A&amp;R'!$AD$13)</f>
        <v>0</v>
      </c>
      <c r="AG22" s="254">
        <f>(AG$8&gt;='A&amp;R'!$AD$12)*(AG$8&lt;='A&amp;R'!$AD$14)*(1/'A&amp;R'!$AD$13)</f>
        <v>0</v>
      </c>
      <c r="AH22" s="254">
        <f>(AH$8&gt;='A&amp;R'!$AD$12)*(AH$8&lt;='A&amp;R'!$AD$14)*(1/'A&amp;R'!$AD$13)</f>
        <v>0</v>
      </c>
      <c r="AI22" s="254">
        <f>(AI$8&gt;='A&amp;R'!$AD$12)*(AI$8&lt;='A&amp;R'!$AD$14)*(1/'A&amp;R'!$AD$13)</f>
        <v>0</v>
      </c>
      <c r="AJ22" s="254">
        <f>(AJ$8&gt;='A&amp;R'!$AD$12)*(AJ$8&lt;='A&amp;R'!$AD$14)*(1/'A&amp;R'!$AD$13)</f>
        <v>0</v>
      </c>
      <c r="AK22" s="254">
        <f>(AK$8&gt;='A&amp;R'!$AD$12)*(AK$8&lt;='A&amp;R'!$AD$14)*(1/'A&amp;R'!$AD$13)</f>
        <v>0</v>
      </c>
      <c r="AL22" s="254">
        <f>(AL$8&gt;='A&amp;R'!$AD$12)*(AL$8&lt;='A&amp;R'!$AD$14)*(1/'A&amp;R'!$AD$13)</f>
        <v>0</v>
      </c>
      <c r="AM22" s="254">
        <f>(AM$8&gt;='A&amp;R'!$AD$12)*(AM$8&lt;='A&amp;R'!$AD$14)*(1/'A&amp;R'!$AD$13)</f>
        <v>0</v>
      </c>
      <c r="AN22" s="254">
        <f>(AN$8&gt;='A&amp;R'!$AD$12)*(AN$8&lt;='A&amp;R'!$AD$14)*(1/'A&amp;R'!$AD$13)</f>
        <v>0</v>
      </c>
      <c r="AO22" s="254">
        <f>(AO$8&gt;='A&amp;R'!$AD$12)*(AO$8&lt;='A&amp;R'!$AD$14)*(1/'A&amp;R'!$AD$13)</f>
        <v>0</v>
      </c>
      <c r="AP22" s="254">
        <f>(AP$8&gt;='A&amp;R'!$AD$12)*(AP$8&lt;='A&amp;R'!$AD$14)*(1/'A&amp;R'!$AD$13)</f>
        <v>0</v>
      </c>
      <c r="AQ22" s="254">
        <f>(AQ$8&gt;='A&amp;R'!$AD$12)*(AQ$8&lt;='A&amp;R'!$AD$14)*(1/'A&amp;R'!$AD$13)</f>
        <v>0</v>
      </c>
      <c r="AR22" s="254">
        <f>(AR$8&gt;='A&amp;R'!$AD$12)*(AR$8&lt;='A&amp;R'!$AD$14)*(1/'A&amp;R'!$AD$13)</f>
        <v>0</v>
      </c>
      <c r="AS22" s="254">
        <f>(AS$8&gt;='A&amp;R'!$AD$12)*(AS$8&lt;='A&amp;R'!$AD$14)*(1/'A&amp;R'!$AD$13)</f>
        <v>0</v>
      </c>
      <c r="AT22" s="254">
        <f>(AT$8&gt;='A&amp;R'!$AD$12)*(AT$8&lt;='A&amp;R'!$AD$14)*(1/'A&amp;R'!$AD$13)</f>
        <v>0</v>
      </c>
      <c r="AU22" s="254">
        <f>(AU$8&gt;='A&amp;R'!$AD$12)*(AU$8&lt;='A&amp;R'!$AD$14)*(1/'A&amp;R'!$AD$13)</f>
        <v>0</v>
      </c>
      <c r="AV22" s="254">
        <f>(AV$8&gt;='A&amp;R'!$AD$12)*(AV$8&lt;='A&amp;R'!$AD$14)*(1/'A&amp;R'!$AD$13)</f>
        <v>0</v>
      </c>
      <c r="AW22" s="254">
        <f>(AW$8&gt;='A&amp;R'!$AD$12)*(AW$8&lt;='A&amp;R'!$AD$14)*(1/'A&amp;R'!$AD$13)</f>
        <v>0</v>
      </c>
      <c r="AX22" s="254">
        <f>(AX$8&gt;='A&amp;R'!$AD$12)*(AX$8&lt;='A&amp;R'!$AD$14)*(1/'A&amp;R'!$AD$13)</f>
        <v>0</v>
      </c>
      <c r="AY22" s="254">
        <f>(AY$8&gt;='A&amp;R'!$AD$12)*(AY$8&lt;='A&amp;R'!$AD$14)*(1/'A&amp;R'!$AD$13)</f>
        <v>0</v>
      </c>
      <c r="AZ22" s="254">
        <f>(AZ$8&gt;='A&amp;R'!$AD$12)*(AZ$8&lt;='A&amp;R'!$AD$14)*(1/'A&amp;R'!$AD$13)</f>
        <v>0</v>
      </c>
      <c r="BA22" s="254">
        <f>(BA$8&gt;='A&amp;R'!$AD$12)*(BA$8&lt;='A&amp;R'!$AD$14)*(1/'A&amp;R'!$AD$13)</f>
        <v>0</v>
      </c>
      <c r="BB22" s="254">
        <f>(BB$8&gt;='A&amp;R'!$AD$12)*(BB$8&lt;='A&amp;R'!$AD$14)*(1/'A&amp;R'!$AD$13)</f>
        <v>0</v>
      </c>
      <c r="BC22" s="254">
        <f>(BC$8&gt;='A&amp;R'!$AD$12)*(BC$8&lt;='A&amp;R'!$AD$14)*(1/'A&amp;R'!$AD$13)</f>
        <v>0.33333333333333331</v>
      </c>
      <c r="BD22" s="254">
        <f>(BD$8&gt;='A&amp;R'!$AD$12)*(BD$8&lt;='A&amp;R'!$AD$14)*(1/'A&amp;R'!$AD$13)</f>
        <v>0.33333333333333331</v>
      </c>
      <c r="BE22" s="254">
        <f>(BE$8&gt;='A&amp;R'!$AD$12)*(BE$8&lt;='A&amp;R'!$AD$14)*(1/'A&amp;R'!$AD$13)</f>
        <v>0.33333333333333331</v>
      </c>
      <c r="BF22" s="254">
        <f>(BF$8&gt;='A&amp;R'!$AD$12)*(BF$8&lt;='A&amp;R'!$AD$14)*(1/'A&amp;R'!$AD$13)</f>
        <v>0</v>
      </c>
      <c r="BG22" s="254">
        <f>(BG$8&gt;='A&amp;R'!$AD$12)*(BG$8&lt;='A&amp;R'!$AD$14)*(1/'A&amp;R'!$AD$13)</f>
        <v>0</v>
      </c>
      <c r="BH22" s="254">
        <f>(BH$8&gt;='A&amp;R'!$AD$12)*(BH$8&lt;='A&amp;R'!$AD$14)*(1/'A&amp;R'!$AD$13)</f>
        <v>0</v>
      </c>
      <c r="BI22" s="254">
        <f>(BI$8&gt;='A&amp;R'!$AD$12)*(BI$8&lt;='A&amp;R'!$AD$14)*(1/'A&amp;R'!$AD$13)</f>
        <v>0</v>
      </c>
      <c r="BJ22" s="254">
        <f>(BJ$8&gt;='A&amp;R'!$AD$12)*(BJ$8&lt;='A&amp;R'!$AD$14)*(1/'A&amp;R'!$AD$13)</f>
        <v>0</v>
      </c>
      <c r="BK22" s="254">
        <f>(BK$8&gt;='A&amp;R'!$AD$12)*(BK$8&lt;='A&amp;R'!$AD$14)*(1/'A&amp;R'!$AD$13)</f>
        <v>0</v>
      </c>
    </row>
    <row r="23" spans="2:63" ht="13.5" customHeight="1">
      <c r="C23" s="33" t="str">
        <f t="shared" ref="C23:C32" si="11">C11</f>
        <v>누적분양률</v>
      </c>
      <c r="D23" s="24"/>
      <c r="E23" s="24"/>
      <c r="F23" s="24"/>
      <c r="G23" s="24"/>
      <c r="H23" s="24"/>
      <c r="I23" s="140">
        <f>SUM($I22:I22)</f>
        <v>0</v>
      </c>
      <c r="J23" s="140">
        <f>SUM($I22:J22)</f>
        <v>0</v>
      </c>
      <c r="K23" s="140">
        <f>SUM($I22:K22)</f>
        <v>0</v>
      </c>
      <c r="L23" s="140">
        <f>SUM($I22:L22)</f>
        <v>0</v>
      </c>
      <c r="M23" s="140">
        <f>SUM($I22:M22)</f>
        <v>0</v>
      </c>
      <c r="N23" s="140">
        <f>SUM($I22:N22)</f>
        <v>0</v>
      </c>
      <c r="O23" s="140">
        <f>SUM($I22:O22)</f>
        <v>0</v>
      </c>
      <c r="P23" s="140">
        <f>SUM($I22:P22)</f>
        <v>0</v>
      </c>
      <c r="Q23" s="140">
        <f>SUM($I22:Q22)</f>
        <v>0</v>
      </c>
      <c r="R23" s="140">
        <f>SUM($I22:R22)</f>
        <v>0</v>
      </c>
      <c r="S23" s="140">
        <f>SUM($I22:S22)</f>
        <v>0</v>
      </c>
      <c r="T23" s="140">
        <f>SUM($I22:T22)</f>
        <v>0</v>
      </c>
      <c r="U23" s="140">
        <f>SUM($I22:U22)</f>
        <v>0</v>
      </c>
      <c r="V23" s="140">
        <f>SUM($I22:V22)</f>
        <v>0</v>
      </c>
      <c r="W23" s="140">
        <f>SUM($I22:W22)</f>
        <v>0</v>
      </c>
      <c r="X23" s="140">
        <f>SUM($I22:X22)</f>
        <v>0</v>
      </c>
      <c r="Y23" s="140">
        <f>SUM($I22:Y22)</f>
        <v>0</v>
      </c>
      <c r="Z23" s="140">
        <f>SUM($I22:Z22)</f>
        <v>0</v>
      </c>
      <c r="AA23" s="140">
        <f>SUM($I22:AA22)</f>
        <v>0</v>
      </c>
      <c r="AB23" s="140">
        <f>SUM($I22:AB22)</f>
        <v>0</v>
      </c>
      <c r="AC23" s="140">
        <f>SUM($I22:AC22)</f>
        <v>0</v>
      </c>
      <c r="AD23" s="140">
        <f>SUM($I22:AD22)</f>
        <v>0</v>
      </c>
      <c r="AE23" s="140">
        <f>SUM($I22:AE22)</f>
        <v>0</v>
      </c>
      <c r="AF23" s="140">
        <f>SUM($I22:AF22)</f>
        <v>0</v>
      </c>
      <c r="AG23" s="140">
        <f>SUM($I22:AG22)</f>
        <v>0</v>
      </c>
      <c r="AH23" s="140">
        <f>SUM($I22:AH22)</f>
        <v>0</v>
      </c>
      <c r="AI23" s="140">
        <f>SUM($I22:AI22)</f>
        <v>0</v>
      </c>
      <c r="AJ23" s="140">
        <f>SUM($I22:AJ22)</f>
        <v>0</v>
      </c>
      <c r="AK23" s="140">
        <f>SUM($I22:AK22)</f>
        <v>0</v>
      </c>
      <c r="AL23" s="140">
        <f>SUM($I22:AL22)</f>
        <v>0</v>
      </c>
      <c r="AM23" s="140">
        <f>SUM($I22:AM22)</f>
        <v>0</v>
      </c>
      <c r="AN23" s="140">
        <f>SUM($I22:AN22)</f>
        <v>0</v>
      </c>
      <c r="AO23" s="140">
        <f>SUM($I22:AO22)</f>
        <v>0</v>
      </c>
      <c r="AP23" s="140">
        <f>SUM($I22:AP22)</f>
        <v>0</v>
      </c>
      <c r="AQ23" s="140">
        <f>SUM($I22:AQ22)</f>
        <v>0</v>
      </c>
      <c r="AR23" s="140">
        <f>SUM($I22:AR22)</f>
        <v>0</v>
      </c>
      <c r="AS23" s="140">
        <f>SUM($I22:AS22)</f>
        <v>0</v>
      </c>
      <c r="AT23" s="140">
        <f>SUM($I22:AT22)</f>
        <v>0</v>
      </c>
      <c r="AU23" s="140">
        <f>SUM($I22:AU22)</f>
        <v>0</v>
      </c>
      <c r="AV23" s="140">
        <f>SUM($I22:AV22)</f>
        <v>0</v>
      </c>
      <c r="AW23" s="140">
        <f>SUM($I22:AW22)</f>
        <v>0</v>
      </c>
      <c r="AX23" s="140">
        <f>SUM($I22:AX22)</f>
        <v>0</v>
      </c>
      <c r="AY23" s="140">
        <f>SUM($I22:AY22)</f>
        <v>0</v>
      </c>
      <c r="AZ23" s="140">
        <f>SUM($I22:AZ22)</f>
        <v>0</v>
      </c>
      <c r="BA23" s="140">
        <f>SUM($I22:BA22)</f>
        <v>0</v>
      </c>
      <c r="BB23" s="140">
        <f>SUM($I22:BB22)</f>
        <v>0</v>
      </c>
      <c r="BC23" s="140">
        <f>SUM($I22:BC22)</f>
        <v>0.33333333333333331</v>
      </c>
      <c r="BD23" s="140">
        <f>SUM($I22:BD22)</f>
        <v>0.66666666666666663</v>
      </c>
      <c r="BE23" s="140">
        <f>SUM($I22:BE22)</f>
        <v>1</v>
      </c>
      <c r="BF23" s="140">
        <f>SUM($I22:BF22)</f>
        <v>1</v>
      </c>
      <c r="BG23" s="140">
        <f>SUM($I22:BG22)</f>
        <v>1</v>
      </c>
      <c r="BH23" s="140">
        <f>SUM($I22:BH22)</f>
        <v>1</v>
      </c>
      <c r="BI23" s="140">
        <f>SUM($I22:BI22)</f>
        <v>1</v>
      </c>
      <c r="BJ23" s="140">
        <f>SUM($I22:BJ22)</f>
        <v>1</v>
      </c>
      <c r="BK23" s="140">
        <f>SUM($I22:BK22)</f>
        <v>1</v>
      </c>
    </row>
    <row r="24" spans="2:63" ht="13.5" customHeight="1">
      <c r="C24" s="31" t="str">
        <f t="shared" si="11"/>
        <v>계약금</v>
      </c>
      <c r="D24" s="32"/>
      <c r="E24" s="255">
        <f>'A&amp;R'!AB16</f>
        <v>0.1</v>
      </c>
      <c r="F24" s="256">
        <f>'A&amp;R'!AD16</f>
        <v>45777</v>
      </c>
      <c r="G24" s="32">
        <f>SUM(H24:XFD24)</f>
        <v>3304.2074999999995</v>
      </c>
      <c r="H24" s="32"/>
      <c r="I24" s="32">
        <f>$G$21*I$22*$E24</f>
        <v>0</v>
      </c>
      <c r="J24" s="32">
        <f t="shared" ref="J24:BK24" si="12">$G$21*J$22*$E24</f>
        <v>0</v>
      </c>
      <c r="K24" s="32">
        <f t="shared" si="12"/>
        <v>0</v>
      </c>
      <c r="L24" s="32">
        <f t="shared" si="12"/>
        <v>0</v>
      </c>
      <c r="M24" s="32">
        <f t="shared" si="12"/>
        <v>0</v>
      </c>
      <c r="N24" s="32">
        <f t="shared" si="12"/>
        <v>0</v>
      </c>
      <c r="O24" s="32">
        <f t="shared" si="12"/>
        <v>0</v>
      </c>
      <c r="P24" s="32">
        <f t="shared" si="12"/>
        <v>0</v>
      </c>
      <c r="Q24" s="32">
        <f t="shared" si="12"/>
        <v>0</v>
      </c>
      <c r="R24" s="32">
        <f t="shared" si="12"/>
        <v>0</v>
      </c>
      <c r="S24" s="32">
        <f t="shared" si="12"/>
        <v>0</v>
      </c>
      <c r="T24" s="32">
        <f t="shared" si="12"/>
        <v>0</v>
      </c>
      <c r="U24" s="32">
        <f t="shared" si="12"/>
        <v>0</v>
      </c>
      <c r="V24" s="32">
        <f t="shared" si="12"/>
        <v>0</v>
      </c>
      <c r="W24" s="32">
        <f t="shared" si="12"/>
        <v>0</v>
      </c>
      <c r="X24" s="32">
        <f t="shared" si="12"/>
        <v>0</v>
      </c>
      <c r="Y24" s="32">
        <f t="shared" si="12"/>
        <v>0</v>
      </c>
      <c r="Z24" s="32">
        <f t="shared" si="12"/>
        <v>0</v>
      </c>
      <c r="AA24" s="32">
        <f t="shared" si="12"/>
        <v>0</v>
      </c>
      <c r="AB24" s="32">
        <f t="shared" si="12"/>
        <v>0</v>
      </c>
      <c r="AC24" s="32">
        <f t="shared" si="12"/>
        <v>0</v>
      </c>
      <c r="AD24" s="32">
        <f t="shared" si="12"/>
        <v>0</v>
      </c>
      <c r="AE24" s="32">
        <f t="shared" si="12"/>
        <v>0</v>
      </c>
      <c r="AF24" s="32">
        <f t="shared" si="12"/>
        <v>0</v>
      </c>
      <c r="AG24" s="32">
        <f t="shared" si="12"/>
        <v>0</v>
      </c>
      <c r="AH24" s="32">
        <f t="shared" si="12"/>
        <v>0</v>
      </c>
      <c r="AI24" s="32">
        <f t="shared" si="12"/>
        <v>0</v>
      </c>
      <c r="AJ24" s="32">
        <f t="shared" si="12"/>
        <v>0</v>
      </c>
      <c r="AK24" s="32">
        <f t="shared" si="12"/>
        <v>0</v>
      </c>
      <c r="AL24" s="32">
        <f t="shared" si="12"/>
        <v>0</v>
      </c>
      <c r="AM24" s="32">
        <f t="shared" si="12"/>
        <v>0</v>
      </c>
      <c r="AN24" s="32">
        <f t="shared" si="12"/>
        <v>0</v>
      </c>
      <c r="AO24" s="32">
        <f t="shared" si="12"/>
        <v>0</v>
      </c>
      <c r="AP24" s="32">
        <f t="shared" si="12"/>
        <v>0</v>
      </c>
      <c r="AQ24" s="32">
        <f t="shared" si="12"/>
        <v>0</v>
      </c>
      <c r="AR24" s="32">
        <f t="shared" si="12"/>
        <v>0</v>
      </c>
      <c r="AS24" s="32">
        <f t="shared" si="12"/>
        <v>0</v>
      </c>
      <c r="AT24" s="32">
        <f t="shared" si="12"/>
        <v>0</v>
      </c>
      <c r="AU24" s="32">
        <f t="shared" si="12"/>
        <v>0</v>
      </c>
      <c r="AV24" s="32">
        <f t="shared" si="12"/>
        <v>0</v>
      </c>
      <c r="AW24" s="32">
        <f t="shared" si="12"/>
        <v>0</v>
      </c>
      <c r="AX24" s="32">
        <f t="shared" si="12"/>
        <v>0</v>
      </c>
      <c r="AY24" s="32">
        <f t="shared" si="12"/>
        <v>0</v>
      </c>
      <c r="AZ24" s="32">
        <f t="shared" si="12"/>
        <v>0</v>
      </c>
      <c r="BA24" s="32">
        <f t="shared" si="12"/>
        <v>0</v>
      </c>
      <c r="BB24" s="32">
        <f t="shared" si="12"/>
        <v>0</v>
      </c>
      <c r="BC24" s="32">
        <f t="shared" si="12"/>
        <v>1101.4024999999999</v>
      </c>
      <c r="BD24" s="32">
        <f t="shared" si="12"/>
        <v>1101.4024999999999</v>
      </c>
      <c r="BE24" s="32">
        <f t="shared" si="12"/>
        <v>1101.4024999999999</v>
      </c>
      <c r="BF24" s="32">
        <f t="shared" si="12"/>
        <v>0</v>
      </c>
      <c r="BG24" s="32">
        <f t="shared" si="12"/>
        <v>0</v>
      </c>
      <c r="BH24" s="32">
        <f t="shared" si="12"/>
        <v>0</v>
      </c>
      <c r="BI24" s="32">
        <f t="shared" si="12"/>
        <v>0</v>
      </c>
      <c r="BJ24" s="32">
        <f t="shared" si="12"/>
        <v>0</v>
      </c>
      <c r="BK24" s="32">
        <f t="shared" si="12"/>
        <v>0</v>
      </c>
    </row>
    <row r="25" spans="2:63" ht="13.5" customHeight="1">
      <c r="C25" s="31" t="str">
        <f t="shared" si="11"/>
        <v>중도금1차</v>
      </c>
      <c r="D25" s="32"/>
      <c r="E25" s="255">
        <f>'A&amp;R'!AB17</f>
        <v>0.1</v>
      </c>
      <c r="F25" s="256">
        <f>'A&amp;R'!AD17</f>
        <v>45808</v>
      </c>
      <c r="G25" s="32">
        <f>SUM(H25:XFD25)</f>
        <v>3304.2074999999995</v>
      </c>
      <c r="H25" s="32"/>
      <c r="I25" s="32">
        <f t="shared" ref="I25:R31" si="13">(I$8=$F25)*($G$21*I$23*$E25)+(I$8&gt;$F25)*($G$21*I$22*$E25)</f>
        <v>0</v>
      </c>
      <c r="J25" s="32">
        <f t="shared" si="13"/>
        <v>0</v>
      </c>
      <c r="K25" s="32">
        <f t="shared" si="13"/>
        <v>0</v>
      </c>
      <c r="L25" s="32">
        <f t="shared" si="13"/>
        <v>0</v>
      </c>
      <c r="M25" s="32">
        <f t="shared" si="13"/>
        <v>0</v>
      </c>
      <c r="N25" s="32">
        <f t="shared" si="13"/>
        <v>0</v>
      </c>
      <c r="O25" s="32">
        <f t="shared" si="13"/>
        <v>0</v>
      </c>
      <c r="P25" s="32">
        <f t="shared" si="13"/>
        <v>0</v>
      </c>
      <c r="Q25" s="32">
        <f t="shared" si="13"/>
        <v>0</v>
      </c>
      <c r="R25" s="32">
        <f t="shared" si="13"/>
        <v>0</v>
      </c>
      <c r="S25" s="32">
        <f t="shared" ref="S25:AB31" si="14">(S$8=$F25)*($G$21*S$23*$E25)+(S$8&gt;$F25)*($G$21*S$22*$E25)</f>
        <v>0</v>
      </c>
      <c r="T25" s="32">
        <f t="shared" si="14"/>
        <v>0</v>
      </c>
      <c r="U25" s="32">
        <f t="shared" si="14"/>
        <v>0</v>
      </c>
      <c r="V25" s="32">
        <f t="shared" si="14"/>
        <v>0</v>
      </c>
      <c r="W25" s="32">
        <f t="shared" si="14"/>
        <v>0</v>
      </c>
      <c r="X25" s="32">
        <f t="shared" si="14"/>
        <v>0</v>
      </c>
      <c r="Y25" s="32">
        <f t="shared" si="14"/>
        <v>0</v>
      </c>
      <c r="Z25" s="32">
        <f t="shared" si="14"/>
        <v>0</v>
      </c>
      <c r="AA25" s="32">
        <f t="shared" si="14"/>
        <v>0</v>
      </c>
      <c r="AB25" s="32">
        <f t="shared" si="14"/>
        <v>0</v>
      </c>
      <c r="AC25" s="32">
        <f t="shared" ref="AC25:AL31" si="15">(AC$8=$F25)*($G$21*AC$23*$E25)+(AC$8&gt;$F25)*($G$21*AC$22*$E25)</f>
        <v>0</v>
      </c>
      <c r="AD25" s="32">
        <f t="shared" si="15"/>
        <v>0</v>
      </c>
      <c r="AE25" s="32">
        <f t="shared" si="15"/>
        <v>0</v>
      </c>
      <c r="AF25" s="32">
        <f t="shared" si="15"/>
        <v>0</v>
      </c>
      <c r="AG25" s="32">
        <f t="shared" si="15"/>
        <v>0</v>
      </c>
      <c r="AH25" s="32">
        <f t="shared" si="15"/>
        <v>0</v>
      </c>
      <c r="AI25" s="32">
        <f t="shared" si="15"/>
        <v>0</v>
      </c>
      <c r="AJ25" s="32">
        <f t="shared" si="15"/>
        <v>0</v>
      </c>
      <c r="AK25" s="32">
        <f t="shared" si="15"/>
        <v>0</v>
      </c>
      <c r="AL25" s="32">
        <f t="shared" si="15"/>
        <v>0</v>
      </c>
      <c r="AM25" s="32">
        <f t="shared" ref="AM25:AV31" si="16">(AM$8=$F25)*($G$21*AM$23*$E25)+(AM$8&gt;$F25)*($G$21*AM$22*$E25)</f>
        <v>0</v>
      </c>
      <c r="AN25" s="32">
        <f t="shared" si="16"/>
        <v>0</v>
      </c>
      <c r="AO25" s="32">
        <f t="shared" si="16"/>
        <v>0</v>
      </c>
      <c r="AP25" s="32">
        <f t="shared" si="16"/>
        <v>0</v>
      </c>
      <c r="AQ25" s="32">
        <f t="shared" si="16"/>
        <v>0</v>
      </c>
      <c r="AR25" s="32">
        <f t="shared" si="16"/>
        <v>0</v>
      </c>
      <c r="AS25" s="32">
        <f t="shared" si="16"/>
        <v>0</v>
      </c>
      <c r="AT25" s="32">
        <f t="shared" si="16"/>
        <v>0</v>
      </c>
      <c r="AU25" s="32">
        <f t="shared" si="16"/>
        <v>0</v>
      </c>
      <c r="AV25" s="32">
        <f t="shared" si="16"/>
        <v>0</v>
      </c>
      <c r="AW25" s="32">
        <f t="shared" ref="AW25:BK31" si="17">(AW$8=$F25)*($G$21*AW$23*$E25)+(AW$8&gt;$F25)*($G$21*AW$22*$E25)</f>
        <v>0</v>
      </c>
      <c r="AX25" s="32">
        <f t="shared" si="17"/>
        <v>0</v>
      </c>
      <c r="AY25" s="32">
        <f t="shared" si="17"/>
        <v>0</v>
      </c>
      <c r="AZ25" s="32">
        <f t="shared" si="17"/>
        <v>0</v>
      </c>
      <c r="BA25" s="32">
        <f t="shared" si="17"/>
        <v>0</v>
      </c>
      <c r="BB25" s="32">
        <f t="shared" si="17"/>
        <v>0</v>
      </c>
      <c r="BC25" s="32">
        <f t="shared" si="17"/>
        <v>0</v>
      </c>
      <c r="BD25" s="32">
        <f t="shared" si="17"/>
        <v>2202.8049999999998</v>
      </c>
      <c r="BE25" s="32">
        <f t="shared" si="17"/>
        <v>1101.4024999999999</v>
      </c>
      <c r="BF25" s="32">
        <f t="shared" si="17"/>
        <v>0</v>
      </c>
      <c r="BG25" s="32">
        <f t="shared" si="17"/>
        <v>0</v>
      </c>
      <c r="BH25" s="32">
        <f t="shared" si="17"/>
        <v>0</v>
      </c>
      <c r="BI25" s="32">
        <f t="shared" si="17"/>
        <v>0</v>
      </c>
      <c r="BJ25" s="32">
        <f t="shared" si="17"/>
        <v>0</v>
      </c>
      <c r="BK25" s="32">
        <f t="shared" si="17"/>
        <v>0</v>
      </c>
    </row>
    <row r="26" spans="2:63" ht="13.5" customHeight="1">
      <c r="C26" s="31" t="str">
        <f t="shared" si="11"/>
        <v>중도금2차</v>
      </c>
      <c r="D26" s="32"/>
      <c r="E26" s="255">
        <f>'A&amp;R'!AB18</f>
        <v>0.1</v>
      </c>
      <c r="F26" s="256">
        <f>'A&amp;R'!AD18</f>
        <v>45838</v>
      </c>
      <c r="G26" s="32">
        <f t="shared" ref="G26:G31" si="18">SUM(H26:XFD26)</f>
        <v>3304.2075</v>
      </c>
      <c r="H26" s="32"/>
      <c r="I26" s="32">
        <f t="shared" si="13"/>
        <v>0</v>
      </c>
      <c r="J26" s="32">
        <f t="shared" si="13"/>
        <v>0</v>
      </c>
      <c r="K26" s="32">
        <f t="shared" si="13"/>
        <v>0</v>
      </c>
      <c r="L26" s="32">
        <f t="shared" si="13"/>
        <v>0</v>
      </c>
      <c r="M26" s="32">
        <f t="shared" si="13"/>
        <v>0</v>
      </c>
      <c r="N26" s="32">
        <f t="shared" si="13"/>
        <v>0</v>
      </c>
      <c r="O26" s="32">
        <f t="shared" si="13"/>
        <v>0</v>
      </c>
      <c r="P26" s="32">
        <f t="shared" si="13"/>
        <v>0</v>
      </c>
      <c r="Q26" s="32">
        <f t="shared" si="13"/>
        <v>0</v>
      </c>
      <c r="R26" s="32">
        <f t="shared" si="13"/>
        <v>0</v>
      </c>
      <c r="S26" s="32">
        <f t="shared" si="14"/>
        <v>0</v>
      </c>
      <c r="T26" s="32">
        <f t="shared" si="14"/>
        <v>0</v>
      </c>
      <c r="U26" s="32">
        <f t="shared" si="14"/>
        <v>0</v>
      </c>
      <c r="V26" s="32">
        <f t="shared" si="14"/>
        <v>0</v>
      </c>
      <c r="W26" s="32">
        <f t="shared" si="14"/>
        <v>0</v>
      </c>
      <c r="X26" s="32">
        <f t="shared" si="14"/>
        <v>0</v>
      </c>
      <c r="Y26" s="32">
        <f t="shared" si="14"/>
        <v>0</v>
      </c>
      <c r="Z26" s="32">
        <f t="shared" si="14"/>
        <v>0</v>
      </c>
      <c r="AA26" s="32">
        <f t="shared" si="14"/>
        <v>0</v>
      </c>
      <c r="AB26" s="32">
        <f t="shared" si="14"/>
        <v>0</v>
      </c>
      <c r="AC26" s="32">
        <f t="shared" si="15"/>
        <v>0</v>
      </c>
      <c r="AD26" s="32">
        <f t="shared" si="15"/>
        <v>0</v>
      </c>
      <c r="AE26" s="32">
        <f t="shared" si="15"/>
        <v>0</v>
      </c>
      <c r="AF26" s="32">
        <f t="shared" si="15"/>
        <v>0</v>
      </c>
      <c r="AG26" s="32">
        <f t="shared" si="15"/>
        <v>0</v>
      </c>
      <c r="AH26" s="32">
        <f t="shared" si="15"/>
        <v>0</v>
      </c>
      <c r="AI26" s="32">
        <f t="shared" si="15"/>
        <v>0</v>
      </c>
      <c r="AJ26" s="32">
        <f t="shared" si="15"/>
        <v>0</v>
      </c>
      <c r="AK26" s="32">
        <f t="shared" si="15"/>
        <v>0</v>
      </c>
      <c r="AL26" s="32">
        <f t="shared" si="15"/>
        <v>0</v>
      </c>
      <c r="AM26" s="32">
        <f t="shared" si="16"/>
        <v>0</v>
      </c>
      <c r="AN26" s="32">
        <f t="shared" si="16"/>
        <v>0</v>
      </c>
      <c r="AO26" s="32">
        <f t="shared" si="16"/>
        <v>0</v>
      </c>
      <c r="AP26" s="32">
        <f t="shared" si="16"/>
        <v>0</v>
      </c>
      <c r="AQ26" s="32">
        <f t="shared" si="16"/>
        <v>0</v>
      </c>
      <c r="AR26" s="32">
        <f t="shared" si="16"/>
        <v>0</v>
      </c>
      <c r="AS26" s="32">
        <f t="shared" si="16"/>
        <v>0</v>
      </c>
      <c r="AT26" s="32">
        <f t="shared" si="16"/>
        <v>0</v>
      </c>
      <c r="AU26" s="32">
        <f t="shared" si="16"/>
        <v>0</v>
      </c>
      <c r="AV26" s="32">
        <f t="shared" si="16"/>
        <v>0</v>
      </c>
      <c r="AW26" s="32">
        <f t="shared" si="17"/>
        <v>0</v>
      </c>
      <c r="AX26" s="32">
        <f t="shared" si="17"/>
        <v>0</v>
      </c>
      <c r="AY26" s="32">
        <f t="shared" si="17"/>
        <v>0</v>
      </c>
      <c r="AZ26" s="32">
        <f t="shared" si="17"/>
        <v>0</v>
      </c>
      <c r="BA26" s="32">
        <f t="shared" si="17"/>
        <v>0</v>
      </c>
      <c r="BB26" s="32">
        <f t="shared" si="17"/>
        <v>0</v>
      </c>
      <c r="BC26" s="32">
        <f t="shared" si="17"/>
        <v>0</v>
      </c>
      <c r="BD26" s="32">
        <f t="shared" si="17"/>
        <v>0</v>
      </c>
      <c r="BE26" s="32">
        <f t="shared" si="17"/>
        <v>3304.2075</v>
      </c>
      <c r="BF26" s="32">
        <f t="shared" si="17"/>
        <v>0</v>
      </c>
      <c r="BG26" s="32">
        <f t="shared" si="17"/>
        <v>0</v>
      </c>
      <c r="BH26" s="32">
        <f t="shared" si="17"/>
        <v>0</v>
      </c>
      <c r="BI26" s="32">
        <f t="shared" si="17"/>
        <v>0</v>
      </c>
      <c r="BJ26" s="32">
        <f t="shared" si="17"/>
        <v>0</v>
      </c>
      <c r="BK26" s="32">
        <f t="shared" si="17"/>
        <v>0</v>
      </c>
    </row>
    <row r="27" spans="2:63" ht="13.5" customHeight="1">
      <c r="C27" s="31" t="str">
        <f t="shared" si="11"/>
        <v>중도금3차</v>
      </c>
      <c r="D27" s="32"/>
      <c r="E27" s="255">
        <f>'A&amp;R'!AB19</f>
        <v>0.1</v>
      </c>
      <c r="F27" s="256">
        <f>'A&amp;R'!AD19</f>
        <v>45869</v>
      </c>
      <c r="G27" s="32">
        <f t="shared" si="18"/>
        <v>3304.2075</v>
      </c>
      <c r="H27" s="32"/>
      <c r="I27" s="32">
        <f t="shared" si="13"/>
        <v>0</v>
      </c>
      <c r="J27" s="32">
        <f t="shared" si="13"/>
        <v>0</v>
      </c>
      <c r="K27" s="32">
        <f t="shared" si="13"/>
        <v>0</v>
      </c>
      <c r="L27" s="32">
        <f t="shared" si="13"/>
        <v>0</v>
      </c>
      <c r="M27" s="32">
        <f t="shared" si="13"/>
        <v>0</v>
      </c>
      <c r="N27" s="32">
        <f t="shared" si="13"/>
        <v>0</v>
      </c>
      <c r="O27" s="32">
        <f t="shared" si="13"/>
        <v>0</v>
      </c>
      <c r="P27" s="32">
        <f t="shared" si="13"/>
        <v>0</v>
      </c>
      <c r="Q27" s="32">
        <f t="shared" si="13"/>
        <v>0</v>
      </c>
      <c r="R27" s="32">
        <f t="shared" si="13"/>
        <v>0</v>
      </c>
      <c r="S27" s="32">
        <f t="shared" si="14"/>
        <v>0</v>
      </c>
      <c r="T27" s="32">
        <f t="shared" si="14"/>
        <v>0</v>
      </c>
      <c r="U27" s="32">
        <f t="shared" si="14"/>
        <v>0</v>
      </c>
      <c r="V27" s="32">
        <f t="shared" si="14"/>
        <v>0</v>
      </c>
      <c r="W27" s="32">
        <f t="shared" si="14"/>
        <v>0</v>
      </c>
      <c r="X27" s="32">
        <f t="shared" si="14"/>
        <v>0</v>
      </c>
      <c r="Y27" s="32">
        <f t="shared" si="14"/>
        <v>0</v>
      </c>
      <c r="Z27" s="32">
        <f t="shared" si="14"/>
        <v>0</v>
      </c>
      <c r="AA27" s="32">
        <f t="shared" si="14"/>
        <v>0</v>
      </c>
      <c r="AB27" s="32">
        <f t="shared" si="14"/>
        <v>0</v>
      </c>
      <c r="AC27" s="32">
        <f t="shared" si="15"/>
        <v>0</v>
      </c>
      <c r="AD27" s="32">
        <f t="shared" si="15"/>
        <v>0</v>
      </c>
      <c r="AE27" s="32">
        <f t="shared" si="15"/>
        <v>0</v>
      </c>
      <c r="AF27" s="32">
        <f t="shared" si="15"/>
        <v>0</v>
      </c>
      <c r="AG27" s="32">
        <f t="shared" si="15"/>
        <v>0</v>
      </c>
      <c r="AH27" s="32">
        <f t="shared" si="15"/>
        <v>0</v>
      </c>
      <c r="AI27" s="32">
        <f t="shared" si="15"/>
        <v>0</v>
      </c>
      <c r="AJ27" s="32">
        <f t="shared" si="15"/>
        <v>0</v>
      </c>
      <c r="AK27" s="32">
        <f t="shared" si="15"/>
        <v>0</v>
      </c>
      <c r="AL27" s="32">
        <f t="shared" si="15"/>
        <v>0</v>
      </c>
      <c r="AM27" s="32">
        <f t="shared" si="16"/>
        <v>0</v>
      </c>
      <c r="AN27" s="32">
        <f t="shared" si="16"/>
        <v>0</v>
      </c>
      <c r="AO27" s="32">
        <f t="shared" si="16"/>
        <v>0</v>
      </c>
      <c r="AP27" s="32">
        <f t="shared" si="16"/>
        <v>0</v>
      </c>
      <c r="AQ27" s="32">
        <f t="shared" si="16"/>
        <v>0</v>
      </c>
      <c r="AR27" s="32">
        <f t="shared" si="16"/>
        <v>0</v>
      </c>
      <c r="AS27" s="32">
        <f t="shared" si="16"/>
        <v>0</v>
      </c>
      <c r="AT27" s="32">
        <f t="shared" si="16"/>
        <v>0</v>
      </c>
      <c r="AU27" s="32">
        <f t="shared" si="16"/>
        <v>0</v>
      </c>
      <c r="AV27" s="32">
        <f t="shared" si="16"/>
        <v>0</v>
      </c>
      <c r="AW27" s="32">
        <f t="shared" si="17"/>
        <v>0</v>
      </c>
      <c r="AX27" s="32">
        <f t="shared" si="17"/>
        <v>0</v>
      </c>
      <c r="AY27" s="32">
        <f t="shared" si="17"/>
        <v>0</v>
      </c>
      <c r="AZ27" s="32">
        <f t="shared" si="17"/>
        <v>0</v>
      </c>
      <c r="BA27" s="32">
        <f t="shared" si="17"/>
        <v>0</v>
      </c>
      <c r="BB27" s="32">
        <f t="shared" si="17"/>
        <v>0</v>
      </c>
      <c r="BC27" s="32">
        <f t="shared" si="17"/>
        <v>0</v>
      </c>
      <c r="BD27" s="32">
        <f t="shared" si="17"/>
        <v>0</v>
      </c>
      <c r="BE27" s="32">
        <f t="shared" si="17"/>
        <v>0</v>
      </c>
      <c r="BF27" s="32">
        <f t="shared" si="17"/>
        <v>3304.2075</v>
      </c>
      <c r="BG27" s="32">
        <f t="shared" si="17"/>
        <v>0</v>
      </c>
      <c r="BH27" s="32">
        <f t="shared" si="17"/>
        <v>0</v>
      </c>
      <c r="BI27" s="32">
        <f t="shared" si="17"/>
        <v>0</v>
      </c>
      <c r="BJ27" s="32">
        <f t="shared" si="17"/>
        <v>0</v>
      </c>
      <c r="BK27" s="32">
        <f t="shared" si="17"/>
        <v>0</v>
      </c>
    </row>
    <row r="28" spans="2:63" ht="13.5" customHeight="1">
      <c r="C28" s="31" t="str">
        <f t="shared" si="11"/>
        <v>중도금4차</v>
      </c>
      <c r="D28" s="32"/>
      <c r="E28" s="255">
        <f>'A&amp;R'!AB20</f>
        <v>0</v>
      </c>
      <c r="F28" s="256">
        <f>'A&amp;R'!AD20</f>
        <v>45869</v>
      </c>
      <c r="G28" s="32">
        <f t="shared" si="18"/>
        <v>0</v>
      </c>
      <c r="H28" s="32"/>
      <c r="I28" s="32">
        <f t="shared" si="13"/>
        <v>0</v>
      </c>
      <c r="J28" s="32">
        <f t="shared" si="13"/>
        <v>0</v>
      </c>
      <c r="K28" s="32">
        <f t="shared" si="13"/>
        <v>0</v>
      </c>
      <c r="L28" s="32">
        <f t="shared" si="13"/>
        <v>0</v>
      </c>
      <c r="M28" s="32">
        <f t="shared" si="13"/>
        <v>0</v>
      </c>
      <c r="N28" s="32">
        <f t="shared" si="13"/>
        <v>0</v>
      </c>
      <c r="O28" s="32">
        <f t="shared" si="13"/>
        <v>0</v>
      </c>
      <c r="P28" s="32">
        <f t="shared" si="13"/>
        <v>0</v>
      </c>
      <c r="Q28" s="32">
        <f t="shared" si="13"/>
        <v>0</v>
      </c>
      <c r="R28" s="32">
        <f t="shared" si="13"/>
        <v>0</v>
      </c>
      <c r="S28" s="32">
        <f t="shared" si="14"/>
        <v>0</v>
      </c>
      <c r="T28" s="32">
        <f t="shared" si="14"/>
        <v>0</v>
      </c>
      <c r="U28" s="32">
        <f t="shared" si="14"/>
        <v>0</v>
      </c>
      <c r="V28" s="32">
        <f t="shared" si="14"/>
        <v>0</v>
      </c>
      <c r="W28" s="32">
        <f t="shared" si="14"/>
        <v>0</v>
      </c>
      <c r="X28" s="32">
        <f t="shared" si="14"/>
        <v>0</v>
      </c>
      <c r="Y28" s="32">
        <f t="shared" si="14"/>
        <v>0</v>
      </c>
      <c r="Z28" s="32">
        <f t="shared" si="14"/>
        <v>0</v>
      </c>
      <c r="AA28" s="32">
        <f t="shared" si="14"/>
        <v>0</v>
      </c>
      <c r="AB28" s="32">
        <f t="shared" si="14"/>
        <v>0</v>
      </c>
      <c r="AC28" s="32">
        <f t="shared" si="15"/>
        <v>0</v>
      </c>
      <c r="AD28" s="32">
        <f t="shared" si="15"/>
        <v>0</v>
      </c>
      <c r="AE28" s="32">
        <f t="shared" si="15"/>
        <v>0</v>
      </c>
      <c r="AF28" s="32">
        <f t="shared" si="15"/>
        <v>0</v>
      </c>
      <c r="AG28" s="32">
        <f t="shared" si="15"/>
        <v>0</v>
      </c>
      <c r="AH28" s="32">
        <f t="shared" si="15"/>
        <v>0</v>
      </c>
      <c r="AI28" s="32">
        <f t="shared" si="15"/>
        <v>0</v>
      </c>
      <c r="AJ28" s="32">
        <f t="shared" si="15"/>
        <v>0</v>
      </c>
      <c r="AK28" s="32">
        <f t="shared" si="15"/>
        <v>0</v>
      </c>
      <c r="AL28" s="32">
        <f t="shared" si="15"/>
        <v>0</v>
      </c>
      <c r="AM28" s="32">
        <f t="shared" si="16"/>
        <v>0</v>
      </c>
      <c r="AN28" s="32">
        <f t="shared" si="16"/>
        <v>0</v>
      </c>
      <c r="AO28" s="32">
        <f t="shared" si="16"/>
        <v>0</v>
      </c>
      <c r="AP28" s="32">
        <f t="shared" si="16"/>
        <v>0</v>
      </c>
      <c r="AQ28" s="32">
        <f t="shared" si="16"/>
        <v>0</v>
      </c>
      <c r="AR28" s="32">
        <f t="shared" si="16"/>
        <v>0</v>
      </c>
      <c r="AS28" s="32">
        <f t="shared" si="16"/>
        <v>0</v>
      </c>
      <c r="AT28" s="32">
        <f t="shared" si="16"/>
        <v>0</v>
      </c>
      <c r="AU28" s="32">
        <f t="shared" si="16"/>
        <v>0</v>
      </c>
      <c r="AV28" s="32">
        <f t="shared" si="16"/>
        <v>0</v>
      </c>
      <c r="AW28" s="32">
        <f t="shared" si="17"/>
        <v>0</v>
      </c>
      <c r="AX28" s="32">
        <f t="shared" si="17"/>
        <v>0</v>
      </c>
      <c r="AY28" s="32">
        <f t="shared" si="17"/>
        <v>0</v>
      </c>
      <c r="AZ28" s="32">
        <f t="shared" si="17"/>
        <v>0</v>
      </c>
      <c r="BA28" s="32">
        <f t="shared" si="17"/>
        <v>0</v>
      </c>
      <c r="BB28" s="32">
        <f t="shared" si="17"/>
        <v>0</v>
      </c>
      <c r="BC28" s="32">
        <f t="shared" si="17"/>
        <v>0</v>
      </c>
      <c r="BD28" s="32">
        <f t="shared" si="17"/>
        <v>0</v>
      </c>
      <c r="BE28" s="32">
        <f t="shared" si="17"/>
        <v>0</v>
      </c>
      <c r="BF28" s="32">
        <f t="shared" si="17"/>
        <v>0</v>
      </c>
      <c r="BG28" s="32">
        <f t="shared" si="17"/>
        <v>0</v>
      </c>
      <c r="BH28" s="32">
        <f t="shared" si="17"/>
        <v>0</v>
      </c>
      <c r="BI28" s="32">
        <f t="shared" si="17"/>
        <v>0</v>
      </c>
      <c r="BJ28" s="32">
        <f t="shared" si="17"/>
        <v>0</v>
      </c>
      <c r="BK28" s="32">
        <f t="shared" si="17"/>
        <v>0</v>
      </c>
    </row>
    <row r="29" spans="2:63" ht="13.5" customHeight="1">
      <c r="C29" s="31" t="str">
        <f t="shared" si="11"/>
        <v>중도금5차</v>
      </c>
      <c r="D29" s="32"/>
      <c r="E29" s="255">
        <f>'A&amp;R'!AB21</f>
        <v>0</v>
      </c>
      <c r="F29" s="256">
        <f>'A&amp;R'!AD21</f>
        <v>45869</v>
      </c>
      <c r="G29" s="32">
        <f t="shared" si="18"/>
        <v>0</v>
      </c>
      <c r="H29" s="32"/>
      <c r="I29" s="32">
        <f t="shared" si="13"/>
        <v>0</v>
      </c>
      <c r="J29" s="32">
        <f t="shared" si="13"/>
        <v>0</v>
      </c>
      <c r="K29" s="32">
        <f t="shared" si="13"/>
        <v>0</v>
      </c>
      <c r="L29" s="32">
        <f t="shared" si="13"/>
        <v>0</v>
      </c>
      <c r="M29" s="32">
        <f t="shared" si="13"/>
        <v>0</v>
      </c>
      <c r="N29" s="32">
        <f t="shared" si="13"/>
        <v>0</v>
      </c>
      <c r="O29" s="32">
        <f t="shared" si="13"/>
        <v>0</v>
      </c>
      <c r="P29" s="32">
        <f t="shared" si="13"/>
        <v>0</v>
      </c>
      <c r="Q29" s="32">
        <f t="shared" si="13"/>
        <v>0</v>
      </c>
      <c r="R29" s="32">
        <f t="shared" si="13"/>
        <v>0</v>
      </c>
      <c r="S29" s="32">
        <f t="shared" si="14"/>
        <v>0</v>
      </c>
      <c r="T29" s="32">
        <f t="shared" si="14"/>
        <v>0</v>
      </c>
      <c r="U29" s="32">
        <f t="shared" si="14"/>
        <v>0</v>
      </c>
      <c r="V29" s="32">
        <f t="shared" si="14"/>
        <v>0</v>
      </c>
      <c r="W29" s="32">
        <f t="shared" si="14"/>
        <v>0</v>
      </c>
      <c r="X29" s="32">
        <f t="shared" si="14"/>
        <v>0</v>
      </c>
      <c r="Y29" s="32">
        <f t="shared" si="14"/>
        <v>0</v>
      </c>
      <c r="Z29" s="32">
        <f t="shared" si="14"/>
        <v>0</v>
      </c>
      <c r="AA29" s="32">
        <f t="shared" si="14"/>
        <v>0</v>
      </c>
      <c r="AB29" s="32">
        <f t="shared" si="14"/>
        <v>0</v>
      </c>
      <c r="AC29" s="32">
        <f t="shared" si="15"/>
        <v>0</v>
      </c>
      <c r="AD29" s="32">
        <f t="shared" si="15"/>
        <v>0</v>
      </c>
      <c r="AE29" s="32">
        <f t="shared" si="15"/>
        <v>0</v>
      </c>
      <c r="AF29" s="32">
        <f t="shared" si="15"/>
        <v>0</v>
      </c>
      <c r="AG29" s="32">
        <f t="shared" si="15"/>
        <v>0</v>
      </c>
      <c r="AH29" s="32">
        <f t="shared" si="15"/>
        <v>0</v>
      </c>
      <c r="AI29" s="32">
        <f t="shared" si="15"/>
        <v>0</v>
      </c>
      <c r="AJ29" s="32">
        <f t="shared" si="15"/>
        <v>0</v>
      </c>
      <c r="AK29" s="32">
        <f t="shared" si="15"/>
        <v>0</v>
      </c>
      <c r="AL29" s="32">
        <f t="shared" si="15"/>
        <v>0</v>
      </c>
      <c r="AM29" s="32">
        <f t="shared" si="16"/>
        <v>0</v>
      </c>
      <c r="AN29" s="32">
        <f t="shared" si="16"/>
        <v>0</v>
      </c>
      <c r="AO29" s="32">
        <f t="shared" si="16"/>
        <v>0</v>
      </c>
      <c r="AP29" s="32">
        <f t="shared" si="16"/>
        <v>0</v>
      </c>
      <c r="AQ29" s="32">
        <f t="shared" si="16"/>
        <v>0</v>
      </c>
      <c r="AR29" s="32">
        <f t="shared" si="16"/>
        <v>0</v>
      </c>
      <c r="AS29" s="32">
        <f t="shared" si="16"/>
        <v>0</v>
      </c>
      <c r="AT29" s="32">
        <f t="shared" si="16"/>
        <v>0</v>
      </c>
      <c r="AU29" s="32">
        <f t="shared" si="16"/>
        <v>0</v>
      </c>
      <c r="AV29" s="32">
        <f t="shared" si="16"/>
        <v>0</v>
      </c>
      <c r="AW29" s="32">
        <f t="shared" si="17"/>
        <v>0</v>
      </c>
      <c r="AX29" s="32">
        <f t="shared" si="17"/>
        <v>0</v>
      </c>
      <c r="AY29" s="32">
        <f t="shared" si="17"/>
        <v>0</v>
      </c>
      <c r="AZ29" s="32">
        <f t="shared" si="17"/>
        <v>0</v>
      </c>
      <c r="BA29" s="32">
        <f t="shared" si="17"/>
        <v>0</v>
      </c>
      <c r="BB29" s="32">
        <f t="shared" si="17"/>
        <v>0</v>
      </c>
      <c r="BC29" s="32">
        <f t="shared" si="17"/>
        <v>0</v>
      </c>
      <c r="BD29" s="32">
        <f t="shared" si="17"/>
        <v>0</v>
      </c>
      <c r="BE29" s="32">
        <f t="shared" si="17"/>
        <v>0</v>
      </c>
      <c r="BF29" s="32">
        <f t="shared" si="17"/>
        <v>0</v>
      </c>
      <c r="BG29" s="32">
        <f t="shared" si="17"/>
        <v>0</v>
      </c>
      <c r="BH29" s="32">
        <f t="shared" si="17"/>
        <v>0</v>
      </c>
      <c r="BI29" s="32">
        <f t="shared" si="17"/>
        <v>0</v>
      </c>
      <c r="BJ29" s="32">
        <f t="shared" si="17"/>
        <v>0</v>
      </c>
      <c r="BK29" s="32">
        <f t="shared" si="17"/>
        <v>0</v>
      </c>
    </row>
    <row r="30" spans="2:63" ht="13.5" customHeight="1">
      <c r="C30" s="31" t="str">
        <f t="shared" si="11"/>
        <v>중도금6차</v>
      </c>
      <c r="D30" s="32"/>
      <c r="E30" s="255">
        <f>'A&amp;R'!AB22</f>
        <v>0</v>
      </c>
      <c r="F30" s="256">
        <f>'A&amp;R'!AD22</f>
        <v>45869</v>
      </c>
      <c r="G30" s="32">
        <f t="shared" si="18"/>
        <v>0</v>
      </c>
      <c r="H30" s="32"/>
      <c r="I30" s="32">
        <f t="shared" si="13"/>
        <v>0</v>
      </c>
      <c r="J30" s="32">
        <f t="shared" si="13"/>
        <v>0</v>
      </c>
      <c r="K30" s="32">
        <f t="shared" si="13"/>
        <v>0</v>
      </c>
      <c r="L30" s="32">
        <f t="shared" si="13"/>
        <v>0</v>
      </c>
      <c r="M30" s="32">
        <f t="shared" si="13"/>
        <v>0</v>
      </c>
      <c r="N30" s="32">
        <f t="shared" si="13"/>
        <v>0</v>
      </c>
      <c r="O30" s="32">
        <f t="shared" si="13"/>
        <v>0</v>
      </c>
      <c r="P30" s="32">
        <f t="shared" si="13"/>
        <v>0</v>
      </c>
      <c r="Q30" s="32">
        <f t="shared" si="13"/>
        <v>0</v>
      </c>
      <c r="R30" s="32">
        <f t="shared" si="13"/>
        <v>0</v>
      </c>
      <c r="S30" s="32">
        <f t="shared" si="14"/>
        <v>0</v>
      </c>
      <c r="T30" s="32">
        <f t="shared" si="14"/>
        <v>0</v>
      </c>
      <c r="U30" s="32">
        <f t="shared" si="14"/>
        <v>0</v>
      </c>
      <c r="V30" s="32">
        <f t="shared" si="14"/>
        <v>0</v>
      </c>
      <c r="W30" s="32">
        <f t="shared" si="14"/>
        <v>0</v>
      </c>
      <c r="X30" s="32">
        <f t="shared" si="14"/>
        <v>0</v>
      </c>
      <c r="Y30" s="32">
        <f t="shared" si="14"/>
        <v>0</v>
      </c>
      <c r="Z30" s="32">
        <f t="shared" si="14"/>
        <v>0</v>
      </c>
      <c r="AA30" s="32">
        <f t="shared" si="14"/>
        <v>0</v>
      </c>
      <c r="AB30" s="32">
        <f t="shared" si="14"/>
        <v>0</v>
      </c>
      <c r="AC30" s="32">
        <f t="shared" si="15"/>
        <v>0</v>
      </c>
      <c r="AD30" s="32">
        <f t="shared" si="15"/>
        <v>0</v>
      </c>
      <c r="AE30" s="32">
        <f t="shared" si="15"/>
        <v>0</v>
      </c>
      <c r="AF30" s="32">
        <f t="shared" si="15"/>
        <v>0</v>
      </c>
      <c r="AG30" s="32">
        <f t="shared" si="15"/>
        <v>0</v>
      </c>
      <c r="AH30" s="32">
        <f t="shared" si="15"/>
        <v>0</v>
      </c>
      <c r="AI30" s="32">
        <f t="shared" si="15"/>
        <v>0</v>
      </c>
      <c r="AJ30" s="32">
        <f t="shared" si="15"/>
        <v>0</v>
      </c>
      <c r="AK30" s="32">
        <f t="shared" si="15"/>
        <v>0</v>
      </c>
      <c r="AL30" s="32">
        <f t="shared" si="15"/>
        <v>0</v>
      </c>
      <c r="AM30" s="32">
        <f t="shared" si="16"/>
        <v>0</v>
      </c>
      <c r="AN30" s="32">
        <f t="shared" si="16"/>
        <v>0</v>
      </c>
      <c r="AO30" s="32">
        <f t="shared" si="16"/>
        <v>0</v>
      </c>
      <c r="AP30" s="32">
        <f t="shared" si="16"/>
        <v>0</v>
      </c>
      <c r="AQ30" s="32">
        <f t="shared" si="16"/>
        <v>0</v>
      </c>
      <c r="AR30" s="32">
        <f t="shared" si="16"/>
        <v>0</v>
      </c>
      <c r="AS30" s="32">
        <f t="shared" si="16"/>
        <v>0</v>
      </c>
      <c r="AT30" s="32">
        <f t="shared" si="16"/>
        <v>0</v>
      </c>
      <c r="AU30" s="32">
        <f t="shared" si="16"/>
        <v>0</v>
      </c>
      <c r="AV30" s="32">
        <f t="shared" si="16"/>
        <v>0</v>
      </c>
      <c r="AW30" s="32">
        <f t="shared" si="17"/>
        <v>0</v>
      </c>
      <c r="AX30" s="32">
        <f t="shared" si="17"/>
        <v>0</v>
      </c>
      <c r="AY30" s="32">
        <f t="shared" si="17"/>
        <v>0</v>
      </c>
      <c r="AZ30" s="32">
        <f t="shared" si="17"/>
        <v>0</v>
      </c>
      <c r="BA30" s="32">
        <f t="shared" si="17"/>
        <v>0</v>
      </c>
      <c r="BB30" s="32">
        <f t="shared" si="17"/>
        <v>0</v>
      </c>
      <c r="BC30" s="32">
        <f t="shared" si="17"/>
        <v>0</v>
      </c>
      <c r="BD30" s="32">
        <f t="shared" si="17"/>
        <v>0</v>
      </c>
      <c r="BE30" s="32">
        <f t="shared" si="17"/>
        <v>0</v>
      </c>
      <c r="BF30" s="32">
        <f t="shared" si="17"/>
        <v>0</v>
      </c>
      <c r="BG30" s="32">
        <f t="shared" si="17"/>
        <v>0</v>
      </c>
      <c r="BH30" s="32">
        <f t="shared" si="17"/>
        <v>0</v>
      </c>
      <c r="BI30" s="32">
        <f t="shared" si="17"/>
        <v>0</v>
      </c>
      <c r="BJ30" s="32">
        <f t="shared" si="17"/>
        <v>0</v>
      </c>
      <c r="BK30" s="32">
        <f t="shared" si="17"/>
        <v>0</v>
      </c>
    </row>
    <row r="31" spans="2:63" ht="13.5" customHeight="1">
      <c r="C31" s="33" t="str">
        <f t="shared" si="11"/>
        <v>잔금</v>
      </c>
      <c r="D31" s="24"/>
      <c r="E31" s="252">
        <f>'A&amp;R'!AB23</f>
        <v>0.6</v>
      </c>
      <c r="F31" s="129">
        <f>'A&amp;R'!AD23</f>
        <v>45900</v>
      </c>
      <c r="G31" s="24">
        <f t="shared" si="18"/>
        <v>19825.244999999999</v>
      </c>
      <c r="H31" s="24"/>
      <c r="I31" s="24">
        <f t="shared" si="13"/>
        <v>0</v>
      </c>
      <c r="J31" s="24">
        <f t="shared" si="13"/>
        <v>0</v>
      </c>
      <c r="K31" s="24">
        <f t="shared" si="13"/>
        <v>0</v>
      </c>
      <c r="L31" s="24">
        <f t="shared" si="13"/>
        <v>0</v>
      </c>
      <c r="M31" s="24">
        <f t="shared" si="13"/>
        <v>0</v>
      </c>
      <c r="N31" s="24">
        <f t="shared" si="13"/>
        <v>0</v>
      </c>
      <c r="O31" s="24">
        <f t="shared" si="13"/>
        <v>0</v>
      </c>
      <c r="P31" s="24">
        <f t="shared" si="13"/>
        <v>0</v>
      </c>
      <c r="Q31" s="24">
        <f t="shared" si="13"/>
        <v>0</v>
      </c>
      <c r="R31" s="24">
        <f t="shared" si="13"/>
        <v>0</v>
      </c>
      <c r="S31" s="24">
        <f t="shared" si="14"/>
        <v>0</v>
      </c>
      <c r="T31" s="24">
        <f t="shared" si="14"/>
        <v>0</v>
      </c>
      <c r="U31" s="24">
        <f t="shared" si="14"/>
        <v>0</v>
      </c>
      <c r="V31" s="24">
        <f t="shared" si="14"/>
        <v>0</v>
      </c>
      <c r="W31" s="24">
        <f t="shared" si="14"/>
        <v>0</v>
      </c>
      <c r="X31" s="24">
        <f t="shared" si="14"/>
        <v>0</v>
      </c>
      <c r="Y31" s="24">
        <f t="shared" si="14"/>
        <v>0</v>
      </c>
      <c r="Z31" s="24">
        <f t="shared" si="14"/>
        <v>0</v>
      </c>
      <c r="AA31" s="24">
        <f t="shared" si="14"/>
        <v>0</v>
      </c>
      <c r="AB31" s="24">
        <f t="shared" si="14"/>
        <v>0</v>
      </c>
      <c r="AC31" s="24">
        <f t="shared" si="15"/>
        <v>0</v>
      </c>
      <c r="AD31" s="24">
        <f t="shared" si="15"/>
        <v>0</v>
      </c>
      <c r="AE31" s="24">
        <f t="shared" si="15"/>
        <v>0</v>
      </c>
      <c r="AF31" s="24">
        <f t="shared" si="15"/>
        <v>0</v>
      </c>
      <c r="AG31" s="24">
        <f t="shared" si="15"/>
        <v>0</v>
      </c>
      <c r="AH31" s="24">
        <f t="shared" si="15"/>
        <v>0</v>
      </c>
      <c r="AI31" s="24">
        <f t="shared" si="15"/>
        <v>0</v>
      </c>
      <c r="AJ31" s="24">
        <f t="shared" si="15"/>
        <v>0</v>
      </c>
      <c r="AK31" s="24">
        <f t="shared" si="15"/>
        <v>0</v>
      </c>
      <c r="AL31" s="24">
        <f t="shared" si="15"/>
        <v>0</v>
      </c>
      <c r="AM31" s="24">
        <f t="shared" si="16"/>
        <v>0</v>
      </c>
      <c r="AN31" s="24">
        <f t="shared" si="16"/>
        <v>0</v>
      </c>
      <c r="AO31" s="24">
        <f t="shared" si="16"/>
        <v>0</v>
      </c>
      <c r="AP31" s="24">
        <f t="shared" si="16"/>
        <v>0</v>
      </c>
      <c r="AQ31" s="24">
        <f t="shared" si="16"/>
        <v>0</v>
      </c>
      <c r="AR31" s="24">
        <f t="shared" si="16"/>
        <v>0</v>
      </c>
      <c r="AS31" s="24">
        <f t="shared" si="16"/>
        <v>0</v>
      </c>
      <c r="AT31" s="24">
        <f t="shared" si="16"/>
        <v>0</v>
      </c>
      <c r="AU31" s="24">
        <f t="shared" si="16"/>
        <v>0</v>
      </c>
      <c r="AV31" s="24">
        <f t="shared" si="16"/>
        <v>0</v>
      </c>
      <c r="AW31" s="24">
        <f t="shared" si="17"/>
        <v>0</v>
      </c>
      <c r="AX31" s="24">
        <f t="shared" si="17"/>
        <v>0</v>
      </c>
      <c r="AY31" s="24">
        <f t="shared" si="17"/>
        <v>0</v>
      </c>
      <c r="AZ31" s="24">
        <f t="shared" si="17"/>
        <v>0</v>
      </c>
      <c r="BA31" s="24">
        <f t="shared" si="17"/>
        <v>0</v>
      </c>
      <c r="BB31" s="24">
        <f t="shared" si="17"/>
        <v>0</v>
      </c>
      <c r="BC31" s="24">
        <f t="shared" si="17"/>
        <v>0</v>
      </c>
      <c r="BD31" s="24">
        <f t="shared" si="17"/>
        <v>0</v>
      </c>
      <c r="BE31" s="24">
        <f t="shared" si="17"/>
        <v>0</v>
      </c>
      <c r="BF31" s="24">
        <f t="shared" si="17"/>
        <v>0</v>
      </c>
      <c r="BG31" s="24">
        <f t="shared" si="17"/>
        <v>19825.244999999999</v>
      </c>
      <c r="BH31" s="24">
        <f t="shared" si="17"/>
        <v>0</v>
      </c>
      <c r="BI31" s="24">
        <f t="shared" si="17"/>
        <v>0</v>
      </c>
      <c r="BJ31" s="24">
        <f t="shared" si="17"/>
        <v>0</v>
      </c>
      <c r="BK31" s="24">
        <f t="shared" si="17"/>
        <v>0</v>
      </c>
    </row>
    <row r="32" spans="2:63" ht="13.5" customHeight="1">
      <c r="C32" s="257" t="str">
        <f t="shared" si="11"/>
        <v>합계</v>
      </c>
      <c r="D32" s="230"/>
      <c r="E32" s="230"/>
      <c r="F32" s="197" t="b">
        <f>ABS(G32-'A&amp;R'!W23)&lt;0.001</f>
        <v>1</v>
      </c>
      <c r="G32" s="230">
        <f>SUM(H32:XFD32)</f>
        <v>33042.074999999997</v>
      </c>
      <c r="H32" s="230"/>
      <c r="I32" s="230">
        <f>SUM(I24:I31)</f>
        <v>0</v>
      </c>
      <c r="J32" s="230">
        <f t="shared" ref="J32:BK32" si="19">SUM(J24:J31)</f>
        <v>0</v>
      </c>
      <c r="K32" s="230">
        <f t="shared" si="19"/>
        <v>0</v>
      </c>
      <c r="L32" s="230">
        <f t="shared" si="19"/>
        <v>0</v>
      </c>
      <c r="M32" s="230">
        <f t="shared" si="19"/>
        <v>0</v>
      </c>
      <c r="N32" s="230">
        <f t="shared" si="19"/>
        <v>0</v>
      </c>
      <c r="O32" s="230">
        <f t="shared" si="19"/>
        <v>0</v>
      </c>
      <c r="P32" s="230">
        <f t="shared" si="19"/>
        <v>0</v>
      </c>
      <c r="Q32" s="230">
        <f t="shared" si="19"/>
        <v>0</v>
      </c>
      <c r="R32" s="230">
        <f t="shared" si="19"/>
        <v>0</v>
      </c>
      <c r="S32" s="230">
        <f t="shared" si="19"/>
        <v>0</v>
      </c>
      <c r="T32" s="230">
        <f t="shared" si="19"/>
        <v>0</v>
      </c>
      <c r="U32" s="230">
        <f t="shared" si="19"/>
        <v>0</v>
      </c>
      <c r="V32" s="230">
        <f t="shared" si="19"/>
        <v>0</v>
      </c>
      <c r="W32" s="230">
        <f t="shared" si="19"/>
        <v>0</v>
      </c>
      <c r="X32" s="230">
        <f t="shared" si="19"/>
        <v>0</v>
      </c>
      <c r="Y32" s="230">
        <f t="shared" si="19"/>
        <v>0</v>
      </c>
      <c r="Z32" s="230">
        <f t="shared" si="19"/>
        <v>0</v>
      </c>
      <c r="AA32" s="230">
        <f t="shared" si="19"/>
        <v>0</v>
      </c>
      <c r="AB32" s="230">
        <f t="shared" si="19"/>
        <v>0</v>
      </c>
      <c r="AC32" s="230">
        <f t="shared" si="19"/>
        <v>0</v>
      </c>
      <c r="AD32" s="230">
        <f t="shared" si="19"/>
        <v>0</v>
      </c>
      <c r="AE32" s="230">
        <f t="shared" si="19"/>
        <v>0</v>
      </c>
      <c r="AF32" s="230">
        <f t="shared" si="19"/>
        <v>0</v>
      </c>
      <c r="AG32" s="230">
        <f t="shared" si="19"/>
        <v>0</v>
      </c>
      <c r="AH32" s="230">
        <f t="shared" si="19"/>
        <v>0</v>
      </c>
      <c r="AI32" s="230">
        <f t="shared" si="19"/>
        <v>0</v>
      </c>
      <c r="AJ32" s="230">
        <f t="shared" si="19"/>
        <v>0</v>
      </c>
      <c r="AK32" s="230">
        <f t="shared" si="19"/>
        <v>0</v>
      </c>
      <c r="AL32" s="230">
        <f t="shared" si="19"/>
        <v>0</v>
      </c>
      <c r="AM32" s="230">
        <f t="shared" si="19"/>
        <v>0</v>
      </c>
      <c r="AN32" s="230">
        <f t="shared" si="19"/>
        <v>0</v>
      </c>
      <c r="AO32" s="230">
        <f t="shared" si="19"/>
        <v>0</v>
      </c>
      <c r="AP32" s="230">
        <f t="shared" si="19"/>
        <v>0</v>
      </c>
      <c r="AQ32" s="230">
        <f t="shared" si="19"/>
        <v>0</v>
      </c>
      <c r="AR32" s="230">
        <f t="shared" si="19"/>
        <v>0</v>
      </c>
      <c r="AS32" s="230">
        <f t="shared" si="19"/>
        <v>0</v>
      </c>
      <c r="AT32" s="230">
        <f t="shared" si="19"/>
        <v>0</v>
      </c>
      <c r="AU32" s="230">
        <f t="shared" si="19"/>
        <v>0</v>
      </c>
      <c r="AV32" s="230">
        <f t="shared" si="19"/>
        <v>0</v>
      </c>
      <c r="AW32" s="230">
        <f t="shared" si="19"/>
        <v>0</v>
      </c>
      <c r="AX32" s="230">
        <f t="shared" si="19"/>
        <v>0</v>
      </c>
      <c r="AY32" s="230">
        <f t="shared" si="19"/>
        <v>0</v>
      </c>
      <c r="AZ32" s="230">
        <f t="shared" si="19"/>
        <v>0</v>
      </c>
      <c r="BA32" s="230">
        <f t="shared" si="19"/>
        <v>0</v>
      </c>
      <c r="BB32" s="230">
        <f t="shared" si="19"/>
        <v>0</v>
      </c>
      <c r="BC32" s="230">
        <f t="shared" si="19"/>
        <v>1101.4024999999999</v>
      </c>
      <c r="BD32" s="230">
        <f t="shared" si="19"/>
        <v>3304.2074999999995</v>
      </c>
      <c r="BE32" s="230">
        <f t="shared" si="19"/>
        <v>5507.0124999999998</v>
      </c>
      <c r="BF32" s="230">
        <f t="shared" si="19"/>
        <v>3304.2075</v>
      </c>
      <c r="BG32" s="230">
        <f t="shared" si="19"/>
        <v>19825.244999999999</v>
      </c>
      <c r="BH32" s="230">
        <f t="shared" si="19"/>
        <v>0</v>
      </c>
      <c r="BI32" s="230">
        <f t="shared" si="19"/>
        <v>0</v>
      </c>
      <c r="BJ32" s="230">
        <f t="shared" si="19"/>
        <v>0</v>
      </c>
      <c r="BK32" s="230">
        <f t="shared" si="19"/>
        <v>0</v>
      </c>
    </row>
    <row r="33" spans="2:63" ht="13.5" customHeight="1">
      <c r="B33" s="253" t="s">
        <v>317</v>
      </c>
      <c r="C33" s="253"/>
      <c r="D33" s="253"/>
      <c r="E33" s="253"/>
      <c r="F33" s="253"/>
      <c r="G33" s="253">
        <f ca="1">SUM(H33:XFD33)</f>
        <v>734876.89418260904</v>
      </c>
      <c r="H33" s="253"/>
      <c r="I33" s="253">
        <f t="shared" ref="I33:AN33" ca="1" si="20">I32+I20</f>
        <v>0</v>
      </c>
      <c r="J33" s="253">
        <f t="shared" ca="1" si="20"/>
        <v>0</v>
      </c>
      <c r="K33" s="253">
        <f t="shared" ca="1" si="20"/>
        <v>0</v>
      </c>
      <c r="L33" s="253">
        <f t="shared" ca="1" si="20"/>
        <v>0</v>
      </c>
      <c r="M33" s="253">
        <f t="shared" ca="1" si="20"/>
        <v>0</v>
      </c>
      <c r="N33" s="253">
        <f t="shared" ca="1" si="20"/>
        <v>0</v>
      </c>
      <c r="O33" s="253">
        <f t="shared" ca="1" si="20"/>
        <v>0</v>
      </c>
      <c r="P33" s="253">
        <f t="shared" ca="1" si="20"/>
        <v>0</v>
      </c>
      <c r="Q33" s="253">
        <f t="shared" ca="1" si="20"/>
        <v>0</v>
      </c>
      <c r="R33" s="253">
        <f t="shared" ca="1" si="20"/>
        <v>0</v>
      </c>
      <c r="S33" s="253">
        <f t="shared" ca="1" si="20"/>
        <v>0</v>
      </c>
      <c r="T33" s="253">
        <f t="shared" ca="1" si="20"/>
        <v>0</v>
      </c>
      <c r="U33" s="253">
        <f t="shared" ca="1" si="20"/>
        <v>0</v>
      </c>
      <c r="V33" s="253">
        <f t="shared" ca="1" si="20"/>
        <v>0</v>
      </c>
      <c r="W33" s="253">
        <f t="shared" ca="1" si="20"/>
        <v>0</v>
      </c>
      <c r="X33" s="253">
        <f t="shared" ca="1" si="20"/>
        <v>0</v>
      </c>
      <c r="Y33" s="253">
        <f t="shared" ca="1" si="20"/>
        <v>5848.6234931884073</v>
      </c>
      <c r="Z33" s="253">
        <f t="shared" ca="1" si="20"/>
        <v>5848.6234931884073</v>
      </c>
      <c r="AA33" s="253">
        <f t="shared" ca="1" si="20"/>
        <v>5848.6234931884073</v>
      </c>
      <c r="AB33" s="253">
        <f t="shared" ca="1" si="20"/>
        <v>29243.117465942036</v>
      </c>
      <c r="AC33" s="253">
        <f t="shared" ca="1" si="20"/>
        <v>11697.246986376815</v>
      </c>
      <c r="AD33" s="253">
        <f t="shared" ca="1" si="20"/>
        <v>11697.246986376815</v>
      </c>
      <c r="AE33" s="253">
        <f t="shared" ca="1" si="20"/>
        <v>52637.611438695661</v>
      </c>
      <c r="AF33" s="253">
        <f t="shared" ca="1" si="20"/>
        <v>17545.870479565223</v>
      </c>
      <c r="AG33" s="253">
        <f t="shared" ca="1" si="20"/>
        <v>17545.870479565223</v>
      </c>
      <c r="AH33" s="253">
        <f t="shared" ca="1" si="20"/>
        <v>76032.105411449302</v>
      </c>
      <c r="AI33" s="253">
        <f t="shared" ca="1" si="20"/>
        <v>23394.493972753629</v>
      </c>
      <c r="AJ33" s="253">
        <f t="shared" ca="1" si="20"/>
        <v>23394.493972753629</v>
      </c>
      <c r="AK33" s="253">
        <f t="shared" ca="1" si="20"/>
        <v>70183.481918260892</v>
      </c>
      <c r="AL33" s="253">
        <f t="shared" ca="1" si="20"/>
        <v>0</v>
      </c>
      <c r="AM33" s="253">
        <f t="shared" ca="1" si="20"/>
        <v>0</v>
      </c>
      <c r="AN33" s="253">
        <f t="shared" ca="1" si="20"/>
        <v>70183.481918260892</v>
      </c>
      <c r="AO33" s="253">
        <f t="shared" ref="AO33:BK33" ca="1" si="21">AO32+AO20</f>
        <v>0</v>
      </c>
      <c r="AP33" s="253">
        <f t="shared" ca="1" si="21"/>
        <v>0</v>
      </c>
      <c r="AQ33" s="253">
        <f t="shared" ca="1" si="21"/>
        <v>70183.481918260892</v>
      </c>
      <c r="AR33" s="253">
        <f t="shared" ca="1" si="21"/>
        <v>0</v>
      </c>
      <c r="AS33" s="253">
        <f t="shared" ca="1" si="21"/>
        <v>0</v>
      </c>
      <c r="AT33" s="253">
        <f t="shared" ca="1" si="21"/>
        <v>0</v>
      </c>
      <c r="AU33" s="253">
        <f t="shared" ca="1" si="21"/>
        <v>0</v>
      </c>
      <c r="AV33" s="253">
        <f t="shared" ca="1" si="21"/>
        <v>0</v>
      </c>
      <c r="AW33" s="253">
        <f t="shared" ca="1" si="21"/>
        <v>0</v>
      </c>
      <c r="AX33" s="253">
        <f t="shared" ca="1" si="21"/>
        <v>0</v>
      </c>
      <c r="AY33" s="253">
        <f t="shared" ca="1" si="21"/>
        <v>0</v>
      </c>
      <c r="AZ33" s="253">
        <f t="shared" ca="1" si="21"/>
        <v>0</v>
      </c>
      <c r="BA33" s="253">
        <f t="shared" ca="1" si="21"/>
        <v>0</v>
      </c>
      <c r="BB33" s="253">
        <f t="shared" ca="1" si="21"/>
        <v>0</v>
      </c>
      <c r="BC33" s="253">
        <f t="shared" ca="1" si="21"/>
        <v>1101.4024999999999</v>
      </c>
      <c r="BD33" s="253">
        <f t="shared" ca="1" si="21"/>
        <v>3304.2074999999995</v>
      </c>
      <c r="BE33" s="253">
        <f t="shared" ca="1" si="21"/>
        <v>5507.0124999999998</v>
      </c>
      <c r="BF33" s="253">
        <f t="shared" ca="1" si="21"/>
        <v>3304.2075</v>
      </c>
      <c r="BG33" s="253">
        <f t="shared" ca="1" si="21"/>
        <v>230375.69075478267</v>
      </c>
      <c r="BH33" s="253">
        <f t="shared" ca="1" si="21"/>
        <v>0</v>
      </c>
      <c r="BI33" s="253">
        <f t="shared" ca="1" si="21"/>
        <v>0</v>
      </c>
      <c r="BJ33" s="253">
        <f t="shared" ca="1" si="21"/>
        <v>0</v>
      </c>
      <c r="BK33" s="253">
        <f t="shared" ca="1" si="21"/>
        <v>0</v>
      </c>
    </row>
    <row r="34" spans="2:63" s="11" customFormat="1" ht="13.5" hidden="1" customHeight="1" outlineLevel="1">
      <c r="C34" s="11" t="s">
        <v>335</v>
      </c>
      <c r="G34" s="100">
        <f ca="1">SUM(H34:XFD34)</f>
        <v>0.99999999999999989</v>
      </c>
      <c r="I34" s="100">
        <f t="shared" ref="I34:AN34" ca="1" si="22">I33/$G$33</f>
        <v>0</v>
      </c>
      <c r="J34" s="100">
        <f t="shared" ca="1" si="22"/>
        <v>0</v>
      </c>
      <c r="K34" s="100">
        <f t="shared" ca="1" si="22"/>
        <v>0</v>
      </c>
      <c r="L34" s="100">
        <f t="shared" ca="1" si="22"/>
        <v>0</v>
      </c>
      <c r="M34" s="100">
        <f t="shared" ca="1" si="22"/>
        <v>0</v>
      </c>
      <c r="N34" s="100">
        <f t="shared" ca="1" si="22"/>
        <v>0</v>
      </c>
      <c r="O34" s="100">
        <f t="shared" ca="1" si="22"/>
        <v>0</v>
      </c>
      <c r="P34" s="100">
        <f t="shared" ca="1" si="22"/>
        <v>0</v>
      </c>
      <c r="Q34" s="100">
        <f t="shared" ca="1" si="22"/>
        <v>0</v>
      </c>
      <c r="R34" s="100">
        <f t="shared" ca="1" si="22"/>
        <v>0</v>
      </c>
      <c r="S34" s="100">
        <f t="shared" ca="1" si="22"/>
        <v>0</v>
      </c>
      <c r="T34" s="100">
        <f t="shared" ca="1" si="22"/>
        <v>0</v>
      </c>
      <c r="U34" s="100">
        <f t="shared" ca="1" si="22"/>
        <v>0</v>
      </c>
      <c r="V34" s="100">
        <f t="shared" ca="1" si="22"/>
        <v>0</v>
      </c>
      <c r="W34" s="100">
        <f t="shared" ca="1" si="22"/>
        <v>0</v>
      </c>
      <c r="X34" s="100">
        <f t="shared" ca="1" si="22"/>
        <v>0</v>
      </c>
      <c r="Y34" s="100">
        <f t="shared" ca="1" si="22"/>
        <v>7.9586438755755561E-3</v>
      </c>
      <c r="Z34" s="100">
        <f t="shared" ca="1" si="22"/>
        <v>7.9586438755755561E-3</v>
      </c>
      <c r="AA34" s="100">
        <f t="shared" ca="1" si="22"/>
        <v>7.9586438755755561E-3</v>
      </c>
      <c r="AB34" s="100">
        <f t="shared" ca="1" si="22"/>
        <v>3.9793219377877775E-2</v>
      </c>
      <c r="AC34" s="100">
        <f t="shared" ca="1" si="22"/>
        <v>1.5917287751151112E-2</v>
      </c>
      <c r="AD34" s="100">
        <f t="shared" ca="1" si="22"/>
        <v>1.5917287751151112E-2</v>
      </c>
      <c r="AE34" s="100">
        <f t="shared" ca="1" si="22"/>
        <v>7.1627794880179993E-2</v>
      </c>
      <c r="AF34" s="100">
        <f t="shared" ca="1" si="22"/>
        <v>2.387593162672667E-2</v>
      </c>
      <c r="AG34" s="100">
        <f t="shared" ca="1" si="22"/>
        <v>2.387593162672667E-2</v>
      </c>
      <c r="AH34" s="100">
        <f t="shared" ca="1" si="22"/>
        <v>0.10346237038248224</v>
      </c>
      <c r="AI34" s="100">
        <f t="shared" ca="1" si="22"/>
        <v>3.1834575502302224E-2</v>
      </c>
      <c r="AJ34" s="100">
        <f t="shared" ca="1" si="22"/>
        <v>3.1834575502302224E-2</v>
      </c>
      <c r="AK34" s="100">
        <f t="shared" ca="1" si="22"/>
        <v>9.550372650690668E-2</v>
      </c>
      <c r="AL34" s="100">
        <f t="shared" ca="1" si="22"/>
        <v>0</v>
      </c>
      <c r="AM34" s="100">
        <f t="shared" ca="1" si="22"/>
        <v>0</v>
      </c>
      <c r="AN34" s="100">
        <f t="shared" ca="1" si="22"/>
        <v>9.550372650690668E-2</v>
      </c>
      <c r="AO34" s="100">
        <f t="shared" ref="AO34:BK34" ca="1" si="23">AO33/$G$33</f>
        <v>0</v>
      </c>
      <c r="AP34" s="100">
        <f t="shared" ca="1" si="23"/>
        <v>0</v>
      </c>
      <c r="AQ34" s="100">
        <f t="shared" ca="1" si="23"/>
        <v>9.550372650690668E-2</v>
      </c>
      <c r="AR34" s="100">
        <f t="shared" ca="1" si="23"/>
        <v>0</v>
      </c>
      <c r="AS34" s="100">
        <f t="shared" ca="1" si="23"/>
        <v>0</v>
      </c>
      <c r="AT34" s="100">
        <f t="shared" ca="1" si="23"/>
        <v>0</v>
      </c>
      <c r="AU34" s="100">
        <f t="shared" ca="1" si="23"/>
        <v>0</v>
      </c>
      <c r="AV34" s="100">
        <f t="shared" ca="1" si="23"/>
        <v>0</v>
      </c>
      <c r="AW34" s="100">
        <f t="shared" ca="1" si="23"/>
        <v>0</v>
      </c>
      <c r="AX34" s="100">
        <f t="shared" ca="1" si="23"/>
        <v>0</v>
      </c>
      <c r="AY34" s="100">
        <f t="shared" ca="1" si="23"/>
        <v>0</v>
      </c>
      <c r="AZ34" s="100">
        <f t="shared" ca="1" si="23"/>
        <v>0</v>
      </c>
      <c r="BA34" s="100">
        <f t="shared" ca="1" si="23"/>
        <v>0</v>
      </c>
      <c r="BB34" s="100">
        <f t="shared" ca="1" si="23"/>
        <v>0</v>
      </c>
      <c r="BC34" s="100">
        <f t="shared" ca="1" si="23"/>
        <v>1.4987578310311021E-3</v>
      </c>
      <c r="BD34" s="100">
        <f t="shared" ca="1" si="23"/>
        <v>4.4962734930933061E-3</v>
      </c>
      <c r="BE34" s="100">
        <f t="shared" ca="1" si="23"/>
        <v>7.4937891551555115E-3</v>
      </c>
      <c r="BF34" s="100">
        <f t="shared" ca="1" si="23"/>
        <v>4.4962734930933069E-3</v>
      </c>
      <c r="BG34" s="100">
        <f t="shared" ca="1" si="23"/>
        <v>0.31348882047927984</v>
      </c>
      <c r="BH34" s="100">
        <f t="shared" ca="1" si="23"/>
        <v>0</v>
      </c>
      <c r="BI34" s="100">
        <f t="shared" ca="1" si="23"/>
        <v>0</v>
      </c>
      <c r="BJ34" s="100">
        <f t="shared" ca="1" si="23"/>
        <v>0</v>
      </c>
      <c r="BK34" s="100">
        <f t="shared" ca="1" si="23"/>
        <v>0</v>
      </c>
    </row>
    <row r="35" spans="2:63" ht="13.5" customHeight="1" collapsed="1"/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M57"/>
  <sheetViews>
    <sheetView showGridLines="0" workbookViewId="0">
      <selection activeCell="X56" sqref="X56"/>
    </sheetView>
  </sheetViews>
  <sheetFormatPr defaultColWidth="9" defaultRowHeight="13.5" customHeight="1" outlineLevelRow="1"/>
  <cols>
    <col min="1" max="1" width="3.19921875" style="1" customWidth="1"/>
    <col min="2" max="2" width="4.19921875" style="1" customWidth="1"/>
    <col min="3" max="3" width="4.59765625" style="1" customWidth="1"/>
    <col min="4" max="7" width="9" style="1"/>
    <col min="8" max="8" width="4.3984375" style="1" customWidth="1"/>
    <col min="9" max="16384" width="9" style="1"/>
  </cols>
  <sheetData>
    <row r="1" spans="1:65" ht="12.9" customHeight="1"/>
    <row r="2" spans="1:65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65" ht="12.9" customHeight="1">
      <c r="AB3" s="6" t="s">
        <v>3</v>
      </c>
      <c r="AC3" s="7" t="s">
        <v>4</v>
      </c>
      <c r="AD3" s="8" t="s">
        <v>5</v>
      </c>
    </row>
    <row r="4" spans="1:65" ht="12.9" customHeight="1">
      <c r="AB4" s="9" t="s">
        <v>6</v>
      </c>
      <c r="AC4" s="10" t="s">
        <v>7</v>
      </c>
      <c r="AD4" s="11" t="s">
        <v>8</v>
      </c>
    </row>
    <row r="5" spans="1:65" s="12" customFormat="1" ht="12.9" customHeight="1" thickBot="1"/>
    <row r="6" spans="1:65" ht="12.9" customHeight="1" thickTop="1">
      <c r="A6" s="1" t="s">
        <v>9</v>
      </c>
      <c r="AD6" s="13">
        <v>44381</v>
      </c>
    </row>
    <row r="7" spans="1:65" ht="12.9" customHeight="1">
      <c r="A7" s="14" t="s">
        <v>17</v>
      </c>
    </row>
    <row r="8" spans="1:65" ht="13.5" customHeight="1">
      <c r="B8" s="45" t="s">
        <v>55</v>
      </c>
      <c r="C8" s="45"/>
      <c r="D8" s="45"/>
      <c r="E8" s="45"/>
      <c r="F8" s="45"/>
      <c r="G8" s="45" t="s">
        <v>62</v>
      </c>
      <c r="H8" s="45"/>
      <c r="I8" s="47">
        <f>Est</f>
        <v>44377</v>
      </c>
      <c r="J8" s="47">
        <f>EOMONTH(I8,1)</f>
        <v>44408</v>
      </c>
      <c r="K8" s="47">
        <f t="shared" ref="K8:BK8" si="0">EOMONTH(J8,1)</f>
        <v>44439</v>
      </c>
      <c r="L8" s="47">
        <f t="shared" si="0"/>
        <v>44469</v>
      </c>
      <c r="M8" s="47">
        <f t="shared" si="0"/>
        <v>44500</v>
      </c>
      <c r="N8" s="47">
        <f t="shared" si="0"/>
        <v>44530</v>
      </c>
      <c r="O8" s="47">
        <f t="shared" si="0"/>
        <v>44561</v>
      </c>
      <c r="P8" s="47">
        <f t="shared" si="0"/>
        <v>44592</v>
      </c>
      <c r="Q8" s="47">
        <f t="shared" si="0"/>
        <v>44620</v>
      </c>
      <c r="R8" s="47">
        <f t="shared" si="0"/>
        <v>44651</v>
      </c>
      <c r="S8" s="47">
        <f t="shared" si="0"/>
        <v>44681</v>
      </c>
      <c r="T8" s="47">
        <f t="shared" si="0"/>
        <v>44712</v>
      </c>
      <c r="U8" s="47">
        <f t="shared" si="0"/>
        <v>44742</v>
      </c>
      <c r="V8" s="47">
        <f t="shared" si="0"/>
        <v>44773</v>
      </c>
      <c r="W8" s="47">
        <f t="shared" si="0"/>
        <v>44804</v>
      </c>
      <c r="X8" s="47">
        <f t="shared" si="0"/>
        <v>44834</v>
      </c>
      <c r="Y8" s="47">
        <f t="shared" si="0"/>
        <v>44865</v>
      </c>
      <c r="Z8" s="47">
        <f t="shared" si="0"/>
        <v>44895</v>
      </c>
      <c r="AA8" s="47">
        <f t="shared" si="0"/>
        <v>44926</v>
      </c>
      <c r="AB8" s="47">
        <f t="shared" si="0"/>
        <v>44957</v>
      </c>
      <c r="AC8" s="47">
        <f t="shared" si="0"/>
        <v>44985</v>
      </c>
      <c r="AD8" s="47">
        <f t="shared" si="0"/>
        <v>45016</v>
      </c>
      <c r="AE8" s="47">
        <f t="shared" si="0"/>
        <v>45046</v>
      </c>
      <c r="AF8" s="47">
        <f t="shared" si="0"/>
        <v>45077</v>
      </c>
      <c r="AG8" s="47">
        <f t="shared" si="0"/>
        <v>45107</v>
      </c>
      <c r="AH8" s="47">
        <f t="shared" si="0"/>
        <v>45138</v>
      </c>
      <c r="AI8" s="47">
        <f t="shared" si="0"/>
        <v>45169</v>
      </c>
      <c r="AJ8" s="47">
        <f t="shared" si="0"/>
        <v>45199</v>
      </c>
      <c r="AK8" s="47">
        <f t="shared" si="0"/>
        <v>45230</v>
      </c>
      <c r="AL8" s="47">
        <f t="shared" si="0"/>
        <v>45260</v>
      </c>
      <c r="AM8" s="47">
        <f t="shared" si="0"/>
        <v>45291</v>
      </c>
      <c r="AN8" s="47">
        <f t="shared" si="0"/>
        <v>45322</v>
      </c>
      <c r="AO8" s="47">
        <f t="shared" si="0"/>
        <v>45351</v>
      </c>
      <c r="AP8" s="47">
        <f t="shared" si="0"/>
        <v>45382</v>
      </c>
      <c r="AQ8" s="47">
        <f t="shared" si="0"/>
        <v>45412</v>
      </c>
      <c r="AR8" s="47">
        <f t="shared" si="0"/>
        <v>45443</v>
      </c>
      <c r="AS8" s="47">
        <f t="shared" si="0"/>
        <v>45473</v>
      </c>
      <c r="AT8" s="47">
        <f t="shared" si="0"/>
        <v>45504</v>
      </c>
      <c r="AU8" s="47">
        <f t="shared" si="0"/>
        <v>45535</v>
      </c>
      <c r="AV8" s="47">
        <f t="shared" si="0"/>
        <v>45565</v>
      </c>
      <c r="AW8" s="47">
        <f t="shared" si="0"/>
        <v>45596</v>
      </c>
      <c r="AX8" s="47">
        <f t="shared" si="0"/>
        <v>45626</v>
      </c>
      <c r="AY8" s="47">
        <f t="shared" si="0"/>
        <v>45657</v>
      </c>
      <c r="AZ8" s="47">
        <f t="shared" si="0"/>
        <v>45688</v>
      </c>
      <c r="BA8" s="47">
        <f t="shared" si="0"/>
        <v>45716</v>
      </c>
      <c r="BB8" s="47">
        <f t="shared" si="0"/>
        <v>45747</v>
      </c>
      <c r="BC8" s="47">
        <f t="shared" si="0"/>
        <v>45777</v>
      </c>
      <c r="BD8" s="47">
        <f t="shared" si="0"/>
        <v>45808</v>
      </c>
      <c r="BE8" s="47">
        <f t="shared" si="0"/>
        <v>45838</v>
      </c>
      <c r="BF8" s="47">
        <f t="shared" si="0"/>
        <v>45869</v>
      </c>
      <c r="BG8" s="47">
        <f t="shared" si="0"/>
        <v>45900</v>
      </c>
      <c r="BH8" s="47">
        <f t="shared" si="0"/>
        <v>45930</v>
      </c>
      <c r="BI8" s="47">
        <f t="shared" si="0"/>
        <v>45961</v>
      </c>
      <c r="BJ8" s="47">
        <f t="shared" si="0"/>
        <v>45991</v>
      </c>
      <c r="BK8" s="47">
        <f t="shared" si="0"/>
        <v>46022</v>
      </c>
      <c r="BL8" s="17"/>
      <c r="BM8" s="17"/>
    </row>
    <row r="9" spans="1:65" ht="13.5" customHeight="1">
      <c r="B9" s="14" t="s">
        <v>393</v>
      </c>
    </row>
    <row r="10" spans="1:65" ht="13.5" customHeight="1">
      <c r="C10" s="1" t="s">
        <v>394</v>
      </c>
      <c r="G10" s="1">
        <f ca="1">SUM(H10:XFD10)</f>
        <v>734876.89418260904</v>
      </c>
      <c r="I10" s="1">
        <f ca="1">분양매출!I33</f>
        <v>0</v>
      </c>
      <c r="J10" s="1">
        <f ca="1">분양매출!J33</f>
        <v>0</v>
      </c>
      <c r="K10" s="1">
        <f ca="1">분양매출!K33</f>
        <v>0</v>
      </c>
      <c r="L10" s="1">
        <f ca="1">분양매출!L33</f>
        <v>0</v>
      </c>
      <c r="M10" s="1">
        <f ca="1">분양매출!M33</f>
        <v>0</v>
      </c>
      <c r="N10" s="1">
        <f ca="1">분양매출!N33</f>
        <v>0</v>
      </c>
      <c r="O10" s="1">
        <f ca="1">분양매출!O33</f>
        <v>0</v>
      </c>
      <c r="P10" s="1">
        <f ca="1">분양매출!P33</f>
        <v>0</v>
      </c>
      <c r="Q10" s="1">
        <f ca="1">분양매출!Q33</f>
        <v>0</v>
      </c>
      <c r="R10" s="1">
        <f ca="1">분양매출!R33</f>
        <v>0</v>
      </c>
      <c r="S10" s="1">
        <f ca="1">분양매출!S33</f>
        <v>0</v>
      </c>
      <c r="T10" s="1">
        <f ca="1">분양매출!T33</f>
        <v>0</v>
      </c>
      <c r="U10" s="1">
        <f ca="1">분양매출!U33</f>
        <v>0</v>
      </c>
      <c r="V10" s="1">
        <f ca="1">분양매출!V33</f>
        <v>0</v>
      </c>
      <c r="W10" s="1">
        <f ca="1">분양매출!W33</f>
        <v>0</v>
      </c>
      <c r="X10" s="1">
        <f ca="1">분양매출!X33</f>
        <v>0</v>
      </c>
      <c r="Y10" s="1">
        <f ca="1">분양매출!Y33</f>
        <v>5848.6234931884073</v>
      </c>
      <c r="Z10" s="1">
        <f ca="1">분양매출!Z33</f>
        <v>5848.6234931884073</v>
      </c>
      <c r="AA10" s="1">
        <f ca="1">분양매출!AA33</f>
        <v>5848.6234931884073</v>
      </c>
      <c r="AB10" s="1">
        <f ca="1">분양매출!AB33</f>
        <v>29243.117465942036</v>
      </c>
      <c r="AC10" s="1">
        <f ca="1">분양매출!AC33</f>
        <v>11697.246986376815</v>
      </c>
      <c r="AD10" s="1">
        <f ca="1">분양매출!AD33</f>
        <v>11697.246986376815</v>
      </c>
      <c r="AE10" s="1">
        <f ca="1">분양매출!AE33</f>
        <v>52637.611438695661</v>
      </c>
      <c r="AF10" s="1">
        <f ca="1">분양매출!AF33</f>
        <v>17545.870479565223</v>
      </c>
      <c r="AG10" s="1">
        <f ca="1">분양매출!AG33</f>
        <v>17545.870479565223</v>
      </c>
      <c r="AH10" s="1">
        <f ca="1">분양매출!AH33</f>
        <v>76032.105411449302</v>
      </c>
      <c r="AI10" s="1">
        <f ca="1">분양매출!AI33</f>
        <v>23394.493972753629</v>
      </c>
      <c r="AJ10" s="1">
        <f ca="1">분양매출!AJ33</f>
        <v>23394.493972753629</v>
      </c>
      <c r="AK10" s="1">
        <f ca="1">분양매출!AK33</f>
        <v>70183.481918260892</v>
      </c>
      <c r="AL10" s="1">
        <f ca="1">분양매출!AL33</f>
        <v>0</v>
      </c>
      <c r="AM10" s="1">
        <f ca="1">분양매출!AM33</f>
        <v>0</v>
      </c>
      <c r="AN10" s="1">
        <f ca="1">분양매출!AN33</f>
        <v>70183.481918260892</v>
      </c>
      <c r="AO10" s="1">
        <f ca="1">분양매출!AO33</f>
        <v>0</v>
      </c>
      <c r="AP10" s="1">
        <f ca="1">분양매출!AP33</f>
        <v>0</v>
      </c>
      <c r="AQ10" s="1">
        <f ca="1">분양매출!AQ33</f>
        <v>70183.481918260892</v>
      </c>
      <c r="AR10" s="1">
        <f ca="1">분양매출!AR33</f>
        <v>0</v>
      </c>
      <c r="AS10" s="1">
        <f ca="1">분양매출!AS33</f>
        <v>0</v>
      </c>
      <c r="AT10" s="1">
        <f ca="1">분양매출!AT33</f>
        <v>0</v>
      </c>
      <c r="AU10" s="1">
        <f ca="1">분양매출!AU33</f>
        <v>0</v>
      </c>
      <c r="AV10" s="1">
        <f ca="1">분양매출!AV33</f>
        <v>0</v>
      </c>
      <c r="AW10" s="1">
        <f ca="1">분양매출!AW33</f>
        <v>0</v>
      </c>
      <c r="AX10" s="1">
        <f ca="1">분양매출!AX33</f>
        <v>0</v>
      </c>
      <c r="AY10" s="1">
        <f ca="1">분양매출!AY33</f>
        <v>0</v>
      </c>
      <c r="AZ10" s="1">
        <f ca="1">분양매출!AZ33</f>
        <v>0</v>
      </c>
      <c r="BA10" s="1">
        <f ca="1">분양매출!BA33</f>
        <v>0</v>
      </c>
      <c r="BB10" s="1">
        <f ca="1">분양매출!BB33</f>
        <v>0</v>
      </c>
      <c r="BC10" s="1">
        <f ca="1">분양매출!BC33</f>
        <v>1101.4024999999999</v>
      </c>
      <c r="BD10" s="1">
        <f ca="1">분양매출!BD33</f>
        <v>3304.2074999999995</v>
      </c>
      <c r="BE10" s="1">
        <f ca="1">분양매출!BE33</f>
        <v>5507.0124999999998</v>
      </c>
      <c r="BF10" s="1">
        <f ca="1">분양매출!BF33</f>
        <v>3304.2075</v>
      </c>
      <c r="BG10" s="1">
        <f ca="1">분양매출!BG33</f>
        <v>230375.69075478267</v>
      </c>
      <c r="BH10" s="1">
        <f ca="1">분양매출!BH33</f>
        <v>0</v>
      </c>
      <c r="BI10" s="1">
        <f ca="1">분양매출!BI33</f>
        <v>0</v>
      </c>
      <c r="BJ10" s="1">
        <f ca="1">분양매출!BJ33</f>
        <v>0</v>
      </c>
      <c r="BK10" s="1">
        <f ca="1">분양매출!BK33</f>
        <v>0</v>
      </c>
    </row>
    <row r="11" spans="1:65" ht="13.5" customHeight="1">
      <c r="C11" s="1" t="s">
        <v>497</v>
      </c>
      <c r="F11" s="9" t="b">
        <f ca="1">ABS(E12+G11)&lt;0.001</f>
        <v>1</v>
      </c>
      <c r="G11" s="1">
        <f ca="1">SUM(H11:XFD11)</f>
        <v>0</v>
      </c>
      <c r="I11" s="1">
        <f ca="1">(I12=0)*I10*-1+(I13=1)*($E$12+SUM($H$11:H11))*-1</f>
        <v>0</v>
      </c>
      <c r="J11" s="1">
        <f ca="1">(J12=0)*J10*-1+(J13=1)*($E$12+SUM($H$11:I11))*-1</f>
        <v>0</v>
      </c>
      <c r="K11" s="1">
        <f ca="1">(K12=0)*K10*-1+(K13=1)*($E$12+SUM($H$11:J11))*-1</f>
        <v>0</v>
      </c>
      <c r="L11" s="1">
        <f ca="1">(L12=0)*L10*-1+(L13=1)*($E$12+SUM($H$11:K11))*-1</f>
        <v>0</v>
      </c>
      <c r="M11" s="1">
        <f ca="1">(M12=0)*M10*-1+(M13=1)*($E$12+SUM($H$11:L11))*-1</f>
        <v>0</v>
      </c>
      <c r="N11" s="1">
        <f ca="1">(N12=0)*N10*-1+(N13=1)*($E$12+SUM($H$11:M11))*-1</f>
        <v>0</v>
      </c>
      <c r="O11" s="1">
        <f ca="1">(O12=0)*O10*-1+(O13=1)*($E$12+SUM($H$11:N11))*-1</f>
        <v>0</v>
      </c>
      <c r="P11" s="1">
        <f ca="1">(P12=0)*P10*-1+(P13=1)*($E$12+SUM($H$11:O11))*-1</f>
        <v>0</v>
      </c>
      <c r="Q11" s="1">
        <f ca="1">(Q12=0)*Q10*-1+(Q13=1)*($E$12+SUM($H$11:P11))*-1</f>
        <v>0</v>
      </c>
      <c r="R11" s="1">
        <f ca="1">(R12=0)*R10*-1+(R13=1)*($E$12+SUM($H$11:Q11))*-1</f>
        <v>0</v>
      </c>
      <c r="S11" s="1">
        <f ca="1">(S12=0)*S10*-1+(S13=1)*($E$12+SUM($H$11:R11))*-1</f>
        <v>0</v>
      </c>
      <c r="T11" s="1">
        <f ca="1">(T12=0)*T10*-1+(T13=1)*($E$12+SUM($H$11:S11))*-1</f>
        <v>0</v>
      </c>
      <c r="U11" s="1">
        <f ca="1">(U12=0)*U10*-1+(U13=1)*($E$12+SUM($H$11:T11))*-1</f>
        <v>0</v>
      </c>
      <c r="V11" s="1">
        <f ca="1">(V12=0)*V10*-1+(V13=1)*($E$12+SUM($H$11:U11))*-1</f>
        <v>0</v>
      </c>
      <c r="W11" s="1">
        <f ca="1">(W12=0)*W10*-1+(W13=1)*($E$12+SUM($H$11:V11))*-1</f>
        <v>0</v>
      </c>
      <c r="X11" s="1">
        <f ca="1">(X12=0)*X10*-1+(X13=1)*($E$12+SUM($H$11:W11))*-1</f>
        <v>0</v>
      </c>
      <c r="Y11" s="1">
        <f ca="1">(Y12=0)*Y10*-1+(Y13=1)*($E$12+SUM($H$11:X11))*-1</f>
        <v>0</v>
      </c>
      <c r="Z11" s="1">
        <f ca="1">(Z12=0)*Z10*-1+(Z13=1)*($E$12+SUM($H$11:Y11))*-1</f>
        <v>0</v>
      </c>
      <c r="AA11" s="1">
        <f ca="1">(AA12=0)*AA10*-1+(AA13=1)*($E$12+SUM($H$11:Z11))*-1</f>
        <v>0</v>
      </c>
      <c r="AB11" s="1">
        <f ca="1">(AB12=0)*AB10*-1+(AB13=1)*($E$12+SUM($H$11:AA11))*-1</f>
        <v>0</v>
      </c>
      <c r="AC11" s="1">
        <f ca="1">(AC12=0)*AC10*-1+(AC13=1)*($E$12+SUM($H$11:AB11))*-1</f>
        <v>0</v>
      </c>
      <c r="AD11" s="1">
        <f ca="1">(AD12=0)*AD10*-1+(AD13=1)*($E$12+SUM($H$11:AC11))*-1</f>
        <v>0</v>
      </c>
      <c r="AE11" s="1">
        <f ca="1">(AE12=0)*AE10*-1+(AE13=1)*($E$12+SUM($H$11:AD11))*-1</f>
        <v>0</v>
      </c>
      <c r="AF11" s="1">
        <f ca="1">(AF12=0)*AF10*-1+(AF13=1)*($E$12+SUM($H$11:AE11))*-1</f>
        <v>0</v>
      </c>
      <c r="AG11" s="1">
        <f ca="1">(AG12=0)*AG10*-1+(AG13=1)*($E$12+SUM($H$11:AF11))*-1</f>
        <v>0</v>
      </c>
      <c r="AH11" s="1">
        <f ca="1">(AH12=0)*AH10*-1+(AH13=1)*($E$12+SUM($H$11:AG11))*-1</f>
        <v>0</v>
      </c>
      <c r="AI11" s="1">
        <f ca="1">(AI12=0)*AI10*-1+(AI13=1)*($E$12+SUM($H$11:AH11))*-1</f>
        <v>0</v>
      </c>
      <c r="AJ11" s="1">
        <f ca="1">(AJ12=0)*AJ10*-1+(AJ13=1)*($E$12+SUM($H$11:AI11))*-1</f>
        <v>0</v>
      </c>
      <c r="AK11" s="1">
        <f ca="1">(AK12=0)*AK10*-1+(AK13=1)*($E$12+SUM($H$11:AJ11))*-1</f>
        <v>0</v>
      </c>
      <c r="AL11" s="1">
        <f ca="1">(AL12=0)*AL10*-1+(AL13=1)*($E$12+SUM($H$11:AK11))*-1</f>
        <v>0</v>
      </c>
      <c r="AM11" s="1">
        <f ca="1">(AM12=0)*AM10*-1+(AM13=1)*($E$12+SUM($H$11:AL11))*-1</f>
        <v>0</v>
      </c>
      <c r="AN11" s="1">
        <f ca="1">(AN12=0)*AN10*-1+(AN13=1)*($E$12+SUM($H$11:AM11))*-1</f>
        <v>0</v>
      </c>
      <c r="AO11" s="1">
        <f ca="1">(AO12=0)*AO10*-1+(AO13=1)*($E$12+SUM($H$11:AN11))*-1</f>
        <v>0</v>
      </c>
      <c r="AP11" s="1">
        <f ca="1">(AP12=0)*AP10*-1+(AP13=1)*($E$12+SUM($H$11:AO11))*-1</f>
        <v>0</v>
      </c>
      <c r="AQ11" s="1">
        <f ca="1">(AQ12=0)*AQ10*-1+(AQ13=1)*($E$12+SUM($H$11:AP11))*-1</f>
        <v>0</v>
      </c>
      <c r="AR11" s="1">
        <f ca="1">(AR12=0)*AR10*-1+(AR13=1)*($E$12+SUM($H$11:AQ11))*-1</f>
        <v>0</v>
      </c>
      <c r="AS11" s="1">
        <f ca="1">(AS12=0)*AS10*-1+(AS13=1)*($E$12+SUM($H$11:AR11))*-1</f>
        <v>0</v>
      </c>
      <c r="AT11" s="1">
        <f ca="1">(AT12=0)*AT10*-1+(AT13=1)*($E$12+SUM($H$11:AS11))*-1</f>
        <v>0</v>
      </c>
      <c r="AU11" s="1">
        <f ca="1">(AU12=0)*AU10*-1+(AU13=1)*($E$12+SUM($H$11:AT11))*-1</f>
        <v>0</v>
      </c>
      <c r="AV11" s="1">
        <f ca="1">(AV12=0)*AV10*-1+(AV13=1)*($E$12+SUM($H$11:AU11))*-1</f>
        <v>0</v>
      </c>
      <c r="AW11" s="1">
        <f ca="1">(AW12=0)*AW10*-1+(AW13=1)*($E$12+SUM($H$11:AV11))*-1</f>
        <v>0</v>
      </c>
      <c r="AX11" s="1">
        <f ca="1">(AX12=0)*AX10*-1+(AX13=1)*($E$12+SUM($H$11:AW11))*-1</f>
        <v>0</v>
      </c>
      <c r="AY11" s="1">
        <f ca="1">(AY12=0)*AY10*-1+(AY13=1)*($E$12+SUM($H$11:AX11))*-1</f>
        <v>0</v>
      </c>
      <c r="AZ11" s="1">
        <f ca="1">(AZ12=0)*AZ10*-1+(AZ13=1)*($E$12+SUM($H$11:AY11))*-1</f>
        <v>0</v>
      </c>
      <c r="BA11" s="1">
        <f ca="1">(BA12=0)*BA10*-1+(BA13=1)*($E$12+SUM($H$11:AZ11))*-1</f>
        <v>0</v>
      </c>
      <c r="BB11" s="1">
        <f ca="1">(BB12=0)*BB10*-1+(BB13=1)*($E$12+SUM($H$11:BA11))*-1</f>
        <v>0</v>
      </c>
      <c r="BC11" s="1">
        <f ca="1">(BC12=0)*BC10*-1+(BC13=1)*($E$12+SUM($H$11:BB11))*-1</f>
        <v>0</v>
      </c>
      <c r="BD11" s="1">
        <f ca="1">(BD12=0)*BD10*-1+(BD13=1)*($E$12+SUM($H$11:BC11))*-1</f>
        <v>0</v>
      </c>
      <c r="BE11" s="1">
        <f ca="1">(BE12=0)*BE10*-1+(BE13=1)*($E$12+SUM($H$11:BD11))*-1</f>
        <v>0</v>
      </c>
      <c r="BF11" s="1">
        <f ca="1">(BF12=0)*BF10*-1+(BF13=1)*($E$12+SUM($H$11:BE11))*-1</f>
        <v>0</v>
      </c>
      <c r="BG11" s="1">
        <f ca="1">(BG12=0)*BG10*-1+(BG13=1)*($E$12+SUM($H$11:BF11))*-1</f>
        <v>0</v>
      </c>
      <c r="BH11" s="1">
        <f ca="1">(BH12=0)*BH10*-1+(BH13=1)*($E$12+SUM($H$11:BG11))*-1</f>
        <v>0</v>
      </c>
      <c r="BI11" s="1">
        <f ca="1">(BI12=0)*BI10*-1+(BI13=1)*($E$12+SUM($H$11:BH11))*-1</f>
        <v>0</v>
      </c>
      <c r="BJ11" s="1">
        <f ca="1">(BJ12=0)*BJ10*-1+(BJ13=1)*($E$12+SUM($H$11:BI11))*-1</f>
        <v>0</v>
      </c>
      <c r="BK11" s="1">
        <f ca="1">(BK12=0)*BK10*-1+(BK13=1)*($E$12+SUM($H$11:BJ11))*-1</f>
        <v>0</v>
      </c>
    </row>
    <row r="12" spans="1:65" ht="13.5" customHeight="1">
      <c r="E12" s="11">
        <f>SUM(G21:G22)</f>
        <v>0</v>
      </c>
      <c r="I12" s="11">
        <f ca="1">(SUM($I10:I10)&gt;$E$12)*1</f>
        <v>0</v>
      </c>
      <c r="J12" s="11">
        <f ca="1">(SUM($I10:J10)&gt;$E$12)*1</f>
        <v>0</v>
      </c>
      <c r="K12" s="11">
        <f ca="1">(SUM($I10:K10)&gt;$E$12)*1</f>
        <v>0</v>
      </c>
      <c r="L12" s="11">
        <f ca="1">(SUM($I10:L10)&gt;$E$12)*1</f>
        <v>0</v>
      </c>
      <c r="M12" s="11">
        <f ca="1">(SUM($I10:M10)&gt;$E$12)*1</f>
        <v>0</v>
      </c>
      <c r="N12" s="11">
        <f ca="1">(SUM($I10:N10)&gt;$E$12)*1</f>
        <v>0</v>
      </c>
      <c r="O12" s="11">
        <f ca="1">(SUM($I10:O10)&gt;$E$12)*1</f>
        <v>0</v>
      </c>
      <c r="P12" s="11">
        <f ca="1">(SUM($I10:P10)&gt;$E$12)*1</f>
        <v>0</v>
      </c>
      <c r="Q12" s="11">
        <f ca="1">(SUM($I10:Q10)&gt;$E$12)*1</f>
        <v>0</v>
      </c>
      <c r="R12" s="11">
        <f ca="1">(SUM($I10:R10)&gt;$E$12)*1</f>
        <v>0</v>
      </c>
      <c r="S12" s="11">
        <f ca="1">(SUM($I10:S10)&gt;$E$12)*1</f>
        <v>0</v>
      </c>
      <c r="T12" s="11">
        <f ca="1">(SUM($I10:T10)&gt;$E$12)*1</f>
        <v>0</v>
      </c>
      <c r="U12" s="11">
        <f ca="1">(SUM($I10:U10)&gt;$E$12)*1</f>
        <v>0</v>
      </c>
      <c r="V12" s="11">
        <f ca="1">(SUM($I10:V10)&gt;$E$12)*1</f>
        <v>0</v>
      </c>
      <c r="W12" s="11">
        <f ca="1">(SUM($I10:W10)&gt;$E$12)*1</f>
        <v>0</v>
      </c>
      <c r="X12" s="11">
        <f ca="1">(SUM($I10:X10)&gt;$E$12)*1</f>
        <v>0</v>
      </c>
      <c r="Y12" s="11">
        <f ca="1">(SUM($I10:Y10)&gt;$E$12)*1</f>
        <v>1</v>
      </c>
      <c r="Z12" s="11">
        <f ca="1">(SUM($I10:Z10)&gt;$E$12)*1</f>
        <v>1</v>
      </c>
      <c r="AA12" s="11">
        <f ca="1">(SUM($I10:AA10)&gt;$E$12)*1</f>
        <v>1</v>
      </c>
      <c r="AB12" s="11">
        <f ca="1">(SUM($I10:AB10)&gt;$E$12)*1</f>
        <v>1</v>
      </c>
      <c r="AC12" s="11">
        <f ca="1">(SUM($I10:AC10)&gt;$E$12)*1</f>
        <v>1</v>
      </c>
      <c r="AD12" s="11">
        <f ca="1">(SUM($I10:AD10)&gt;$E$12)*1</f>
        <v>1</v>
      </c>
      <c r="AE12" s="11">
        <f ca="1">(SUM($I10:AE10)&gt;$E$12)*1</f>
        <v>1</v>
      </c>
      <c r="AF12" s="11">
        <f ca="1">(SUM($I10:AF10)&gt;$E$12)*1</f>
        <v>1</v>
      </c>
      <c r="AG12" s="11">
        <f ca="1">(SUM($I10:AG10)&gt;$E$12)*1</f>
        <v>1</v>
      </c>
      <c r="AH12" s="11">
        <f ca="1">(SUM($I10:AH10)&gt;$E$12)*1</f>
        <v>1</v>
      </c>
      <c r="AI12" s="11">
        <f ca="1">(SUM($I10:AI10)&gt;$E$12)*1</f>
        <v>1</v>
      </c>
      <c r="AJ12" s="11">
        <f ca="1">(SUM($I10:AJ10)&gt;$E$12)*1</f>
        <v>1</v>
      </c>
      <c r="AK12" s="11">
        <f ca="1">(SUM($I10:AK10)&gt;$E$12)*1</f>
        <v>1</v>
      </c>
      <c r="AL12" s="11">
        <f ca="1">(SUM($I10:AL10)&gt;$E$12)*1</f>
        <v>1</v>
      </c>
      <c r="AM12" s="11">
        <f ca="1">(SUM($I10:AM10)&gt;$E$12)*1</f>
        <v>1</v>
      </c>
      <c r="AN12" s="11">
        <f ca="1">(SUM($I10:AN10)&gt;$E$12)*1</f>
        <v>1</v>
      </c>
      <c r="AO12" s="11">
        <f ca="1">(SUM($I10:AO10)&gt;$E$12)*1</f>
        <v>1</v>
      </c>
      <c r="AP12" s="11">
        <f ca="1">(SUM($I10:AP10)&gt;$E$12)*1</f>
        <v>1</v>
      </c>
      <c r="AQ12" s="11">
        <f ca="1">(SUM($I10:AQ10)&gt;$E$12)*1</f>
        <v>1</v>
      </c>
      <c r="AR12" s="11">
        <f ca="1">(SUM($I10:AR10)&gt;$E$12)*1</f>
        <v>1</v>
      </c>
      <c r="AS12" s="11">
        <f ca="1">(SUM($I10:AS10)&gt;$E$12)*1</f>
        <v>1</v>
      </c>
      <c r="AT12" s="11">
        <f ca="1">(SUM($I10:AT10)&gt;$E$12)*1</f>
        <v>1</v>
      </c>
      <c r="AU12" s="11">
        <f ca="1">(SUM($I10:AU10)&gt;$E$12)*1</f>
        <v>1</v>
      </c>
      <c r="AV12" s="11">
        <f ca="1">(SUM($I10:AV10)&gt;$E$12)*1</f>
        <v>1</v>
      </c>
      <c r="AW12" s="11">
        <f ca="1">(SUM($I10:AW10)&gt;$E$12)*1</f>
        <v>1</v>
      </c>
      <c r="AX12" s="11">
        <f ca="1">(SUM($I10:AX10)&gt;$E$12)*1</f>
        <v>1</v>
      </c>
      <c r="AY12" s="11">
        <f ca="1">(SUM($I10:AY10)&gt;$E$12)*1</f>
        <v>1</v>
      </c>
      <c r="AZ12" s="11">
        <f ca="1">(SUM($I10:AZ10)&gt;$E$12)*1</f>
        <v>1</v>
      </c>
      <c r="BA12" s="11">
        <f ca="1">(SUM($I10:BA10)&gt;$E$12)*1</f>
        <v>1</v>
      </c>
      <c r="BB12" s="11">
        <f ca="1">(SUM($I10:BB10)&gt;$E$12)*1</f>
        <v>1</v>
      </c>
      <c r="BC12" s="11">
        <f ca="1">(SUM($I10:BC10)&gt;$E$12)*1</f>
        <v>1</v>
      </c>
      <c r="BD12" s="11">
        <f ca="1">(SUM($I10:BD10)&gt;$E$12)*1</f>
        <v>1</v>
      </c>
      <c r="BE12" s="11">
        <f ca="1">(SUM($I10:BE10)&gt;$E$12)*1</f>
        <v>1</v>
      </c>
      <c r="BF12" s="11">
        <f ca="1">(SUM($I10:BF10)&gt;$E$12)*1</f>
        <v>1</v>
      </c>
      <c r="BG12" s="11">
        <f ca="1">(SUM($I10:BG10)&gt;$E$12)*1</f>
        <v>1</v>
      </c>
      <c r="BH12" s="11">
        <f ca="1">(SUM($I10:BH10)&gt;$E$12)*1</f>
        <v>1</v>
      </c>
      <c r="BI12" s="11">
        <f ca="1">(SUM($I10:BI10)&gt;$E$12)*1</f>
        <v>1</v>
      </c>
      <c r="BJ12" s="11">
        <f ca="1">(SUM($I10:BJ10)&gt;$E$12)*1</f>
        <v>1</v>
      </c>
      <c r="BK12" s="11">
        <f ca="1">(SUM($I10:BK10)&gt;$E$12)*1</f>
        <v>1</v>
      </c>
    </row>
    <row r="13" spans="1:65" ht="13.5" customHeight="1">
      <c r="I13" s="11">
        <f ca="1">SUM($I$12:I12)</f>
        <v>0</v>
      </c>
      <c r="J13" s="11">
        <f ca="1">SUM($I$12:J12)</f>
        <v>0</v>
      </c>
      <c r="K13" s="11">
        <f ca="1">SUM($I$12:K12)</f>
        <v>0</v>
      </c>
      <c r="L13" s="11">
        <f ca="1">SUM($I$12:L12)</f>
        <v>0</v>
      </c>
      <c r="M13" s="11">
        <f ca="1">SUM($I$12:M12)</f>
        <v>0</v>
      </c>
      <c r="N13" s="11">
        <f ca="1">SUM($I$12:N12)</f>
        <v>0</v>
      </c>
      <c r="O13" s="11">
        <f ca="1">SUM($I$12:O12)</f>
        <v>0</v>
      </c>
      <c r="P13" s="11">
        <f ca="1">SUM($I$12:P12)</f>
        <v>0</v>
      </c>
      <c r="Q13" s="11">
        <f ca="1">SUM($I$12:Q12)</f>
        <v>0</v>
      </c>
      <c r="R13" s="11">
        <f ca="1">SUM($I$12:R12)</f>
        <v>0</v>
      </c>
      <c r="S13" s="11">
        <f ca="1">SUM($I$12:S12)</f>
        <v>0</v>
      </c>
      <c r="T13" s="11">
        <f ca="1">SUM($I$12:T12)</f>
        <v>0</v>
      </c>
      <c r="U13" s="11">
        <f ca="1">SUM($I$12:U12)</f>
        <v>0</v>
      </c>
      <c r="V13" s="11">
        <f ca="1">SUM($I$12:V12)</f>
        <v>0</v>
      </c>
      <c r="W13" s="11">
        <f ca="1">SUM($I$12:W12)</f>
        <v>0</v>
      </c>
      <c r="X13" s="11">
        <f ca="1">SUM($I$12:X12)</f>
        <v>0</v>
      </c>
      <c r="Y13" s="11">
        <f ca="1">SUM($I$12:Y12)</f>
        <v>1</v>
      </c>
      <c r="Z13" s="11">
        <f ca="1">SUM($I$12:Z12)</f>
        <v>2</v>
      </c>
      <c r="AA13" s="11">
        <f ca="1">SUM($I$12:AA12)</f>
        <v>3</v>
      </c>
      <c r="AB13" s="11">
        <f ca="1">SUM($I$12:AB12)</f>
        <v>4</v>
      </c>
      <c r="AC13" s="11">
        <f ca="1">SUM($I$12:AC12)</f>
        <v>5</v>
      </c>
      <c r="AD13" s="11">
        <f ca="1">SUM($I$12:AD12)</f>
        <v>6</v>
      </c>
      <c r="AE13" s="11">
        <f ca="1">SUM($I$12:AE12)</f>
        <v>7</v>
      </c>
      <c r="AF13" s="11">
        <f ca="1">SUM($I$12:AF12)</f>
        <v>8</v>
      </c>
      <c r="AG13" s="11">
        <f ca="1">SUM($I$12:AG12)</f>
        <v>9</v>
      </c>
      <c r="AH13" s="11">
        <f ca="1">SUM($I$12:AH12)</f>
        <v>10</v>
      </c>
      <c r="AI13" s="11">
        <f ca="1">SUM($I$12:AI12)</f>
        <v>11</v>
      </c>
      <c r="AJ13" s="11">
        <f ca="1">SUM($I$12:AJ12)</f>
        <v>12</v>
      </c>
      <c r="AK13" s="11">
        <f ca="1">SUM($I$12:AK12)</f>
        <v>13</v>
      </c>
      <c r="AL13" s="11">
        <f ca="1">SUM($I$12:AL12)</f>
        <v>14</v>
      </c>
      <c r="AM13" s="11">
        <f ca="1">SUM($I$12:AM12)</f>
        <v>15</v>
      </c>
      <c r="AN13" s="11">
        <f ca="1">SUM($I$12:AN12)</f>
        <v>16</v>
      </c>
      <c r="AO13" s="11">
        <f ca="1">SUM($I$12:AO12)</f>
        <v>17</v>
      </c>
      <c r="AP13" s="11">
        <f ca="1">SUM($I$12:AP12)</f>
        <v>18</v>
      </c>
      <c r="AQ13" s="11">
        <f ca="1">SUM($I$12:AQ12)</f>
        <v>19</v>
      </c>
      <c r="AR13" s="11">
        <f ca="1">SUM($I$12:AR12)</f>
        <v>20</v>
      </c>
      <c r="AS13" s="11">
        <f ca="1">SUM($I$12:AS12)</f>
        <v>21</v>
      </c>
      <c r="AT13" s="11">
        <f ca="1">SUM($I$12:AT12)</f>
        <v>22</v>
      </c>
      <c r="AU13" s="11">
        <f ca="1">SUM($I$12:AU12)</f>
        <v>23</v>
      </c>
      <c r="AV13" s="11">
        <f ca="1">SUM($I$12:AV12)</f>
        <v>24</v>
      </c>
      <c r="AW13" s="11">
        <f ca="1">SUM($I$12:AW12)</f>
        <v>25</v>
      </c>
      <c r="AX13" s="11">
        <f ca="1">SUM($I$12:AX12)</f>
        <v>26</v>
      </c>
      <c r="AY13" s="11">
        <f ca="1">SUM($I$12:AY12)</f>
        <v>27</v>
      </c>
      <c r="AZ13" s="11">
        <f ca="1">SUM($I$12:AZ12)</f>
        <v>28</v>
      </c>
      <c r="BA13" s="11">
        <f ca="1">SUM($I$12:BA12)</f>
        <v>29</v>
      </c>
      <c r="BB13" s="11">
        <f ca="1">SUM($I$12:BB12)</f>
        <v>30</v>
      </c>
      <c r="BC13" s="11">
        <f ca="1">SUM($I$12:BC12)</f>
        <v>31</v>
      </c>
      <c r="BD13" s="11">
        <f ca="1">SUM($I$12:BD12)</f>
        <v>32</v>
      </c>
      <c r="BE13" s="11">
        <f ca="1">SUM($I$12:BE12)</f>
        <v>33</v>
      </c>
      <c r="BF13" s="11">
        <f ca="1">SUM($I$12:BF12)</f>
        <v>34</v>
      </c>
      <c r="BG13" s="11">
        <f ca="1">SUM($I$12:BG12)</f>
        <v>35</v>
      </c>
      <c r="BH13" s="11">
        <f ca="1">SUM($I$12:BH12)</f>
        <v>36</v>
      </c>
      <c r="BI13" s="11">
        <f ca="1">SUM($I$12:BI12)</f>
        <v>37</v>
      </c>
      <c r="BJ13" s="11">
        <f ca="1">SUM($I$12:BJ12)</f>
        <v>38</v>
      </c>
      <c r="BK13" s="11">
        <f ca="1">SUM($I$12:BK12)</f>
        <v>39</v>
      </c>
    </row>
    <row r="15" spans="1:65" ht="13.5" customHeight="1">
      <c r="C15" s="230" t="s">
        <v>395</v>
      </c>
      <c r="D15" s="230"/>
      <c r="E15" s="230"/>
      <c r="F15" s="230"/>
      <c r="G15" s="230">
        <f ca="1">SUM(H15:XFD15)</f>
        <v>734876.89418260904</v>
      </c>
      <c r="H15" s="230"/>
      <c r="I15" s="230">
        <f ca="1">SUM(I10:I11)</f>
        <v>0</v>
      </c>
      <c r="J15" s="230">
        <f t="shared" ref="J15:BK15" ca="1" si="1">SUM(J10:J11)</f>
        <v>0</v>
      </c>
      <c r="K15" s="230">
        <f t="shared" ca="1" si="1"/>
        <v>0</v>
      </c>
      <c r="L15" s="230">
        <f t="shared" ca="1" si="1"/>
        <v>0</v>
      </c>
      <c r="M15" s="230">
        <f t="shared" ca="1" si="1"/>
        <v>0</v>
      </c>
      <c r="N15" s="230">
        <f t="shared" ca="1" si="1"/>
        <v>0</v>
      </c>
      <c r="O15" s="230">
        <f t="shared" ca="1" si="1"/>
        <v>0</v>
      </c>
      <c r="P15" s="230">
        <f t="shared" ca="1" si="1"/>
        <v>0</v>
      </c>
      <c r="Q15" s="230">
        <f t="shared" ca="1" si="1"/>
        <v>0</v>
      </c>
      <c r="R15" s="230">
        <f t="shared" ca="1" si="1"/>
        <v>0</v>
      </c>
      <c r="S15" s="230">
        <f t="shared" ca="1" si="1"/>
        <v>0</v>
      </c>
      <c r="T15" s="230">
        <f t="shared" ca="1" si="1"/>
        <v>0</v>
      </c>
      <c r="U15" s="230">
        <f t="shared" ca="1" si="1"/>
        <v>0</v>
      </c>
      <c r="V15" s="230">
        <f t="shared" ca="1" si="1"/>
        <v>0</v>
      </c>
      <c r="W15" s="230">
        <f t="shared" ca="1" si="1"/>
        <v>0</v>
      </c>
      <c r="X15" s="230">
        <f t="shared" ca="1" si="1"/>
        <v>0</v>
      </c>
      <c r="Y15" s="230">
        <f t="shared" ca="1" si="1"/>
        <v>5848.6234931884073</v>
      </c>
      <c r="Z15" s="230">
        <f t="shared" ca="1" si="1"/>
        <v>5848.6234931884073</v>
      </c>
      <c r="AA15" s="230">
        <f t="shared" ca="1" si="1"/>
        <v>5848.6234931884073</v>
      </c>
      <c r="AB15" s="230">
        <f t="shared" ca="1" si="1"/>
        <v>29243.117465942036</v>
      </c>
      <c r="AC15" s="230">
        <f t="shared" ca="1" si="1"/>
        <v>11697.246986376815</v>
      </c>
      <c r="AD15" s="230">
        <f t="shared" ca="1" si="1"/>
        <v>11697.246986376815</v>
      </c>
      <c r="AE15" s="230">
        <f t="shared" ca="1" si="1"/>
        <v>52637.611438695661</v>
      </c>
      <c r="AF15" s="230">
        <f t="shared" ca="1" si="1"/>
        <v>17545.870479565223</v>
      </c>
      <c r="AG15" s="230">
        <f t="shared" ca="1" si="1"/>
        <v>17545.870479565223</v>
      </c>
      <c r="AH15" s="230">
        <f t="shared" ca="1" si="1"/>
        <v>76032.105411449302</v>
      </c>
      <c r="AI15" s="230">
        <f t="shared" ca="1" si="1"/>
        <v>23394.493972753629</v>
      </c>
      <c r="AJ15" s="230">
        <f t="shared" ca="1" si="1"/>
        <v>23394.493972753629</v>
      </c>
      <c r="AK15" s="230">
        <f t="shared" ca="1" si="1"/>
        <v>70183.481918260892</v>
      </c>
      <c r="AL15" s="230">
        <f t="shared" ca="1" si="1"/>
        <v>0</v>
      </c>
      <c r="AM15" s="230">
        <f t="shared" ca="1" si="1"/>
        <v>0</v>
      </c>
      <c r="AN15" s="230">
        <f t="shared" ca="1" si="1"/>
        <v>70183.481918260892</v>
      </c>
      <c r="AO15" s="230">
        <f t="shared" ca="1" si="1"/>
        <v>0</v>
      </c>
      <c r="AP15" s="230">
        <f t="shared" ca="1" si="1"/>
        <v>0</v>
      </c>
      <c r="AQ15" s="230">
        <f t="shared" ca="1" si="1"/>
        <v>70183.481918260892</v>
      </c>
      <c r="AR15" s="230">
        <f t="shared" ca="1" si="1"/>
        <v>0</v>
      </c>
      <c r="AS15" s="230">
        <f t="shared" ca="1" si="1"/>
        <v>0</v>
      </c>
      <c r="AT15" s="230">
        <f t="shared" ca="1" si="1"/>
        <v>0</v>
      </c>
      <c r="AU15" s="230">
        <f t="shared" ca="1" si="1"/>
        <v>0</v>
      </c>
      <c r="AV15" s="230">
        <f t="shared" ca="1" si="1"/>
        <v>0</v>
      </c>
      <c r="AW15" s="230">
        <f t="shared" ca="1" si="1"/>
        <v>0</v>
      </c>
      <c r="AX15" s="230">
        <f t="shared" ca="1" si="1"/>
        <v>0</v>
      </c>
      <c r="AY15" s="230">
        <f t="shared" ca="1" si="1"/>
        <v>0</v>
      </c>
      <c r="AZ15" s="230">
        <f t="shared" ca="1" si="1"/>
        <v>0</v>
      </c>
      <c r="BA15" s="230">
        <f t="shared" ca="1" si="1"/>
        <v>0</v>
      </c>
      <c r="BB15" s="230">
        <f t="shared" ca="1" si="1"/>
        <v>0</v>
      </c>
      <c r="BC15" s="230">
        <f t="shared" ca="1" si="1"/>
        <v>1101.4024999999999</v>
      </c>
      <c r="BD15" s="230">
        <f t="shared" ca="1" si="1"/>
        <v>3304.2074999999995</v>
      </c>
      <c r="BE15" s="230">
        <f t="shared" ca="1" si="1"/>
        <v>5507.0124999999998</v>
      </c>
      <c r="BF15" s="230">
        <f t="shared" ca="1" si="1"/>
        <v>3304.2075</v>
      </c>
      <c r="BG15" s="230">
        <f t="shared" ca="1" si="1"/>
        <v>230375.69075478267</v>
      </c>
      <c r="BH15" s="230">
        <f t="shared" ca="1" si="1"/>
        <v>0</v>
      </c>
      <c r="BI15" s="230">
        <f t="shared" ca="1" si="1"/>
        <v>0</v>
      </c>
      <c r="BJ15" s="230">
        <f t="shared" ca="1" si="1"/>
        <v>0</v>
      </c>
      <c r="BK15" s="230">
        <f t="shared" ca="1" si="1"/>
        <v>0</v>
      </c>
    </row>
    <row r="17" spans="2:63" ht="13.5" customHeight="1">
      <c r="B17" s="14" t="s">
        <v>396</v>
      </c>
    </row>
    <row r="18" spans="2:63" ht="13.5" customHeight="1">
      <c r="C18" s="1" t="s">
        <v>397</v>
      </c>
      <c r="G18" s="1">
        <f ca="1">SUM(H18:XFD18)</f>
        <v>-537093.12310163188</v>
      </c>
      <c r="I18" s="1">
        <f ca="1">총투자비!O139*-1</f>
        <v>-162543.33426231035</v>
      </c>
      <c r="J18" s="1">
        <f ca="1">총투자비!P139*-1</f>
        <v>-121.08291689151929</v>
      </c>
      <c r="K18" s="1">
        <f ca="1">총투자비!Q139*-1</f>
        <v>-121.08291689151929</v>
      </c>
      <c r="L18" s="1">
        <f ca="1">총투자비!R139*-1</f>
        <v>-4166.3619666120112</v>
      </c>
      <c r="M18" s="1">
        <f ca="1">총투자비!S139*-1</f>
        <v>-148.11035369766199</v>
      </c>
      <c r="N18" s="1">
        <f ca="1">총투자비!T139*-1</f>
        <v>-148.11035369766199</v>
      </c>
      <c r="O18" s="1">
        <f ca="1">총투자비!U139*-1</f>
        <v>-148.11035369766199</v>
      </c>
      <c r="P18" s="1">
        <f ca="1">총투자비!V139*-1</f>
        <v>-148.11035369766199</v>
      </c>
      <c r="Q18" s="1">
        <f ca="1">총투자비!W139*-1</f>
        <v>-148.11035369766199</v>
      </c>
      <c r="R18" s="1">
        <f ca="1">총투자비!X139*-1</f>
        <v>-148.11035369766199</v>
      </c>
      <c r="S18" s="1">
        <f ca="1">총투자비!Y139*-1</f>
        <v>-148.11035369766199</v>
      </c>
      <c r="T18" s="1">
        <f ca="1">총투자비!Z139*-1</f>
        <v>-148.11035369766199</v>
      </c>
      <c r="U18" s="1">
        <f ca="1">총투자비!AA139*-1</f>
        <v>-148.11035369766199</v>
      </c>
      <c r="V18" s="1">
        <f ca="1">총투자비!AB139*-1</f>
        <v>-2645.4455145852476</v>
      </c>
      <c r="W18" s="1">
        <f ca="1">총투자비!AC139*-1</f>
        <v>-4061.7679129437324</v>
      </c>
      <c r="X18" s="1">
        <f ca="1">총투자비!AD139*-1</f>
        <v>-9030.6247177839996</v>
      </c>
      <c r="Y18" s="1">
        <f ca="1">총투자비!AE139*-1</f>
        <v>-4759.1301284843221</v>
      </c>
      <c r="Z18" s="1">
        <f ca="1">총투자비!AF139*-1</f>
        <v>-4250.2994037023482</v>
      </c>
      <c r="AA18" s="1">
        <f ca="1">총투자비!AG139*-1</f>
        <v>-5952.3086571023468</v>
      </c>
      <c r="AB18" s="1">
        <f ca="1">총투자비!AH139*-1</f>
        <v>-6434.4744872823285</v>
      </c>
      <c r="AC18" s="1">
        <f ca="1">총투자비!AI139*-1</f>
        <v>-7079.7134252731885</v>
      </c>
      <c r="AD18" s="1">
        <f ca="1">총투자비!AJ139*-1</f>
        <v>-7735.2456757171494</v>
      </c>
      <c r="AE18" s="1">
        <f ca="1">총투자비!AK139*-1</f>
        <v>-8680.3144895260739</v>
      </c>
      <c r="AF18" s="1">
        <f ca="1">총투자비!AL139*-1</f>
        <v>-9251.7941999077957</v>
      </c>
      <c r="AG18" s="1">
        <f ca="1">총투자비!AM139*-1</f>
        <v>-10009.783188795718</v>
      </c>
      <c r="AH18" s="1">
        <f ca="1">총투자비!AN139*-1</f>
        <v>-10683.627878833589</v>
      </c>
      <c r="AI18" s="1">
        <f ca="1">총투자비!AO139*-1</f>
        <v>-10766.541727606174</v>
      </c>
      <c r="AJ18" s="1">
        <f ca="1">총투자비!AP139*-1</f>
        <v>-11325.218623724557</v>
      </c>
      <c r="AK18" s="1">
        <f ca="1">총투자비!AQ139*-1</f>
        <v>-10671.647770575295</v>
      </c>
      <c r="AL18" s="1">
        <f ca="1">총투자비!AR139*-1</f>
        <v>-10741.089623162892</v>
      </c>
      <c r="AM18" s="1">
        <f ca="1">총투자비!AS139*-1</f>
        <v>-10962.31982796289</v>
      </c>
      <c r="AN18" s="1">
        <f ca="1">총투자비!AT139*-1</f>
        <v>-11679.898427102831</v>
      </c>
      <c r="AO18" s="1">
        <f ca="1">총투자비!AU139*-1</f>
        <v>-11611.071401690428</v>
      </c>
      <c r="AP18" s="1">
        <f ca="1">총투자비!AV139*-1</f>
        <v>-11859.955382090429</v>
      </c>
      <c r="AQ18" s="1">
        <f ca="1">총투자비!AW139*-1</f>
        <v>-12577.533981230366</v>
      </c>
      <c r="AR18" s="1">
        <f ca="1">총투자비!AX139*-1</f>
        <v>-12702.283385017965</v>
      </c>
      <c r="AS18" s="1">
        <f ca="1">총투자비!AY139*-1</f>
        <v>-12536.360731417964</v>
      </c>
      <c r="AT18" s="1">
        <f ca="1">총투자비!AZ139*-1</f>
        <v>-12093.900321817966</v>
      </c>
      <c r="AU18" s="1">
        <f ca="1">총투자비!BA139*-1</f>
        <v>-11762.055014617965</v>
      </c>
      <c r="AV18" s="1">
        <f ca="1">총투자비!BB139*-1</f>
        <v>-11828.154079896061</v>
      </c>
      <c r="AW18" s="1">
        <f ca="1">총투자비!BC139*-1</f>
        <v>-11319.594605017966</v>
      </c>
      <c r="AX18" s="1">
        <f ca="1">총투자비!BD139*-1</f>
        <v>-11126.018175817964</v>
      </c>
      <c r="AY18" s="1">
        <f ca="1">총투자비!BE139*-1</f>
        <v>-10877.134195417964</v>
      </c>
      <c r="AZ18" s="1">
        <f ca="1">총투자비!BF139*-1</f>
        <v>-10655.903990617966</v>
      </c>
      <c r="BA18" s="1">
        <f ca="1">총투자비!BG139*-1</f>
        <v>-9715.6756202179658</v>
      </c>
      <c r="BB18" s="1">
        <f ca="1">총투자비!BH139*-1</f>
        <v>-8941.3699034179663</v>
      </c>
      <c r="BC18" s="1">
        <f ca="1">총투자비!BI139*-1</f>
        <v>-8663.1699182101202</v>
      </c>
      <c r="BD18" s="1">
        <f ca="1">총투자비!BJ139*-1</f>
        <v>-13327.78186901202</v>
      </c>
      <c r="BE18" s="1">
        <f ca="1">총투자비!BK139*-1</f>
        <v>-7346.6347496502904</v>
      </c>
      <c r="BF18" s="1">
        <f ca="1">총투자비!BL139*-1</f>
        <v>-5801.1761364368631</v>
      </c>
      <c r="BG18" s="1">
        <f ca="1">총투자비!BM139*-1</f>
        <v>-16682.05081391993</v>
      </c>
      <c r="BH18" s="1">
        <f ca="1">총투자비!BN139*-1</f>
        <v>-417.03206507195728</v>
      </c>
      <c r="BI18" s="1">
        <f ca="1">총투자비!BO139*-1</f>
        <v>-121.08291689151929</v>
      </c>
      <c r="BJ18" s="1">
        <f ca="1">총투자비!BP139*-1</f>
        <v>-121.08291689151929</v>
      </c>
      <c r="BK18" s="1">
        <f ca="1">총투자비!BQ139*-1</f>
        <v>0</v>
      </c>
    </row>
    <row r="19" spans="2:63" ht="13.5" customHeight="1">
      <c r="C19" s="1" t="s">
        <v>398</v>
      </c>
      <c r="G19" s="1">
        <f t="shared" ref="G19:G23" ca="1" si="2">SUM(H19:XFD19)</f>
        <v>-46972.82782684495</v>
      </c>
      <c r="I19" s="1">
        <f ca="1">총투자비!O140*-1</f>
        <v>-9445.6281249999993</v>
      </c>
      <c r="J19" s="1">
        <f ca="1">총투자비!P140*-1</f>
        <v>0</v>
      </c>
      <c r="K19" s="1">
        <f ca="1">총투자비!Q140*-1</f>
        <v>0</v>
      </c>
      <c r="L19" s="1">
        <f ca="1">총투자비!R140*-1</f>
        <v>-2583.3333333333335</v>
      </c>
      <c r="M19" s="1">
        <f ca="1">총투자비!S140*-1</f>
        <v>0</v>
      </c>
      <c r="N19" s="1">
        <f ca="1">총투자비!T140*-1</f>
        <v>0</v>
      </c>
      <c r="O19" s="1">
        <f ca="1">총투자비!U140*-1</f>
        <v>-1937.5000000000005</v>
      </c>
      <c r="P19" s="1">
        <f ca="1">총투자비!V140*-1</f>
        <v>0</v>
      </c>
      <c r="Q19" s="1">
        <f ca="1">총투자비!W140*-1</f>
        <v>0</v>
      </c>
      <c r="R19" s="1">
        <f ca="1">총투자비!X140*-1</f>
        <v>-1937.4999999999991</v>
      </c>
      <c r="S19" s="1">
        <f ca="1">총투자비!Y140*-1</f>
        <v>0</v>
      </c>
      <c r="T19" s="1">
        <f ca="1">총투자비!Z140*-1</f>
        <v>0</v>
      </c>
      <c r="U19" s="1">
        <f ca="1">총투자비!AA140*-1</f>
        <v>-1937.4999999999991</v>
      </c>
      <c r="V19" s="1">
        <f ca="1">총투자비!AB140*-1</f>
        <v>0</v>
      </c>
      <c r="W19" s="1">
        <f ca="1">총투자비!AC140*-1</f>
        <v>0</v>
      </c>
      <c r="X19" s="1">
        <f ca="1">총투자비!AD140*-1</f>
        <v>-3929.2375967495523</v>
      </c>
      <c r="Y19" s="1">
        <f ca="1">총투자비!AE140*-1</f>
        <v>0</v>
      </c>
      <c r="Z19" s="1">
        <f ca="1">총투자비!AF140*-1</f>
        <v>0</v>
      </c>
      <c r="AA19" s="1">
        <f ca="1">총투자비!AG140*-1</f>
        <v>-2321.2486122112223</v>
      </c>
      <c r="AB19" s="1">
        <f ca="1">총투자비!AH140*-1</f>
        <v>0</v>
      </c>
      <c r="AC19" s="1">
        <f ca="1">총투자비!AI140*-1</f>
        <v>0</v>
      </c>
      <c r="AD19" s="1">
        <f ca="1">총투자비!AJ140*-1</f>
        <v>-1989.6416829515802</v>
      </c>
      <c r="AE19" s="1">
        <f ca="1">총투자비!AK140*-1</f>
        <v>0</v>
      </c>
      <c r="AF19" s="1">
        <f ca="1">총투자비!AL140*-1</f>
        <v>0</v>
      </c>
      <c r="AG19" s="1">
        <f ca="1">총투자비!AM140*-1</f>
        <v>-1989.6416972577179</v>
      </c>
      <c r="AH19" s="1">
        <f ca="1">총투자비!AN140*-1</f>
        <v>0</v>
      </c>
      <c r="AI19" s="1">
        <f ca="1">총투자비!AO140*-1</f>
        <v>0</v>
      </c>
      <c r="AJ19" s="1">
        <f ca="1">총투자비!AP140*-1</f>
        <v>-1989.6417113799116</v>
      </c>
      <c r="AK19" s="1">
        <f ca="1">총투자비!AQ140*-1</f>
        <v>0</v>
      </c>
      <c r="AL19" s="1">
        <f ca="1">총투자비!AR140*-1</f>
        <v>0</v>
      </c>
      <c r="AM19" s="1">
        <f ca="1">총투자비!AS140*-1</f>
        <v>-1989.6417253309676</v>
      </c>
      <c r="AN19" s="1">
        <f ca="1">총투자비!AT140*-1</f>
        <v>0</v>
      </c>
      <c r="AO19" s="1">
        <f ca="1">총투자비!AU140*-1</f>
        <v>0</v>
      </c>
      <c r="AP19" s="1">
        <f ca="1">총투자비!AV140*-1</f>
        <v>-1989.6417391092414</v>
      </c>
      <c r="AQ19" s="1">
        <f ca="1">총투자비!AW140*-1</f>
        <v>0</v>
      </c>
      <c r="AR19" s="1">
        <f ca="1">총투자비!AX140*-1</f>
        <v>0</v>
      </c>
      <c r="AS19" s="1">
        <f ca="1">총투자비!AY140*-1</f>
        <v>-1989.641752737255</v>
      </c>
      <c r="AT19" s="1">
        <f ca="1">총투자비!AZ140*-1</f>
        <v>0</v>
      </c>
      <c r="AU19" s="1">
        <f ca="1">총투자비!BA140*-1</f>
        <v>0</v>
      </c>
      <c r="AV19" s="1">
        <f ca="1">총투자비!BB140*-1</f>
        <v>-1989.6417662549304</v>
      </c>
      <c r="AW19" s="1">
        <f ca="1">총투자비!BC140*-1</f>
        <v>0</v>
      </c>
      <c r="AX19" s="1">
        <f ca="1">총투자비!BD140*-1</f>
        <v>0</v>
      </c>
      <c r="AY19" s="1">
        <f ca="1">총투자비!BE140*-1</f>
        <v>-1989.6417772184448</v>
      </c>
      <c r="AZ19" s="1">
        <f ca="1">총투자비!BF140*-1</f>
        <v>0</v>
      </c>
      <c r="BA19" s="1">
        <f ca="1">총투자비!BG140*-1</f>
        <v>0</v>
      </c>
      <c r="BB19" s="1">
        <f ca="1">총투자비!BH140*-1</f>
        <v>-1989.6417835773286</v>
      </c>
      <c r="BC19" s="1">
        <f ca="1">총투자비!BI140*-1</f>
        <v>0</v>
      </c>
      <c r="BD19" s="1">
        <f ca="1">총투자비!BJ140*-1</f>
        <v>0</v>
      </c>
      <c r="BE19" s="1">
        <f ca="1">총투자비!BK140*-1</f>
        <v>-1989.6417879394583</v>
      </c>
      <c r="BF19" s="1">
        <f ca="1">총투자비!BL140*-1</f>
        <v>0</v>
      </c>
      <c r="BG19" s="1">
        <f ca="1">총투자비!BM140*-1</f>
        <v>0</v>
      </c>
      <c r="BH19" s="1">
        <f ca="1">총투자비!BN140*-1</f>
        <v>-1989.6417925633498</v>
      </c>
      <c r="BI19" s="1">
        <f ca="1">총투자비!BO140*-1</f>
        <v>0</v>
      </c>
      <c r="BJ19" s="1">
        <f ca="1">총투자비!BP140*-1</f>
        <v>-994.82089814797018</v>
      </c>
      <c r="BK19" s="1">
        <f ca="1">총투자비!BQ140*-1</f>
        <v>0</v>
      </c>
    </row>
    <row r="20" spans="2:63" ht="13.5" customHeight="1">
      <c r="C20" s="1" t="s">
        <v>494</v>
      </c>
    </row>
    <row r="21" spans="2:63" ht="13.5" customHeight="1">
      <c r="D21" s="1" t="str">
        <f>'A&amp;R'!X42</f>
        <v>공동주택</v>
      </c>
      <c r="E21" s="9" t="b">
        <f>ABS(G21-'A&amp;R'!AB42)&lt;0.001</f>
        <v>1</v>
      </c>
      <c r="F21" s="370">
        <f>'A&amp;R'!AA42</f>
        <v>0</v>
      </c>
      <c r="G21" s="1">
        <f>SUM(H21:XFD21)</f>
        <v>0</v>
      </c>
      <c r="I21" s="1">
        <f>총투자비!O25*현금흐름!$F21</f>
        <v>0</v>
      </c>
      <c r="J21" s="1">
        <f>총투자비!P25*현금흐름!$F21</f>
        <v>0</v>
      </c>
      <c r="K21" s="1">
        <f>총투자비!Q25*현금흐름!$F21</f>
        <v>0</v>
      </c>
      <c r="L21" s="1">
        <f>총투자비!R25*현금흐름!$F21</f>
        <v>0</v>
      </c>
      <c r="M21" s="1">
        <f>총투자비!S25*현금흐름!$F21</f>
        <v>0</v>
      </c>
      <c r="N21" s="1">
        <f>총투자비!T25*현금흐름!$F21</f>
        <v>0</v>
      </c>
      <c r="O21" s="1">
        <f>총투자비!U25*현금흐름!$F21</f>
        <v>0</v>
      </c>
      <c r="P21" s="1">
        <f>총투자비!V25*현금흐름!$F21</f>
        <v>0</v>
      </c>
      <c r="Q21" s="1">
        <f>총투자비!W25*현금흐름!$F21</f>
        <v>0</v>
      </c>
      <c r="R21" s="1">
        <f>총투자비!X25*현금흐름!$F21</f>
        <v>0</v>
      </c>
      <c r="S21" s="1">
        <f>총투자비!Y25*현금흐름!$F21</f>
        <v>0</v>
      </c>
      <c r="T21" s="1">
        <f>총투자비!Z25*현금흐름!$F21</f>
        <v>0</v>
      </c>
      <c r="U21" s="1">
        <f>총투자비!AA25*현금흐름!$F21</f>
        <v>0</v>
      </c>
      <c r="V21" s="1">
        <f>총투자비!AB25*현금흐름!$F21</f>
        <v>0</v>
      </c>
      <c r="W21" s="1">
        <f>총투자비!AC25*현금흐름!$F21</f>
        <v>0</v>
      </c>
      <c r="X21" s="1">
        <f>총투자비!AD25*현금흐름!$F21</f>
        <v>0</v>
      </c>
      <c r="Y21" s="1">
        <f>총투자비!AE25*현금흐름!$F21</f>
        <v>0</v>
      </c>
      <c r="Z21" s="1">
        <f>총투자비!AF25*현금흐름!$F21</f>
        <v>0</v>
      </c>
      <c r="AA21" s="1">
        <f>총투자비!AG25*현금흐름!$F21</f>
        <v>0</v>
      </c>
      <c r="AB21" s="1">
        <f>총투자비!AH25*현금흐름!$F21</f>
        <v>0</v>
      </c>
      <c r="AC21" s="1">
        <f>총투자비!AI25*현금흐름!$F21</f>
        <v>0</v>
      </c>
      <c r="AD21" s="1">
        <f>총투자비!AJ25*현금흐름!$F21</f>
        <v>0</v>
      </c>
      <c r="AE21" s="1">
        <f>총투자비!AK25*현금흐름!$F21</f>
        <v>0</v>
      </c>
      <c r="AF21" s="1">
        <f>총투자비!AL25*현금흐름!$F21</f>
        <v>0</v>
      </c>
      <c r="AG21" s="1">
        <f>총투자비!AM25*현금흐름!$F21</f>
        <v>0</v>
      </c>
      <c r="AH21" s="1">
        <f>총투자비!AN25*현금흐름!$F21</f>
        <v>0</v>
      </c>
      <c r="AI21" s="1">
        <f>총투자비!AO25*현금흐름!$F21</f>
        <v>0</v>
      </c>
      <c r="AJ21" s="1">
        <f>총투자비!AP25*현금흐름!$F21</f>
        <v>0</v>
      </c>
      <c r="AK21" s="1">
        <f>총투자비!AQ25*현금흐름!$F21</f>
        <v>0</v>
      </c>
      <c r="AL21" s="1">
        <f>총투자비!AR25*현금흐름!$F21</f>
        <v>0</v>
      </c>
      <c r="AM21" s="1">
        <f>총투자비!AS25*현금흐름!$F21</f>
        <v>0</v>
      </c>
      <c r="AN21" s="1">
        <f>총투자비!AT25*현금흐름!$F21</f>
        <v>0</v>
      </c>
      <c r="AO21" s="1">
        <f>총투자비!AU25*현금흐름!$F21</f>
        <v>0</v>
      </c>
      <c r="AP21" s="1">
        <f>총투자비!AV25*현금흐름!$F21</f>
        <v>0</v>
      </c>
      <c r="AQ21" s="1">
        <f>총투자비!AW25*현금흐름!$F21</f>
        <v>0</v>
      </c>
      <c r="AR21" s="1">
        <f>총투자비!AX25*현금흐름!$F21</f>
        <v>0</v>
      </c>
      <c r="AS21" s="1">
        <f>총투자비!AY25*현금흐름!$F21</f>
        <v>0</v>
      </c>
      <c r="AT21" s="1">
        <f>총투자비!AZ25*현금흐름!$F21</f>
        <v>0</v>
      </c>
      <c r="AU21" s="1">
        <f>총투자비!BA25*현금흐름!$F21</f>
        <v>0</v>
      </c>
      <c r="AV21" s="1">
        <f>총투자비!BB25*현금흐름!$F21</f>
        <v>0</v>
      </c>
      <c r="AW21" s="1">
        <f>총투자비!BC25*현금흐름!$F21</f>
        <v>0</v>
      </c>
      <c r="AX21" s="1">
        <f>총투자비!BD25*현금흐름!$F21</f>
        <v>0</v>
      </c>
      <c r="AY21" s="1">
        <f>총투자비!BE25*현금흐름!$F21</f>
        <v>0</v>
      </c>
      <c r="AZ21" s="1">
        <f>총투자비!BF25*현금흐름!$F21</f>
        <v>0</v>
      </c>
      <c r="BA21" s="1">
        <f>총투자비!BG25*현금흐름!$F21</f>
        <v>0</v>
      </c>
      <c r="BB21" s="1">
        <f>총투자비!BH25*현금흐름!$F21</f>
        <v>0</v>
      </c>
      <c r="BC21" s="1">
        <f>총투자비!BI25*현금흐름!$F21</f>
        <v>0</v>
      </c>
      <c r="BD21" s="1">
        <f>총투자비!BJ25*현금흐름!$F21</f>
        <v>0</v>
      </c>
      <c r="BE21" s="1">
        <f>총투자비!BK25*현금흐름!$F21</f>
        <v>0</v>
      </c>
      <c r="BF21" s="1">
        <f>총투자비!BL25*현금흐름!$F21</f>
        <v>0</v>
      </c>
      <c r="BG21" s="1">
        <f>총투자비!BM25*현금흐름!$F21</f>
        <v>0</v>
      </c>
      <c r="BH21" s="1">
        <f>총투자비!BN25*현금흐름!$F21</f>
        <v>0</v>
      </c>
      <c r="BI21" s="1">
        <f>총투자비!BO25*현금흐름!$F21</f>
        <v>0</v>
      </c>
      <c r="BJ21" s="1">
        <f>총투자비!BP25*현금흐름!$F21</f>
        <v>0</v>
      </c>
      <c r="BK21" s="1">
        <f>총투자비!BQ25*현금흐름!$F21</f>
        <v>0</v>
      </c>
    </row>
    <row r="22" spans="2:63" ht="13.5" customHeight="1">
      <c r="D22" s="1" t="str">
        <f>'A&amp;R'!X43</f>
        <v>근린생활시설</v>
      </c>
      <c r="E22" s="9" t="b">
        <f>ABS(G22-'A&amp;R'!AB43)&lt;0.001</f>
        <v>1</v>
      </c>
      <c r="F22" s="370">
        <f>'A&amp;R'!AA43</f>
        <v>0</v>
      </c>
      <c r="G22" s="1">
        <f t="shared" ref="G22" si="3">SUM(H22:XFD22)</f>
        <v>0</v>
      </c>
      <c r="I22" s="1">
        <f>총투자비!O26*현금흐름!$F22</f>
        <v>0</v>
      </c>
      <c r="J22" s="1">
        <f>총투자비!P26*현금흐름!$F22</f>
        <v>0</v>
      </c>
      <c r="K22" s="1">
        <f>총투자비!Q26*현금흐름!$F22</f>
        <v>0</v>
      </c>
      <c r="L22" s="1">
        <f>총투자비!R26*현금흐름!$F22</f>
        <v>0</v>
      </c>
      <c r="M22" s="1">
        <f>총투자비!S26*현금흐름!$F22</f>
        <v>0</v>
      </c>
      <c r="N22" s="1">
        <f>총투자비!T26*현금흐름!$F22</f>
        <v>0</v>
      </c>
      <c r="O22" s="1">
        <f>총투자비!U26*현금흐름!$F22</f>
        <v>0</v>
      </c>
      <c r="P22" s="1">
        <f>총투자비!V26*현금흐름!$F22</f>
        <v>0</v>
      </c>
      <c r="Q22" s="1">
        <f>총투자비!W26*현금흐름!$F22</f>
        <v>0</v>
      </c>
      <c r="R22" s="1">
        <f>총투자비!X26*현금흐름!$F22</f>
        <v>0</v>
      </c>
      <c r="S22" s="1">
        <f>총투자비!Y26*현금흐름!$F22</f>
        <v>0</v>
      </c>
      <c r="T22" s="1">
        <f>총투자비!Z26*현금흐름!$F22</f>
        <v>0</v>
      </c>
      <c r="U22" s="1">
        <f>총투자비!AA26*현금흐름!$F22</f>
        <v>0</v>
      </c>
      <c r="V22" s="1">
        <f>총투자비!AB26*현금흐름!$F22</f>
        <v>0</v>
      </c>
      <c r="W22" s="1">
        <f>총투자비!AC26*현금흐름!$F22</f>
        <v>0</v>
      </c>
      <c r="X22" s="1">
        <f>총투자비!AD26*현금흐름!$F22</f>
        <v>0</v>
      </c>
      <c r="Y22" s="1">
        <f>총투자비!AE26*현금흐름!$F22</f>
        <v>0</v>
      </c>
      <c r="Z22" s="1">
        <f>총투자비!AF26*현금흐름!$F22</f>
        <v>0</v>
      </c>
      <c r="AA22" s="1">
        <f>총투자비!AG26*현금흐름!$F22</f>
        <v>0</v>
      </c>
      <c r="AB22" s="1">
        <f>총투자비!AH26*현금흐름!$F22</f>
        <v>0</v>
      </c>
      <c r="AC22" s="1">
        <f>총투자비!AI26*현금흐름!$F22</f>
        <v>0</v>
      </c>
      <c r="AD22" s="1">
        <f>총투자비!AJ26*현금흐름!$F22</f>
        <v>0</v>
      </c>
      <c r="AE22" s="1">
        <f>총투자비!AK26*현금흐름!$F22</f>
        <v>0</v>
      </c>
      <c r="AF22" s="1">
        <f>총투자비!AL26*현금흐름!$F22</f>
        <v>0</v>
      </c>
      <c r="AG22" s="1">
        <f>총투자비!AM26*현금흐름!$F22</f>
        <v>0</v>
      </c>
      <c r="AH22" s="1">
        <f>총투자비!AN26*현금흐름!$F22</f>
        <v>0</v>
      </c>
      <c r="AI22" s="1">
        <f>총투자비!AO26*현금흐름!$F22</f>
        <v>0</v>
      </c>
      <c r="AJ22" s="1">
        <f>총투자비!AP26*현금흐름!$F22</f>
        <v>0</v>
      </c>
      <c r="AK22" s="1">
        <f>총투자비!AQ26*현금흐름!$F22</f>
        <v>0</v>
      </c>
      <c r="AL22" s="1">
        <f>총투자비!AR26*현금흐름!$F22</f>
        <v>0</v>
      </c>
      <c r="AM22" s="1">
        <f>총투자비!AS26*현금흐름!$F22</f>
        <v>0</v>
      </c>
      <c r="AN22" s="1">
        <f>총투자비!AT26*현금흐름!$F22</f>
        <v>0</v>
      </c>
      <c r="AO22" s="1">
        <f>총투자비!AU26*현금흐름!$F22</f>
        <v>0</v>
      </c>
      <c r="AP22" s="1">
        <f>총투자비!AV26*현금흐름!$F22</f>
        <v>0</v>
      </c>
      <c r="AQ22" s="1">
        <f>총투자비!AW26*현금흐름!$F22</f>
        <v>0</v>
      </c>
      <c r="AR22" s="1">
        <f>총투자비!AX26*현금흐름!$F22</f>
        <v>0</v>
      </c>
      <c r="AS22" s="1">
        <f>총투자비!AY26*현금흐름!$F22</f>
        <v>0</v>
      </c>
      <c r="AT22" s="1">
        <f>총투자비!AZ26*현금흐름!$F22</f>
        <v>0</v>
      </c>
      <c r="AU22" s="1">
        <f>총투자비!BA26*현금흐름!$F22</f>
        <v>0</v>
      </c>
      <c r="AV22" s="1">
        <f>총투자비!BB26*현금흐름!$F22</f>
        <v>0</v>
      </c>
      <c r="AW22" s="1">
        <f>총투자비!BC26*현금흐름!$F22</f>
        <v>0</v>
      </c>
      <c r="AX22" s="1">
        <f>총투자비!BD26*현금흐름!$F22</f>
        <v>0</v>
      </c>
      <c r="AY22" s="1">
        <f>총투자비!BE26*현금흐름!$F22</f>
        <v>0</v>
      </c>
      <c r="AZ22" s="1">
        <f>총투자비!BF26*현금흐름!$F22</f>
        <v>0</v>
      </c>
      <c r="BA22" s="1">
        <f>총투자비!BG26*현금흐름!$F22</f>
        <v>0</v>
      </c>
      <c r="BB22" s="1">
        <f>총투자비!BH26*현금흐름!$F22</f>
        <v>0</v>
      </c>
      <c r="BC22" s="1">
        <f>총투자비!BI26*현금흐름!$F22</f>
        <v>0</v>
      </c>
      <c r="BD22" s="1">
        <f>총투자비!BJ26*현금흐름!$F22</f>
        <v>0</v>
      </c>
      <c r="BE22" s="1">
        <f>총투자비!BK26*현금흐름!$F22</f>
        <v>0</v>
      </c>
      <c r="BF22" s="1">
        <f>총투자비!BL26*현금흐름!$F22</f>
        <v>0</v>
      </c>
      <c r="BG22" s="1">
        <f>총투자비!BM26*현금흐름!$F22</f>
        <v>0</v>
      </c>
      <c r="BH22" s="1">
        <f>총투자비!BN26*현금흐름!$F22</f>
        <v>0</v>
      </c>
      <c r="BI22" s="1">
        <f>총투자비!BO26*현금흐름!$F22</f>
        <v>0</v>
      </c>
      <c r="BJ22" s="1">
        <f>총투자비!BP26*현금흐름!$F22</f>
        <v>0</v>
      </c>
      <c r="BK22" s="1">
        <f>총투자비!BQ26*현금흐름!$F22</f>
        <v>0</v>
      </c>
    </row>
    <row r="23" spans="2:63" ht="13.5" customHeight="1">
      <c r="C23" s="230" t="s">
        <v>399</v>
      </c>
      <c r="D23" s="230"/>
      <c r="E23" s="230"/>
      <c r="F23" s="230"/>
      <c r="G23" s="230">
        <f t="shared" ca="1" si="2"/>
        <v>-584065.95092847676</v>
      </c>
      <c r="H23" s="230"/>
      <c r="I23" s="230">
        <f ca="1">SUM(I18:I22)</f>
        <v>-171988.96238731034</v>
      </c>
      <c r="J23" s="230">
        <f t="shared" ref="J23:BK23" ca="1" si="4">SUM(J18:J22)</f>
        <v>-121.08291689151929</v>
      </c>
      <c r="K23" s="230">
        <f t="shared" ca="1" si="4"/>
        <v>-121.08291689151929</v>
      </c>
      <c r="L23" s="230">
        <f t="shared" ca="1" si="4"/>
        <v>-6749.6952999453442</v>
      </c>
      <c r="M23" s="230">
        <f t="shared" ca="1" si="4"/>
        <v>-148.11035369766199</v>
      </c>
      <c r="N23" s="230">
        <f t="shared" ca="1" si="4"/>
        <v>-148.11035369766199</v>
      </c>
      <c r="O23" s="230">
        <f t="shared" ca="1" si="4"/>
        <v>-2085.6103536976625</v>
      </c>
      <c r="P23" s="230">
        <f t="shared" ca="1" si="4"/>
        <v>-148.11035369766199</v>
      </c>
      <c r="Q23" s="230">
        <f t="shared" ca="1" si="4"/>
        <v>-148.11035369766199</v>
      </c>
      <c r="R23" s="230">
        <f t="shared" ca="1" si="4"/>
        <v>-2085.6103536976611</v>
      </c>
      <c r="S23" s="230">
        <f t="shared" ca="1" si="4"/>
        <v>-148.11035369766199</v>
      </c>
      <c r="T23" s="230">
        <f t="shared" ca="1" si="4"/>
        <v>-148.11035369766199</v>
      </c>
      <c r="U23" s="230">
        <f t="shared" ca="1" si="4"/>
        <v>-2085.6103536976611</v>
      </c>
      <c r="V23" s="230">
        <f t="shared" ca="1" si="4"/>
        <v>-2645.4455145852476</v>
      </c>
      <c r="W23" s="230">
        <f t="shared" ca="1" si="4"/>
        <v>-4061.7679129437324</v>
      </c>
      <c r="X23" s="230">
        <f t="shared" ca="1" si="4"/>
        <v>-12959.862314533551</v>
      </c>
      <c r="Y23" s="230">
        <f t="shared" ca="1" si="4"/>
        <v>-4759.1301284843221</v>
      </c>
      <c r="Z23" s="230">
        <f t="shared" ca="1" si="4"/>
        <v>-4250.2994037023482</v>
      </c>
      <c r="AA23" s="230">
        <f t="shared" ca="1" si="4"/>
        <v>-8273.5572693135691</v>
      </c>
      <c r="AB23" s="230">
        <f t="shared" ca="1" si="4"/>
        <v>-6434.4744872823285</v>
      </c>
      <c r="AC23" s="230">
        <f t="shared" ca="1" si="4"/>
        <v>-7079.7134252731885</v>
      </c>
      <c r="AD23" s="230">
        <f t="shared" ca="1" si="4"/>
        <v>-9724.8873586687296</v>
      </c>
      <c r="AE23" s="230">
        <f t="shared" ca="1" si="4"/>
        <v>-8680.3144895260739</v>
      </c>
      <c r="AF23" s="230">
        <f t="shared" ca="1" si="4"/>
        <v>-9251.7941999077957</v>
      </c>
      <c r="AG23" s="230">
        <f t="shared" ca="1" si="4"/>
        <v>-11999.424886053435</v>
      </c>
      <c r="AH23" s="230">
        <f t="shared" ca="1" si="4"/>
        <v>-10683.627878833589</v>
      </c>
      <c r="AI23" s="230">
        <f t="shared" ca="1" si="4"/>
        <v>-10766.541727606174</v>
      </c>
      <c r="AJ23" s="230">
        <f t="shared" ca="1" si="4"/>
        <v>-13314.860335104469</v>
      </c>
      <c r="AK23" s="230">
        <f t="shared" ca="1" si="4"/>
        <v>-10671.647770575295</v>
      </c>
      <c r="AL23" s="230">
        <f t="shared" ca="1" si="4"/>
        <v>-10741.089623162892</v>
      </c>
      <c r="AM23" s="230">
        <f t="shared" ca="1" si="4"/>
        <v>-12951.961553293859</v>
      </c>
      <c r="AN23" s="230">
        <f t="shared" ca="1" si="4"/>
        <v>-11679.898427102831</v>
      </c>
      <c r="AO23" s="230">
        <f t="shared" ca="1" si="4"/>
        <v>-11611.071401690428</v>
      </c>
      <c r="AP23" s="230">
        <f t="shared" ca="1" si="4"/>
        <v>-13849.597121199671</v>
      </c>
      <c r="AQ23" s="230">
        <f t="shared" ca="1" si="4"/>
        <v>-12577.533981230366</v>
      </c>
      <c r="AR23" s="230">
        <f t="shared" ca="1" si="4"/>
        <v>-12702.283385017965</v>
      </c>
      <c r="AS23" s="230">
        <f t="shared" ca="1" si="4"/>
        <v>-14526.002484155219</v>
      </c>
      <c r="AT23" s="230">
        <f t="shared" ca="1" si="4"/>
        <v>-12093.900321817966</v>
      </c>
      <c r="AU23" s="230">
        <f t="shared" ca="1" si="4"/>
        <v>-11762.055014617965</v>
      </c>
      <c r="AV23" s="230">
        <f t="shared" ca="1" si="4"/>
        <v>-13817.795846150992</v>
      </c>
      <c r="AW23" s="230">
        <f t="shared" ca="1" si="4"/>
        <v>-11319.594605017966</v>
      </c>
      <c r="AX23" s="230">
        <f t="shared" ca="1" si="4"/>
        <v>-11126.018175817964</v>
      </c>
      <c r="AY23" s="230">
        <f t="shared" ca="1" si="4"/>
        <v>-12866.775972636409</v>
      </c>
      <c r="AZ23" s="230">
        <f t="shared" ca="1" si="4"/>
        <v>-10655.903990617966</v>
      </c>
      <c r="BA23" s="230">
        <f t="shared" ca="1" si="4"/>
        <v>-9715.6756202179658</v>
      </c>
      <c r="BB23" s="230">
        <f t="shared" ca="1" si="4"/>
        <v>-10931.011686995294</v>
      </c>
      <c r="BC23" s="230">
        <f t="shared" ca="1" si="4"/>
        <v>-8663.1699182101202</v>
      </c>
      <c r="BD23" s="230">
        <f t="shared" ca="1" si="4"/>
        <v>-13327.78186901202</v>
      </c>
      <c r="BE23" s="230">
        <f t="shared" ca="1" si="4"/>
        <v>-9336.2765375897488</v>
      </c>
      <c r="BF23" s="230">
        <f t="shared" ca="1" si="4"/>
        <v>-5801.1761364368631</v>
      </c>
      <c r="BG23" s="230">
        <f t="shared" ca="1" si="4"/>
        <v>-16682.05081391993</v>
      </c>
      <c r="BH23" s="230">
        <f t="shared" ca="1" si="4"/>
        <v>-2406.6738576353073</v>
      </c>
      <c r="BI23" s="230">
        <f t="shared" ca="1" si="4"/>
        <v>-121.08291689151929</v>
      </c>
      <c r="BJ23" s="230">
        <f t="shared" ca="1" si="4"/>
        <v>-1115.9038150394895</v>
      </c>
      <c r="BK23" s="230">
        <f t="shared" ca="1" si="4"/>
        <v>0</v>
      </c>
    </row>
    <row r="25" spans="2:63" ht="13.5" customHeight="1">
      <c r="B25" s="14" t="s">
        <v>400</v>
      </c>
    </row>
    <row r="26" spans="2:63" ht="13.5" customHeight="1">
      <c r="C26" s="1" t="s">
        <v>401</v>
      </c>
    </row>
    <row r="27" spans="2:63" ht="13.5" customHeight="1">
      <c r="D27" s="30" t="str">
        <f>'A&amp;R'!Q29</f>
        <v>시행사</v>
      </c>
      <c r="E27" s="158">
        <f>'A&amp;R'!R29</f>
        <v>9000</v>
      </c>
      <c r="F27" s="259">
        <f>'A&amp;R'!T29</f>
        <v>44377</v>
      </c>
      <c r="G27" s="22">
        <f>SUM(H27:XFD27)</f>
        <v>9000</v>
      </c>
      <c r="H27" s="22"/>
      <c r="I27" s="22">
        <f>(I$8=$F27)*$E27</f>
        <v>9000</v>
      </c>
      <c r="J27" s="22">
        <f t="shared" ref="J27:BK27" si="5">(J$8=$F27)*$E27</f>
        <v>0</v>
      </c>
      <c r="K27" s="22">
        <f t="shared" si="5"/>
        <v>0</v>
      </c>
      <c r="L27" s="22">
        <f t="shared" si="5"/>
        <v>0</v>
      </c>
      <c r="M27" s="22">
        <f t="shared" si="5"/>
        <v>0</v>
      </c>
      <c r="N27" s="22">
        <f t="shared" si="5"/>
        <v>0</v>
      </c>
      <c r="O27" s="22">
        <f t="shared" si="5"/>
        <v>0</v>
      </c>
      <c r="P27" s="22">
        <f t="shared" si="5"/>
        <v>0</v>
      </c>
      <c r="Q27" s="22">
        <f t="shared" si="5"/>
        <v>0</v>
      </c>
      <c r="R27" s="22">
        <f t="shared" si="5"/>
        <v>0</v>
      </c>
      <c r="S27" s="22">
        <f t="shared" si="5"/>
        <v>0</v>
      </c>
      <c r="T27" s="22">
        <f t="shared" si="5"/>
        <v>0</v>
      </c>
      <c r="U27" s="22">
        <f t="shared" si="5"/>
        <v>0</v>
      </c>
      <c r="V27" s="22">
        <f t="shared" si="5"/>
        <v>0</v>
      </c>
      <c r="W27" s="22">
        <f t="shared" si="5"/>
        <v>0</v>
      </c>
      <c r="X27" s="22">
        <f t="shared" si="5"/>
        <v>0</v>
      </c>
      <c r="Y27" s="22">
        <f t="shared" si="5"/>
        <v>0</v>
      </c>
      <c r="Z27" s="22">
        <f t="shared" si="5"/>
        <v>0</v>
      </c>
      <c r="AA27" s="22">
        <f t="shared" si="5"/>
        <v>0</v>
      </c>
      <c r="AB27" s="22">
        <f t="shared" si="5"/>
        <v>0</v>
      </c>
      <c r="AC27" s="22">
        <f t="shared" si="5"/>
        <v>0</v>
      </c>
      <c r="AD27" s="22">
        <f t="shared" si="5"/>
        <v>0</v>
      </c>
      <c r="AE27" s="22">
        <f t="shared" si="5"/>
        <v>0</v>
      </c>
      <c r="AF27" s="22">
        <f t="shared" si="5"/>
        <v>0</v>
      </c>
      <c r="AG27" s="22">
        <f t="shared" si="5"/>
        <v>0</v>
      </c>
      <c r="AH27" s="22">
        <f t="shared" si="5"/>
        <v>0</v>
      </c>
      <c r="AI27" s="22">
        <f t="shared" si="5"/>
        <v>0</v>
      </c>
      <c r="AJ27" s="22">
        <f t="shared" si="5"/>
        <v>0</v>
      </c>
      <c r="AK27" s="22">
        <f t="shared" si="5"/>
        <v>0</v>
      </c>
      <c r="AL27" s="22">
        <f t="shared" si="5"/>
        <v>0</v>
      </c>
      <c r="AM27" s="22">
        <f t="shared" si="5"/>
        <v>0</v>
      </c>
      <c r="AN27" s="22">
        <f t="shared" si="5"/>
        <v>0</v>
      </c>
      <c r="AO27" s="22">
        <f t="shared" si="5"/>
        <v>0</v>
      </c>
      <c r="AP27" s="22">
        <f t="shared" si="5"/>
        <v>0</v>
      </c>
      <c r="AQ27" s="22">
        <f t="shared" si="5"/>
        <v>0</v>
      </c>
      <c r="AR27" s="22">
        <f t="shared" si="5"/>
        <v>0</v>
      </c>
      <c r="AS27" s="22">
        <f t="shared" si="5"/>
        <v>0</v>
      </c>
      <c r="AT27" s="22">
        <f t="shared" si="5"/>
        <v>0</v>
      </c>
      <c r="AU27" s="22">
        <f t="shared" si="5"/>
        <v>0</v>
      </c>
      <c r="AV27" s="22">
        <f t="shared" si="5"/>
        <v>0</v>
      </c>
      <c r="AW27" s="22">
        <f t="shared" si="5"/>
        <v>0</v>
      </c>
      <c r="AX27" s="22">
        <f t="shared" si="5"/>
        <v>0</v>
      </c>
      <c r="AY27" s="22">
        <f t="shared" si="5"/>
        <v>0</v>
      </c>
      <c r="AZ27" s="22">
        <f t="shared" si="5"/>
        <v>0</v>
      </c>
      <c r="BA27" s="22">
        <f t="shared" si="5"/>
        <v>0</v>
      </c>
      <c r="BB27" s="22">
        <f t="shared" si="5"/>
        <v>0</v>
      </c>
      <c r="BC27" s="22">
        <f t="shared" si="5"/>
        <v>0</v>
      </c>
      <c r="BD27" s="22">
        <f t="shared" si="5"/>
        <v>0</v>
      </c>
      <c r="BE27" s="22">
        <f t="shared" si="5"/>
        <v>0</v>
      </c>
      <c r="BF27" s="22">
        <f t="shared" si="5"/>
        <v>0</v>
      </c>
      <c r="BG27" s="22">
        <f t="shared" si="5"/>
        <v>0</v>
      </c>
      <c r="BH27" s="22">
        <f t="shared" si="5"/>
        <v>0</v>
      </c>
      <c r="BI27" s="22">
        <f t="shared" si="5"/>
        <v>0</v>
      </c>
      <c r="BJ27" s="22">
        <f t="shared" si="5"/>
        <v>0</v>
      </c>
      <c r="BK27" s="22">
        <f t="shared" si="5"/>
        <v>0</v>
      </c>
    </row>
    <row r="28" spans="2:63" ht="13.5" customHeight="1">
      <c r="C28" s="34"/>
      <c r="D28" s="33" t="str">
        <f>'A&amp;R'!Q30</f>
        <v>금융사</v>
      </c>
      <c r="E28" s="150">
        <f>'A&amp;R'!R30</f>
        <v>1000</v>
      </c>
      <c r="F28" s="129">
        <f>'A&amp;R'!T30</f>
        <v>44377</v>
      </c>
      <c r="G28" s="24">
        <f t="shared" ref="G28" si="6">SUM(H28:XFD28)</f>
        <v>1000</v>
      </c>
      <c r="H28" s="24"/>
      <c r="I28" s="24">
        <f t="shared" ref="I28:BK28" si="7">(I$8=$F28)*$E28</f>
        <v>1000</v>
      </c>
      <c r="J28" s="24">
        <f t="shared" si="7"/>
        <v>0</v>
      </c>
      <c r="K28" s="24">
        <f t="shared" si="7"/>
        <v>0</v>
      </c>
      <c r="L28" s="24">
        <f t="shared" si="7"/>
        <v>0</v>
      </c>
      <c r="M28" s="24">
        <f t="shared" si="7"/>
        <v>0</v>
      </c>
      <c r="N28" s="24">
        <f t="shared" si="7"/>
        <v>0</v>
      </c>
      <c r="O28" s="24">
        <f t="shared" si="7"/>
        <v>0</v>
      </c>
      <c r="P28" s="24">
        <f t="shared" si="7"/>
        <v>0</v>
      </c>
      <c r="Q28" s="24">
        <f t="shared" si="7"/>
        <v>0</v>
      </c>
      <c r="R28" s="24">
        <f t="shared" si="7"/>
        <v>0</v>
      </c>
      <c r="S28" s="24">
        <f t="shared" si="7"/>
        <v>0</v>
      </c>
      <c r="T28" s="24">
        <f t="shared" si="7"/>
        <v>0</v>
      </c>
      <c r="U28" s="24">
        <f t="shared" si="7"/>
        <v>0</v>
      </c>
      <c r="V28" s="24">
        <f t="shared" si="7"/>
        <v>0</v>
      </c>
      <c r="W28" s="24">
        <f t="shared" si="7"/>
        <v>0</v>
      </c>
      <c r="X28" s="24">
        <f t="shared" si="7"/>
        <v>0</v>
      </c>
      <c r="Y28" s="24">
        <f t="shared" si="7"/>
        <v>0</v>
      </c>
      <c r="Z28" s="24">
        <f t="shared" si="7"/>
        <v>0</v>
      </c>
      <c r="AA28" s="24">
        <f t="shared" si="7"/>
        <v>0</v>
      </c>
      <c r="AB28" s="24">
        <f t="shared" si="7"/>
        <v>0</v>
      </c>
      <c r="AC28" s="24">
        <f t="shared" si="7"/>
        <v>0</v>
      </c>
      <c r="AD28" s="24">
        <f t="shared" si="7"/>
        <v>0</v>
      </c>
      <c r="AE28" s="24">
        <f t="shared" si="7"/>
        <v>0</v>
      </c>
      <c r="AF28" s="24">
        <f t="shared" si="7"/>
        <v>0</v>
      </c>
      <c r="AG28" s="24">
        <f t="shared" si="7"/>
        <v>0</v>
      </c>
      <c r="AH28" s="24">
        <f t="shared" si="7"/>
        <v>0</v>
      </c>
      <c r="AI28" s="24">
        <f t="shared" si="7"/>
        <v>0</v>
      </c>
      <c r="AJ28" s="24">
        <f t="shared" si="7"/>
        <v>0</v>
      </c>
      <c r="AK28" s="24">
        <f t="shared" si="7"/>
        <v>0</v>
      </c>
      <c r="AL28" s="24">
        <f t="shared" si="7"/>
        <v>0</v>
      </c>
      <c r="AM28" s="24">
        <f t="shared" si="7"/>
        <v>0</v>
      </c>
      <c r="AN28" s="24">
        <f t="shared" si="7"/>
        <v>0</v>
      </c>
      <c r="AO28" s="24">
        <f t="shared" si="7"/>
        <v>0</v>
      </c>
      <c r="AP28" s="24">
        <f t="shared" si="7"/>
        <v>0</v>
      </c>
      <c r="AQ28" s="24">
        <f t="shared" si="7"/>
        <v>0</v>
      </c>
      <c r="AR28" s="24">
        <f t="shared" si="7"/>
        <v>0</v>
      </c>
      <c r="AS28" s="24">
        <f t="shared" si="7"/>
        <v>0</v>
      </c>
      <c r="AT28" s="24">
        <f t="shared" si="7"/>
        <v>0</v>
      </c>
      <c r="AU28" s="24">
        <f t="shared" si="7"/>
        <v>0</v>
      </c>
      <c r="AV28" s="24">
        <f t="shared" si="7"/>
        <v>0</v>
      </c>
      <c r="AW28" s="24">
        <f t="shared" si="7"/>
        <v>0</v>
      </c>
      <c r="AX28" s="24">
        <f t="shared" si="7"/>
        <v>0</v>
      </c>
      <c r="AY28" s="24">
        <f t="shared" si="7"/>
        <v>0</v>
      </c>
      <c r="AZ28" s="24">
        <f t="shared" si="7"/>
        <v>0</v>
      </c>
      <c r="BA28" s="24">
        <f t="shared" si="7"/>
        <v>0</v>
      </c>
      <c r="BB28" s="24">
        <f t="shared" si="7"/>
        <v>0</v>
      </c>
      <c r="BC28" s="24">
        <f t="shared" si="7"/>
        <v>0</v>
      </c>
      <c r="BD28" s="24">
        <f t="shared" si="7"/>
        <v>0</v>
      </c>
      <c r="BE28" s="24">
        <f t="shared" si="7"/>
        <v>0</v>
      </c>
      <c r="BF28" s="24">
        <f t="shared" si="7"/>
        <v>0</v>
      </c>
      <c r="BG28" s="24">
        <f t="shared" si="7"/>
        <v>0</v>
      </c>
      <c r="BH28" s="24">
        <f t="shared" si="7"/>
        <v>0</v>
      </c>
      <c r="BI28" s="24">
        <f t="shared" si="7"/>
        <v>0</v>
      </c>
      <c r="BJ28" s="24">
        <f t="shared" si="7"/>
        <v>0</v>
      </c>
      <c r="BK28" s="24">
        <f t="shared" si="7"/>
        <v>0</v>
      </c>
    </row>
    <row r="29" spans="2:63" ht="13.5" customHeight="1">
      <c r="C29" s="1" t="s">
        <v>402</v>
      </c>
    </row>
    <row r="30" spans="2:63" ht="13.5" customHeight="1">
      <c r="D30" s="30" t="str">
        <f>D27</f>
        <v>시행사</v>
      </c>
      <c r="E30" s="158"/>
      <c r="F30" s="259"/>
      <c r="G30" s="22">
        <f ca="1">SUM(H30:XFD30)</f>
        <v>-9000</v>
      </c>
      <c r="H30" s="22"/>
      <c r="I30" s="22">
        <f ca="1">배당!I18*-1</f>
        <v>0</v>
      </c>
      <c r="J30" s="22">
        <f ca="1">배당!J18*-1</f>
        <v>0</v>
      </c>
      <c r="K30" s="22">
        <f ca="1">배당!K18*-1</f>
        <v>0</v>
      </c>
      <c r="L30" s="22">
        <f ca="1">배당!L18*-1</f>
        <v>0</v>
      </c>
      <c r="M30" s="22">
        <f ca="1">배당!M18*-1</f>
        <v>0</v>
      </c>
      <c r="N30" s="22">
        <f ca="1">배당!N18*-1</f>
        <v>0</v>
      </c>
      <c r="O30" s="22">
        <f ca="1">배당!O18*-1</f>
        <v>0</v>
      </c>
      <c r="P30" s="22">
        <f ca="1">배당!P18*-1</f>
        <v>0</v>
      </c>
      <c r="Q30" s="22">
        <f ca="1">배당!Q18*-1</f>
        <v>0</v>
      </c>
      <c r="R30" s="22">
        <f ca="1">배당!R18*-1</f>
        <v>0</v>
      </c>
      <c r="S30" s="22">
        <f ca="1">배당!S18*-1</f>
        <v>0</v>
      </c>
      <c r="T30" s="22">
        <f ca="1">배당!T18*-1</f>
        <v>0</v>
      </c>
      <c r="U30" s="22">
        <f ca="1">배당!U18*-1</f>
        <v>0</v>
      </c>
      <c r="V30" s="22">
        <f ca="1">배당!V18*-1</f>
        <v>0</v>
      </c>
      <c r="W30" s="22">
        <f ca="1">배당!W18*-1</f>
        <v>0</v>
      </c>
      <c r="X30" s="22">
        <f ca="1">배당!X18*-1</f>
        <v>0</v>
      </c>
      <c r="Y30" s="22">
        <f ca="1">배당!Y18*-1</f>
        <v>0</v>
      </c>
      <c r="Z30" s="22">
        <f ca="1">배당!Z18*-1</f>
        <v>0</v>
      </c>
      <c r="AA30" s="22">
        <f ca="1">배당!AA18*-1</f>
        <v>0</v>
      </c>
      <c r="AB30" s="22">
        <f ca="1">배당!AB18*-1</f>
        <v>0</v>
      </c>
      <c r="AC30" s="22">
        <f ca="1">배당!AC18*-1</f>
        <v>0</v>
      </c>
      <c r="AD30" s="22">
        <f ca="1">배당!AD18*-1</f>
        <v>0</v>
      </c>
      <c r="AE30" s="22">
        <f ca="1">배당!AE18*-1</f>
        <v>0</v>
      </c>
      <c r="AF30" s="22">
        <f ca="1">배당!AF18*-1</f>
        <v>0</v>
      </c>
      <c r="AG30" s="22">
        <f ca="1">배당!AG18*-1</f>
        <v>0</v>
      </c>
      <c r="AH30" s="22">
        <f ca="1">배당!AH18*-1</f>
        <v>0</v>
      </c>
      <c r="AI30" s="22">
        <f ca="1">배당!AI18*-1</f>
        <v>0</v>
      </c>
      <c r="AJ30" s="22">
        <f ca="1">배당!AJ18*-1</f>
        <v>0</v>
      </c>
      <c r="AK30" s="22">
        <f ca="1">배당!AK18*-1</f>
        <v>0</v>
      </c>
      <c r="AL30" s="22">
        <f ca="1">배당!AL18*-1</f>
        <v>0</v>
      </c>
      <c r="AM30" s="22">
        <f ca="1">배당!AM18*-1</f>
        <v>0</v>
      </c>
      <c r="AN30" s="22">
        <f ca="1">배당!AN18*-1</f>
        <v>0</v>
      </c>
      <c r="AO30" s="22">
        <f ca="1">배당!AO18*-1</f>
        <v>0</v>
      </c>
      <c r="AP30" s="22">
        <f ca="1">배당!AP18*-1</f>
        <v>0</v>
      </c>
      <c r="AQ30" s="22">
        <f ca="1">배당!AQ18*-1</f>
        <v>0</v>
      </c>
      <c r="AR30" s="22">
        <f ca="1">배당!AR18*-1</f>
        <v>0</v>
      </c>
      <c r="AS30" s="22">
        <f ca="1">배당!AS18*-1</f>
        <v>0</v>
      </c>
      <c r="AT30" s="22">
        <f ca="1">배당!AT18*-1</f>
        <v>0</v>
      </c>
      <c r="AU30" s="22">
        <f ca="1">배당!AU18*-1</f>
        <v>0</v>
      </c>
      <c r="AV30" s="22">
        <f ca="1">배당!AV18*-1</f>
        <v>0</v>
      </c>
      <c r="AW30" s="22">
        <f ca="1">배당!AW18*-1</f>
        <v>0</v>
      </c>
      <c r="AX30" s="22">
        <f ca="1">배당!AX18*-1</f>
        <v>0</v>
      </c>
      <c r="AY30" s="22">
        <f ca="1">배당!AY18*-1</f>
        <v>0</v>
      </c>
      <c r="AZ30" s="22">
        <f ca="1">배당!AZ18*-1</f>
        <v>0</v>
      </c>
      <c r="BA30" s="22">
        <f ca="1">배당!BA18*-1</f>
        <v>0</v>
      </c>
      <c r="BB30" s="22">
        <f ca="1">배당!BB18*-1</f>
        <v>0</v>
      </c>
      <c r="BC30" s="22">
        <f ca="1">배당!BC18*-1</f>
        <v>0</v>
      </c>
      <c r="BD30" s="22">
        <f ca="1">배당!BD18*-1</f>
        <v>0</v>
      </c>
      <c r="BE30" s="22">
        <f ca="1">배당!BE18*-1</f>
        <v>0</v>
      </c>
      <c r="BF30" s="22">
        <f ca="1">배당!BF18*-1</f>
        <v>0</v>
      </c>
      <c r="BG30" s="22">
        <f ca="1">배당!BG18*-1</f>
        <v>0</v>
      </c>
      <c r="BH30" s="22">
        <f ca="1">배당!BH18*-1</f>
        <v>0</v>
      </c>
      <c r="BI30" s="22">
        <f ca="1">배당!BI18*-1</f>
        <v>0</v>
      </c>
      <c r="BJ30" s="22">
        <f ca="1">배당!BJ18*-1</f>
        <v>-9000</v>
      </c>
      <c r="BK30" s="22">
        <f ca="1">배당!BK18*-1</f>
        <v>0</v>
      </c>
    </row>
    <row r="31" spans="2:63" ht="13.5" customHeight="1">
      <c r="C31" s="34"/>
      <c r="D31" s="33" t="str">
        <f t="shared" ref="D31" si="8">D28</f>
        <v>금융사</v>
      </c>
      <c r="E31" s="150"/>
      <c r="F31" s="129"/>
      <c r="G31" s="24">
        <f t="shared" ref="G31" ca="1" si="9">SUM(H31:XFD31)</f>
        <v>-1000</v>
      </c>
      <c r="H31" s="24"/>
      <c r="I31" s="24">
        <f ca="1">배당!I19*-1</f>
        <v>0</v>
      </c>
      <c r="J31" s="24">
        <f ca="1">배당!J19*-1</f>
        <v>0</v>
      </c>
      <c r="K31" s="24">
        <f ca="1">배당!K19*-1</f>
        <v>0</v>
      </c>
      <c r="L31" s="24">
        <f ca="1">배당!L19*-1</f>
        <v>0</v>
      </c>
      <c r="M31" s="24">
        <f ca="1">배당!M19*-1</f>
        <v>0</v>
      </c>
      <c r="N31" s="24">
        <f ca="1">배당!N19*-1</f>
        <v>0</v>
      </c>
      <c r="O31" s="24">
        <f ca="1">배당!O19*-1</f>
        <v>0</v>
      </c>
      <c r="P31" s="24">
        <f ca="1">배당!P19*-1</f>
        <v>0</v>
      </c>
      <c r="Q31" s="24">
        <f ca="1">배당!Q19*-1</f>
        <v>0</v>
      </c>
      <c r="R31" s="24">
        <f ca="1">배당!R19*-1</f>
        <v>0</v>
      </c>
      <c r="S31" s="24">
        <f ca="1">배당!S19*-1</f>
        <v>0</v>
      </c>
      <c r="T31" s="24">
        <f ca="1">배당!T19*-1</f>
        <v>0</v>
      </c>
      <c r="U31" s="24">
        <f ca="1">배당!U19*-1</f>
        <v>0</v>
      </c>
      <c r="V31" s="24">
        <f ca="1">배당!V19*-1</f>
        <v>0</v>
      </c>
      <c r="W31" s="24">
        <f ca="1">배당!W19*-1</f>
        <v>0</v>
      </c>
      <c r="X31" s="24">
        <f ca="1">배당!X19*-1</f>
        <v>0</v>
      </c>
      <c r="Y31" s="24">
        <f ca="1">배당!Y19*-1</f>
        <v>0</v>
      </c>
      <c r="Z31" s="24">
        <f ca="1">배당!Z19*-1</f>
        <v>0</v>
      </c>
      <c r="AA31" s="24">
        <f ca="1">배당!AA19*-1</f>
        <v>0</v>
      </c>
      <c r="AB31" s="24">
        <f ca="1">배당!AB19*-1</f>
        <v>0</v>
      </c>
      <c r="AC31" s="24">
        <f ca="1">배당!AC19*-1</f>
        <v>0</v>
      </c>
      <c r="AD31" s="24">
        <f ca="1">배당!AD19*-1</f>
        <v>0</v>
      </c>
      <c r="AE31" s="24">
        <f ca="1">배당!AE19*-1</f>
        <v>0</v>
      </c>
      <c r="AF31" s="24">
        <f ca="1">배당!AF19*-1</f>
        <v>0</v>
      </c>
      <c r="AG31" s="24">
        <f ca="1">배당!AG19*-1</f>
        <v>0</v>
      </c>
      <c r="AH31" s="24">
        <f ca="1">배당!AH19*-1</f>
        <v>0</v>
      </c>
      <c r="AI31" s="24">
        <f ca="1">배당!AI19*-1</f>
        <v>0</v>
      </c>
      <c r="AJ31" s="24">
        <f ca="1">배당!AJ19*-1</f>
        <v>0</v>
      </c>
      <c r="AK31" s="24">
        <f ca="1">배당!AK19*-1</f>
        <v>0</v>
      </c>
      <c r="AL31" s="24">
        <f ca="1">배당!AL19*-1</f>
        <v>0</v>
      </c>
      <c r="AM31" s="24">
        <f ca="1">배당!AM19*-1</f>
        <v>0</v>
      </c>
      <c r="AN31" s="24">
        <f ca="1">배당!AN19*-1</f>
        <v>0</v>
      </c>
      <c r="AO31" s="24">
        <f ca="1">배당!AO19*-1</f>
        <v>0</v>
      </c>
      <c r="AP31" s="24">
        <f ca="1">배당!AP19*-1</f>
        <v>0</v>
      </c>
      <c r="AQ31" s="24">
        <f ca="1">배당!AQ19*-1</f>
        <v>0</v>
      </c>
      <c r="AR31" s="24">
        <f ca="1">배당!AR19*-1</f>
        <v>0</v>
      </c>
      <c r="AS31" s="24">
        <f ca="1">배당!AS19*-1</f>
        <v>0</v>
      </c>
      <c r="AT31" s="24">
        <f ca="1">배당!AT19*-1</f>
        <v>0</v>
      </c>
      <c r="AU31" s="24">
        <f ca="1">배당!AU19*-1</f>
        <v>0</v>
      </c>
      <c r="AV31" s="24">
        <f ca="1">배당!AV19*-1</f>
        <v>0</v>
      </c>
      <c r="AW31" s="24">
        <f ca="1">배당!AW19*-1</f>
        <v>0</v>
      </c>
      <c r="AX31" s="24">
        <f ca="1">배당!AX19*-1</f>
        <v>0</v>
      </c>
      <c r="AY31" s="24">
        <f ca="1">배당!AY19*-1</f>
        <v>0</v>
      </c>
      <c r="AZ31" s="24">
        <f ca="1">배당!AZ19*-1</f>
        <v>0</v>
      </c>
      <c r="BA31" s="24">
        <f ca="1">배당!BA19*-1</f>
        <v>0</v>
      </c>
      <c r="BB31" s="24">
        <f ca="1">배당!BB19*-1</f>
        <v>0</v>
      </c>
      <c r="BC31" s="24">
        <f ca="1">배당!BC19*-1</f>
        <v>0</v>
      </c>
      <c r="BD31" s="24">
        <f ca="1">배당!BD19*-1</f>
        <v>0</v>
      </c>
      <c r="BE31" s="24">
        <f ca="1">배당!BE19*-1</f>
        <v>0</v>
      </c>
      <c r="BF31" s="24">
        <f ca="1">배당!BF19*-1</f>
        <v>0</v>
      </c>
      <c r="BG31" s="24">
        <f ca="1">배당!BG19*-1</f>
        <v>0</v>
      </c>
      <c r="BH31" s="24">
        <f ca="1">배당!BH19*-1</f>
        <v>0</v>
      </c>
      <c r="BI31" s="24">
        <f ca="1">배당!BI19*-1</f>
        <v>0</v>
      </c>
      <c r="BJ31" s="24">
        <f ca="1">배당!BJ19*-1</f>
        <v>-1000</v>
      </c>
      <c r="BK31" s="24">
        <f ca="1">배당!BK19*-1</f>
        <v>0</v>
      </c>
    </row>
    <row r="32" spans="2:63" ht="13.5" customHeight="1">
      <c r="C32" s="1" t="s">
        <v>403</v>
      </c>
    </row>
    <row r="33" spans="2:63" ht="13.5" customHeight="1">
      <c r="D33" s="30" t="s">
        <v>371</v>
      </c>
      <c r="E33" s="158">
        <f>'A&amp;R'!S34</f>
        <v>105610.3125</v>
      </c>
      <c r="F33" s="259">
        <f>'A&amp;R'!V34</f>
        <v>44377</v>
      </c>
      <c r="G33" s="22">
        <f>SUM(H33:XFD33)</f>
        <v>105610.3125</v>
      </c>
      <c r="H33" s="22"/>
      <c r="I33" s="22">
        <f>(I$8=$F33)*$E33</f>
        <v>105610.3125</v>
      </c>
      <c r="J33" s="22">
        <f t="shared" ref="J33:BK33" si="10">(J$8=$F33)*$E33</f>
        <v>0</v>
      </c>
      <c r="K33" s="22">
        <f t="shared" si="10"/>
        <v>0</v>
      </c>
      <c r="L33" s="22">
        <f t="shared" si="10"/>
        <v>0</v>
      </c>
      <c r="M33" s="22">
        <f t="shared" si="10"/>
        <v>0</v>
      </c>
      <c r="N33" s="22">
        <f t="shared" si="10"/>
        <v>0</v>
      </c>
      <c r="O33" s="22">
        <f t="shared" si="10"/>
        <v>0</v>
      </c>
      <c r="P33" s="22">
        <f t="shared" si="10"/>
        <v>0</v>
      </c>
      <c r="Q33" s="22">
        <f t="shared" si="10"/>
        <v>0</v>
      </c>
      <c r="R33" s="22">
        <f t="shared" si="10"/>
        <v>0</v>
      </c>
      <c r="S33" s="22">
        <f t="shared" si="10"/>
        <v>0</v>
      </c>
      <c r="T33" s="22">
        <f t="shared" si="10"/>
        <v>0</v>
      </c>
      <c r="U33" s="22">
        <f t="shared" si="10"/>
        <v>0</v>
      </c>
      <c r="V33" s="22">
        <f t="shared" si="10"/>
        <v>0</v>
      </c>
      <c r="W33" s="22">
        <f t="shared" si="10"/>
        <v>0</v>
      </c>
      <c r="X33" s="22">
        <f t="shared" si="10"/>
        <v>0</v>
      </c>
      <c r="Y33" s="22">
        <f t="shared" si="10"/>
        <v>0</v>
      </c>
      <c r="Z33" s="22">
        <f t="shared" si="10"/>
        <v>0</v>
      </c>
      <c r="AA33" s="22">
        <f t="shared" si="10"/>
        <v>0</v>
      </c>
      <c r="AB33" s="22">
        <f t="shared" si="10"/>
        <v>0</v>
      </c>
      <c r="AC33" s="22">
        <f t="shared" si="10"/>
        <v>0</v>
      </c>
      <c r="AD33" s="22">
        <f t="shared" si="10"/>
        <v>0</v>
      </c>
      <c r="AE33" s="22">
        <f t="shared" si="10"/>
        <v>0</v>
      </c>
      <c r="AF33" s="22">
        <f t="shared" si="10"/>
        <v>0</v>
      </c>
      <c r="AG33" s="22">
        <f t="shared" si="10"/>
        <v>0</v>
      </c>
      <c r="AH33" s="22">
        <f t="shared" si="10"/>
        <v>0</v>
      </c>
      <c r="AI33" s="22">
        <f t="shared" si="10"/>
        <v>0</v>
      </c>
      <c r="AJ33" s="22">
        <f t="shared" si="10"/>
        <v>0</v>
      </c>
      <c r="AK33" s="22">
        <f t="shared" si="10"/>
        <v>0</v>
      </c>
      <c r="AL33" s="22">
        <f t="shared" si="10"/>
        <v>0</v>
      </c>
      <c r="AM33" s="22">
        <f t="shared" si="10"/>
        <v>0</v>
      </c>
      <c r="AN33" s="22">
        <f t="shared" si="10"/>
        <v>0</v>
      </c>
      <c r="AO33" s="22">
        <f t="shared" si="10"/>
        <v>0</v>
      </c>
      <c r="AP33" s="22">
        <f t="shared" si="10"/>
        <v>0</v>
      </c>
      <c r="AQ33" s="22">
        <f t="shared" si="10"/>
        <v>0</v>
      </c>
      <c r="AR33" s="22">
        <f t="shared" si="10"/>
        <v>0</v>
      </c>
      <c r="AS33" s="22">
        <f t="shared" si="10"/>
        <v>0</v>
      </c>
      <c r="AT33" s="22">
        <f t="shared" si="10"/>
        <v>0</v>
      </c>
      <c r="AU33" s="22">
        <f t="shared" si="10"/>
        <v>0</v>
      </c>
      <c r="AV33" s="22">
        <f t="shared" si="10"/>
        <v>0</v>
      </c>
      <c r="AW33" s="22">
        <f t="shared" si="10"/>
        <v>0</v>
      </c>
      <c r="AX33" s="22">
        <f t="shared" si="10"/>
        <v>0</v>
      </c>
      <c r="AY33" s="22">
        <f t="shared" si="10"/>
        <v>0</v>
      </c>
      <c r="AZ33" s="22">
        <f t="shared" si="10"/>
        <v>0</v>
      </c>
      <c r="BA33" s="22">
        <f t="shared" si="10"/>
        <v>0</v>
      </c>
      <c r="BB33" s="22">
        <f t="shared" si="10"/>
        <v>0</v>
      </c>
      <c r="BC33" s="22">
        <f t="shared" si="10"/>
        <v>0</v>
      </c>
      <c r="BD33" s="22">
        <f t="shared" si="10"/>
        <v>0</v>
      </c>
      <c r="BE33" s="22">
        <f t="shared" si="10"/>
        <v>0</v>
      </c>
      <c r="BF33" s="22">
        <f t="shared" si="10"/>
        <v>0</v>
      </c>
      <c r="BG33" s="22">
        <f t="shared" si="10"/>
        <v>0</v>
      </c>
      <c r="BH33" s="22">
        <f t="shared" si="10"/>
        <v>0</v>
      </c>
      <c r="BI33" s="22">
        <f t="shared" si="10"/>
        <v>0</v>
      </c>
      <c r="BJ33" s="22">
        <f t="shared" si="10"/>
        <v>0</v>
      </c>
      <c r="BK33" s="22">
        <f t="shared" si="10"/>
        <v>0</v>
      </c>
    </row>
    <row r="34" spans="2:63" ht="13.5" customHeight="1">
      <c r="C34" s="34"/>
      <c r="D34" s="33" t="s">
        <v>372</v>
      </c>
      <c r="E34" s="150">
        <f>'A&amp;R'!S35</f>
        <v>77500</v>
      </c>
      <c r="F34" s="129">
        <f>'A&amp;R'!V35</f>
        <v>44377</v>
      </c>
      <c r="G34" s="24">
        <f t="shared" ref="G34" si="11">SUM(H34:XFD34)</f>
        <v>77500</v>
      </c>
      <c r="H34" s="24"/>
      <c r="I34" s="24">
        <f t="shared" ref="I34:BK34" si="12">(I$8=$F34)*$E34</f>
        <v>77500</v>
      </c>
      <c r="J34" s="24">
        <f t="shared" si="12"/>
        <v>0</v>
      </c>
      <c r="K34" s="24">
        <f t="shared" si="12"/>
        <v>0</v>
      </c>
      <c r="L34" s="24">
        <f t="shared" si="12"/>
        <v>0</v>
      </c>
      <c r="M34" s="24">
        <f t="shared" si="12"/>
        <v>0</v>
      </c>
      <c r="N34" s="24">
        <f t="shared" si="12"/>
        <v>0</v>
      </c>
      <c r="O34" s="24">
        <f t="shared" si="12"/>
        <v>0</v>
      </c>
      <c r="P34" s="24">
        <f t="shared" si="12"/>
        <v>0</v>
      </c>
      <c r="Q34" s="24">
        <f t="shared" si="12"/>
        <v>0</v>
      </c>
      <c r="R34" s="24">
        <f t="shared" si="12"/>
        <v>0</v>
      </c>
      <c r="S34" s="24">
        <f t="shared" si="12"/>
        <v>0</v>
      </c>
      <c r="T34" s="24">
        <f t="shared" si="12"/>
        <v>0</v>
      </c>
      <c r="U34" s="24">
        <f t="shared" si="12"/>
        <v>0</v>
      </c>
      <c r="V34" s="24">
        <f t="shared" si="12"/>
        <v>0</v>
      </c>
      <c r="W34" s="24">
        <f t="shared" si="12"/>
        <v>0</v>
      </c>
      <c r="X34" s="24">
        <f t="shared" si="12"/>
        <v>0</v>
      </c>
      <c r="Y34" s="24">
        <f t="shared" si="12"/>
        <v>0</v>
      </c>
      <c r="Z34" s="24">
        <f t="shared" si="12"/>
        <v>0</v>
      </c>
      <c r="AA34" s="24">
        <f t="shared" si="12"/>
        <v>0</v>
      </c>
      <c r="AB34" s="24">
        <f t="shared" si="12"/>
        <v>0</v>
      </c>
      <c r="AC34" s="24">
        <f t="shared" si="12"/>
        <v>0</v>
      </c>
      <c r="AD34" s="24">
        <f t="shared" si="12"/>
        <v>0</v>
      </c>
      <c r="AE34" s="24">
        <f t="shared" si="12"/>
        <v>0</v>
      </c>
      <c r="AF34" s="24">
        <f t="shared" si="12"/>
        <v>0</v>
      </c>
      <c r="AG34" s="24">
        <f t="shared" si="12"/>
        <v>0</v>
      </c>
      <c r="AH34" s="24">
        <f t="shared" si="12"/>
        <v>0</v>
      </c>
      <c r="AI34" s="24">
        <f t="shared" si="12"/>
        <v>0</v>
      </c>
      <c r="AJ34" s="24">
        <f t="shared" si="12"/>
        <v>0</v>
      </c>
      <c r="AK34" s="24">
        <f t="shared" si="12"/>
        <v>0</v>
      </c>
      <c r="AL34" s="24">
        <f t="shared" si="12"/>
        <v>0</v>
      </c>
      <c r="AM34" s="24">
        <f t="shared" si="12"/>
        <v>0</v>
      </c>
      <c r="AN34" s="24">
        <f t="shared" si="12"/>
        <v>0</v>
      </c>
      <c r="AO34" s="24">
        <f t="shared" si="12"/>
        <v>0</v>
      </c>
      <c r="AP34" s="24">
        <f t="shared" si="12"/>
        <v>0</v>
      </c>
      <c r="AQ34" s="24">
        <f t="shared" si="12"/>
        <v>0</v>
      </c>
      <c r="AR34" s="24">
        <f t="shared" si="12"/>
        <v>0</v>
      </c>
      <c r="AS34" s="24">
        <f t="shared" si="12"/>
        <v>0</v>
      </c>
      <c r="AT34" s="24">
        <f t="shared" si="12"/>
        <v>0</v>
      </c>
      <c r="AU34" s="24">
        <f t="shared" si="12"/>
        <v>0</v>
      </c>
      <c r="AV34" s="24">
        <f t="shared" si="12"/>
        <v>0</v>
      </c>
      <c r="AW34" s="24">
        <f t="shared" si="12"/>
        <v>0</v>
      </c>
      <c r="AX34" s="24">
        <f t="shared" si="12"/>
        <v>0</v>
      </c>
      <c r="AY34" s="24">
        <f t="shared" si="12"/>
        <v>0</v>
      </c>
      <c r="AZ34" s="24">
        <f t="shared" si="12"/>
        <v>0</v>
      </c>
      <c r="BA34" s="24">
        <f t="shared" si="12"/>
        <v>0</v>
      </c>
      <c r="BB34" s="24">
        <f t="shared" si="12"/>
        <v>0</v>
      </c>
      <c r="BC34" s="24">
        <f t="shared" si="12"/>
        <v>0</v>
      </c>
      <c r="BD34" s="24">
        <f t="shared" si="12"/>
        <v>0</v>
      </c>
      <c r="BE34" s="24">
        <f t="shared" si="12"/>
        <v>0</v>
      </c>
      <c r="BF34" s="24">
        <f t="shared" si="12"/>
        <v>0</v>
      </c>
      <c r="BG34" s="24">
        <f t="shared" si="12"/>
        <v>0</v>
      </c>
      <c r="BH34" s="24">
        <f t="shared" si="12"/>
        <v>0</v>
      </c>
      <c r="BI34" s="24">
        <f t="shared" si="12"/>
        <v>0</v>
      </c>
      <c r="BJ34" s="24">
        <f t="shared" si="12"/>
        <v>0</v>
      </c>
      <c r="BK34" s="24">
        <f t="shared" si="12"/>
        <v>0</v>
      </c>
    </row>
    <row r="35" spans="2:63" ht="13.5" customHeight="1">
      <c r="C35" s="1" t="s">
        <v>404</v>
      </c>
    </row>
    <row r="36" spans="2:63" ht="13.5" customHeight="1">
      <c r="D36" s="30" t="s">
        <v>371</v>
      </c>
      <c r="E36" s="158">
        <f>E33</f>
        <v>105610.3125</v>
      </c>
      <c r="F36" s="259">
        <f>'A&amp;R'!W34</f>
        <v>44834</v>
      </c>
      <c r="G36" s="22">
        <f>SUM(H36:XFD36)</f>
        <v>-105610.3125</v>
      </c>
      <c r="H36" s="22"/>
      <c r="I36" s="22">
        <f>(I$8=$F36)*$E36*-1</f>
        <v>0</v>
      </c>
      <c r="J36" s="22">
        <f t="shared" ref="J36:BK37" si="13">(J$8=$F36)*$E36*-1</f>
        <v>0</v>
      </c>
      <c r="K36" s="22">
        <f t="shared" si="13"/>
        <v>0</v>
      </c>
      <c r="L36" s="22">
        <f t="shared" si="13"/>
        <v>0</v>
      </c>
      <c r="M36" s="22">
        <f t="shared" si="13"/>
        <v>0</v>
      </c>
      <c r="N36" s="22">
        <f t="shared" si="13"/>
        <v>0</v>
      </c>
      <c r="O36" s="22">
        <f t="shared" si="13"/>
        <v>0</v>
      </c>
      <c r="P36" s="22">
        <f t="shared" si="13"/>
        <v>0</v>
      </c>
      <c r="Q36" s="22">
        <f t="shared" si="13"/>
        <v>0</v>
      </c>
      <c r="R36" s="22">
        <f t="shared" si="13"/>
        <v>0</v>
      </c>
      <c r="S36" s="22">
        <f t="shared" si="13"/>
        <v>0</v>
      </c>
      <c r="T36" s="22">
        <f t="shared" si="13"/>
        <v>0</v>
      </c>
      <c r="U36" s="22">
        <f t="shared" si="13"/>
        <v>0</v>
      </c>
      <c r="V36" s="22">
        <f t="shared" si="13"/>
        <v>0</v>
      </c>
      <c r="W36" s="22">
        <f t="shared" si="13"/>
        <v>0</v>
      </c>
      <c r="X36" s="22">
        <f t="shared" si="13"/>
        <v>-105610.3125</v>
      </c>
      <c r="Y36" s="22">
        <f t="shared" si="13"/>
        <v>0</v>
      </c>
      <c r="Z36" s="22">
        <f t="shared" si="13"/>
        <v>0</v>
      </c>
      <c r="AA36" s="22">
        <f t="shared" si="13"/>
        <v>0</v>
      </c>
      <c r="AB36" s="22">
        <f t="shared" si="13"/>
        <v>0</v>
      </c>
      <c r="AC36" s="22">
        <f t="shared" si="13"/>
        <v>0</v>
      </c>
      <c r="AD36" s="22">
        <f t="shared" si="13"/>
        <v>0</v>
      </c>
      <c r="AE36" s="22">
        <f t="shared" si="13"/>
        <v>0</v>
      </c>
      <c r="AF36" s="22">
        <f t="shared" si="13"/>
        <v>0</v>
      </c>
      <c r="AG36" s="22">
        <f t="shared" si="13"/>
        <v>0</v>
      </c>
      <c r="AH36" s="22">
        <f t="shared" si="13"/>
        <v>0</v>
      </c>
      <c r="AI36" s="22">
        <f t="shared" si="13"/>
        <v>0</v>
      </c>
      <c r="AJ36" s="22">
        <f t="shared" si="13"/>
        <v>0</v>
      </c>
      <c r="AK36" s="22">
        <f t="shared" si="13"/>
        <v>0</v>
      </c>
      <c r="AL36" s="22">
        <f t="shared" si="13"/>
        <v>0</v>
      </c>
      <c r="AM36" s="22">
        <f t="shared" si="13"/>
        <v>0</v>
      </c>
      <c r="AN36" s="22">
        <f t="shared" si="13"/>
        <v>0</v>
      </c>
      <c r="AO36" s="22">
        <f t="shared" si="13"/>
        <v>0</v>
      </c>
      <c r="AP36" s="22">
        <f t="shared" si="13"/>
        <v>0</v>
      </c>
      <c r="AQ36" s="22">
        <f t="shared" si="13"/>
        <v>0</v>
      </c>
      <c r="AR36" s="22">
        <f t="shared" si="13"/>
        <v>0</v>
      </c>
      <c r="AS36" s="22">
        <f t="shared" si="13"/>
        <v>0</v>
      </c>
      <c r="AT36" s="22">
        <f t="shared" si="13"/>
        <v>0</v>
      </c>
      <c r="AU36" s="22">
        <f t="shared" si="13"/>
        <v>0</v>
      </c>
      <c r="AV36" s="22">
        <f t="shared" si="13"/>
        <v>0</v>
      </c>
      <c r="AW36" s="22">
        <f t="shared" si="13"/>
        <v>0</v>
      </c>
      <c r="AX36" s="22">
        <f t="shared" si="13"/>
        <v>0</v>
      </c>
      <c r="AY36" s="22">
        <f t="shared" si="13"/>
        <v>0</v>
      </c>
      <c r="AZ36" s="22">
        <f t="shared" si="13"/>
        <v>0</v>
      </c>
      <c r="BA36" s="22">
        <f t="shared" si="13"/>
        <v>0</v>
      </c>
      <c r="BB36" s="22">
        <f t="shared" si="13"/>
        <v>0</v>
      </c>
      <c r="BC36" s="22">
        <f t="shared" si="13"/>
        <v>0</v>
      </c>
      <c r="BD36" s="22">
        <f t="shared" si="13"/>
        <v>0</v>
      </c>
      <c r="BE36" s="22">
        <f t="shared" si="13"/>
        <v>0</v>
      </c>
      <c r="BF36" s="22">
        <f t="shared" si="13"/>
        <v>0</v>
      </c>
      <c r="BG36" s="22">
        <f t="shared" si="13"/>
        <v>0</v>
      </c>
      <c r="BH36" s="22">
        <f t="shared" si="13"/>
        <v>0</v>
      </c>
      <c r="BI36" s="22">
        <f t="shared" si="13"/>
        <v>0</v>
      </c>
      <c r="BJ36" s="22">
        <f t="shared" si="13"/>
        <v>0</v>
      </c>
      <c r="BK36" s="22">
        <f t="shared" si="13"/>
        <v>0</v>
      </c>
    </row>
    <row r="37" spans="2:63" ht="13.5" customHeight="1">
      <c r="C37" s="34"/>
      <c r="D37" s="33" t="s">
        <v>372</v>
      </c>
      <c r="E37" s="150">
        <f t="shared" ref="E37" si="14">E34</f>
        <v>77500</v>
      </c>
      <c r="F37" s="129">
        <f>'A&amp;R'!W35</f>
        <v>44834</v>
      </c>
      <c r="G37" s="24">
        <f t="shared" ref="G37" si="15">SUM(H37:XFD37)</f>
        <v>-77500</v>
      </c>
      <c r="H37" s="24"/>
      <c r="I37" s="24">
        <f>(I$8=$F37)*$E37*-1</f>
        <v>0</v>
      </c>
      <c r="J37" s="24">
        <f t="shared" si="13"/>
        <v>0</v>
      </c>
      <c r="K37" s="24">
        <f t="shared" si="13"/>
        <v>0</v>
      </c>
      <c r="L37" s="24">
        <f t="shared" si="13"/>
        <v>0</v>
      </c>
      <c r="M37" s="24">
        <f t="shared" si="13"/>
        <v>0</v>
      </c>
      <c r="N37" s="24">
        <f t="shared" si="13"/>
        <v>0</v>
      </c>
      <c r="O37" s="24">
        <f t="shared" si="13"/>
        <v>0</v>
      </c>
      <c r="P37" s="24">
        <f t="shared" si="13"/>
        <v>0</v>
      </c>
      <c r="Q37" s="24">
        <f t="shared" si="13"/>
        <v>0</v>
      </c>
      <c r="R37" s="24">
        <f t="shared" si="13"/>
        <v>0</v>
      </c>
      <c r="S37" s="24">
        <f t="shared" si="13"/>
        <v>0</v>
      </c>
      <c r="T37" s="24">
        <f t="shared" si="13"/>
        <v>0</v>
      </c>
      <c r="U37" s="24">
        <f t="shared" si="13"/>
        <v>0</v>
      </c>
      <c r="V37" s="24">
        <f t="shared" si="13"/>
        <v>0</v>
      </c>
      <c r="W37" s="24">
        <f t="shared" si="13"/>
        <v>0</v>
      </c>
      <c r="X37" s="24">
        <f t="shared" si="13"/>
        <v>-77500</v>
      </c>
      <c r="Y37" s="24">
        <f t="shared" si="13"/>
        <v>0</v>
      </c>
      <c r="Z37" s="24">
        <f t="shared" si="13"/>
        <v>0</v>
      </c>
      <c r="AA37" s="24">
        <f t="shared" si="13"/>
        <v>0</v>
      </c>
      <c r="AB37" s="24">
        <f t="shared" si="13"/>
        <v>0</v>
      </c>
      <c r="AC37" s="24">
        <f t="shared" si="13"/>
        <v>0</v>
      </c>
      <c r="AD37" s="24">
        <f t="shared" si="13"/>
        <v>0</v>
      </c>
      <c r="AE37" s="24">
        <f t="shared" si="13"/>
        <v>0</v>
      </c>
      <c r="AF37" s="24">
        <f t="shared" si="13"/>
        <v>0</v>
      </c>
      <c r="AG37" s="24">
        <f t="shared" si="13"/>
        <v>0</v>
      </c>
      <c r="AH37" s="24">
        <f t="shared" si="13"/>
        <v>0</v>
      </c>
      <c r="AI37" s="24">
        <f t="shared" si="13"/>
        <v>0</v>
      </c>
      <c r="AJ37" s="24">
        <f t="shared" si="13"/>
        <v>0</v>
      </c>
      <c r="AK37" s="24">
        <f t="shared" si="13"/>
        <v>0</v>
      </c>
      <c r="AL37" s="24">
        <f t="shared" si="13"/>
        <v>0</v>
      </c>
      <c r="AM37" s="24">
        <f t="shared" si="13"/>
        <v>0</v>
      </c>
      <c r="AN37" s="24">
        <f t="shared" si="13"/>
        <v>0</v>
      </c>
      <c r="AO37" s="24">
        <f t="shared" si="13"/>
        <v>0</v>
      </c>
      <c r="AP37" s="24">
        <f t="shared" si="13"/>
        <v>0</v>
      </c>
      <c r="AQ37" s="24">
        <f t="shared" si="13"/>
        <v>0</v>
      </c>
      <c r="AR37" s="24">
        <f t="shared" si="13"/>
        <v>0</v>
      </c>
      <c r="AS37" s="24">
        <f t="shared" si="13"/>
        <v>0</v>
      </c>
      <c r="AT37" s="24">
        <f t="shared" si="13"/>
        <v>0</v>
      </c>
      <c r="AU37" s="24">
        <f t="shared" si="13"/>
        <v>0</v>
      </c>
      <c r="AV37" s="24">
        <f t="shared" si="13"/>
        <v>0</v>
      </c>
      <c r="AW37" s="24">
        <f t="shared" si="13"/>
        <v>0</v>
      </c>
      <c r="AX37" s="24">
        <f t="shared" si="13"/>
        <v>0</v>
      </c>
      <c r="AY37" s="24">
        <f t="shared" si="13"/>
        <v>0</v>
      </c>
      <c r="AZ37" s="24">
        <f t="shared" si="13"/>
        <v>0</v>
      </c>
      <c r="BA37" s="24">
        <f t="shared" si="13"/>
        <v>0</v>
      </c>
      <c r="BB37" s="24">
        <f t="shared" si="13"/>
        <v>0</v>
      </c>
      <c r="BC37" s="24">
        <f t="shared" si="13"/>
        <v>0</v>
      </c>
      <c r="BD37" s="24">
        <f t="shared" si="13"/>
        <v>0</v>
      </c>
      <c r="BE37" s="24">
        <f t="shared" si="13"/>
        <v>0</v>
      </c>
      <c r="BF37" s="24">
        <f t="shared" si="13"/>
        <v>0</v>
      </c>
      <c r="BG37" s="24">
        <f t="shared" si="13"/>
        <v>0</v>
      </c>
      <c r="BH37" s="24">
        <f t="shared" si="13"/>
        <v>0</v>
      </c>
      <c r="BI37" s="24">
        <f t="shared" si="13"/>
        <v>0</v>
      </c>
      <c r="BJ37" s="24">
        <f t="shared" si="13"/>
        <v>0</v>
      </c>
      <c r="BK37" s="24">
        <f t="shared" si="13"/>
        <v>0</v>
      </c>
    </row>
    <row r="38" spans="2:63" ht="13.5" customHeight="1">
      <c r="C38" s="1" t="s">
        <v>405</v>
      </c>
    </row>
    <row r="39" spans="2:63" ht="13.5" customHeight="1">
      <c r="D39" s="30" t="str">
        <f>'A&amp;R'!R37</f>
        <v>Tranche A</v>
      </c>
      <c r="E39" s="158">
        <f>'A&amp;R'!S37</f>
        <v>183110.3125</v>
      </c>
      <c r="F39" s="259">
        <f>'A&amp;R'!V37</f>
        <v>44834</v>
      </c>
      <c r="G39" s="22">
        <f>SUM(H39:XFD39)</f>
        <v>183110.3125</v>
      </c>
      <c r="H39" s="22"/>
      <c r="I39" s="22">
        <f>(I$8=$F39)*$E39</f>
        <v>0</v>
      </c>
      <c r="J39" s="22">
        <f t="shared" ref="J39:BK39" si="16">(J$8=$F39)*$E39</f>
        <v>0</v>
      </c>
      <c r="K39" s="22">
        <f t="shared" si="16"/>
        <v>0</v>
      </c>
      <c r="L39" s="22">
        <f t="shared" si="16"/>
        <v>0</v>
      </c>
      <c r="M39" s="22">
        <f t="shared" si="16"/>
        <v>0</v>
      </c>
      <c r="N39" s="22">
        <f t="shared" si="16"/>
        <v>0</v>
      </c>
      <c r="O39" s="22">
        <f t="shared" si="16"/>
        <v>0</v>
      </c>
      <c r="P39" s="22">
        <f t="shared" si="16"/>
        <v>0</v>
      </c>
      <c r="Q39" s="22">
        <f t="shared" si="16"/>
        <v>0</v>
      </c>
      <c r="R39" s="22">
        <f t="shared" si="16"/>
        <v>0</v>
      </c>
      <c r="S39" s="22">
        <f t="shared" si="16"/>
        <v>0</v>
      </c>
      <c r="T39" s="22">
        <f t="shared" si="16"/>
        <v>0</v>
      </c>
      <c r="U39" s="22">
        <f t="shared" si="16"/>
        <v>0</v>
      </c>
      <c r="V39" s="22">
        <f t="shared" si="16"/>
        <v>0</v>
      </c>
      <c r="W39" s="22">
        <f t="shared" si="16"/>
        <v>0</v>
      </c>
      <c r="X39" s="22">
        <f t="shared" si="16"/>
        <v>183110.3125</v>
      </c>
      <c r="Y39" s="22">
        <f t="shared" si="16"/>
        <v>0</v>
      </c>
      <c r="Z39" s="22">
        <f t="shared" si="16"/>
        <v>0</v>
      </c>
      <c r="AA39" s="22">
        <f t="shared" si="16"/>
        <v>0</v>
      </c>
      <c r="AB39" s="22">
        <f t="shared" si="16"/>
        <v>0</v>
      </c>
      <c r="AC39" s="22">
        <f t="shared" si="16"/>
        <v>0</v>
      </c>
      <c r="AD39" s="22">
        <f t="shared" si="16"/>
        <v>0</v>
      </c>
      <c r="AE39" s="22">
        <f t="shared" si="16"/>
        <v>0</v>
      </c>
      <c r="AF39" s="22">
        <f t="shared" si="16"/>
        <v>0</v>
      </c>
      <c r="AG39" s="22">
        <f t="shared" si="16"/>
        <v>0</v>
      </c>
      <c r="AH39" s="22">
        <f t="shared" si="16"/>
        <v>0</v>
      </c>
      <c r="AI39" s="22">
        <f t="shared" si="16"/>
        <v>0</v>
      </c>
      <c r="AJ39" s="22">
        <f t="shared" si="16"/>
        <v>0</v>
      </c>
      <c r="AK39" s="22">
        <f t="shared" si="16"/>
        <v>0</v>
      </c>
      <c r="AL39" s="22">
        <f t="shared" si="16"/>
        <v>0</v>
      </c>
      <c r="AM39" s="22">
        <f t="shared" si="16"/>
        <v>0</v>
      </c>
      <c r="AN39" s="22">
        <f t="shared" si="16"/>
        <v>0</v>
      </c>
      <c r="AO39" s="22">
        <f t="shared" si="16"/>
        <v>0</v>
      </c>
      <c r="AP39" s="22">
        <f t="shared" si="16"/>
        <v>0</v>
      </c>
      <c r="AQ39" s="22">
        <f t="shared" si="16"/>
        <v>0</v>
      </c>
      <c r="AR39" s="22">
        <f t="shared" si="16"/>
        <v>0</v>
      </c>
      <c r="AS39" s="22">
        <f t="shared" si="16"/>
        <v>0</v>
      </c>
      <c r="AT39" s="22">
        <f t="shared" si="16"/>
        <v>0</v>
      </c>
      <c r="AU39" s="22">
        <f t="shared" si="16"/>
        <v>0</v>
      </c>
      <c r="AV39" s="22">
        <f t="shared" si="16"/>
        <v>0</v>
      </c>
      <c r="AW39" s="22">
        <f t="shared" si="16"/>
        <v>0</v>
      </c>
      <c r="AX39" s="22">
        <f t="shared" si="16"/>
        <v>0</v>
      </c>
      <c r="AY39" s="22">
        <f t="shared" si="16"/>
        <v>0</v>
      </c>
      <c r="AZ39" s="22">
        <f t="shared" si="16"/>
        <v>0</v>
      </c>
      <c r="BA39" s="22">
        <f t="shared" si="16"/>
        <v>0</v>
      </c>
      <c r="BB39" s="22">
        <f t="shared" si="16"/>
        <v>0</v>
      </c>
      <c r="BC39" s="22">
        <f t="shared" si="16"/>
        <v>0</v>
      </c>
      <c r="BD39" s="22">
        <f t="shared" si="16"/>
        <v>0</v>
      </c>
      <c r="BE39" s="22">
        <f t="shared" si="16"/>
        <v>0</v>
      </c>
      <c r="BF39" s="22">
        <f t="shared" si="16"/>
        <v>0</v>
      </c>
      <c r="BG39" s="22">
        <f t="shared" si="16"/>
        <v>0</v>
      </c>
      <c r="BH39" s="22">
        <f t="shared" si="16"/>
        <v>0</v>
      </c>
      <c r="BI39" s="22">
        <f t="shared" si="16"/>
        <v>0</v>
      </c>
      <c r="BJ39" s="22">
        <f t="shared" si="16"/>
        <v>0</v>
      </c>
      <c r="BK39" s="22">
        <f t="shared" si="16"/>
        <v>0</v>
      </c>
    </row>
    <row r="40" spans="2:63" ht="13.5" customHeight="1">
      <c r="C40" s="34"/>
      <c r="D40" s="33" t="str">
        <f>'A&amp;R'!R38</f>
        <v>Tranche B</v>
      </c>
      <c r="E40" s="150"/>
      <c r="F40" s="129"/>
      <c r="G40" s="24">
        <f t="shared" ref="G40" ca="1" si="17">SUM(H40:XFD40)</f>
        <v>12683.082438554171</v>
      </c>
      <c r="H40" s="24"/>
      <c r="I40" s="24">
        <f ca="1">재원조달!I21</f>
        <v>0</v>
      </c>
      <c r="J40" s="24">
        <f ca="1">재원조달!J21</f>
        <v>0</v>
      </c>
      <c r="K40" s="24">
        <f ca="1">재원조달!K21</f>
        <v>0</v>
      </c>
      <c r="L40" s="24">
        <f ca="1">재원조달!L21</f>
        <v>0</v>
      </c>
      <c r="M40" s="24">
        <f ca="1">재원조달!M21</f>
        <v>0</v>
      </c>
      <c r="N40" s="24">
        <f ca="1">재원조달!N21</f>
        <v>0</v>
      </c>
      <c r="O40" s="24">
        <f ca="1">재원조달!O21</f>
        <v>0</v>
      </c>
      <c r="P40" s="24">
        <f ca="1">재원조달!P21</f>
        <v>0</v>
      </c>
      <c r="Q40" s="24">
        <f ca="1">재원조달!Q21</f>
        <v>0</v>
      </c>
      <c r="R40" s="24">
        <f ca="1">재원조달!R21</f>
        <v>0</v>
      </c>
      <c r="S40" s="24">
        <f ca="1">재원조달!S21</f>
        <v>0</v>
      </c>
      <c r="T40" s="24">
        <f ca="1">재원조달!T21</f>
        <v>0</v>
      </c>
      <c r="U40" s="24">
        <f ca="1">재원조달!U21</f>
        <v>0</v>
      </c>
      <c r="V40" s="24">
        <f ca="1">재원조달!V21</f>
        <v>0</v>
      </c>
      <c r="W40" s="24">
        <f ca="1">재원조달!W21</f>
        <v>0</v>
      </c>
      <c r="X40" s="24">
        <f ca="1">재원조달!X21</f>
        <v>12683.082202284455</v>
      </c>
      <c r="Y40" s="24">
        <f ca="1">재원조달!Y21</f>
        <v>0</v>
      </c>
      <c r="Z40" s="24">
        <f ca="1">재원조달!Z21</f>
        <v>0</v>
      </c>
      <c r="AA40" s="24">
        <f ca="1">재원조달!AA21</f>
        <v>0</v>
      </c>
      <c r="AB40" s="24">
        <f ca="1">재원조달!AB21</f>
        <v>0</v>
      </c>
      <c r="AC40" s="24">
        <f ca="1">재원조달!AC21</f>
        <v>0</v>
      </c>
      <c r="AD40" s="24">
        <f ca="1">재원조달!AD21</f>
        <v>0</v>
      </c>
      <c r="AE40" s="24">
        <f ca="1">재원조달!AE21</f>
        <v>0</v>
      </c>
      <c r="AF40" s="24">
        <f ca="1">재원조달!AF21</f>
        <v>0</v>
      </c>
      <c r="AG40" s="24">
        <f ca="1">재원조달!AG21</f>
        <v>0</v>
      </c>
      <c r="AH40" s="24">
        <f ca="1">재원조달!AH21</f>
        <v>0</v>
      </c>
      <c r="AI40" s="24">
        <f ca="1">재원조달!AI21</f>
        <v>0</v>
      </c>
      <c r="AJ40" s="24">
        <f ca="1">재원조달!AJ21</f>
        <v>0</v>
      </c>
      <c r="AK40" s="24">
        <f ca="1">재원조달!AK21</f>
        <v>0</v>
      </c>
      <c r="AL40" s="24">
        <f ca="1">재원조달!AL21</f>
        <v>0</v>
      </c>
      <c r="AM40" s="24">
        <f ca="1">재원조달!AM21</f>
        <v>0</v>
      </c>
      <c r="AN40" s="24">
        <f ca="1">재원조달!AN21</f>
        <v>0</v>
      </c>
      <c r="AO40" s="24">
        <f ca="1">재원조달!AO21</f>
        <v>0</v>
      </c>
      <c r="AP40" s="24">
        <f ca="1">재원조달!AP21</f>
        <v>0</v>
      </c>
      <c r="AQ40" s="24">
        <f ca="1">재원조달!AQ21</f>
        <v>0</v>
      </c>
      <c r="AR40" s="24">
        <f ca="1">재원조달!AR21</f>
        <v>0</v>
      </c>
      <c r="AS40" s="24">
        <f ca="1">재원조달!AS21</f>
        <v>0</v>
      </c>
      <c r="AT40" s="24">
        <f ca="1">재원조달!AT21</f>
        <v>0</v>
      </c>
      <c r="AU40" s="24">
        <f ca="1">재원조달!AU21</f>
        <v>0</v>
      </c>
      <c r="AV40" s="24">
        <f ca="1">재원조달!AV21</f>
        <v>0</v>
      </c>
      <c r="AW40" s="24">
        <f ca="1">재원조달!AW21</f>
        <v>0</v>
      </c>
      <c r="AX40" s="24">
        <f ca="1">재원조달!AX21</f>
        <v>0</v>
      </c>
      <c r="AY40" s="24">
        <f ca="1">재원조달!AY21</f>
        <v>0</v>
      </c>
      <c r="AZ40" s="24">
        <f ca="1">재원조달!AZ21</f>
        <v>0</v>
      </c>
      <c r="BA40" s="24">
        <f ca="1">재원조달!BA21</f>
        <v>0</v>
      </c>
      <c r="BB40" s="24">
        <f ca="1">재원조달!BB21</f>
        <v>0</v>
      </c>
      <c r="BC40" s="24">
        <f ca="1">재원조달!BC21</f>
        <v>0</v>
      </c>
      <c r="BD40" s="24">
        <f ca="1">재원조달!BD21</f>
        <v>0</v>
      </c>
      <c r="BE40" s="24">
        <f ca="1">재원조달!BE21</f>
        <v>0</v>
      </c>
      <c r="BF40" s="24">
        <f ca="1">재원조달!BF21</f>
        <v>0</v>
      </c>
      <c r="BG40" s="24">
        <f ca="1">재원조달!BG21</f>
        <v>0</v>
      </c>
      <c r="BH40" s="24">
        <f ca="1">재원조달!BH21</f>
        <v>0</v>
      </c>
      <c r="BI40" s="24">
        <f ca="1">재원조달!BI21</f>
        <v>0</v>
      </c>
      <c r="BJ40" s="24">
        <f ca="1">재원조달!BJ21</f>
        <v>0</v>
      </c>
      <c r="BK40" s="24">
        <f ca="1">재원조달!BK21</f>
        <v>0</v>
      </c>
    </row>
    <row r="41" spans="2:63" ht="13.5" customHeight="1">
      <c r="C41" s="1" t="s">
        <v>406</v>
      </c>
    </row>
    <row r="42" spans="2:63" ht="13.5" customHeight="1">
      <c r="D42" s="30" t="str">
        <f>D39</f>
        <v>Tranche A</v>
      </c>
      <c r="E42" s="158">
        <f>E39</f>
        <v>183110.3125</v>
      </c>
      <c r="F42" s="259">
        <f>'A&amp;R'!W37</f>
        <v>45991</v>
      </c>
      <c r="G42" s="22">
        <f>SUM(H42:XFD42)</f>
        <v>-183110.3125</v>
      </c>
      <c r="H42" s="22"/>
      <c r="I42" s="22">
        <f>(I$8=$F42)*$E42*-1</f>
        <v>0</v>
      </c>
      <c r="J42" s="22">
        <f t="shared" ref="J42:BK42" si="18">(J$8=$F42)*$E42*-1</f>
        <v>0</v>
      </c>
      <c r="K42" s="22">
        <f t="shared" si="18"/>
        <v>0</v>
      </c>
      <c r="L42" s="22">
        <f t="shared" si="18"/>
        <v>0</v>
      </c>
      <c r="M42" s="22">
        <f t="shared" si="18"/>
        <v>0</v>
      </c>
      <c r="N42" s="22">
        <f t="shared" si="18"/>
        <v>0</v>
      </c>
      <c r="O42" s="22">
        <f t="shared" si="18"/>
        <v>0</v>
      </c>
      <c r="P42" s="22">
        <f t="shared" si="18"/>
        <v>0</v>
      </c>
      <c r="Q42" s="22">
        <f t="shared" si="18"/>
        <v>0</v>
      </c>
      <c r="R42" s="22">
        <f t="shared" si="18"/>
        <v>0</v>
      </c>
      <c r="S42" s="22">
        <f t="shared" si="18"/>
        <v>0</v>
      </c>
      <c r="T42" s="22">
        <f t="shared" si="18"/>
        <v>0</v>
      </c>
      <c r="U42" s="22">
        <f t="shared" si="18"/>
        <v>0</v>
      </c>
      <c r="V42" s="22">
        <f t="shared" si="18"/>
        <v>0</v>
      </c>
      <c r="W42" s="22">
        <f t="shared" si="18"/>
        <v>0</v>
      </c>
      <c r="X42" s="22">
        <f t="shared" si="18"/>
        <v>0</v>
      </c>
      <c r="Y42" s="22">
        <f t="shared" si="18"/>
        <v>0</v>
      </c>
      <c r="Z42" s="22">
        <f t="shared" si="18"/>
        <v>0</v>
      </c>
      <c r="AA42" s="22">
        <f t="shared" si="18"/>
        <v>0</v>
      </c>
      <c r="AB42" s="22">
        <f t="shared" si="18"/>
        <v>0</v>
      </c>
      <c r="AC42" s="22">
        <f t="shared" si="18"/>
        <v>0</v>
      </c>
      <c r="AD42" s="22">
        <f t="shared" si="18"/>
        <v>0</v>
      </c>
      <c r="AE42" s="22">
        <f t="shared" si="18"/>
        <v>0</v>
      </c>
      <c r="AF42" s="22">
        <f t="shared" si="18"/>
        <v>0</v>
      </c>
      <c r="AG42" s="22">
        <f t="shared" si="18"/>
        <v>0</v>
      </c>
      <c r="AH42" s="22">
        <f t="shared" si="18"/>
        <v>0</v>
      </c>
      <c r="AI42" s="22">
        <f t="shared" si="18"/>
        <v>0</v>
      </c>
      <c r="AJ42" s="22">
        <f t="shared" si="18"/>
        <v>0</v>
      </c>
      <c r="AK42" s="22">
        <f t="shared" si="18"/>
        <v>0</v>
      </c>
      <c r="AL42" s="22">
        <f t="shared" si="18"/>
        <v>0</v>
      </c>
      <c r="AM42" s="22">
        <f t="shared" si="18"/>
        <v>0</v>
      </c>
      <c r="AN42" s="22">
        <f t="shared" si="18"/>
        <v>0</v>
      </c>
      <c r="AO42" s="22">
        <f t="shared" si="18"/>
        <v>0</v>
      </c>
      <c r="AP42" s="22">
        <f t="shared" si="18"/>
        <v>0</v>
      </c>
      <c r="AQ42" s="22">
        <f t="shared" si="18"/>
        <v>0</v>
      </c>
      <c r="AR42" s="22">
        <f t="shared" si="18"/>
        <v>0</v>
      </c>
      <c r="AS42" s="22">
        <f t="shared" si="18"/>
        <v>0</v>
      </c>
      <c r="AT42" s="22">
        <f t="shared" si="18"/>
        <v>0</v>
      </c>
      <c r="AU42" s="22">
        <f t="shared" si="18"/>
        <v>0</v>
      </c>
      <c r="AV42" s="22">
        <f t="shared" si="18"/>
        <v>0</v>
      </c>
      <c r="AW42" s="22">
        <f t="shared" si="18"/>
        <v>0</v>
      </c>
      <c r="AX42" s="22">
        <f t="shared" si="18"/>
        <v>0</v>
      </c>
      <c r="AY42" s="22">
        <f t="shared" si="18"/>
        <v>0</v>
      </c>
      <c r="AZ42" s="22">
        <f t="shared" si="18"/>
        <v>0</v>
      </c>
      <c r="BA42" s="22">
        <f t="shared" si="18"/>
        <v>0</v>
      </c>
      <c r="BB42" s="22">
        <f t="shared" si="18"/>
        <v>0</v>
      </c>
      <c r="BC42" s="22">
        <f t="shared" si="18"/>
        <v>0</v>
      </c>
      <c r="BD42" s="22">
        <f t="shared" si="18"/>
        <v>0</v>
      </c>
      <c r="BE42" s="22">
        <f t="shared" si="18"/>
        <v>0</v>
      </c>
      <c r="BF42" s="22">
        <f t="shared" si="18"/>
        <v>0</v>
      </c>
      <c r="BG42" s="22">
        <f t="shared" si="18"/>
        <v>0</v>
      </c>
      <c r="BH42" s="22">
        <f t="shared" si="18"/>
        <v>0</v>
      </c>
      <c r="BI42" s="22">
        <f t="shared" si="18"/>
        <v>0</v>
      </c>
      <c r="BJ42" s="22">
        <f t="shared" si="18"/>
        <v>-183110.3125</v>
      </c>
      <c r="BK42" s="22">
        <f t="shared" si="18"/>
        <v>0</v>
      </c>
    </row>
    <row r="43" spans="2:63" ht="13.5" customHeight="1">
      <c r="C43" s="34"/>
      <c r="D43" s="33" t="str">
        <f t="shared" ref="D43" si="19">D40</f>
        <v>Tranche B</v>
      </c>
      <c r="E43" s="150"/>
      <c r="F43" s="129"/>
      <c r="G43" s="24">
        <f t="shared" ref="G43:G44" ca="1" si="20">SUM(H43:XFD43)</f>
        <v>-12683.093531660788</v>
      </c>
      <c r="H43" s="24"/>
      <c r="I43" s="24">
        <f ca="1">재원조달!I22</f>
        <v>0</v>
      </c>
      <c r="J43" s="24">
        <f ca="1">재원조달!J22</f>
        <v>0</v>
      </c>
      <c r="K43" s="24">
        <f ca="1">재원조달!K22</f>
        <v>0</v>
      </c>
      <c r="L43" s="24">
        <f ca="1">재원조달!L22</f>
        <v>0</v>
      </c>
      <c r="M43" s="24">
        <f ca="1">재원조달!M22</f>
        <v>0</v>
      </c>
      <c r="N43" s="24">
        <f ca="1">재원조달!N22</f>
        <v>0</v>
      </c>
      <c r="O43" s="24">
        <f ca="1">재원조달!O22</f>
        <v>0</v>
      </c>
      <c r="P43" s="24">
        <f ca="1">재원조달!P22</f>
        <v>0</v>
      </c>
      <c r="Q43" s="24">
        <f ca="1">재원조달!Q22</f>
        <v>0</v>
      </c>
      <c r="R43" s="24">
        <f ca="1">재원조달!R22</f>
        <v>0</v>
      </c>
      <c r="S43" s="24">
        <f ca="1">재원조달!S22</f>
        <v>0</v>
      </c>
      <c r="T43" s="24">
        <f ca="1">재원조달!T22</f>
        <v>0</v>
      </c>
      <c r="U43" s="24">
        <f ca="1">재원조달!U22</f>
        <v>0</v>
      </c>
      <c r="V43" s="24">
        <f ca="1">재원조달!V22</f>
        <v>0</v>
      </c>
      <c r="W43" s="24">
        <f ca="1">재원조달!W22</f>
        <v>0</v>
      </c>
      <c r="X43" s="24">
        <f ca="1">재원조달!X22</f>
        <v>0</v>
      </c>
      <c r="Y43" s="24">
        <f ca="1">재원조달!Y22</f>
        <v>0</v>
      </c>
      <c r="Z43" s="24">
        <f ca="1">재원조달!Z22</f>
        <v>0</v>
      </c>
      <c r="AA43" s="24">
        <f ca="1">재원조달!AA22</f>
        <v>0</v>
      </c>
      <c r="AB43" s="24">
        <f ca="1">재원조달!AB22</f>
        <v>0</v>
      </c>
      <c r="AC43" s="24">
        <f ca="1">재원조달!AC22</f>
        <v>0</v>
      </c>
      <c r="AD43" s="24">
        <f ca="1">재원조달!AD22</f>
        <v>0</v>
      </c>
      <c r="AE43" s="24">
        <f ca="1">재원조달!AE22</f>
        <v>0</v>
      </c>
      <c r="AF43" s="24">
        <f ca="1">재원조달!AF22</f>
        <v>0</v>
      </c>
      <c r="AG43" s="24">
        <f ca="1">재원조달!AG22</f>
        <v>0</v>
      </c>
      <c r="AH43" s="24">
        <f ca="1">재원조달!AH22</f>
        <v>0</v>
      </c>
      <c r="AI43" s="24">
        <f ca="1">재원조달!AI22</f>
        <v>0</v>
      </c>
      <c r="AJ43" s="24">
        <f ca="1">재원조달!AJ22</f>
        <v>0</v>
      </c>
      <c r="AK43" s="24">
        <f ca="1">재원조달!AK22</f>
        <v>0</v>
      </c>
      <c r="AL43" s="24">
        <f ca="1">재원조달!AL22</f>
        <v>0</v>
      </c>
      <c r="AM43" s="24">
        <f ca="1">재원조달!AM22</f>
        <v>0</v>
      </c>
      <c r="AN43" s="24">
        <f ca="1">재원조달!AN22</f>
        <v>0</v>
      </c>
      <c r="AO43" s="24">
        <f ca="1">재원조달!AO22</f>
        <v>0</v>
      </c>
      <c r="AP43" s="24">
        <f ca="1">재원조달!AP22</f>
        <v>0</v>
      </c>
      <c r="AQ43" s="24">
        <f ca="1">재원조달!AQ22</f>
        <v>0</v>
      </c>
      <c r="AR43" s="24">
        <f ca="1">재원조달!AR22</f>
        <v>0</v>
      </c>
      <c r="AS43" s="24">
        <f ca="1">재원조달!AS22</f>
        <v>0</v>
      </c>
      <c r="AT43" s="24">
        <f ca="1">재원조달!AT22</f>
        <v>0</v>
      </c>
      <c r="AU43" s="24">
        <f ca="1">재원조달!AU22</f>
        <v>0</v>
      </c>
      <c r="AV43" s="24">
        <f ca="1">재원조달!AV22</f>
        <v>0</v>
      </c>
      <c r="AW43" s="24">
        <f ca="1">재원조달!AW22</f>
        <v>0</v>
      </c>
      <c r="AX43" s="24">
        <f ca="1">재원조달!AX22</f>
        <v>0</v>
      </c>
      <c r="AY43" s="24">
        <f ca="1">재원조달!AY22</f>
        <v>0</v>
      </c>
      <c r="AZ43" s="24">
        <f ca="1">재원조달!AZ22</f>
        <v>0</v>
      </c>
      <c r="BA43" s="24">
        <f ca="1">재원조달!BA22</f>
        <v>0</v>
      </c>
      <c r="BB43" s="24">
        <f ca="1">재원조달!BB22</f>
        <v>0</v>
      </c>
      <c r="BC43" s="24">
        <f ca="1">재원조달!BC22</f>
        <v>0</v>
      </c>
      <c r="BD43" s="24">
        <f ca="1">재원조달!BD22</f>
        <v>0</v>
      </c>
      <c r="BE43" s="24">
        <f ca="1">재원조달!BE22</f>
        <v>0</v>
      </c>
      <c r="BF43" s="24">
        <f ca="1">재원조달!BF22</f>
        <v>0</v>
      </c>
      <c r="BG43" s="24">
        <f ca="1">재원조달!BG22</f>
        <v>0</v>
      </c>
      <c r="BH43" s="24">
        <f ca="1">재원조달!BH22</f>
        <v>0</v>
      </c>
      <c r="BI43" s="24">
        <f ca="1">재원조달!BI22</f>
        <v>0</v>
      </c>
      <c r="BJ43" s="24">
        <f ca="1">재원조달!BJ22</f>
        <v>-12683.093405007183</v>
      </c>
      <c r="BK43" s="24">
        <f ca="1">재원조달!BK22</f>
        <v>0</v>
      </c>
    </row>
    <row r="44" spans="2:63" ht="13.5" customHeight="1">
      <c r="C44" s="102" t="s">
        <v>407</v>
      </c>
      <c r="D44" s="102"/>
      <c r="E44" s="102"/>
      <c r="F44" s="102"/>
      <c r="G44" s="102">
        <f t="shared" ca="1" si="20"/>
        <v>-149732.9289726181</v>
      </c>
      <c r="H44" s="102"/>
      <c r="I44" s="102">
        <f ca="1">배당!I28*-1</f>
        <v>0</v>
      </c>
      <c r="J44" s="102">
        <f ca="1">배당!J28*-1</f>
        <v>0</v>
      </c>
      <c r="K44" s="102">
        <f ca="1">배당!K28*-1</f>
        <v>0</v>
      </c>
      <c r="L44" s="102">
        <f ca="1">배당!L28*-1</f>
        <v>0</v>
      </c>
      <c r="M44" s="102">
        <f ca="1">배당!M28*-1</f>
        <v>0</v>
      </c>
      <c r="N44" s="102">
        <f ca="1">배당!N28*-1</f>
        <v>0</v>
      </c>
      <c r="O44" s="102">
        <f ca="1">배당!O28*-1</f>
        <v>0</v>
      </c>
      <c r="P44" s="102">
        <f ca="1">배당!P28*-1</f>
        <v>0</v>
      </c>
      <c r="Q44" s="102">
        <f ca="1">배당!Q28*-1</f>
        <v>0</v>
      </c>
      <c r="R44" s="102">
        <f ca="1">배당!R28*-1</f>
        <v>0</v>
      </c>
      <c r="S44" s="102">
        <f ca="1">배당!S28*-1</f>
        <v>0</v>
      </c>
      <c r="T44" s="102">
        <f ca="1">배당!T28*-1</f>
        <v>0</v>
      </c>
      <c r="U44" s="102">
        <f ca="1">배당!U28*-1</f>
        <v>0</v>
      </c>
      <c r="V44" s="102">
        <f ca="1">배당!V28*-1</f>
        <v>0</v>
      </c>
      <c r="W44" s="102">
        <f ca="1">배당!W28*-1</f>
        <v>0</v>
      </c>
      <c r="X44" s="102">
        <f ca="1">배당!X28*-1</f>
        <v>0</v>
      </c>
      <c r="Y44" s="102">
        <f ca="1">배당!Y28*-1</f>
        <v>0</v>
      </c>
      <c r="Z44" s="102">
        <f ca="1">배당!Z28*-1</f>
        <v>0</v>
      </c>
      <c r="AA44" s="102">
        <f ca="1">배당!AA28*-1</f>
        <v>0</v>
      </c>
      <c r="AB44" s="102">
        <f ca="1">배당!AB28*-1</f>
        <v>0</v>
      </c>
      <c r="AC44" s="102">
        <f ca="1">배당!AC28*-1</f>
        <v>0</v>
      </c>
      <c r="AD44" s="102">
        <f ca="1">배당!AD28*-1</f>
        <v>0</v>
      </c>
      <c r="AE44" s="102">
        <f ca="1">배당!AE28*-1</f>
        <v>0</v>
      </c>
      <c r="AF44" s="102">
        <f ca="1">배당!AF28*-1</f>
        <v>0</v>
      </c>
      <c r="AG44" s="102">
        <f ca="1">배당!AG28*-1</f>
        <v>0</v>
      </c>
      <c r="AH44" s="102">
        <f ca="1">배당!AH28*-1</f>
        <v>0</v>
      </c>
      <c r="AI44" s="102">
        <f ca="1">배당!AI28*-1</f>
        <v>0</v>
      </c>
      <c r="AJ44" s="102">
        <f ca="1">배당!AJ28*-1</f>
        <v>0</v>
      </c>
      <c r="AK44" s="102">
        <f ca="1">배당!AK28*-1</f>
        <v>0</v>
      </c>
      <c r="AL44" s="102">
        <f ca="1">배당!AL28*-1</f>
        <v>0</v>
      </c>
      <c r="AM44" s="102">
        <f ca="1">배당!AM28*-1</f>
        <v>0</v>
      </c>
      <c r="AN44" s="102">
        <f ca="1">배당!AN28*-1</f>
        <v>0</v>
      </c>
      <c r="AO44" s="102">
        <f ca="1">배당!AO28*-1</f>
        <v>0</v>
      </c>
      <c r="AP44" s="102">
        <f ca="1">배당!AP28*-1</f>
        <v>0</v>
      </c>
      <c r="AQ44" s="102">
        <f ca="1">배당!AQ28*-1</f>
        <v>0</v>
      </c>
      <c r="AR44" s="102">
        <f ca="1">배당!AR28*-1</f>
        <v>0</v>
      </c>
      <c r="AS44" s="102">
        <f ca="1">배당!AS28*-1</f>
        <v>0</v>
      </c>
      <c r="AT44" s="102">
        <f ca="1">배당!AT28*-1</f>
        <v>0</v>
      </c>
      <c r="AU44" s="102">
        <f ca="1">배당!AU28*-1</f>
        <v>0</v>
      </c>
      <c r="AV44" s="102">
        <f ca="1">배당!AV28*-1</f>
        <v>0</v>
      </c>
      <c r="AW44" s="102">
        <f ca="1">배당!AW28*-1</f>
        <v>0</v>
      </c>
      <c r="AX44" s="102">
        <f ca="1">배당!AX28*-1</f>
        <v>0</v>
      </c>
      <c r="AY44" s="102">
        <f ca="1">배당!AY28*-1</f>
        <v>0</v>
      </c>
      <c r="AZ44" s="102">
        <f ca="1">배당!AZ28*-1</f>
        <v>0</v>
      </c>
      <c r="BA44" s="102">
        <f ca="1">배당!BA28*-1</f>
        <v>0</v>
      </c>
      <c r="BB44" s="102">
        <f ca="1">배당!BB28*-1</f>
        <v>0</v>
      </c>
      <c r="BC44" s="102">
        <f ca="1">배당!BC28*-1</f>
        <v>0</v>
      </c>
      <c r="BD44" s="102">
        <f ca="1">배당!BD28*-1</f>
        <v>0</v>
      </c>
      <c r="BE44" s="102">
        <f ca="1">배당!BE28*-1</f>
        <v>0</v>
      </c>
      <c r="BF44" s="102">
        <f ca="1">배당!BF28*-1</f>
        <v>0</v>
      </c>
      <c r="BG44" s="102">
        <f ca="1">배당!BG28*-1</f>
        <v>0</v>
      </c>
      <c r="BH44" s="102">
        <f ca="1">배당!BH28*-1</f>
        <v>0</v>
      </c>
      <c r="BI44" s="102">
        <f ca="1">배당!BI28*-1</f>
        <v>0</v>
      </c>
      <c r="BJ44" s="102">
        <f ca="1">배당!BJ28*-1</f>
        <v>-149732.92912693677</v>
      </c>
      <c r="BK44" s="102">
        <f ca="1">배당!BK28*-1</f>
        <v>0</v>
      </c>
    </row>
    <row r="45" spans="2:63" ht="13.5" customHeight="1">
      <c r="C45" s="230" t="s">
        <v>408</v>
      </c>
      <c r="D45" s="230"/>
      <c r="E45" s="230"/>
      <c r="F45" s="230"/>
      <c r="G45" s="230">
        <f ca="1">SUM(H45:XFD45)</f>
        <v>-149732.94006572475</v>
      </c>
      <c r="H45" s="230"/>
      <c r="I45" s="230">
        <f ca="1">SUM(I27:I44)</f>
        <v>193110.3125</v>
      </c>
      <c r="J45" s="230">
        <f t="shared" ref="J45:BK45" ca="1" si="21">SUM(J27:J44)</f>
        <v>0</v>
      </c>
      <c r="K45" s="230">
        <f t="shared" ca="1" si="21"/>
        <v>0</v>
      </c>
      <c r="L45" s="230">
        <f t="shared" ca="1" si="21"/>
        <v>0</v>
      </c>
      <c r="M45" s="230">
        <f t="shared" ca="1" si="21"/>
        <v>0</v>
      </c>
      <c r="N45" s="230">
        <f t="shared" ca="1" si="21"/>
        <v>0</v>
      </c>
      <c r="O45" s="230">
        <f t="shared" ca="1" si="21"/>
        <v>0</v>
      </c>
      <c r="P45" s="230">
        <f t="shared" ca="1" si="21"/>
        <v>0</v>
      </c>
      <c r="Q45" s="230">
        <f t="shared" ca="1" si="21"/>
        <v>0</v>
      </c>
      <c r="R45" s="230">
        <f t="shared" ca="1" si="21"/>
        <v>0</v>
      </c>
      <c r="S45" s="230">
        <f t="shared" ca="1" si="21"/>
        <v>0</v>
      </c>
      <c r="T45" s="230">
        <f t="shared" ca="1" si="21"/>
        <v>0</v>
      </c>
      <c r="U45" s="230">
        <f t="shared" ca="1" si="21"/>
        <v>0</v>
      </c>
      <c r="V45" s="230">
        <f t="shared" ca="1" si="21"/>
        <v>0</v>
      </c>
      <c r="W45" s="230">
        <f t="shared" ca="1" si="21"/>
        <v>0</v>
      </c>
      <c r="X45" s="230">
        <f t="shared" ca="1" si="21"/>
        <v>12683.082202284455</v>
      </c>
      <c r="Y45" s="230">
        <f t="shared" ca="1" si="21"/>
        <v>0</v>
      </c>
      <c r="Z45" s="230">
        <f t="shared" ca="1" si="21"/>
        <v>0</v>
      </c>
      <c r="AA45" s="230">
        <f t="shared" ca="1" si="21"/>
        <v>0</v>
      </c>
      <c r="AB45" s="230">
        <f t="shared" ca="1" si="21"/>
        <v>0</v>
      </c>
      <c r="AC45" s="230">
        <f t="shared" ca="1" si="21"/>
        <v>0</v>
      </c>
      <c r="AD45" s="230">
        <f t="shared" ca="1" si="21"/>
        <v>0</v>
      </c>
      <c r="AE45" s="230">
        <f t="shared" ca="1" si="21"/>
        <v>0</v>
      </c>
      <c r="AF45" s="230">
        <f t="shared" ca="1" si="21"/>
        <v>0</v>
      </c>
      <c r="AG45" s="230">
        <f t="shared" ca="1" si="21"/>
        <v>0</v>
      </c>
      <c r="AH45" s="230">
        <f t="shared" ca="1" si="21"/>
        <v>0</v>
      </c>
      <c r="AI45" s="230">
        <f t="shared" ca="1" si="21"/>
        <v>0</v>
      </c>
      <c r="AJ45" s="230">
        <f t="shared" ca="1" si="21"/>
        <v>0</v>
      </c>
      <c r="AK45" s="230">
        <f t="shared" ca="1" si="21"/>
        <v>0</v>
      </c>
      <c r="AL45" s="230">
        <f t="shared" ca="1" si="21"/>
        <v>0</v>
      </c>
      <c r="AM45" s="230">
        <f t="shared" ca="1" si="21"/>
        <v>0</v>
      </c>
      <c r="AN45" s="230">
        <f t="shared" ca="1" si="21"/>
        <v>0</v>
      </c>
      <c r="AO45" s="230">
        <f t="shared" ca="1" si="21"/>
        <v>0</v>
      </c>
      <c r="AP45" s="230">
        <f t="shared" ca="1" si="21"/>
        <v>0</v>
      </c>
      <c r="AQ45" s="230">
        <f t="shared" ca="1" si="21"/>
        <v>0</v>
      </c>
      <c r="AR45" s="230">
        <f t="shared" ca="1" si="21"/>
        <v>0</v>
      </c>
      <c r="AS45" s="230">
        <f t="shared" ca="1" si="21"/>
        <v>0</v>
      </c>
      <c r="AT45" s="230">
        <f t="shared" ca="1" si="21"/>
        <v>0</v>
      </c>
      <c r="AU45" s="230">
        <f t="shared" ca="1" si="21"/>
        <v>0</v>
      </c>
      <c r="AV45" s="230">
        <f t="shared" ca="1" si="21"/>
        <v>0</v>
      </c>
      <c r="AW45" s="230">
        <f t="shared" ca="1" si="21"/>
        <v>0</v>
      </c>
      <c r="AX45" s="230">
        <f t="shared" ca="1" si="21"/>
        <v>0</v>
      </c>
      <c r="AY45" s="230">
        <f t="shared" ca="1" si="21"/>
        <v>0</v>
      </c>
      <c r="AZ45" s="230">
        <f t="shared" ca="1" si="21"/>
        <v>0</v>
      </c>
      <c r="BA45" s="230">
        <f t="shared" ca="1" si="21"/>
        <v>0</v>
      </c>
      <c r="BB45" s="230">
        <f t="shared" ca="1" si="21"/>
        <v>0</v>
      </c>
      <c r="BC45" s="230">
        <f t="shared" ca="1" si="21"/>
        <v>0</v>
      </c>
      <c r="BD45" s="230">
        <f t="shared" ca="1" si="21"/>
        <v>0</v>
      </c>
      <c r="BE45" s="230">
        <f t="shared" ca="1" si="21"/>
        <v>0</v>
      </c>
      <c r="BF45" s="230">
        <f t="shared" ca="1" si="21"/>
        <v>0</v>
      </c>
      <c r="BG45" s="230">
        <f t="shared" ca="1" si="21"/>
        <v>0</v>
      </c>
      <c r="BH45" s="230">
        <f t="shared" ca="1" si="21"/>
        <v>0</v>
      </c>
      <c r="BI45" s="230">
        <f t="shared" ca="1" si="21"/>
        <v>0</v>
      </c>
      <c r="BJ45" s="230">
        <f t="shared" ca="1" si="21"/>
        <v>-355526.33503194398</v>
      </c>
      <c r="BK45" s="230">
        <f t="shared" ca="1" si="21"/>
        <v>0</v>
      </c>
    </row>
    <row r="47" spans="2:63" ht="13.5" customHeight="1">
      <c r="B47" s="167" t="s">
        <v>409</v>
      </c>
      <c r="C47" s="167"/>
      <c r="D47" s="167"/>
      <c r="E47" s="167"/>
      <c r="F47" s="167"/>
      <c r="G47" s="167">
        <f ca="1">SUM(H47:XFD47)</f>
        <v>1078.0031884076889</v>
      </c>
      <c r="H47" s="167"/>
      <c r="I47" s="167">
        <f ca="1">I45+I23+I15</f>
        <v>21121.350112689659</v>
      </c>
      <c r="J47" s="167">
        <f t="shared" ref="J47:BK47" ca="1" si="22">J45+J23+J15</f>
        <v>-121.08291689151929</v>
      </c>
      <c r="K47" s="167">
        <f t="shared" ca="1" si="22"/>
        <v>-121.08291689151929</v>
      </c>
      <c r="L47" s="167">
        <f t="shared" ca="1" si="22"/>
        <v>-6749.6952999453442</v>
      </c>
      <c r="M47" s="167">
        <f t="shared" ca="1" si="22"/>
        <v>-148.11035369766199</v>
      </c>
      <c r="N47" s="167">
        <f t="shared" ca="1" si="22"/>
        <v>-148.11035369766199</v>
      </c>
      <c r="O47" s="167">
        <f t="shared" ca="1" si="22"/>
        <v>-2085.6103536976625</v>
      </c>
      <c r="P47" s="167">
        <f t="shared" ca="1" si="22"/>
        <v>-148.11035369766199</v>
      </c>
      <c r="Q47" s="167">
        <f t="shared" ca="1" si="22"/>
        <v>-148.11035369766199</v>
      </c>
      <c r="R47" s="167">
        <f t="shared" ca="1" si="22"/>
        <v>-2085.6103536976611</v>
      </c>
      <c r="S47" s="167">
        <f t="shared" ca="1" si="22"/>
        <v>-148.11035369766199</v>
      </c>
      <c r="T47" s="167">
        <f t="shared" ca="1" si="22"/>
        <v>-148.11035369766199</v>
      </c>
      <c r="U47" s="167">
        <f t="shared" ca="1" si="22"/>
        <v>-2085.6103536976611</v>
      </c>
      <c r="V47" s="167">
        <f t="shared" ca="1" si="22"/>
        <v>-2645.4455145852476</v>
      </c>
      <c r="W47" s="167">
        <f t="shared" ca="1" si="22"/>
        <v>-4061.7679129437324</v>
      </c>
      <c r="X47" s="167">
        <f t="shared" ca="1" si="22"/>
        <v>-276.78011224909642</v>
      </c>
      <c r="Y47" s="167">
        <f t="shared" ca="1" si="22"/>
        <v>1089.4933647040853</v>
      </c>
      <c r="Z47" s="167">
        <f t="shared" ca="1" si="22"/>
        <v>1598.3240894860592</v>
      </c>
      <c r="AA47" s="167">
        <f t="shared" ca="1" si="22"/>
        <v>-2424.9337761251618</v>
      </c>
      <c r="AB47" s="167">
        <f t="shared" ca="1" si="22"/>
        <v>22808.642978659707</v>
      </c>
      <c r="AC47" s="167">
        <f t="shared" ca="1" si="22"/>
        <v>4617.5335611036262</v>
      </c>
      <c r="AD47" s="167">
        <f t="shared" ca="1" si="22"/>
        <v>1972.3596277080851</v>
      </c>
      <c r="AE47" s="167">
        <f t="shared" ca="1" si="22"/>
        <v>43957.296949169584</v>
      </c>
      <c r="AF47" s="167">
        <f t="shared" ca="1" si="22"/>
        <v>8294.0762796574272</v>
      </c>
      <c r="AG47" s="167">
        <f t="shared" ca="1" si="22"/>
        <v>5546.4455935117876</v>
      </c>
      <c r="AH47" s="167">
        <f t="shared" ca="1" si="22"/>
        <v>65348.477532615711</v>
      </c>
      <c r="AI47" s="167">
        <f t="shared" ca="1" si="22"/>
        <v>12627.952245147455</v>
      </c>
      <c r="AJ47" s="167">
        <f t="shared" ca="1" si="22"/>
        <v>10079.63363764916</v>
      </c>
      <c r="AK47" s="167">
        <f t="shared" ca="1" si="22"/>
        <v>59511.8341476856</v>
      </c>
      <c r="AL47" s="167">
        <f t="shared" ca="1" si="22"/>
        <v>-10741.089623162892</v>
      </c>
      <c r="AM47" s="167">
        <f t="shared" ca="1" si="22"/>
        <v>-12951.961553293859</v>
      </c>
      <c r="AN47" s="167">
        <f t="shared" ca="1" si="22"/>
        <v>58503.58349115806</v>
      </c>
      <c r="AO47" s="167">
        <f t="shared" ca="1" si="22"/>
        <v>-11611.071401690428</v>
      </c>
      <c r="AP47" s="167">
        <f t="shared" ca="1" si="22"/>
        <v>-13849.597121199671</v>
      </c>
      <c r="AQ47" s="167">
        <f t="shared" ca="1" si="22"/>
        <v>57605.947937030527</v>
      </c>
      <c r="AR47" s="167">
        <f t="shared" ca="1" si="22"/>
        <v>-12702.283385017965</v>
      </c>
      <c r="AS47" s="167">
        <f t="shared" ca="1" si="22"/>
        <v>-14526.002484155219</v>
      </c>
      <c r="AT47" s="167">
        <f t="shared" ca="1" si="22"/>
        <v>-12093.900321817966</v>
      </c>
      <c r="AU47" s="167">
        <f t="shared" ca="1" si="22"/>
        <v>-11762.055014617965</v>
      </c>
      <c r="AV47" s="167">
        <f t="shared" ca="1" si="22"/>
        <v>-13817.795846150992</v>
      </c>
      <c r="AW47" s="167">
        <f t="shared" ca="1" si="22"/>
        <v>-11319.594605017966</v>
      </c>
      <c r="AX47" s="167">
        <f t="shared" ca="1" si="22"/>
        <v>-11126.018175817964</v>
      </c>
      <c r="AY47" s="167">
        <f t="shared" ca="1" si="22"/>
        <v>-12866.775972636409</v>
      </c>
      <c r="AZ47" s="167">
        <f t="shared" ca="1" si="22"/>
        <v>-10655.903990617966</v>
      </c>
      <c r="BA47" s="167">
        <f t="shared" ca="1" si="22"/>
        <v>-9715.6756202179658</v>
      </c>
      <c r="BB47" s="167">
        <f t="shared" ca="1" si="22"/>
        <v>-10931.011686995294</v>
      </c>
      <c r="BC47" s="167">
        <f t="shared" ca="1" si="22"/>
        <v>-7561.76741821012</v>
      </c>
      <c r="BD47" s="167">
        <f t="shared" ca="1" si="22"/>
        <v>-10023.574369012022</v>
      </c>
      <c r="BE47" s="167">
        <f t="shared" ca="1" si="22"/>
        <v>-3829.264037589749</v>
      </c>
      <c r="BF47" s="167">
        <f t="shared" ca="1" si="22"/>
        <v>-2496.9686364368631</v>
      </c>
      <c r="BG47" s="167">
        <f t="shared" ca="1" si="22"/>
        <v>213693.63994086275</v>
      </c>
      <c r="BH47" s="167">
        <f t="shared" ca="1" si="22"/>
        <v>-2406.6738576353073</v>
      </c>
      <c r="BI47" s="167">
        <f t="shared" ca="1" si="22"/>
        <v>-121.08291689151929</v>
      </c>
      <c r="BJ47" s="167">
        <f t="shared" ca="1" si="22"/>
        <v>-356642.23884698347</v>
      </c>
      <c r="BK47" s="167">
        <f t="shared" ca="1" si="22"/>
        <v>0</v>
      </c>
    </row>
    <row r="48" spans="2:63" ht="13.5" customHeight="1">
      <c r="C48" s="1" t="s">
        <v>350</v>
      </c>
      <c r="I48" s="1">
        <v>0</v>
      </c>
      <c r="J48" s="1">
        <f ca="1">I49</f>
        <v>21121.350112676009</v>
      </c>
      <c r="K48" s="1">
        <f t="shared" ref="K48:BK48" ca="1" si="23">J49</f>
        <v>21000.267195705852</v>
      </c>
      <c r="L48" s="1">
        <f t="shared" ca="1" si="23"/>
        <v>20879.184278732027</v>
      </c>
      <c r="M48" s="1">
        <f t="shared" ca="1" si="23"/>
        <v>14129.488973656158</v>
      </c>
      <c r="N48" s="1">
        <f t="shared" ca="1" si="23"/>
        <v>13981.378609653382</v>
      </c>
      <c r="O48" s="1">
        <f t="shared" ca="1" si="23"/>
        <v>13833.26818717951</v>
      </c>
      <c r="P48" s="1">
        <f t="shared" ca="1" si="23"/>
        <v>11747.657701213157</v>
      </c>
      <c r="Q48" s="1">
        <f t="shared" ca="1" si="23"/>
        <v>11599.547210129236</v>
      </c>
      <c r="R48" s="1">
        <f t="shared" ca="1" si="23"/>
        <v>11451.436662568414</v>
      </c>
      <c r="S48" s="1">
        <f t="shared" ca="1" si="23"/>
        <v>9365.8260586742435</v>
      </c>
      <c r="T48" s="1">
        <f t="shared" ca="1" si="23"/>
        <v>9217.7154549107545</v>
      </c>
      <c r="U48" s="1">
        <f t="shared" ca="1" si="23"/>
        <v>9069.6048546310667</v>
      </c>
      <c r="V48" s="1">
        <f t="shared" ca="1" si="23"/>
        <v>6983.9942581024279</v>
      </c>
      <c r="W48" s="1">
        <f t="shared" ca="1" si="23"/>
        <v>4338.5485009631557</v>
      </c>
      <c r="X48" s="1">
        <f t="shared" ca="1" si="23"/>
        <v>276.78034845058619</v>
      </c>
      <c r="Y48" s="1">
        <f t="shared" ca="1" si="23"/>
        <v>2.3626972370038857E-4</v>
      </c>
      <c r="Z48" s="1">
        <f t="shared" ca="1" si="23"/>
        <v>1089.4935963770063</v>
      </c>
      <c r="AA48" s="1">
        <f t="shared" ca="1" si="23"/>
        <v>2687.8176919320344</v>
      </c>
      <c r="AB48" s="1">
        <f t="shared" ca="1" si="23"/>
        <v>262.8839163411717</v>
      </c>
      <c r="AC48" s="1">
        <f t="shared" ca="1" si="23"/>
        <v>23071.526959953266</v>
      </c>
      <c r="AD48" s="1">
        <f t="shared" ca="1" si="23"/>
        <v>27689.060596533178</v>
      </c>
      <c r="AE48" s="1">
        <f t="shared" ca="1" si="23"/>
        <v>29661.420210465672</v>
      </c>
      <c r="AF48" s="1">
        <f t="shared" ca="1" si="23"/>
        <v>73618.717142271489</v>
      </c>
      <c r="AG48" s="1">
        <f t="shared" ca="1" si="23"/>
        <v>81912.793410882092</v>
      </c>
      <c r="AH48" s="1">
        <f t="shared" ca="1" si="23"/>
        <v>87459.238987155899</v>
      </c>
      <c r="AI48" s="1">
        <f t="shared" ca="1" si="23"/>
        <v>152807.7165028601</v>
      </c>
      <c r="AJ48" s="1">
        <f t="shared" ca="1" si="23"/>
        <v>165435.66873098616</v>
      </c>
      <c r="AK48" s="1">
        <f t="shared" ca="1" si="23"/>
        <v>175515.3023489792</v>
      </c>
      <c r="AL48" s="1">
        <f t="shared" ca="1" si="23"/>
        <v>235027.13647531363</v>
      </c>
      <c r="AM48" s="1">
        <f t="shared" ca="1" si="23"/>
        <v>224286.04683048979</v>
      </c>
      <c r="AN48" s="1">
        <f t="shared" ca="1" si="23"/>
        <v>211334.08525349703</v>
      </c>
      <c r="AO48" s="1">
        <f t="shared" ca="1" si="23"/>
        <v>269837.66871678515</v>
      </c>
      <c r="AP48" s="1">
        <f t="shared" ca="1" si="23"/>
        <v>258226.59729295486</v>
      </c>
      <c r="AQ48" s="1">
        <f t="shared" ca="1" si="23"/>
        <v>244377.00014196502</v>
      </c>
      <c r="AR48" s="1">
        <f t="shared" ca="1" si="23"/>
        <v>301982.94804514578</v>
      </c>
      <c r="AS48" s="1">
        <f t="shared" ca="1" si="23"/>
        <v>289280.6646349217</v>
      </c>
      <c r="AT48" s="1">
        <f t="shared" ca="1" si="23"/>
        <v>274754.66211549286</v>
      </c>
      <c r="AU48" s="1">
        <f t="shared" ca="1" si="23"/>
        <v>262660.76176131109</v>
      </c>
      <c r="AV48" s="1">
        <f t="shared" ca="1" si="23"/>
        <v>250898.70671457861</v>
      </c>
      <c r="AW48" s="1">
        <f t="shared" ca="1" si="23"/>
        <v>237080.91083419154</v>
      </c>
      <c r="AX48" s="1">
        <f t="shared" ca="1" si="23"/>
        <v>225761.3161941499</v>
      </c>
      <c r="AY48" s="1">
        <f t="shared" ca="1" si="23"/>
        <v>214635.29798742323</v>
      </c>
      <c r="AZ48" s="1">
        <f t="shared" ca="1" si="23"/>
        <v>201768.52193226913</v>
      </c>
      <c r="BA48" s="1">
        <f t="shared" ca="1" si="23"/>
        <v>191112.61785866678</v>
      </c>
      <c r="BB48" s="1">
        <f t="shared" ca="1" si="23"/>
        <v>181396.94221807562</v>
      </c>
      <c r="BC48" s="1">
        <f t="shared" ca="1" si="23"/>
        <v>170465.93046001915</v>
      </c>
      <c r="BD48" s="1">
        <f t="shared" ca="1" si="23"/>
        <v>162904.16297070213</v>
      </c>
      <c r="BE48" s="1">
        <f t="shared" ca="1" si="23"/>
        <v>152880.588586734</v>
      </c>
      <c r="BF48" s="1">
        <f t="shared" ca="1" si="23"/>
        <v>149051.32453572762</v>
      </c>
      <c r="BG48" s="1">
        <f t="shared" ca="1" si="23"/>
        <v>146554.35588583571</v>
      </c>
      <c r="BH48" s="1">
        <f t="shared" ca="1" si="23"/>
        <v>360247.99580831442</v>
      </c>
      <c r="BI48" s="1">
        <f t="shared" ca="1" si="23"/>
        <v>357841.32193316484</v>
      </c>
      <c r="BJ48" s="1">
        <f t="shared" ca="1" si="23"/>
        <v>357720.23899956758</v>
      </c>
      <c r="BK48" s="1">
        <f t="shared" ca="1" si="23"/>
        <v>1078.0001543186372</v>
      </c>
    </row>
    <row r="49" spans="2:63" ht="13.5" customHeight="1">
      <c r="B49" s="120"/>
      <c r="C49" s="120" t="s">
        <v>352</v>
      </c>
      <c r="D49" s="120"/>
      <c r="E49" s="120"/>
      <c r="F49" s="372" t="b">
        <f ca="1">MIN(I49:XFD49)&gt;-0.001</f>
        <v>1</v>
      </c>
      <c r="G49" s="120"/>
      <c r="H49" s="120"/>
      <c r="I49" s="120">
        <f ca="1">SUM(I47:I48)</f>
        <v>21121.350112689659</v>
      </c>
      <c r="J49" s="120">
        <f t="shared" ref="J49" ca="1" si="24">SUM(J47:J48)</f>
        <v>21000.26719578449</v>
      </c>
      <c r="K49" s="120">
        <f t="shared" ref="K49" ca="1" si="25">SUM(K47:K48)</f>
        <v>20879.184278814333</v>
      </c>
      <c r="L49" s="120">
        <f t="shared" ref="L49" ca="1" si="26">SUM(L47:L48)</f>
        <v>14129.488978786683</v>
      </c>
      <c r="M49" s="120">
        <f t="shared" ref="M49" ca="1" si="27">SUM(M47:M48)</f>
        <v>13981.378619958496</v>
      </c>
      <c r="N49" s="120">
        <f t="shared" ref="N49" ca="1" si="28">SUM(N47:N48)</f>
        <v>13833.26825595572</v>
      </c>
      <c r="O49" s="120">
        <f t="shared" ref="O49" ca="1" si="29">SUM(O47:O48)</f>
        <v>11747.657833481848</v>
      </c>
      <c r="P49" s="120">
        <f t="shared" ref="P49" ca="1" si="30">SUM(P47:P48)</f>
        <v>11599.547347515494</v>
      </c>
      <c r="Q49" s="120">
        <f t="shared" ref="Q49" ca="1" si="31">SUM(Q47:Q48)</f>
        <v>11451.436856431574</v>
      </c>
      <c r="R49" s="120">
        <f t="shared" ref="R49" ca="1" si="32">SUM(R47:R48)</f>
        <v>9365.8263088707536</v>
      </c>
      <c r="S49" s="120">
        <f t="shared" ref="S49" ca="1" si="33">SUM(S47:S48)</f>
        <v>9217.715704976581</v>
      </c>
      <c r="T49" s="120">
        <f t="shared" ref="T49" ca="1" si="34">SUM(T47:T48)</f>
        <v>9069.605101213092</v>
      </c>
      <c r="U49" s="120">
        <f t="shared" ref="U49" ca="1" si="35">SUM(U47:U48)</f>
        <v>6983.994500933406</v>
      </c>
      <c r="V49" s="120">
        <f t="shared" ref="V49" ca="1" si="36">SUM(V47:V48)</f>
        <v>4338.5487435171799</v>
      </c>
      <c r="W49" s="120">
        <f t="shared" ref="W49" ca="1" si="37">SUM(W47:W48)</f>
        <v>276.78058801942325</v>
      </c>
      <c r="X49" s="120">
        <f t="shared" ref="X49" ca="1" si="38">SUM(X47:X48)</f>
        <v>2.3620148976988276E-4</v>
      </c>
      <c r="Y49" s="120">
        <f t="shared" ref="Y49" ca="1" si="39">SUM(Y47:Y48)</f>
        <v>1089.493600973809</v>
      </c>
      <c r="Z49" s="120">
        <f t="shared" ref="Z49" ca="1" si="40">SUM(Z47:Z48)</f>
        <v>2687.8176858630654</v>
      </c>
      <c r="AA49" s="120">
        <f t="shared" ref="AA49" ca="1" si="41">SUM(AA47:AA48)</f>
        <v>262.88391580687266</v>
      </c>
      <c r="AB49" s="120">
        <f t="shared" ref="AB49" ca="1" si="42">SUM(AB47:AB48)</f>
        <v>23071.526895000879</v>
      </c>
      <c r="AC49" s="120">
        <f t="shared" ref="AC49" ca="1" si="43">SUM(AC47:AC48)</f>
        <v>27689.06052105689</v>
      </c>
      <c r="AD49" s="120">
        <f t="shared" ref="AD49" ca="1" si="44">SUM(AD47:AD48)</f>
        <v>29661.420224241265</v>
      </c>
      <c r="AE49" s="120">
        <f t="shared" ref="AE49" ca="1" si="45">SUM(AE47:AE48)</f>
        <v>73618.717159635256</v>
      </c>
      <c r="AF49" s="120">
        <f t="shared" ref="AF49" ca="1" si="46">SUM(AF47:AF48)</f>
        <v>81912.793421928916</v>
      </c>
      <c r="AG49" s="120">
        <f t="shared" ref="AG49" ca="1" si="47">SUM(AG47:AG48)</f>
        <v>87459.239004393879</v>
      </c>
      <c r="AH49" s="120">
        <f t="shared" ref="AH49" ca="1" si="48">SUM(AH47:AH48)</f>
        <v>152807.71651977161</v>
      </c>
      <c r="AI49" s="120">
        <f t="shared" ref="AI49" ca="1" si="49">SUM(AI47:AI48)</f>
        <v>165435.66874800756</v>
      </c>
      <c r="AJ49" s="120">
        <f t="shared" ref="AJ49" ca="1" si="50">SUM(AJ47:AJ48)</f>
        <v>175515.30236863531</v>
      </c>
      <c r="AK49" s="120">
        <f t="shared" ref="AK49" ca="1" si="51">SUM(AK47:AK48)</f>
        <v>235027.13649666478</v>
      </c>
      <c r="AL49" s="120">
        <f t="shared" ref="AL49" ca="1" si="52">SUM(AL47:AL48)</f>
        <v>224286.04685215073</v>
      </c>
      <c r="AM49" s="120">
        <f t="shared" ref="AM49" ca="1" si="53">SUM(AM47:AM48)</f>
        <v>211334.08527719593</v>
      </c>
      <c r="AN49" s="120">
        <f t="shared" ref="AN49" ca="1" si="54">SUM(AN47:AN48)</f>
        <v>269837.66874465509</v>
      </c>
      <c r="AO49" s="120">
        <f t="shared" ref="AO49" ca="1" si="55">SUM(AO47:AO48)</f>
        <v>258226.59731509472</v>
      </c>
      <c r="AP49" s="120">
        <f t="shared" ref="AP49" ca="1" si="56">SUM(AP47:AP48)</f>
        <v>244377.00017175518</v>
      </c>
      <c r="AQ49" s="120">
        <f t="shared" ref="AQ49" ca="1" si="57">SUM(AQ47:AQ48)</f>
        <v>301982.94807899557</v>
      </c>
      <c r="AR49" s="120">
        <f t="shared" ref="AR49" ca="1" si="58">SUM(AR47:AR48)</f>
        <v>289280.66466012783</v>
      </c>
      <c r="AS49" s="120">
        <f t="shared" ref="AS49" ca="1" si="59">SUM(AS47:AS48)</f>
        <v>274754.66215076647</v>
      </c>
      <c r="AT49" s="120">
        <f t="shared" ref="AT49" ca="1" si="60">SUM(AT47:AT48)</f>
        <v>262660.7617936749</v>
      </c>
      <c r="AU49" s="120">
        <f t="shared" ref="AU49" ca="1" si="61">SUM(AU47:AU48)</f>
        <v>250898.70674669312</v>
      </c>
      <c r="AV49" s="120">
        <f t="shared" ref="AV49" ca="1" si="62">SUM(AV47:AV48)</f>
        <v>237080.91086842763</v>
      </c>
      <c r="AW49" s="120">
        <f t="shared" ref="AW49" ca="1" si="63">SUM(AW47:AW48)</f>
        <v>225761.31622917356</v>
      </c>
      <c r="AX49" s="120">
        <f t="shared" ref="AX49" ca="1" si="64">SUM(AX47:AX48)</f>
        <v>214635.29801833193</v>
      </c>
      <c r="AY49" s="120">
        <f t="shared" ref="AY49" ca="1" si="65">SUM(AY47:AY48)</f>
        <v>201768.52201478681</v>
      </c>
      <c r="AZ49" s="120">
        <f t="shared" ref="AZ49" ca="1" si="66">SUM(AZ47:AZ48)</f>
        <v>191112.61794165117</v>
      </c>
      <c r="BA49" s="120">
        <f t="shared" ref="BA49" ca="1" si="67">SUM(BA47:BA48)</f>
        <v>181396.94223844883</v>
      </c>
      <c r="BB49" s="120">
        <f t="shared" ref="BB49" ca="1" si="68">SUM(BB47:BB48)</f>
        <v>170465.93053108032</v>
      </c>
      <c r="BC49" s="120">
        <f t="shared" ref="BC49" ca="1" si="69">SUM(BC47:BC48)</f>
        <v>162904.16304180902</v>
      </c>
      <c r="BD49" s="120">
        <f t="shared" ref="BD49" ca="1" si="70">SUM(BD47:BD48)</f>
        <v>152880.58860169011</v>
      </c>
      <c r="BE49" s="120">
        <f t="shared" ref="BE49" ca="1" si="71">SUM(BE47:BE48)</f>
        <v>149051.32454914425</v>
      </c>
      <c r="BF49" s="120">
        <f t="shared" ref="BF49" ca="1" si="72">SUM(BF47:BF48)</f>
        <v>146554.35589929076</v>
      </c>
      <c r="BG49" s="120">
        <f t="shared" ref="BG49" ca="1" si="73">SUM(BG47:BG48)</f>
        <v>360247.99582669849</v>
      </c>
      <c r="BH49" s="120">
        <f t="shared" ref="BH49" ca="1" si="74">SUM(BH47:BH48)</f>
        <v>357841.32195067912</v>
      </c>
      <c r="BI49" s="120">
        <f t="shared" ref="BI49" ca="1" si="75">SUM(BI47:BI48)</f>
        <v>357720.23901627335</v>
      </c>
      <c r="BJ49" s="120">
        <f t="shared" ref="BJ49" ca="1" si="76">SUM(BJ47:BJ48)</f>
        <v>1078.0001525841071</v>
      </c>
      <c r="BK49" s="120">
        <f t="shared" ref="BK49" ca="1" si="77">SUM(BK47:BK48)</f>
        <v>1078.0001543186372</v>
      </c>
    </row>
    <row r="50" spans="2:63" s="11" customFormat="1" ht="13.5" hidden="1" customHeight="1" outlineLevel="1">
      <c r="C50" s="11" t="s">
        <v>444</v>
      </c>
      <c r="I50" s="11">
        <f ca="1">I15+I23+SUM(I27:I28,I33:I43)+I48</f>
        <v>21121.350112689659</v>
      </c>
      <c r="J50" s="11">
        <f t="shared" ref="J50:BK50" ca="1" si="78">J15+J23+SUM(J27:J28,J33:J43)+J48</f>
        <v>21000.26719578449</v>
      </c>
      <c r="K50" s="11">
        <f t="shared" ca="1" si="78"/>
        <v>20879.184278814333</v>
      </c>
      <c r="L50" s="11">
        <f t="shared" ca="1" si="78"/>
        <v>14129.488978786683</v>
      </c>
      <c r="M50" s="11">
        <f t="shared" ca="1" si="78"/>
        <v>13981.378619958496</v>
      </c>
      <c r="N50" s="11">
        <f t="shared" ca="1" si="78"/>
        <v>13833.26825595572</v>
      </c>
      <c r="O50" s="11">
        <f t="shared" ca="1" si="78"/>
        <v>11747.657833481848</v>
      </c>
      <c r="P50" s="11">
        <f t="shared" ca="1" si="78"/>
        <v>11599.547347515494</v>
      </c>
      <c r="Q50" s="11">
        <f t="shared" ca="1" si="78"/>
        <v>11451.436856431574</v>
      </c>
      <c r="R50" s="11">
        <f t="shared" ca="1" si="78"/>
        <v>9365.8263088707536</v>
      </c>
      <c r="S50" s="11">
        <f t="shared" ca="1" si="78"/>
        <v>9217.715704976581</v>
      </c>
      <c r="T50" s="11">
        <f t="shared" ca="1" si="78"/>
        <v>9069.605101213092</v>
      </c>
      <c r="U50" s="11">
        <f t="shared" ca="1" si="78"/>
        <v>6983.994500933406</v>
      </c>
      <c r="V50" s="11">
        <f t="shared" ca="1" si="78"/>
        <v>4338.5487435171799</v>
      </c>
      <c r="W50" s="11">
        <f t="shared" ca="1" si="78"/>
        <v>276.78058801942325</v>
      </c>
      <c r="X50" s="11">
        <f t="shared" ca="1" si="78"/>
        <v>2.3620148976988276E-4</v>
      </c>
      <c r="Y50" s="11">
        <f t="shared" ca="1" si="78"/>
        <v>1089.493600973809</v>
      </c>
      <c r="Z50" s="11">
        <f t="shared" ca="1" si="78"/>
        <v>2687.8176858630654</v>
      </c>
      <c r="AA50" s="11">
        <f t="shared" ca="1" si="78"/>
        <v>262.88391580687266</v>
      </c>
      <c r="AB50" s="11">
        <f t="shared" ca="1" si="78"/>
        <v>23071.526895000879</v>
      </c>
      <c r="AC50" s="11">
        <f t="shared" ca="1" si="78"/>
        <v>27689.06052105689</v>
      </c>
      <c r="AD50" s="11">
        <f t="shared" ca="1" si="78"/>
        <v>29661.420224241265</v>
      </c>
      <c r="AE50" s="11">
        <f t="shared" ca="1" si="78"/>
        <v>73618.717159635256</v>
      </c>
      <c r="AF50" s="11">
        <f t="shared" ca="1" si="78"/>
        <v>81912.793421928916</v>
      </c>
      <c r="AG50" s="11">
        <f t="shared" ca="1" si="78"/>
        <v>87459.239004393879</v>
      </c>
      <c r="AH50" s="11">
        <f t="shared" ca="1" si="78"/>
        <v>152807.71651977161</v>
      </c>
      <c r="AI50" s="11">
        <f t="shared" ca="1" si="78"/>
        <v>165435.66874800756</v>
      </c>
      <c r="AJ50" s="11">
        <f t="shared" ca="1" si="78"/>
        <v>175515.30236863531</v>
      </c>
      <c r="AK50" s="11">
        <f t="shared" ca="1" si="78"/>
        <v>235027.13649666478</v>
      </c>
      <c r="AL50" s="11">
        <f t="shared" ca="1" si="78"/>
        <v>224286.04685215073</v>
      </c>
      <c r="AM50" s="11">
        <f t="shared" ca="1" si="78"/>
        <v>211334.08527719593</v>
      </c>
      <c r="AN50" s="11">
        <f t="shared" ca="1" si="78"/>
        <v>269837.66874465509</v>
      </c>
      <c r="AO50" s="11">
        <f t="shared" ca="1" si="78"/>
        <v>258226.59731509472</v>
      </c>
      <c r="AP50" s="11">
        <f t="shared" ca="1" si="78"/>
        <v>244377.00017175518</v>
      </c>
      <c r="AQ50" s="11">
        <f t="shared" ca="1" si="78"/>
        <v>301982.94807899557</v>
      </c>
      <c r="AR50" s="11">
        <f t="shared" ca="1" si="78"/>
        <v>289280.66466012783</v>
      </c>
      <c r="AS50" s="11">
        <f t="shared" ca="1" si="78"/>
        <v>274754.66215076647</v>
      </c>
      <c r="AT50" s="11">
        <f t="shared" ca="1" si="78"/>
        <v>262660.7617936749</v>
      </c>
      <c r="AU50" s="11">
        <f t="shared" ca="1" si="78"/>
        <v>250898.70674669312</v>
      </c>
      <c r="AV50" s="11">
        <f t="shared" ca="1" si="78"/>
        <v>237080.91086842763</v>
      </c>
      <c r="AW50" s="11">
        <f t="shared" ca="1" si="78"/>
        <v>225761.31622917356</v>
      </c>
      <c r="AX50" s="11">
        <f t="shared" ca="1" si="78"/>
        <v>214635.29801833193</v>
      </c>
      <c r="AY50" s="11">
        <f t="shared" ca="1" si="78"/>
        <v>201768.52201478681</v>
      </c>
      <c r="AZ50" s="11">
        <f t="shared" ca="1" si="78"/>
        <v>191112.61794165117</v>
      </c>
      <c r="BA50" s="11">
        <f t="shared" ca="1" si="78"/>
        <v>181396.94223844883</v>
      </c>
      <c r="BB50" s="11">
        <f t="shared" ca="1" si="78"/>
        <v>170465.93053108032</v>
      </c>
      <c r="BC50" s="11">
        <f t="shared" ca="1" si="78"/>
        <v>162904.16304180902</v>
      </c>
      <c r="BD50" s="11">
        <f t="shared" ca="1" si="78"/>
        <v>152880.58860169011</v>
      </c>
      <c r="BE50" s="11">
        <f t="shared" ca="1" si="78"/>
        <v>149051.32454914425</v>
      </c>
      <c r="BF50" s="11">
        <f t="shared" ca="1" si="78"/>
        <v>146554.35589929076</v>
      </c>
      <c r="BG50" s="11">
        <f t="shared" ca="1" si="78"/>
        <v>360247.99582669849</v>
      </c>
      <c r="BH50" s="11">
        <f t="shared" ca="1" si="78"/>
        <v>357841.32195067912</v>
      </c>
      <c r="BI50" s="11">
        <f t="shared" ca="1" si="78"/>
        <v>357720.23901627335</v>
      </c>
      <c r="BJ50" s="11">
        <f t="shared" ca="1" si="78"/>
        <v>160810.9292795209</v>
      </c>
      <c r="BK50" s="11">
        <f t="shared" ca="1" si="78"/>
        <v>1078.0001543186372</v>
      </c>
    </row>
    <row r="51" spans="2:63" ht="13.5" customHeight="1" collapsed="1"/>
    <row r="52" spans="2:63" ht="13.5" customHeight="1">
      <c r="B52" s="364" t="s">
        <v>486</v>
      </c>
      <c r="C52" s="352"/>
      <c r="D52" s="352"/>
      <c r="E52" s="352"/>
      <c r="F52" s="352"/>
      <c r="G52" s="352">
        <f ca="1">SUM(H52:XFD52)</f>
        <v>197783.77108097717</v>
      </c>
      <c r="H52" s="352"/>
      <c r="I52" s="352">
        <f ca="1">I10+I18</f>
        <v>-162543.33426231035</v>
      </c>
      <c r="J52" s="352">
        <f t="shared" ref="J52:BK52" ca="1" si="79">J10+J18</f>
        <v>-121.08291689151929</v>
      </c>
      <c r="K52" s="352">
        <f t="shared" ca="1" si="79"/>
        <v>-121.08291689151929</v>
      </c>
      <c r="L52" s="352">
        <f t="shared" ca="1" si="79"/>
        <v>-4166.3619666120112</v>
      </c>
      <c r="M52" s="352">
        <f t="shared" ca="1" si="79"/>
        <v>-148.11035369766199</v>
      </c>
      <c r="N52" s="352">
        <f t="shared" ca="1" si="79"/>
        <v>-148.11035369766199</v>
      </c>
      <c r="O52" s="352">
        <f t="shared" ca="1" si="79"/>
        <v>-148.11035369766199</v>
      </c>
      <c r="P52" s="352">
        <f t="shared" ca="1" si="79"/>
        <v>-148.11035369766199</v>
      </c>
      <c r="Q52" s="352">
        <f t="shared" ca="1" si="79"/>
        <v>-148.11035369766199</v>
      </c>
      <c r="R52" s="352">
        <f t="shared" ca="1" si="79"/>
        <v>-148.11035369766199</v>
      </c>
      <c r="S52" s="352">
        <f t="shared" ca="1" si="79"/>
        <v>-148.11035369766199</v>
      </c>
      <c r="T52" s="352">
        <f t="shared" ca="1" si="79"/>
        <v>-148.11035369766199</v>
      </c>
      <c r="U52" s="352">
        <f t="shared" ca="1" si="79"/>
        <v>-148.11035369766199</v>
      </c>
      <c r="V52" s="352">
        <f t="shared" ca="1" si="79"/>
        <v>-2645.4455145852476</v>
      </c>
      <c r="W52" s="352">
        <f t="shared" ca="1" si="79"/>
        <v>-4061.7679129437324</v>
      </c>
      <c r="X52" s="352">
        <f t="shared" ca="1" si="79"/>
        <v>-9030.6247177839996</v>
      </c>
      <c r="Y52" s="352">
        <f t="shared" ca="1" si="79"/>
        <v>1089.4933647040853</v>
      </c>
      <c r="Z52" s="352">
        <f t="shared" ca="1" si="79"/>
        <v>1598.3240894860592</v>
      </c>
      <c r="AA52" s="352">
        <f t="shared" ca="1" si="79"/>
        <v>-103.6851639139395</v>
      </c>
      <c r="AB52" s="352">
        <f t="shared" ca="1" si="79"/>
        <v>22808.642978659707</v>
      </c>
      <c r="AC52" s="352">
        <f t="shared" ca="1" si="79"/>
        <v>4617.5335611036262</v>
      </c>
      <c r="AD52" s="352">
        <f t="shared" ca="1" si="79"/>
        <v>3962.0013106596653</v>
      </c>
      <c r="AE52" s="352">
        <f t="shared" ca="1" si="79"/>
        <v>43957.296949169584</v>
      </c>
      <c r="AF52" s="352">
        <f t="shared" ca="1" si="79"/>
        <v>8294.0762796574272</v>
      </c>
      <c r="AG52" s="352">
        <f t="shared" ca="1" si="79"/>
        <v>7536.0872907695048</v>
      </c>
      <c r="AH52" s="352">
        <f t="shared" ca="1" si="79"/>
        <v>65348.477532615711</v>
      </c>
      <c r="AI52" s="352">
        <f t="shared" ca="1" si="79"/>
        <v>12627.952245147455</v>
      </c>
      <c r="AJ52" s="352">
        <f t="shared" ca="1" si="79"/>
        <v>12069.275349029072</v>
      </c>
      <c r="AK52" s="352">
        <f t="shared" ca="1" si="79"/>
        <v>59511.8341476856</v>
      </c>
      <c r="AL52" s="352">
        <f t="shared" ca="1" si="79"/>
        <v>-10741.089623162892</v>
      </c>
      <c r="AM52" s="352">
        <f t="shared" ca="1" si="79"/>
        <v>-10962.31982796289</v>
      </c>
      <c r="AN52" s="352">
        <f t="shared" ca="1" si="79"/>
        <v>58503.58349115806</v>
      </c>
      <c r="AO52" s="352">
        <f t="shared" ca="1" si="79"/>
        <v>-11611.071401690428</v>
      </c>
      <c r="AP52" s="352">
        <f t="shared" ca="1" si="79"/>
        <v>-11859.955382090429</v>
      </c>
      <c r="AQ52" s="352">
        <f t="shared" ca="1" si="79"/>
        <v>57605.947937030527</v>
      </c>
      <c r="AR52" s="352">
        <f t="shared" ca="1" si="79"/>
        <v>-12702.283385017965</v>
      </c>
      <c r="AS52" s="352">
        <f t="shared" ca="1" si="79"/>
        <v>-12536.360731417964</v>
      </c>
      <c r="AT52" s="352">
        <f t="shared" ca="1" si="79"/>
        <v>-12093.900321817966</v>
      </c>
      <c r="AU52" s="352">
        <f t="shared" ca="1" si="79"/>
        <v>-11762.055014617965</v>
      </c>
      <c r="AV52" s="352">
        <f t="shared" ca="1" si="79"/>
        <v>-11828.154079896061</v>
      </c>
      <c r="AW52" s="352">
        <f t="shared" ca="1" si="79"/>
        <v>-11319.594605017966</v>
      </c>
      <c r="AX52" s="352">
        <f t="shared" ca="1" si="79"/>
        <v>-11126.018175817964</v>
      </c>
      <c r="AY52" s="352">
        <f t="shared" ca="1" si="79"/>
        <v>-10877.134195417964</v>
      </c>
      <c r="AZ52" s="352">
        <f t="shared" ca="1" si="79"/>
        <v>-10655.903990617966</v>
      </c>
      <c r="BA52" s="352">
        <f t="shared" ca="1" si="79"/>
        <v>-9715.6756202179658</v>
      </c>
      <c r="BB52" s="352">
        <f t="shared" ca="1" si="79"/>
        <v>-8941.3699034179663</v>
      </c>
      <c r="BC52" s="352">
        <f t="shared" ca="1" si="79"/>
        <v>-7561.76741821012</v>
      </c>
      <c r="BD52" s="352">
        <f t="shared" ca="1" si="79"/>
        <v>-10023.574369012022</v>
      </c>
      <c r="BE52" s="352">
        <f t="shared" ca="1" si="79"/>
        <v>-1839.6222496502905</v>
      </c>
      <c r="BF52" s="352">
        <f t="shared" ca="1" si="79"/>
        <v>-2496.9686364368631</v>
      </c>
      <c r="BG52" s="352">
        <f t="shared" ca="1" si="79"/>
        <v>213693.63994086275</v>
      </c>
      <c r="BH52" s="352">
        <f t="shared" ca="1" si="79"/>
        <v>-417.03206507195728</v>
      </c>
      <c r="BI52" s="352">
        <f t="shared" ca="1" si="79"/>
        <v>-121.08291689151929</v>
      </c>
      <c r="BJ52" s="352">
        <f t="shared" ca="1" si="79"/>
        <v>-121.08291689151929</v>
      </c>
      <c r="BK52" s="354">
        <f t="shared" ca="1" si="79"/>
        <v>0</v>
      </c>
    </row>
    <row r="53" spans="2:63" ht="13.5" customHeight="1">
      <c r="B53" s="355"/>
      <c r="C53" s="120"/>
      <c r="D53" s="120"/>
      <c r="E53" s="120" t="s">
        <v>487</v>
      </c>
      <c r="F53" s="120"/>
      <c r="G53" s="88">
        <f ca="1">XIRR(I52:XFD52,I8:XFD8,1%)</f>
        <v>0.32694131374359126</v>
      </c>
      <c r="H53" s="120"/>
      <c r="I53" s="120"/>
      <c r="J53" s="120"/>
      <c r="K53" s="120"/>
      <c r="L53" s="120"/>
      <c r="M53" s="120"/>
      <c r="N53" s="120"/>
      <c r="O53" s="120"/>
      <c r="P53" s="120"/>
      <c r="Q53" s="120"/>
      <c r="R53" s="120"/>
      <c r="S53" s="120"/>
      <c r="T53" s="120"/>
      <c r="U53" s="120"/>
      <c r="V53" s="120"/>
      <c r="W53" s="120"/>
      <c r="X53" s="120"/>
      <c r="Y53" s="120"/>
      <c r="Z53" s="120"/>
      <c r="AA53" s="120"/>
      <c r="AB53" s="120"/>
      <c r="AC53" s="120"/>
      <c r="AD53" s="120"/>
      <c r="AE53" s="120"/>
      <c r="AF53" s="120"/>
      <c r="AG53" s="120"/>
      <c r="AH53" s="120"/>
      <c r="AI53" s="120"/>
      <c r="AJ53" s="120"/>
      <c r="AK53" s="120"/>
      <c r="AL53" s="120"/>
      <c r="AM53" s="120"/>
      <c r="AN53" s="120"/>
      <c r="AO53" s="120"/>
      <c r="AP53" s="120"/>
      <c r="AQ53" s="120"/>
      <c r="AR53" s="120"/>
      <c r="AS53" s="120"/>
      <c r="AT53" s="120"/>
      <c r="AU53" s="120"/>
      <c r="AV53" s="120"/>
      <c r="AW53" s="120"/>
      <c r="AX53" s="120"/>
      <c r="AY53" s="120"/>
      <c r="AZ53" s="120"/>
      <c r="BA53" s="120"/>
      <c r="BB53" s="120"/>
      <c r="BC53" s="120"/>
      <c r="BD53" s="120"/>
      <c r="BE53" s="120"/>
      <c r="BF53" s="120"/>
      <c r="BG53" s="120"/>
      <c r="BH53" s="120"/>
      <c r="BI53" s="120"/>
      <c r="BJ53" s="120"/>
      <c r="BK53" s="357"/>
    </row>
    <row r="56" spans="2:63" s="11" customFormat="1" ht="13.5" hidden="1" customHeight="1" outlineLevel="1">
      <c r="D56" s="11" t="b">
        <f ca="1">F11</f>
        <v>1</v>
      </c>
      <c r="E56" s="11" t="b">
        <f>E21</f>
        <v>1</v>
      </c>
      <c r="F56" s="11" t="b">
        <f>E22</f>
        <v>1</v>
      </c>
      <c r="G56" s="11" t="b">
        <f ca="1">F49</f>
        <v>1</v>
      </c>
    </row>
    <row r="57" spans="2:63" ht="13.5" customHeight="1" collapsed="1"/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23"/>
  <sheetViews>
    <sheetView showGridLines="0" workbookViewId="0">
      <selection activeCell="BJ22" sqref="BJ22"/>
    </sheetView>
  </sheetViews>
  <sheetFormatPr defaultColWidth="9" defaultRowHeight="13.5" customHeight="1"/>
  <cols>
    <col min="1" max="1" width="3.3984375" style="1" customWidth="1"/>
    <col min="2" max="2" width="5.19921875" style="1" customWidth="1"/>
    <col min="3" max="7" width="9" style="1"/>
    <col min="8" max="8" width="4.3984375" style="1" customWidth="1"/>
    <col min="9" max="15" width="9" style="1"/>
    <col min="16" max="16" width="10" style="1" customWidth="1"/>
    <col min="17" max="18" width="9" style="1"/>
    <col min="19" max="19" width="9.3984375" style="1" bestFit="1" customWidth="1"/>
    <col min="20" max="16384" width="9" style="1"/>
  </cols>
  <sheetData>
    <row r="1" spans="1:65" ht="12.9" customHeight="1"/>
    <row r="2" spans="1:65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65" ht="12.9" customHeight="1">
      <c r="AB3" s="6" t="s">
        <v>3</v>
      </c>
      <c r="AC3" s="7" t="s">
        <v>4</v>
      </c>
      <c r="AD3" s="8" t="s">
        <v>5</v>
      </c>
    </row>
    <row r="4" spans="1:65" ht="12.9" customHeight="1">
      <c r="AB4" s="9" t="s">
        <v>6</v>
      </c>
      <c r="AC4" s="10" t="s">
        <v>7</v>
      </c>
      <c r="AD4" s="11" t="s">
        <v>8</v>
      </c>
    </row>
    <row r="5" spans="1:65" s="12" customFormat="1" ht="12.9" customHeight="1" thickBot="1"/>
    <row r="6" spans="1:65" ht="12.9" customHeight="1" thickTop="1">
      <c r="A6" s="1" t="s">
        <v>9</v>
      </c>
      <c r="AD6" s="13">
        <v>44381</v>
      </c>
    </row>
    <row r="7" spans="1:65" ht="12.9" customHeight="1">
      <c r="A7" s="14" t="s">
        <v>18</v>
      </c>
    </row>
    <row r="8" spans="1:65" ht="13.5" customHeight="1">
      <c r="B8" s="45" t="s">
        <v>55</v>
      </c>
      <c r="C8" s="45"/>
      <c r="D8" s="45"/>
      <c r="E8" s="45"/>
      <c r="F8" s="45"/>
      <c r="G8" s="45" t="s">
        <v>62</v>
      </c>
      <c r="H8" s="45"/>
      <c r="I8" s="47">
        <f>Est</f>
        <v>44377</v>
      </c>
      <c r="J8" s="47">
        <f>EOMONTH(I8,1)</f>
        <v>44408</v>
      </c>
      <c r="K8" s="47">
        <f t="shared" ref="K8:BK8" si="0">EOMONTH(J8,1)</f>
        <v>44439</v>
      </c>
      <c r="L8" s="47">
        <f t="shared" si="0"/>
        <v>44469</v>
      </c>
      <c r="M8" s="47">
        <f t="shared" si="0"/>
        <v>44500</v>
      </c>
      <c r="N8" s="47">
        <f t="shared" si="0"/>
        <v>44530</v>
      </c>
      <c r="O8" s="47">
        <f t="shared" si="0"/>
        <v>44561</v>
      </c>
      <c r="P8" s="47">
        <f t="shared" si="0"/>
        <v>44592</v>
      </c>
      <c r="Q8" s="47">
        <f t="shared" si="0"/>
        <v>44620</v>
      </c>
      <c r="R8" s="47">
        <f t="shared" si="0"/>
        <v>44651</v>
      </c>
      <c r="S8" s="47">
        <f t="shared" si="0"/>
        <v>44681</v>
      </c>
      <c r="T8" s="47">
        <f t="shared" si="0"/>
        <v>44712</v>
      </c>
      <c r="U8" s="47">
        <f t="shared" si="0"/>
        <v>44742</v>
      </c>
      <c r="V8" s="47">
        <f t="shared" si="0"/>
        <v>44773</v>
      </c>
      <c r="W8" s="47">
        <f t="shared" si="0"/>
        <v>44804</v>
      </c>
      <c r="X8" s="47">
        <f t="shared" si="0"/>
        <v>44834</v>
      </c>
      <c r="Y8" s="47">
        <f t="shared" si="0"/>
        <v>44865</v>
      </c>
      <c r="Z8" s="47">
        <f t="shared" si="0"/>
        <v>44895</v>
      </c>
      <c r="AA8" s="47">
        <f t="shared" si="0"/>
        <v>44926</v>
      </c>
      <c r="AB8" s="47">
        <f t="shared" si="0"/>
        <v>44957</v>
      </c>
      <c r="AC8" s="47">
        <f t="shared" si="0"/>
        <v>44985</v>
      </c>
      <c r="AD8" s="47">
        <f t="shared" si="0"/>
        <v>45016</v>
      </c>
      <c r="AE8" s="47">
        <f t="shared" si="0"/>
        <v>45046</v>
      </c>
      <c r="AF8" s="47">
        <f t="shared" si="0"/>
        <v>45077</v>
      </c>
      <c r="AG8" s="47">
        <f t="shared" si="0"/>
        <v>45107</v>
      </c>
      <c r="AH8" s="47">
        <f t="shared" si="0"/>
        <v>45138</v>
      </c>
      <c r="AI8" s="47">
        <f t="shared" si="0"/>
        <v>45169</v>
      </c>
      <c r="AJ8" s="47">
        <f t="shared" si="0"/>
        <v>45199</v>
      </c>
      <c r="AK8" s="47">
        <f t="shared" si="0"/>
        <v>45230</v>
      </c>
      <c r="AL8" s="47">
        <f t="shared" si="0"/>
        <v>45260</v>
      </c>
      <c r="AM8" s="47">
        <f t="shared" si="0"/>
        <v>45291</v>
      </c>
      <c r="AN8" s="47">
        <f t="shared" si="0"/>
        <v>45322</v>
      </c>
      <c r="AO8" s="47">
        <f t="shared" si="0"/>
        <v>45351</v>
      </c>
      <c r="AP8" s="47">
        <f t="shared" si="0"/>
        <v>45382</v>
      </c>
      <c r="AQ8" s="47">
        <f t="shared" si="0"/>
        <v>45412</v>
      </c>
      <c r="AR8" s="47">
        <f t="shared" si="0"/>
        <v>45443</v>
      </c>
      <c r="AS8" s="47">
        <f t="shared" si="0"/>
        <v>45473</v>
      </c>
      <c r="AT8" s="47">
        <f t="shared" si="0"/>
        <v>45504</v>
      </c>
      <c r="AU8" s="47">
        <f t="shared" si="0"/>
        <v>45535</v>
      </c>
      <c r="AV8" s="47">
        <f t="shared" si="0"/>
        <v>45565</v>
      </c>
      <c r="AW8" s="47">
        <f t="shared" si="0"/>
        <v>45596</v>
      </c>
      <c r="AX8" s="47">
        <f t="shared" si="0"/>
        <v>45626</v>
      </c>
      <c r="AY8" s="47">
        <f t="shared" si="0"/>
        <v>45657</v>
      </c>
      <c r="AZ8" s="47">
        <f t="shared" si="0"/>
        <v>45688</v>
      </c>
      <c r="BA8" s="47">
        <f t="shared" si="0"/>
        <v>45716</v>
      </c>
      <c r="BB8" s="47">
        <f t="shared" si="0"/>
        <v>45747</v>
      </c>
      <c r="BC8" s="47">
        <f t="shared" si="0"/>
        <v>45777</v>
      </c>
      <c r="BD8" s="47">
        <f t="shared" si="0"/>
        <v>45808</v>
      </c>
      <c r="BE8" s="47">
        <f t="shared" si="0"/>
        <v>45838</v>
      </c>
      <c r="BF8" s="47">
        <f t="shared" si="0"/>
        <v>45869</v>
      </c>
      <c r="BG8" s="47">
        <f t="shared" si="0"/>
        <v>45900</v>
      </c>
      <c r="BH8" s="47">
        <f t="shared" si="0"/>
        <v>45930</v>
      </c>
      <c r="BI8" s="47">
        <f t="shared" si="0"/>
        <v>45961</v>
      </c>
      <c r="BJ8" s="47">
        <f t="shared" si="0"/>
        <v>45991</v>
      </c>
      <c r="BK8" s="47">
        <f t="shared" si="0"/>
        <v>46022</v>
      </c>
      <c r="BL8" s="17"/>
      <c r="BM8" s="17"/>
    </row>
    <row r="9" spans="1:65" ht="13.5" customHeight="1">
      <c r="B9" s="1" t="s">
        <v>426</v>
      </c>
      <c r="I9" s="1">
        <f ca="1">현금흐름!I23</f>
        <v>-171988.96238732399</v>
      </c>
      <c r="J9" s="1">
        <f ca="1">현금흐름!J23</f>
        <v>-121.08291689151929</v>
      </c>
      <c r="K9" s="1">
        <f ca="1">현금흐름!K23</f>
        <v>-121.08291689151929</v>
      </c>
      <c r="L9" s="1">
        <f ca="1">현금흐름!L23</f>
        <v>-6749.6952999590085</v>
      </c>
      <c r="M9" s="1">
        <f ca="1">현금흐름!M23</f>
        <v>-148.11035369766199</v>
      </c>
      <c r="N9" s="1">
        <f ca="1">현금흐름!N23</f>
        <v>-148.11035369766199</v>
      </c>
      <c r="O9" s="1">
        <f ca="1">현금흐름!O23</f>
        <v>-2085.6103536976625</v>
      </c>
      <c r="P9" s="1">
        <f ca="1">현금흐름!P23</f>
        <v>-148.11035369766199</v>
      </c>
      <c r="Q9" s="1">
        <f ca="1">현금흐름!Q23</f>
        <v>-148.11035369766199</v>
      </c>
      <c r="R9" s="1">
        <f ca="1">현금흐름!R23</f>
        <v>-2085.6103536976611</v>
      </c>
      <c r="S9" s="1">
        <f ca="1">현금흐름!S23</f>
        <v>-148.11035369766199</v>
      </c>
      <c r="T9" s="1">
        <f ca="1">현금흐름!T23</f>
        <v>-148.11035369766199</v>
      </c>
      <c r="U9" s="1">
        <f ca="1">현금흐름!U23</f>
        <v>-2085.6103536976611</v>
      </c>
      <c r="V9" s="1">
        <f ca="1">현금흐름!V23</f>
        <v>-2645.4455145852476</v>
      </c>
      <c r="W9" s="1">
        <f ca="1">현금흐름!W23</f>
        <v>-4061.7679129437324</v>
      </c>
      <c r="X9" s="1">
        <f ca="1">현금흐름!X23</f>
        <v>-12959.86231455177</v>
      </c>
      <c r="Y9" s="1">
        <f ca="1">현금흐름!Y23</f>
        <v>-4759.1301284843221</v>
      </c>
      <c r="Z9" s="1">
        <f ca="1">현금흐름!Z23</f>
        <v>-4250.2994037023482</v>
      </c>
      <c r="AA9" s="1">
        <f ca="1">현금흐름!AA23</f>
        <v>-8273.5572744058063</v>
      </c>
      <c r="AB9" s="1">
        <f ca="1">현금흐름!AB23</f>
        <v>-6434.4744872823285</v>
      </c>
      <c r="AC9" s="1">
        <f ca="1">현금흐름!AC23</f>
        <v>-7079.7134252731885</v>
      </c>
      <c r="AD9" s="1">
        <f ca="1">현금흐름!AD23</f>
        <v>-9724.8873634603297</v>
      </c>
      <c r="AE9" s="1">
        <f ca="1">현금흐름!AE23</f>
        <v>-8680.3144895260739</v>
      </c>
      <c r="AF9" s="1">
        <f ca="1">현금흐름!AF23</f>
        <v>-9251.7941999077957</v>
      </c>
      <c r="AG9" s="1">
        <f ca="1">현금흐름!AG23</f>
        <v>-11999.424890779173</v>
      </c>
      <c r="AH9" s="1">
        <f ca="1">현금흐름!AH23</f>
        <v>-10683.627878833589</v>
      </c>
      <c r="AI9" s="1">
        <f ca="1">현금흐름!AI23</f>
        <v>-10766.541727606174</v>
      </c>
      <c r="AJ9" s="1">
        <f ca="1">현금흐름!AJ23</f>
        <v>-13314.860339775883</v>
      </c>
      <c r="AK9" s="1">
        <f ca="1">현금흐름!AK23</f>
        <v>-10671.647770575295</v>
      </c>
      <c r="AL9" s="1">
        <f ca="1">현금흐름!AL23</f>
        <v>-10741.089623162892</v>
      </c>
      <c r="AM9" s="1">
        <f ca="1">현금흐름!AM23</f>
        <v>-12951.96155791013</v>
      </c>
      <c r="AN9" s="1">
        <f ca="1">현금흐름!AN23</f>
        <v>-11679.898427102831</v>
      </c>
      <c r="AO9" s="1">
        <f ca="1">현금흐름!AO23</f>
        <v>-11611.071401690428</v>
      </c>
      <c r="AP9" s="1">
        <f ca="1">현금흐름!AP23</f>
        <v>-13849.597125746403</v>
      </c>
      <c r="AQ9" s="1">
        <f ca="1">현금흐름!AQ23</f>
        <v>-12577.533981230366</v>
      </c>
      <c r="AR9" s="1">
        <f ca="1">현금흐름!AR23</f>
        <v>-12702.283385017965</v>
      </c>
      <c r="AS9" s="1">
        <f ca="1">현금흐름!AS23</f>
        <v>-14526.002488689524</v>
      </c>
      <c r="AT9" s="1">
        <f ca="1">현금흐름!AT23</f>
        <v>-12093.900321817966</v>
      </c>
      <c r="AU9" s="1">
        <f ca="1">현금흐름!AU23</f>
        <v>-11762.055014617965</v>
      </c>
      <c r="AV9" s="1">
        <f ca="1">현금흐름!AV23</f>
        <v>-13817.795850335167</v>
      </c>
      <c r="AW9" s="1">
        <f ca="1">현금흐름!AW23</f>
        <v>-11319.594605017966</v>
      </c>
      <c r="AX9" s="1">
        <f ca="1">현금흐름!AX23</f>
        <v>-11126.018175817964</v>
      </c>
      <c r="AY9" s="1">
        <f ca="1">현금흐름!AY23</f>
        <v>-12866.77597524012</v>
      </c>
      <c r="AZ9" s="1">
        <f ca="1">현금흐름!AZ23</f>
        <v>-10655.903990617966</v>
      </c>
      <c r="BA9" s="1">
        <f ca="1">현금흐름!BA23</f>
        <v>-9715.6756202179658</v>
      </c>
      <c r="BB9" s="1">
        <f ca="1">현금흐름!BB23</f>
        <v>-10931.011688418455</v>
      </c>
      <c r="BC9" s="1">
        <f ca="1">현금흐름!BC23</f>
        <v>-8663.1699182101202</v>
      </c>
      <c r="BD9" s="1">
        <f ca="1">현금흐름!BD23</f>
        <v>-13327.78186901202</v>
      </c>
      <c r="BE9" s="1">
        <f ca="1">현금흐름!BE23</f>
        <v>-9336.2765391040775</v>
      </c>
      <c r="BF9" s="1">
        <f ca="1">현금흐름!BF23</f>
        <v>-5801.1761364368631</v>
      </c>
      <c r="BG9" s="1">
        <f ca="1">현금흐름!BG23</f>
        <v>-16682.050815078037</v>
      </c>
      <c r="BH9" s="1">
        <f ca="1">현금흐름!BH23</f>
        <v>-2406.6738592316588</v>
      </c>
      <c r="BI9" s="1">
        <f ca="1">현금흐름!BI23</f>
        <v>-121.08291689151929</v>
      </c>
      <c r="BJ9" s="1">
        <f ca="1">현금흐름!BJ23</f>
        <v>-1115.9038158221533</v>
      </c>
      <c r="BK9" s="1">
        <f ca="1">현금흐름!BK23</f>
        <v>0</v>
      </c>
    </row>
    <row r="10" spans="1:65" ht="13.5" customHeight="1">
      <c r="B10" s="1" t="s">
        <v>18</v>
      </c>
    </row>
    <row r="11" spans="1:65" ht="13.5" customHeight="1">
      <c r="C11" s="1" t="s">
        <v>359</v>
      </c>
      <c r="I11" s="1">
        <f>SUM(현금흐름!I27:I28)</f>
        <v>10000</v>
      </c>
      <c r="J11" s="1">
        <f>SUM(현금흐름!J27:J28)</f>
        <v>0</v>
      </c>
      <c r="K11" s="1">
        <f>SUM(현금흐름!K27:K28)</f>
        <v>0</v>
      </c>
      <c r="L11" s="1">
        <f>SUM(현금흐름!L27:L28)</f>
        <v>0</v>
      </c>
      <c r="M11" s="1">
        <f>SUM(현금흐름!M27:M28)</f>
        <v>0</v>
      </c>
      <c r="N11" s="1">
        <f>SUM(현금흐름!N27:N28)</f>
        <v>0</v>
      </c>
      <c r="O11" s="1">
        <f>SUM(현금흐름!O27:O28)</f>
        <v>0</v>
      </c>
      <c r="P11" s="1">
        <f>SUM(현금흐름!P27:P28)</f>
        <v>0</v>
      </c>
      <c r="Q11" s="1">
        <f>SUM(현금흐름!Q27:Q28)</f>
        <v>0</v>
      </c>
      <c r="R11" s="1">
        <f>SUM(현금흐름!R27:R28)</f>
        <v>0</v>
      </c>
      <c r="S11" s="1">
        <f>SUM(현금흐름!S27:S28)</f>
        <v>0</v>
      </c>
      <c r="T11" s="1">
        <f>SUM(현금흐름!T27:T28)</f>
        <v>0</v>
      </c>
      <c r="U11" s="1">
        <f>SUM(현금흐름!U27:U28)</f>
        <v>0</v>
      </c>
      <c r="V11" s="1">
        <f>SUM(현금흐름!V27:V28)</f>
        <v>0</v>
      </c>
      <c r="W11" s="1">
        <f>SUM(현금흐름!W27:W28)</f>
        <v>0</v>
      </c>
      <c r="X11" s="1">
        <f>SUM(현금흐름!X27:X28)</f>
        <v>0</v>
      </c>
      <c r="Y11" s="1">
        <f>SUM(현금흐름!Y27:Y28)</f>
        <v>0</v>
      </c>
      <c r="Z11" s="1">
        <f>SUM(현금흐름!Z27:Z28)</f>
        <v>0</v>
      </c>
      <c r="AA11" s="1">
        <f>SUM(현금흐름!AA27:AA28)</f>
        <v>0</v>
      </c>
      <c r="AB11" s="1">
        <f>SUM(현금흐름!AB27:AB28)</f>
        <v>0</v>
      </c>
      <c r="AC11" s="1">
        <f>SUM(현금흐름!AC27:AC28)</f>
        <v>0</v>
      </c>
      <c r="AD11" s="1">
        <f>SUM(현금흐름!AD27:AD28)</f>
        <v>0</v>
      </c>
      <c r="AE11" s="1">
        <f>SUM(현금흐름!AE27:AE28)</f>
        <v>0</v>
      </c>
      <c r="AF11" s="1">
        <f>SUM(현금흐름!AF27:AF28)</f>
        <v>0</v>
      </c>
      <c r="AG11" s="1">
        <f>SUM(현금흐름!AG27:AG28)</f>
        <v>0</v>
      </c>
      <c r="AH11" s="1">
        <f>SUM(현금흐름!AH27:AH28)</f>
        <v>0</v>
      </c>
      <c r="AI11" s="1">
        <f>SUM(현금흐름!AI27:AI28)</f>
        <v>0</v>
      </c>
      <c r="AJ11" s="1">
        <f>SUM(현금흐름!AJ27:AJ28)</f>
        <v>0</v>
      </c>
      <c r="AK11" s="1">
        <f>SUM(현금흐름!AK27:AK28)</f>
        <v>0</v>
      </c>
      <c r="AL11" s="1">
        <f>SUM(현금흐름!AL27:AL28)</f>
        <v>0</v>
      </c>
      <c r="AM11" s="1">
        <f>SUM(현금흐름!AM27:AM28)</f>
        <v>0</v>
      </c>
      <c r="AN11" s="1">
        <f>SUM(현금흐름!AN27:AN28)</f>
        <v>0</v>
      </c>
      <c r="AO11" s="1">
        <f>SUM(현금흐름!AO27:AO28)</f>
        <v>0</v>
      </c>
      <c r="AP11" s="1">
        <f>SUM(현금흐름!AP27:AP28)</f>
        <v>0</v>
      </c>
      <c r="AQ11" s="1">
        <f>SUM(현금흐름!AQ27:AQ28)</f>
        <v>0</v>
      </c>
      <c r="AR11" s="1">
        <f>SUM(현금흐름!AR27:AR28)</f>
        <v>0</v>
      </c>
      <c r="AS11" s="1">
        <f>SUM(현금흐름!AS27:AS28)</f>
        <v>0</v>
      </c>
      <c r="AT11" s="1">
        <f>SUM(현금흐름!AT27:AT28)</f>
        <v>0</v>
      </c>
      <c r="AU11" s="1">
        <f>SUM(현금흐름!AU27:AU28)</f>
        <v>0</v>
      </c>
      <c r="AV11" s="1">
        <f>SUM(현금흐름!AV27:AV28)</f>
        <v>0</v>
      </c>
      <c r="AW11" s="1">
        <f>SUM(현금흐름!AW27:AW28)</f>
        <v>0</v>
      </c>
      <c r="AX11" s="1">
        <f>SUM(현금흐름!AX27:AX28)</f>
        <v>0</v>
      </c>
      <c r="AY11" s="1">
        <f>SUM(현금흐름!AY27:AY28)</f>
        <v>0</v>
      </c>
      <c r="AZ11" s="1">
        <f>SUM(현금흐름!AZ27:AZ28)</f>
        <v>0</v>
      </c>
      <c r="BA11" s="1">
        <f>SUM(현금흐름!BA27:BA28)</f>
        <v>0</v>
      </c>
      <c r="BB11" s="1">
        <f>SUM(현금흐름!BB27:BB28)</f>
        <v>0</v>
      </c>
      <c r="BC11" s="1">
        <f>SUM(현금흐름!BC27:BC28)</f>
        <v>0</v>
      </c>
      <c r="BD11" s="1">
        <f>SUM(현금흐름!BD27:BD28)</f>
        <v>0</v>
      </c>
      <c r="BE11" s="1">
        <f>SUM(현금흐름!BE27:BE28)</f>
        <v>0</v>
      </c>
      <c r="BF11" s="1">
        <f>SUM(현금흐름!BF27:BF28)</f>
        <v>0</v>
      </c>
      <c r="BG11" s="1">
        <f>SUM(현금흐름!BG27:BG28)</f>
        <v>0</v>
      </c>
      <c r="BH11" s="1">
        <f>SUM(현금흐름!BH27:BH28)</f>
        <v>0</v>
      </c>
      <c r="BI11" s="1">
        <f>SUM(현금흐름!BI27:BI28)</f>
        <v>0</v>
      </c>
      <c r="BJ11" s="1">
        <f>SUM(현금흐름!BJ27:BJ28)</f>
        <v>0</v>
      </c>
      <c r="BK11" s="1">
        <f>SUM(현금흐름!BK27:BK28)</f>
        <v>0</v>
      </c>
    </row>
    <row r="12" spans="1:65" ht="13.5" customHeight="1">
      <c r="C12" s="1" t="s">
        <v>427</v>
      </c>
      <c r="I12" s="1">
        <f>현금흐름!I33+현금흐름!I36</f>
        <v>105610.3125</v>
      </c>
      <c r="J12" s="1">
        <f>현금흐름!J33+현금흐름!J36</f>
        <v>0</v>
      </c>
      <c r="K12" s="1">
        <f>현금흐름!K33+현금흐름!K36</f>
        <v>0</v>
      </c>
      <c r="L12" s="1">
        <f>현금흐름!L33+현금흐름!L36</f>
        <v>0</v>
      </c>
      <c r="M12" s="1">
        <f>현금흐름!M33+현금흐름!M36</f>
        <v>0</v>
      </c>
      <c r="N12" s="1">
        <f>현금흐름!N33+현금흐름!N36</f>
        <v>0</v>
      </c>
      <c r="O12" s="1">
        <f>현금흐름!O33+현금흐름!O36</f>
        <v>0</v>
      </c>
      <c r="P12" s="1">
        <f>현금흐름!P33+현금흐름!P36</f>
        <v>0</v>
      </c>
      <c r="Q12" s="1">
        <f>현금흐름!Q33+현금흐름!Q36</f>
        <v>0</v>
      </c>
      <c r="R12" s="1">
        <f>현금흐름!R33+현금흐름!R36</f>
        <v>0</v>
      </c>
      <c r="S12" s="1">
        <f>현금흐름!S33+현금흐름!S36</f>
        <v>0</v>
      </c>
      <c r="T12" s="1">
        <f>현금흐름!T33+현금흐름!T36</f>
        <v>0</v>
      </c>
      <c r="U12" s="1">
        <f>현금흐름!U33+현금흐름!U36</f>
        <v>0</v>
      </c>
      <c r="V12" s="1">
        <f>현금흐름!V33+현금흐름!V36</f>
        <v>0</v>
      </c>
      <c r="W12" s="1">
        <f>현금흐름!W33+현금흐름!W36</f>
        <v>0</v>
      </c>
      <c r="X12" s="1">
        <f>현금흐름!X33+현금흐름!X36</f>
        <v>-105610.3125</v>
      </c>
      <c r="Y12" s="1">
        <f>현금흐름!Y33+현금흐름!Y36</f>
        <v>0</v>
      </c>
      <c r="Z12" s="1">
        <f>현금흐름!Z33+현금흐름!Z36</f>
        <v>0</v>
      </c>
      <c r="AA12" s="1">
        <f>현금흐름!AA33+현금흐름!AA36</f>
        <v>0</v>
      </c>
      <c r="AB12" s="1">
        <f>현금흐름!AB33+현금흐름!AB36</f>
        <v>0</v>
      </c>
      <c r="AC12" s="1">
        <f>현금흐름!AC33+현금흐름!AC36</f>
        <v>0</v>
      </c>
      <c r="AD12" s="1">
        <f>현금흐름!AD33+현금흐름!AD36</f>
        <v>0</v>
      </c>
      <c r="AE12" s="1">
        <f>현금흐름!AE33+현금흐름!AE36</f>
        <v>0</v>
      </c>
      <c r="AF12" s="1">
        <f>현금흐름!AF33+현금흐름!AF36</f>
        <v>0</v>
      </c>
      <c r="AG12" s="1">
        <f>현금흐름!AG33+현금흐름!AG36</f>
        <v>0</v>
      </c>
      <c r="AH12" s="1">
        <f>현금흐름!AH33+현금흐름!AH36</f>
        <v>0</v>
      </c>
      <c r="AI12" s="1">
        <f>현금흐름!AI33+현금흐름!AI36</f>
        <v>0</v>
      </c>
      <c r="AJ12" s="1">
        <f>현금흐름!AJ33+현금흐름!AJ36</f>
        <v>0</v>
      </c>
      <c r="AK12" s="1">
        <f>현금흐름!AK33+현금흐름!AK36</f>
        <v>0</v>
      </c>
      <c r="AL12" s="1">
        <f>현금흐름!AL33+현금흐름!AL36</f>
        <v>0</v>
      </c>
      <c r="AM12" s="1">
        <f>현금흐름!AM33+현금흐름!AM36</f>
        <v>0</v>
      </c>
      <c r="AN12" s="1">
        <f>현금흐름!AN33+현금흐름!AN36</f>
        <v>0</v>
      </c>
      <c r="AO12" s="1">
        <f>현금흐름!AO33+현금흐름!AO36</f>
        <v>0</v>
      </c>
      <c r="AP12" s="1">
        <f>현금흐름!AP33+현금흐름!AP36</f>
        <v>0</v>
      </c>
      <c r="AQ12" s="1">
        <f>현금흐름!AQ33+현금흐름!AQ36</f>
        <v>0</v>
      </c>
      <c r="AR12" s="1">
        <f>현금흐름!AR33+현금흐름!AR36</f>
        <v>0</v>
      </c>
      <c r="AS12" s="1">
        <f>현금흐름!AS33+현금흐름!AS36</f>
        <v>0</v>
      </c>
      <c r="AT12" s="1">
        <f>현금흐름!AT33+현금흐름!AT36</f>
        <v>0</v>
      </c>
      <c r="AU12" s="1">
        <f>현금흐름!AU33+현금흐름!AU36</f>
        <v>0</v>
      </c>
      <c r="AV12" s="1">
        <f>현금흐름!AV33+현금흐름!AV36</f>
        <v>0</v>
      </c>
      <c r="AW12" s="1">
        <f>현금흐름!AW33+현금흐름!AW36</f>
        <v>0</v>
      </c>
      <c r="AX12" s="1">
        <f>현금흐름!AX33+현금흐름!AX36</f>
        <v>0</v>
      </c>
      <c r="AY12" s="1">
        <f>현금흐름!AY33+현금흐름!AY36</f>
        <v>0</v>
      </c>
      <c r="AZ12" s="1">
        <f>현금흐름!AZ33+현금흐름!AZ36</f>
        <v>0</v>
      </c>
      <c r="BA12" s="1">
        <f>현금흐름!BA33+현금흐름!BA36</f>
        <v>0</v>
      </c>
      <c r="BB12" s="1">
        <f>현금흐름!BB33+현금흐름!BB36</f>
        <v>0</v>
      </c>
      <c r="BC12" s="1">
        <f>현금흐름!BC33+현금흐름!BC36</f>
        <v>0</v>
      </c>
      <c r="BD12" s="1">
        <f>현금흐름!BD33+현금흐름!BD36</f>
        <v>0</v>
      </c>
      <c r="BE12" s="1">
        <f>현금흐름!BE33+현금흐름!BE36</f>
        <v>0</v>
      </c>
      <c r="BF12" s="1">
        <f>현금흐름!BF33+현금흐름!BF36</f>
        <v>0</v>
      </c>
      <c r="BG12" s="1">
        <f>현금흐름!BG33+현금흐름!BG36</f>
        <v>0</v>
      </c>
      <c r="BH12" s="1">
        <f>현금흐름!BH33+현금흐름!BH36</f>
        <v>0</v>
      </c>
      <c r="BI12" s="1">
        <f>현금흐름!BI33+현금흐름!BI36</f>
        <v>0</v>
      </c>
      <c r="BJ12" s="1">
        <f>현금흐름!BJ33+현금흐름!BJ36</f>
        <v>0</v>
      </c>
      <c r="BK12" s="1">
        <f>현금흐름!BK33+현금흐름!BK36</f>
        <v>0</v>
      </c>
    </row>
    <row r="13" spans="1:65" ht="13.5" customHeight="1">
      <c r="C13" s="1" t="s">
        <v>428</v>
      </c>
      <c r="I13" s="1">
        <f>현금흐름!I34+현금흐름!I37</f>
        <v>77500</v>
      </c>
      <c r="J13" s="1">
        <f>현금흐름!J34+현금흐름!J37</f>
        <v>0</v>
      </c>
      <c r="K13" s="1">
        <f>현금흐름!K34+현금흐름!K37</f>
        <v>0</v>
      </c>
      <c r="L13" s="1">
        <f>현금흐름!L34+현금흐름!L37</f>
        <v>0</v>
      </c>
      <c r="M13" s="1">
        <f>현금흐름!M34+현금흐름!M37</f>
        <v>0</v>
      </c>
      <c r="N13" s="1">
        <f>현금흐름!N34+현금흐름!N37</f>
        <v>0</v>
      </c>
      <c r="O13" s="1">
        <f>현금흐름!O34+현금흐름!O37</f>
        <v>0</v>
      </c>
      <c r="P13" s="1">
        <f>현금흐름!P34+현금흐름!P37</f>
        <v>0</v>
      </c>
      <c r="Q13" s="1">
        <f>현금흐름!Q34+현금흐름!Q37</f>
        <v>0</v>
      </c>
      <c r="R13" s="1">
        <f>현금흐름!R34+현금흐름!R37</f>
        <v>0</v>
      </c>
      <c r="S13" s="1">
        <f>현금흐름!S34+현금흐름!S37</f>
        <v>0</v>
      </c>
      <c r="T13" s="1">
        <f>현금흐름!T34+현금흐름!T37</f>
        <v>0</v>
      </c>
      <c r="U13" s="1">
        <f>현금흐름!U34+현금흐름!U37</f>
        <v>0</v>
      </c>
      <c r="V13" s="1">
        <f>현금흐름!V34+현금흐름!V37</f>
        <v>0</v>
      </c>
      <c r="W13" s="1">
        <f>현금흐름!W34+현금흐름!W37</f>
        <v>0</v>
      </c>
      <c r="X13" s="1">
        <f>현금흐름!X34+현금흐름!X37</f>
        <v>-77500</v>
      </c>
      <c r="Y13" s="1">
        <f>현금흐름!Y34+현금흐름!Y37</f>
        <v>0</v>
      </c>
      <c r="Z13" s="1">
        <f>현금흐름!Z34+현금흐름!Z37</f>
        <v>0</v>
      </c>
      <c r="AA13" s="1">
        <f>현금흐름!AA34+현금흐름!AA37</f>
        <v>0</v>
      </c>
      <c r="AB13" s="1">
        <f>현금흐름!AB34+현금흐름!AB37</f>
        <v>0</v>
      </c>
      <c r="AC13" s="1">
        <f>현금흐름!AC34+현금흐름!AC37</f>
        <v>0</v>
      </c>
      <c r="AD13" s="1">
        <f>현금흐름!AD34+현금흐름!AD37</f>
        <v>0</v>
      </c>
      <c r="AE13" s="1">
        <f>현금흐름!AE34+현금흐름!AE37</f>
        <v>0</v>
      </c>
      <c r="AF13" s="1">
        <f>현금흐름!AF34+현금흐름!AF37</f>
        <v>0</v>
      </c>
      <c r="AG13" s="1">
        <f>현금흐름!AG34+현금흐름!AG37</f>
        <v>0</v>
      </c>
      <c r="AH13" s="1">
        <f>현금흐름!AH34+현금흐름!AH37</f>
        <v>0</v>
      </c>
      <c r="AI13" s="1">
        <f>현금흐름!AI34+현금흐름!AI37</f>
        <v>0</v>
      </c>
      <c r="AJ13" s="1">
        <f>현금흐름!AJ34+현금흐름!AJ37</f>
        <v>0</v>
      </c>
      <c r="AK13" s="1">
        <f>현금흐름!AK34+현금흐름!AK37</f>
        <v>0</v>
      </c>
      <c r="AL13" s="1">
        <f>현금흐름!AL34+현금흐름!AL37</f>
        <v>0</v>
      </c>
      <c r="AM13" s="1">
        <f>현금흐름!AM34+현금흐름!AM37</f>
        <v>0</v>
      </c>
      <c r="AN13" s="1">
        <f>현금흐름!AN34+현금흐름!AN37</f>
        <v>0</v>
      </c>
      <c r="AO13" s="1">
        <f>현금흐름!AO34+현금흐름!AO37</f>
        <v>0</v>
      </c>
      <c r="AP13" s="1">
        <f>현금흐름!AP34+현금흐름!AP37</f>
        <v>0</v>
      </c>
      <c r="AQ13" s="1">
        <f>현금흐름!AQ34+현금흐름!AQ37</f>
        <v>0</v>
      </c>
      <c r="AR13" s="1">
        <f>현금흐름!AR34+현금흐름!AR37</f>
        <v>0</v>
      </c>
      <c r="AS13" s="1">
        <f>현금흐름!AS34+현금흐름!AS37</f>
        <v>0</v>
      </c>
      <c r="AT13" s="1">
        <f>현금흐름!AT34+현금흐름!AT37</f>
        <v>0</v>
      </c>
      <c r="AU13" s="1">
        <f>현금흐름!AU34+현금흐름!AU37</f>
        <v>0</v>
      </c>
      <c r="AV13" s="1">
        <f>현금흐름!AV34+현금흐름!AV37</f>
        <v>0</v>
      </c>
      <c r="AW13" s="1">
        <f>현금흐름!AW34+현금흐름!AW37</f>
        <v>0</v>
      </c>
      <c r="AX13" s="1">
        <f>현금흐름!AX34+현금흐름!AX37</f>
        <v>0</v>
      </c>
      <c r="AY13" s="1">
        <f>현금흐름!AY34+현금흐름!AY37</f>
        <v>0</v>
      </c>
      <c r="AZ13" s="1">
        <f>현금흐름!AZ34+현금흐름!AZ37</f>
        <v>0</v>
      </c>
      <c r="BA13" s="1">
        <f>현금흐름!BA34+현금흐름!BA37</f>
        <v>0</v>
      </c>
      <c r="BB13" s="1">
        <f>현금흐름!BB34+현금흐름!BB37</f>
        <v>0</v>
      </c>
      <c r="BC13" s="1">
        <f>현금흐름!BC34+현금흐름!BC37</f>
        <v>0</v>
      </c>
      <c r="BD13" s="1">
        <f>현금흐름!BD34+현금흐름!BD37</f>
        <v>0</v>
      </c>
      <c r="BE13" s="1">
        <f>현금흐름!BE34+현금흐름!BE37</f>
        <v>0</v>
      </c>
      <c r="BF13" s="1">
        <f>현금흐름!BF34+현금흐름!BF37</f>
        <v>0</v>
      </c>
      <c r="BG13" s="1">
        <f>현금흐름!BG34+현금흐름!BG37</f>
        <v>0</v>
      </c>
      <c r="BH13" s="1">
        <f>현금흐름!BH34+현금흐름!BH37</f>
        <v>0</v>
      </c>
      <c r="BI13" s="1">
        <f>현금흐름!BI34+현금흐름!BI37</f>
        <v>0</v>
      </c>
      <c r="BJ13" s="1">
        <f>현금흐름!BJ34+현금흐름!BJ37</f>
        <v>0</v>
      </c>
      <c r="BK13" s="1">
        <f>현금흐름!BK34+현금흐름!BK37</f>
        <v>0</v>
      </c>
    </row>
    <row r="14" spans="1:65" ht="13.5" customHeight="1">
      <c r="C14" s="1" t="s">
        <v>429</v>
      </c>
      <c r="I14" s="1">
        <f>현금흐름!I39+현금흐름!I42</f>
        <v>0</v>
      </c>
      <c r="J14" s="1">
        <f>현금흐름!J39+현금흐름!J42</f>
        <v>0</v>
      </c>
      <c r="K14" s="1">
        <f>현금흐름!K39+현금흐름!K42</f>
        <v>0</v>
      </c>
      <c r="L14" s="1">
        <f>현금흐름!L39+현금흐름!L42</f>
        <v>0</v>
      </c>
      <c r="M14" s="1">
        <f>현금흐름!M39+현금흐름!M42</f>
        <v>0</v>
      </c>
      <c r="N14" s="1">
        <f>현금흐름!N39+현금흐름!N42</f>
        <v>0</v>
      </c>
      <c r="O14" s="1">
        <f>현금흐름!O39+현금흐름!O42</f>
        <v>0</v>
      </c>
      <c r="P14" s="1">
        <f>현금흐름!P39+현금흐름!P42</f>
        <v>0</v>
      </c>
      <c r="Q14" s="1">
        <f>현금흐름!Q39+현금흐름!Q42</f>
        <v>0</v>
      </c>
      <c r="R14" s="1">
        <f>현금흐름!R39+현금흐름!R42</f>
        <v>0</v>
      </c>
      <c r="S14" s="1">
        <f>현금흐름!S39+현금흐름!S42</f>
        <v>0</v>
      </c>
      <c r="T14" s="1">
        <f>현금흐름!T39+현금흐름!T42</f>
        <v>0</v>
      </c>
      <c r="U14" s="1">
        <f>현금흐름!U39+현금흐름!U42</f>
        <v>0</v>
      </c>
      <c r="V14" s="1">
        <f>현금흐름!V39+현금흐름!V42</f>
        <v>0</v>
      </c>
      <c r="W14" s="1">
        <f>현금흐름!W39+현금흐름!W42</f>
        <v>0</v>
      </c>
      <c r="X14" s="1">
        <f>현금흐름!X39+현금흐름!X42</f>
        <v>183110.3125</v>
      </c>
      <c r="Y14" s="1">
        <f>현금흐름!Y39+현금흐름!Y42</f>
        <v>0</v>
      </c>
      <c r="Z14" s="1">
        <f>현금흐름!Z39+현금흐름!Z42</f>
        <v>0</v>
      </c>
      <c r="AA14" s="1">
        <f>현금흐름!AA39+현금흐름!AA42</f>
        <v>0</v>
      </c>
      <c r="AB14" s="1">
        <f>현금흐름!AB39+현금흐름!AB42</f>
        <v>0</v>
      </c>
      <c r="AC14" s="1">
        <f>현금흐름!AC39+현금흐름!AC42</f>
        <v>0</v>
      </c>
      <c r="AD14" s="1">
        <f>현금흐름!AD39+현금흐름!AD42</f>
        <v>0</v>
      </c>
      <c r="AE14" s="1">
        <f>현금흐름!AE39+현금흐름!AE42</f>
        <v>0</v>
      </c>
      <c r="AF14" s="1">
        <f>현금흐름!AF39+현금흐름!AF42</f>
        <v>0</v>
      </c>
      <c r="AG14" s="1">
        <f>현금흐름!AG39+현금흐름!AG42</f>
        <v>0</v>
      </c>
      <c r="AH14" s="1">
        <f>현금흐름!AH39+현금흐름!AH42</f>
        <v>0</v>
      </c>
      <c r="AI14" s="1">
        <f>현금흐름!AI39+현금흐름!AI42</f>
        <v>0</v>
      </c>
      <c r="AJ14" s="1">
        <f>현금흐름!AJ39+현금흐름!AJ42</f>
        <v>0</v>
      </c>
      <c r="AK14" s="1">
        <f>현금흐름!AK39+현금흐름!AK42</f>
        <v>0</v>
      </c>
      <c r="AL14" s="1">
        <f>현금흐름!AL39+현금흐름!AL42</f>
        <v>0</v>
      </c>
      <c r="AM14" s="1">
        <f>현금흐름!AM39+현금흐름!AM42</f>
        <v>0</v>
      </c>
      <c r="AN14" s="1">
        <f>현금흐름!AN39+현금흐름!AN42</f>
        <v>0</v>
      </c>
      <c r="AO14" s="1">
        <f>현금흐름!AO39+현금흐름!AO42</f>
        <v>0</v>
      </c>
      <c r="AP14" s="1">
        <f>현금흐름!AP39+현금흐름!AP42</f>
        <v>0</v>
      </c>
      <c r="AQ14" s="1">
        <f>현금흐름!AQ39+현금흐름!AQ42</f>
        <v>0</v>
      </c>
      <c r="AR14" s="1">
        <f>현금흐름!AR39+현금흐름!AR42</f>
        <v>0</v>
      </c>
      <c r="AS14" s="1">
        <f>현금흐름!AS39+현금흐름!AS42</f>
        <v>0</v>
      </c>
      <c r="AT14" s="1">
        <f>현금흐름!AT39+현금흐름!AT42</f>
        <v>0</v>
      </c>
      <c r="AU14" s="1">
        <f>현금흐름!AU39+현금흐름!AU42</f>
        <v>0</v>
      </c>
      <c r="AV14" s="1">
        <f>현금흐름!AV39+현금흐름!AV42</f>
        <v>0</v>
      </c>
      <c r="AW14" s="1">
        <f>현금흐름!AW39+현금흐름!AW42</f>
        <v>0</v>
      </c>
      <c r="AX14" s="1">
        <f>현금흐름!AX39+현금흐름!AX42</f>
        <v>0</v>
      </c>
      <c r="AY14" s="1">
        <f>현금흐름!AY39+현금흐름!AY42</f>
        <v>0</v>
      </c>
      <c r="AZ14" s="1">
        <f>현금흐름!AZ39+현금흐름!AZ42</f>
        <v>0</v>
      </c>
      <c r="BA14" s="1">
        <f>현금흐름!BA39+현금흐름!BA42</f>
        <v>0</v>
      </c>
      <c r="BB14" s="1">
        <f>현금흐름!BB39+현금흐름!BB42</f>
        <v>0</v>
      </c>
      <c r="BC14" s="1">
        <f>현금흐름!BC39+현금흐름!BC42</f>
        <v>0</v>
      </c>
      <c r="BD14" s="1">
        <f>현금흐름!BD39+현금흐름!BD42</f>
        <v>0</v>
      </c>
      <c r="BE14" s="1">
        <f>현금흐름!BE39+현금흐름!BE42</f>
        <v>0</v>
      </c>
      <c r="BF14" s="1">
        <f>현금흐름!BF39+현금흐름!BF42</f>
        <v>0</v>
      </c>
      <c r="BG14" s="1">
        <f>현금흐름!BG39+현금흐름!BG42</f>
        <v>0</v>
      </c>
      <c r="BH14" s="1">
        <f>현금흐름!BH39+현금흐름!BH42</f>
        <v>0</v>
      </c>
      <c r="BI14" s="1">
        <f>현금흐름!BI39+현금흐름!BI42</f>
        <v>0</v>
      </c>
      <c r="BJ14" s="1">
        <f>현금흐름!BJ39+현금흐름!BJ42</f>
        <v>-183110.3125</v>
      </c>
      <c r="BK14" s="1">
        <f>현금흐름!BK39+현금흐름!BK42</f>
        <v>0</v>
      </c>
    </row>
    <row r="15" spans="1:65" ht="13.5" customHeight="1">
      <c r="B15" s="32" t="s">
        <v>394</v>
      </c>
      <c r="C15" s="32"/>
      <c r="D15" s="32"/>
      <c r="E15" s="32"/>
      <c r="F15" s="32"/>
      <c r="G15" s="32"/>
      <c r="H15" s="32"/>
      <c r="I15" s="32">
        <f ca="1">SUM(현금흐름!I10:I11)</f>
        <v>0</v>
      </c>
      <c r="J15" s="32">
        <f ca="1">SUM(현금흐름!J10:J11)</f>
        <v>0</v>
      </c>
      <c r="K15" s="32">
        <f ca="1">SUM(현금흐름!K10:K11)</f>
        <v>0</v>
      </c>
      <c r="L15" s="32">
        <f ca="1">SUM(현금흐름!L10:L11)</f>
        <v>0</v>
      </c>
      <c r="M15" s="32">
        <f ca="1">SUM(현금흐름!M10:M11)</f>
        <v>0</v>
      </c>
      <c r="N15" s="32">
        <f ca="1">SUM(현금흐름!N10:N11)</f>
        <v>0</v>
      </c>
      <c r="O15" s="32">
        <f ca="1">SUM(현금흐름!O10:O11)</f>
        <v>0</v>
      </c>
      <c r="P15" s="32">
        <f ca="1">SUM(현금흐름!P10:P11)</f>
        <v>0</v>
      </c>
      <c r="Q15" s="32">
        <f ca="1">SUM(현금흐름!Q10:Q11)</f>
        <v>0</v>
      </c>
      <c r="R15" s="32">
        <f ca="1">SUM(현금흐름!R10:R11)</f>
        <v>0</v>
      </c>
      <c r="S15" s="32">
        <f ca="1">SUM(현금흐름!S10:S11)</f>
        <v>0</v>
      </c>
      <c r="T15" s="32">
        <f ca="1">SUM(현금흐름!T10:T11)</f>
        <v>0</v>
      </c>
      <c r="U15" s="32">
        <f ca="1">SUM(현금흐름!U10:U11)</f>
        <v>0</v>
      </c>
      <c r="V15" s="32">
        <f ca="1">SUM(현금흐름!V10:V11)</f>
        <v>0</v>
      </c>
      <c r="W15" s="32">
        <f ca="1">SUM(현금흐름!W10:W11)</f>
        <v>0</v>
      </c>
      <c r="X15" s="32">
        <f ca="1">SUM(현금흐름!X10:X11)</f>
        <v>0</v>
      </c>
      <c r="Y15" s="32">
        <f ca="1">SUM(현금흐름!Y10:Y11)</f>
        <v>5848.6234931884073</v>
      </c>
      <c r="Z15" s="32">
        <f ca="1">SUM(현금흐름!Z10:Z11)</f>
        <v>5848.6234931884073</v>
      </c>
      <c r="AA15" s="32">
        <f ca="1">SUM(현금흐름!AA10:AA11)</f>
        <v>5848.6234931884073</v>
      </c>
      <c r="AB15" s="32">
        <f ca="1">SUM(현금흐름!AB10:AB11)</f>
        <v>29243.117465942036</v>
      </c>
      <c r="AC15" s="32">
        <f ca="1">SUM(현금흐름!AC10:AC11)</f>
        <v>11697.246986376815</v>
      </c>
      <c r="AD15" s="32">
        <f ca="1">SUM(현금흐름!AD10:AD11)</f>
        <v>11697.246986376815</v>
      </c>
      <c r="AE15" s="32">
        <f ca="1">SUM(현금흐름!AE10:AE11)</f>
        <v>52637.611438695661</v>
      </c>
      <c r="AF15" s="32">
        <f ca="1">SUM(현금흐름!AF10:AF11)</f>
        <v>17545.870479565223</v>
      </c>
      <c r="AG15" s="32">
        <f ca="1">SUM(현금흐름!AG10:AG11)</f>
        <v>17545.870479565223</v>
      </c>
      <c r="AH15" s="32">
        <f ca="1">SUM(현금흐름!AH10:AH11)</f>
        <v>76032.105411449302</v>
      </c>
      <c r="AI15" s="32">
        <f ca="1">SUM(현금흐름!AI10:AI11)</f>
        <v>23394.493972753629</v>
      </c>
      <c r="AJ15" s="32">
        <f ca="1">SUM(현금흐름!AJ10:AJ11)</f>
        <v>23394.493972753629</v>
      </c>
      <c r="AK15" s="32">
        <f ca="1">SUM(현금흐름!AK10:AK11)</f>
        <v>70183.481918260892</v>
      </c>
      <c r="AL15" s="32">
        <f ca="1">SUM(현금흐름!AL10:AL11)</f>
        <v>0</v>
      </c>
      <c r="AM15" s="32">
        <f ca="1">SUM(현금흐름!AM10:AM11)</f>
        <v>0</v>
      </c>
      <c r="AN15" s="32">
        <f ca="1">SUM(현금흐름!AN10:AN11)</f>
        <v>70183.481918260892</v>
      </c>
      <c r="AO15" s="32">
        <f ca="1">SUM(현금흐름!AO10:AO11)</f>
        <v>0</v>
      </c>
      <c r="AP15" s="32">
        <f ca="1">SUM(현금흐름!AP10:AP11)</f>
        <v>0</v>
      </c>
      <c r="AQ15" s="32">
        <f ca="1">SUM(현금흐름!AQ10:AQ11)</f>
        <v>70183.481918260892</v>
      </c>
      <c r="AR15" s="32">
        <f ca="1">SUM(현금흐름!AR10:AR11)</f>
        <v>0</v>
      </c>
      <c r="AS15" s="32">
        <f ca="1">SUM(현금흐름!AS10:AS11)</f>
        <v>0</v>
      </c>
      <c r="AT15" s="32">
        <f ca="1">SUM(현금흐름!AT10:AT11)</f>
        <v>0</v>
      </c>
      <c r="AU15" s="32">
        <f ca="1">SUM(현금흐름!AU10:AU11)</f>
        <v>0</v>
      </c>
      <c r="AV15" s="32">
        <f ca="1">SUM(현금흐름!AV10:AV11)</f>
        <v>0</v>
      </c>
      <c r="AW15" s="32">
        <f ca="1">SUM(현금흐름!AW10:AW11)</f>
        <v>0</v>
      </c>
      <c r="AX15" s="32">
        <f ca="1">SUM(현금흐름!AX10:AX11)</f>
        <v>0</v>
      </c>
      <c r="AY15" s="32">
        <f ca="1">SUM(현금흐름!AY10:AY11)</f>
        <v>0</v>
      </c>
      <c r="AZ15" s="32">
        <f ca="1">SUM(현금흐름!AZ10:AZ11)</f>
        <v>0</v>
      </c>
      <c r="BA15" s="32">
        <f ca="1">SUM(현금흐름!BA10:BA11)</f>
        <v>0</v>
      </c>
      <c r="BB15" s="32">
        <f ca="1">SUM(현금흐름!BB10:BB11)</f>
        <v>0</v>
      </c>
      <c r="BC15" s="32">
        <f ca="1">SUM(현금흐름!BC10:BC11)</f>
        <v>1101.4024999999999</v>
      </c>
      <c r="BD15" s="32">
        <f ca="1">SUM(현금흐름!BD10:BD11)</f>
        <v>3304.2074999999995</v>
      </c>
      <c r="BE15" s="32">
        <f ca="1">SUM(현금흐름!BE10:BE11)</f>
        <v>5507.0124999999998</v>
      </c>
      <c r="BF15" s="32">
        <f ca="1">SUM(현금흐름!BF10:BF11)</f>
        <v>3304.2075</v>
      </c>
      <c r="BG15" s="32">
        <f ca="1">SUM(현금흐름!BG10:BG11)</f>
        <v>230375.69075478267</v>
      </c>
      <c r="BH15" s="32">
        <f ca="1">SUM(현금흐름!BH10:BH11)</f>
        <v>0</v>
      </c>
      <c r="BI15" s="32">
        <f ca="1">SUM(현금흐름!BI10:BI11)</f>
        <v>0</v>
      </c>
      <c r="BJ15" s="32">
        <f ca="1">SUM(현금흐름!BJ10:BJ11)</f>
        <v>0</v>
      </c>
      <c r="BK15" s="32">
        <f ca="1">SUM(현금흐름!BK10:BK11)</f>
        <v>0</v>
      </c>
    </row>
    <row r="16" spans="1:65" ht="13.5" customHeight="1">
      <c r="B16" s="24" t="s">
        <v>431</v>
      </c>
      <c r="C16" s="24"/>
      <c r="D16" s="24"/>
      <c r="E16" s="24"/>
      <c r="F16" s="24"/>
      <c r="G16" s="24"/>
      <c r="H16" s="24"/>
      <c r="I16" s="24">
        <f>현금흐름!I48</f>
        <v>0</v>
      </c>
      <c r="J16" s="24">
        <f ca="1">현금흐름!J48</f>
        <v>21121.350112597371</v>
      </c>
      <c r="K16" s="24">
        <f ca="1">현금흐름!K48</f>
        <v>21000.267195623546</v>
      </c>
      <c r="L16" s="24">
        <f ca="1">현금흐름!L48</f>
        <v>20879.184273615167</v>
      </c>
      <c r="M16" s="24">
        <f ca="1">현금흐름!M48</f>
        <v>14129.488963351045</v>
      </c>
      <c r="N16" s="24">
        <f ca="1">현금흐름!N48</f>
        <v>13981.378540877173</v>
      </c>
      <c r="O16" s="24">
        <f ca="1">현금흐름!O48</f>
        <v>13833.268054910819</v>
      </c>
      <c r="P16" s="24">
        <f ca="1">현금흐름!P48</f>
        <v>11747.657563826899</v>
      </c>
      <c r="Q16" s="24">
        <f ca="1">현금흐름!Q48</f>
        <v>11599.547016266077</v>
      </c>
      <c r="R16" s="24">
        <f ca="1">현금흐름!R48</f>
        <v>11451.436412371904</v>
      </c>
      <c r="S16" s="24">
        <f ca="1">현금흐름!S48</f>
        <v>9365.825808608417</v>
      </c>
      <c r="T16" s="24">
        <f ca="1">현금흐름!T48</f>
        <v>9217.7152083287292</v>
      </c>
      <c r="U16" s="24">
        <f ca="1">현금흐름!U48</f>
        <v>9069.6046118000886</v>
      </c>
      <c r="V16" s="24">
        <f ca="1">현금흐름!V48</f>
        <v>6983.9940155484037</v>
      </c>
      <c r="W16" s="24">
        <f ca="1">현금흐름!W48</f>
        <v>4338.5482613943186</v>
      </c>
      <c r="X16" s="24">
        <f ca="1">현금흐름!X48</f>
        <v>276.78011226732315</v>
      </c>
      <c r="Y16" s="24">
        <f ca="1">현금흐름!Y48</f>
        <v>2.3167292101788917E-4</v>
      </c>
      <c r="Z16" s="24">
        <f ca="1">현금흐름!Z48</f>
        <v>1089.4936024459753</v>
      </c>
      <c r="AA16" s="24">
        <f ca="1">현금흐름!AA48</f>
        <v>2687.8176975585707</v>
      </c>
      <c r="AB16" s="24">
        <f ca="1">현금흐름!AB48</f>
        <v>262.88398129355983</v>
      </c>
      <c r="AC16" s="24">
        <f ca="1">현금흐름!AC48</f>
        <v>23071.52703542955</v>
      </c>
      <c r="AD16" s="24">
        <f ca="1">현금흐름!AD48</f>
        <v>27689.060587549189</v>
      </c>
      <c r="AE16" s="24">
        <f ca="1">현금흐름!AE48</f>
        <v>29661.420193101909</v>
      </c>
      <c r="AF16" s="24">
        <f ca="1">현금흐름!AF48</f>
        <v>73618.717131224665</v>
      </c>
      <c r="AG16" s="24">
        <f ca="1">현금흐름!AG48</f>
        <v>81912.793398369846</v>
      </c>
      <c r="AH16" s="24">
        <f ca="1">현금흐름!AH48</f>
        <v>87459.238970244391</v>
      </c>
      <c r="AI16" s="24">
        <f ca="1">현금흐름!AI48</f>
        <v>152807.7164858387</v>
      </c>
      <c r="AJ16" s="24">
        <f ca="1">현금흐름!AJ48</f>
        <v>165435.66871600144</v>
      </c>
      <c r="AK16" s="24">
        <f ca="1">현금흐름!AK48</f>
        <v>175515.30232762801</v>
      </c>
      <c r="AL16" s="24">
        <f ca="1">현금흐름!AL48</f>
        <v>235027.1364536527</v>
      </c>
      <c r="AM16" s="24">
        <f ca="1">현금흐름!AM48</f>
        <v>224286.04681140717</v>
      </c>
      <c r="AN16" s="24">
        <f ca="1">현금흐름!AN48</f>
        <v>211334.08522562706</v>
      </c>
      <c r="AO16" s="24">
        <f ca="1">현금흐름!AO48</f>
        <v>269837.66869464528</v>
      </c>
      <c r="AP16" s="24">
        <f ca="1">현금흐름!AP48</f>
        <v>258226.59726771142</v>
      </c>
      <c r="AQ16" s="24">
        <f ca="1">현금흐름!AQ48</f>
        <v>244377.00010811523</v>
      </c>
      <c r="AR16" s="24">
        <f ca="1">현금흐름!AR48</f>
        <v>301982.94801993965</v>
      </c>
      <c r="AS16" s="24">
        <f ca="1">현금흐름!AS48</f>
        <v>289280.66460418236</v>
      </c>
      <c r="AT16" s="24">
        <f ca="1">현금흐름!AT48</f>
        <v>274754.66208312905</v>
      </c>
      <c r="AU16" s="24">
        <f ca="1">현금흐름!AU48</f>
        <v>262660.76172919659</v>
      </c>
      <c r="AV16" s="24">
        <f ca="1">현금흐름!AV48</f>
        <v>250898.7066845267</v>
      </c>
      <c r="AW16" s="24">
        <f ca="1">현금흐름!AW48</f>
        <v>237080.91079916788</v>
      </c>
      <c r="AX16" s="24">
        <f ca="1">현금흐름!AX48</f>
        <v>225761.31616324119</v>
      </c>
      <c r="AY16" s="24">
        <f ca="1">현금흐름!AY48</f>
        <v>214635.29790750926</v>
      </c>
      <c r="AZ16" s="24">
        <f ca="1">현금흐름!AZ48</f>
        <v>201768.52184928473</v>
      </c>
      <c r="BA16" s="24">
        <f ca="1">현금흐름!BA48</f>
        <v>191112.61783829358</v>
      </c>
      <c r="BB16" s="24">
        <f ca="1">현금흐름!BB48</f>
        <v>181396.94214843761</v>
      </c>
      <c r="BC16" s="24">
        <f ca="1">현금흐름!BC48</f>
        <v>170465.93038891227</v>
      </c>
      <c r="BD16" s="24">
        <f ca="1">현금흐름!BD48</f>
        <v>162904.16295574603</v>
      </c>
      <c r="BE16" s="24">
        <f ca="1">현금흐름!BE48</f>
        <v>152880.58857483169</v>
      </c>
      <c r="BF16" s="24">
        <f ca="1">현금흐름!BF48</f>
        <v>149051.32452227257</v>
      </c>
      <c r="BG16" s="24">
        <f ca="1">현금흐름!BG48</f>
        <v>146554.35586860977</v>
      </c>
      <c r="BH16" s="24">
        <f ca="1">현금흐름!BH48</f>
        <v>360247.99579239648</v>
      </c>
      <c r="BI16" s="24">
        <f ca="1">현금흐름!BI48</f>
        <v>357841.32191645907</v>
      </c>
      <c r="BJ16" s="24">
        <f ca="1">현금흐름!BJ48</f>
        <v>357720.23897441971</v>
      </c>
      <c r="BK16" s="24">
        <f ca="1">현금흐름!BK48</f>
        <v>1078.0001181953121</v>
      </c>
    </row>
    <row r="17" spans="2:63" ht="13.5" customHeight="1">
      <c r="B17" s="1" t="s">
        <v>430</v>
      </c>
      <c r="I17" s="1">
        <f t="shared" ref="I17:AN17" ca="1" si="1">SUM(I9:I16)</f>
        <v>21121.350112676009</v>
      </c>
      <c r="J17" s="1">
        <f t="shared" ca="1" si="1"/>
        <v>21000.267195705852</v>
      </c>
      <c r="K17" s="1">
        <f t="shared" ca="1" si="1"/>
        <v>20879.184278732027</v>
      </c>
      <c r="L17" s="1">
        <f t="shared" ca="1" si="1"/>
        <v>14129.488973656158</v>
      </c>
      <c r="M17" s="1">
        <f t="shared" ca="1" si="1"/>
        <v>13981.378609653382</v>
      </c>
      <c r="N17" s="1">
        <f t="shared" ca="1" si="1"/>
        <v>13833.26818717951</v>
      </c>
      <c r="O17" s="1">
        <f t="shared" ca="1" si="1"/>
        <v>11747.657701213157</v>
      </c>
      <c r="P17" s="1">
        <f t="shared" ca="1" si="1"/>
        <v>11599.547210129236</v>
      </c>
      <c r="Q17" s="1">
        <f t="shared" ca="1" si="1"/>
        <v>11451.436662568414</v>
      </c>
      <c r="R17" s="1">
        <f t="shared" ca="1" si="1"/>
        <v>9365.8260586742435</v>
      </c>
      <c r="S17" s="1">
        <f t="shared" ca="1" si="1"/>
        <v>9217.7154549107545</v>
      </c>
      <c r="T17" s="1">
        <f t="shared" ca="1" si="1"/>
        <v>9069.6048546310667</v>
      </c>
      <c r="U17" s="1">
        <f t="shared" ca="1" si="1"/>
        <v>6983.9942581024279</v>
      </c>
      <c r="V17" s="1">
        <f t="shared" ca="1" si="1"/>
        <v>4338.5485009631557</v>
      </c>
      <c r="W17" s="1">
        <f t="shared" ca="1" si="1"/>
        <v>276.78034845058619</v>
      </c>
      <c r="X17" s="1">
        <f t="shared" ca="1" si="1"/>
        <v>-12683.082202284455</v>
      </c>
      <c r="Y17" s="1">
        <f t="shared" ca="1" si="1"/>
        <v>1089.4935963770063</v>
      </c>
      <c r="Z17" s="1">
        <f t="shared" ca="1" si="1"/>
        <v>2687.8176919320344</v>
      </c>
      <c r="AA17" s="1">
        <f t="shared" ca="1" si="1"/>
        <v>262.8839163411717</v>
      </c>
      <c r="AB17" s="1">
        <f t="shared" ca="1" si="1"/>
        <v>23071.526959953266</v>
      </c>
      <c r="AC17" s="1">
        <f t="shared" ca="1" si="1"/>
        <v>27689.060596533178</v>
      </c>
      <c r="AD17" s="1">
        <f t="shared" ca="1" si="1"/>
        <v>29661.420210465672</v>
      </c>
      <c r="AE17" s="1">
        <f t="shared" ca="1" si="1"/>
        <v>73618.717142271489</v>
      </c>
      <c r="AF17" s="1">
        <f t="shared" ca="1" si="1"/>
        <v>81912.793410882092</v>
      </c>
      <c r="AG17" s="1">
        <f t="shared" ca="1" si="1"/>
        <v>87459.238987155899</v>
      </c>
      <c r="AH17" s="1">
        <f t="shared" ca="1" si="1"/>
        <v>152807.7165028601</v>
      </c>
      <c r="AI17" s="1">
        <f t="shared" ca="1" si="1"/>
        <v>165435.66873098616</v>
      </c>
      <c r="AJ17" s="1">
        <f t="shared" ca="1" si="1"/>
        <v>175515.3023489792</v>
      </c>
      <c r="AK17" s="1">
        <f t="shared" ca="1" si="1"/>
        <v>235027.13647531363</v>
      </c>
      <c r="AL17" s="1">
        <f t="shared" ca="1" si="1"/>
        <v>224286.04683048979</v>
      </c>
      <c r="AM17" s="1">
        <f t="shared" ca="1" si="1"/>
        <v>211334.08525349703</v>
      </c>
      <c r="AN17" s="1">
        <f t="shared" ca="1" si="1"/>
        <v>269837.66871678515</v>
      </c>
      <c r="AO17" s="1">
        <f t="shared" ref="AO17:BK17" ca="1" si="2">SUM(AO9:AO16)</f>
        <v>258226.59729295486</v>
      </c>
      <c r="AP17" s="1">
        <f t="shared" ca="1" si="2"/>
        <v>244377.00014196502</v>
      </c>
      <c r="AQ17" s="1">
        <f t="shared" ca="1" si="2"/>
        <v>301982.94804514578</v>
      </c>
      <c r="AR17" s="1">
        <f t="shared" ca="1" si="2"/>
        <v>289280.6646349217</v>
      </c>
      <c r="AS17" s="1">
        <f t="shared" ca="1" si="2"/>
        <v>274754.66211549286</v>
      </c>
      <c r="AT17" s="1">
        <f t="shared" ca="1" si="2"/>
        <v>262660.76176131109</v>
      </c>
      <c r="AU17" s="1">
        <f t="shared" ca="1" si="2"/>
        <v>250898.70671457861</v>
      </c>
      <c r="AV17" s="1">
        <f t="shared" ca="1" si="2"/>
        <v>237080.91083419154</v>
      </c>
      <c r="AW17" s="1">
        <f t="shared" ca="1" si="2"/>
        <v>225761.3161941499</v>
      </c>
      <c r="AX17" s="1">
        <f t="shared" ca="1" si="2"/>
        <v>214635.29798742323</v>
      </c>
      <c r="AY17" s="1">
        <f t="shared" ca="1" si="2"/>
        <v>201768.52193226913</v>
      </c>
      <c r="AZ17" s="1">
        <f t="shared" ca="1" si="2"/>
        <v>191112.61785866678</v>
      </c>
      <c r="BA17" s="1">
        <f t="shared" ca="1" si="2"/>
        <v>181396.94221807562</v>
      </c>
      <c r="BB17" s="1">
        <f t="shared" ca="1" si="2"/>
        <v>170465.93046001915</v>
      </c>
      <c r="BC17" s="1">
        <f t="shared" ca="1" si="2"/>
        <v>162904.16297070213</v>
      </c>
      <c r="BD17" s="1">
        <f t="shared" ca="1" si="2"/>
        <v>152880.588586734</v>
      </c>
      <c r="BE17" s="1">
        <f t="shared" ca="1" si="2"/>
        <v>149051.32453572762</v>
      </c>
      <c r="BF17" s="1">
        <f t="shared" ca="1" si="2"/>
        <v>146554.35588583571</v>
      </c>
      <c r="BG17" s="1">
        <f t="shared" ca="1" si="2"/>
        <v>360247.99580831442</v>
      </c>
      <c r="BH17" s="1">
        <f t="shared" ca="1" si="2"/>
        <v>357841.32193316484</v>
      </c>
      <c r="BI17" s="1">
        <f t="shared" ca="1" si="2"/>
        <v>357720.23899956758</v>
      </c>
      <c r="BJ17" s="1">
        <f t="shared" ca="1" si="2"/>
        <v>173494.02265859756</v>
      </c>
      <c r="BK17" s="1">
        <f t="shared" ca="1" si="2"/>
        <v>1078.0001181953121</v>
      </c>
    </row>
    <row r="19" spans="2:63" ht="13.5" customHeight="1">
      <c r="B19" s="14" t="s">
        <v>432</v>
      </c>
    </row>
    <row r="20" spans="2:63" ht="13.5" customHeight="1">
      <c r="C20" s="1" t="s">
        <v>350</v>
      </c>
      <c r="I20" s="1">
        <v>0</v>
      </c>
      <c r="J20" s="1">
        <f t="shared" ref="J20:AO20" ca="1" si="3">I23</f>
        <v>0</v>
      </c>
      <c r="K20" s="1">
        <f t="shared" ca="1" si="3"/>
        <v>0</v>
      </c>
      <c r="L20" s="1">
        <f t="shared" ca="1" si="3"/>
        <v>0</v>
      </c>
      <c r="M20" s="1">
        <f t="shared" ca="1" si="3"/>
        <v>0</v>
      </c>
      <c r="N20" s="1">
        <f t="shared" ca="1" si="3"/>
        <v>0</v>
      </c>
      <c r="O20" s="1">
        <f t="shared" ca="1" si="3"/>
        <v>0</v>
      </c>
      <c r="P20" s="1">
        <f t="shared" ca="1" si="3"/>
        <v>0</v>
      </c>
      <c r="Q20" s="1">
        <f t="shared" ca="1" si="3"/>
        <v>0</v>
      </c>
      <c r="R20" s="1">
        <f t="shared" ca="1" si="3"/>
        <v>0</v>
      </c>
      <c r="S20" s="1">
        <f t="shared" ca="1" si="3"/>
        <v>0</v>
      </c>
      <c r="T20" s="1">
        <f t="shared" ca="1" si="3"/>
        <v>0</v>
      </c>
      <c r="U20" s="1">
        <f t="shared" ca="1" si="3"/>
        <v>0</v>
      </c>
      <c r="V20" s="1">
        <f t="shared" ca="1" si="3"/>
        <v>0</v>
      </c>
      <c r="W20" s="1">
        <f t="shared" ca="1" si="3"/>
        <v>0</v>
      </c>
      <c r="X20" s="1">
        <f t="shared" ca="1" si="3"/>
        <v>0</v>
      </c>
      <c r="Y20" s="1">
        <f t="shared" ca="1" si="3"/>
        <v>12683.082438554171</v>
      </c>
      <c r="Z20" s="1">
        <f t="shared" ca="1" si="3"/>
        <v>12683.082670227104</v>
      </c>
      <c r="AA20" s="1">
        <f t="shared" ca="1" si="3"/>
        <v>12683.082907969008</v>
      </c>
      <c r="AB20" s="1">
        <f t="shared" ca="1" si="3"/>
        <v>12683.083151337432</v>
      </c>
      <c r="AC20" s="1">
        <f t="shared" ca="1" si="3"/>
        <v>12683.083465192061</v>
      </c>
      <c r="AD20" s="1">
        <f t="shared" ca="1" si="3"/>
        <v>12683.083860179311</v>
      </c>
      <c r="AE20" s="1">
        <f t="shared" ca="1" si="3"/>
        <v>12683.084251790058</v>
      </c>
      <c r="AF20" s="1">
        <f t="shared" ca="1" si="3"/>
        <v>12683.084636379592</v>
      </c>
      <c r="AG20" s="1">
        <f t="shared" ca="1" si="3"/>
        <v>12683.085020209664</v>
      </c>
      <c r="AH20" s="1">
        <f t="shared" ca="1" si="3"/>
        <v>12683.085401773886</v>
      </c>
      <c r="AI20" s="1">
        <f t="shared" ca="1" si="3"/>
        <v>12683.085781340329</v>
      </c>
      <c r="AJ20" s="1">
        <f t="shared" ca="1" si="3"/>
        <v>12683.086158738028</v>
      </c>
      <c r="AK20" s="1">
        <f t="shared" ca="1" si="3"/>
        <v>12683.08653595113</v>
      </c>
      <c r="AL20" s="1">
        <f t="shared" ca="1" si="3"/>
        <v>12683.086911174849</v>
      </c>
      <c r="AM20" s="1">
        <f t="shared" ca="1" si="3"/>
        <v>12683.087284052917</v>
      </c>
      <c r="AN20" s="1">
        <f t="shared" ca="1" si="3"/>
        <v>12683.08765709064</v>
      </c>
      <c r="AO20" s="1">
        <f t="shared" ca="1" si="3"/>
        <v>12683.088025981817</v>
      </c>
      <c r="AP20" s="1">
        <f t="shared" ref="AP20:BK20" ca="1" si="4">AO23</f>
        <v>12683.088396359859</v>
      </c>
      <c r="AQ20" s="1">
        <f t="shared" ca="1" si="4"/>
        <v>12683.088764996137</v>
      </c>
      <c r="AR20" s="1">
        <f t="shared" ca="1" si="4"/>
        <v>12683.089127818159</v>
      </c>
      <c r="AS20" s="1">
        <f t="shared" ca="1" si="4"/>
        <v>12683.089493403724</v>
      </c>
      <c r="AT20" s="1">
        <f t="shared" ca="1" si="4"/>
        <v>12683.089856211591</v>
      </c>
      <c r="AU20" s="1">
        <f t="shared" ca="1" si="4"/>
        <v>12683.090219002488</v>
      </c>
      <c r="AV20" s="1">
        <f t="shared" ca="1" si="4"/>
        <v>12683.090581727163</v>
      </c>
      <c r="AW20" s="1">
        <f t="shared" ca="1" si="4"/>
        <v>12683.090944444841</v>
      </c>
      <c r="AX20" s="1">
        <f t="shared" ca="1" si="4"/>
        <v>12683.091302119492</v>
      </c>
      <c r="AY20" s="1">
        <f t="shared" ca="1" si="4"/>
        <v>12683.091654619024</v>
      </c>
      <c r="AZ20" s="1">
        <f t="shared" ca="1" si="4"/>
        <v>12683.091948646892</v>
      </c>
      <c r="BA20" s="1">
        <f t="shared" ca="1" si="4"/>
        <v>12683.092179181656</v>
      </c>
      <c r="BB20" s="1">
        <f t="shared" ca="1" si="4"/>
        <v>12683.092404598276</v>
      </c>
      <c r="BC20" s="1">
        <f t="shared" ca="1" si="4"/>
        <v>12683.092573537382</v>
      </c>
      <c r="BD20" s="1">
        <f t="shared" ca="1" si="4"/>
        <v>12683.092686142523</v>
      </c>
      <c r="BE20" s="1">
        <f t="shared" ca="1" si="4"/>
        <v>12683.092798877729</v>
      </c>
      <c r="BF20" s="1">
        <f t="shared" ca="1" si="4"/>
        <v>12683.092915096029</v>
      </c>
      <c r="BG20" s="1">
        <f t="shared" ca="1" si="4"/>
        <v>12683.093035064876</v>
      </c>
      <c r="BH20" s="1">
        <f t="shared" ca="1" si="4"/>
        <v>12683.093155307879</v>
      </c>
      <c r="BI20" s="1">
        <f t="shared" ca="1" si="4"/>
        <v>12683.093278534792</v>
      </c>
      <c r="BJ20" s="1">
        <f t="shared" ca="1" si="4"/>
        <v>12683.093405007183</v>
      </c>
      <c r="BK20" s="1">
        <f t="shared" ca="1" si="4"/>
        <v>0</v>
      </c>
    </row>
    <row r="21" spans="2:63" ht="13.5" customHeight="1">
      <c r="C21" s="1" t="s">
        <v>418</v>
      </c>
      <c r="G21" s="1">
        <f ca="1">SUM(H21:XFD21)</f>
        <v>12683.082438554171</v>
      </c>
      <c r="I21" s="1">
        <f ca="1">MIN(I17,0)*-1*(I$8&gt;='A&amp;R'!$V$38)*(I$8&lt;'A&amp;R'!$W$38)</f>
        <v>0</v>
      </c>
      <c r="J21" s="1">
        <f ca="1">MIN(J17,0)*-1*(J$8&gt;='A&amp;R'!$V$38)*(J$8&lt;'A&amp;R'!$W$38)</f>
        <v>0</v>
      </c>
      <c r="K21" s="1">
        <f ca="1">MIN(K17,0)*-1*(K$8&gt;='A&amp;R'!$V$38)*(K$8&lt;'A&amp;R'!$W$38)</f>
        <v>0</v>
      </c>
      <c r="L21" s="1">
        <f ca="1">MIN(L17,0)*-1*(L$8&gt;='A&amp;R'!$V$38)*(L$8&lt;'A&amp;R'!$W$38)</f>
        <v>0</v>
      </c>
      <c r="M21" s="1">
        <f ca="1">MIN(M17,0)*-1*(M$8&gt;='A&amp;R'!$V$38)*(M$8&lt;'A&amp;R'!$W$38)</f>
        <v>0</v>
      </c>
      <c r="N21" s="1">
        <f ca="1">MIN(N17,0)*-1*(N$8&gt;='A&amp;R'!$V$38)*(N$8&lt;'A&amp;R'!$W$38)</f>
        <v>0</v>
      </c>
      <c r="O21" s="1">
        <f ca="1">MIN(O17,0)*-1*(O$8&gt;='A&amp;R'!$V$38)*(O$8&lt;'A&amp;R'!$W$38)</f>
        <v>0</v>
      </c>
      <c r="P21" s="1">
        <f ca="1">MIN(P17,0)*-1*(P$8&gt;='A&amp;R'!$V$38)*(P$8&lt;'A&amp;R'!$W$38)</f>
        <v>0</v>
      </c>
      <c r="Q21" s="1">
        <f ca="1">MIN(Q17,0)*-1*(Q$8&gt;='A&amp;R'!$V$38)*(Q$8&lt;'A&amp;R'!$W$38)</f>
        <v>0</v>
      </c>
      <c r="R21" s="1">
        <f ca="1">MIN(R17,0)*-1*(R$8&gt;='A&amp;R'!$V$38)*(R$8&lt;'A&amp;R'!$W$38)</f>
        <v>0</v>
      </c>
      <c r="S21" s="1">
        <f ca="1">MIN(S17,0)*-1*(S$8&gt;='A&amp;R'!$V$38)*(S$8&lt;'A&amp;R'!$W$38)</f>
        <v>0</v>
      </c>
      <c r="T21" s="1">
        <f ca="1">MIN(T17,0)*-1*(T$8&gt;='A&amp;R'!$V$38)*(T$8&lt;'A&amp;R'!$W$38)</f>
        <v>0</v>
      </c>
      <c r="U21" s="1">
        <f ca="1">MIN(U17,0)*-1*(U$8&gt;='A&amp;R'!$V$38)*(U$8&lt;'A&amp;R'!$W$38)</f>
        <v>0</v>
      </c>
      <c r="V21" s="1">
        <f ca="1">MIN(V17,0)*-1*(V$8&gt;='A&amp;R'!$V$38)*(V$8&lt;'A&amp;R'!$W$38)</f>
        <v>0</v>
      </c>
      <c r="W21" s="1">
        <f ca="1">MIN(W17,0)*-1*(W$8&gt;='A&amp;R'!$V$38)*(W$8&lt;'A&amp;R'!$W$38)</f>
        <v>0</v>
      </c>
      <c r="X21" s="1">
        <f ca="1">MIN(X17,0)*-1*(X$8&gt;='A&amp;R'!$V$38)*(X$8&lt;'A&amp;R'!$W$38)</f>
        <v>12683.082202284455</v>
      </c>
      <c r="Y21" s="1">
        <f ca="1">MIN(Y17,0)*-1*(Y$8&gt;='A&amp;R'!$V$38)*(Y$8&lt;'A&amp;R'!$W$38)</f>
        <v>0</v>
      </c>
      <c r="Z21" s="1">
        <f ca="1">MIN(Z17,0)*-1*(Z$8&gt;='A&amp;R'!$V$38)*(Z$8&lt;'A&amp;R'!$W$38)</f>
        <v>0</v>
      </c>
      <c r="AA21" s="1">
        <f ca="1">MIN(AA17,0)*-1*(AA$8&gt;='A&amp;R'!$V$38)*(AA$8&lt;'A&amp;R'!$W$38)</f>
        <v>0</v>
      </c>
      <c r="AB21" s="1">
        <f ca="1">MIN(AB17,0)*-1*(AB$8&gt;='A&amp;R'!$V$38)*(AB$8&lt;'A&amp;R'!$W$38)</f>
        <v>0</v>
      </c>
      <c r="AC21" s="1">
        <f ca="1">MIN(AC17,0)*-1*(AC$8&gt;='A&amp;R'!$V$38)*(AC$8&lt;'A&amp;R'!$W$38)</f>
        <v>0</v>
      </c>
      <c r="AD21" s="1">
        <f ca="1">MIN(AD17,0)*-1*(AD$8&gt;='A&amp;R'!$V$38)*(AD$8&lt;'A&amp;R'!$W$38)</f>
        <v>0</v>
      </c>
      <c r="AE21" s="1">
        <f ca="1">MIN(AE17,0)*-1*(AE$8&gt;='A&amp;R'!$V$38)*(AE$8&lt;'A&amp;R'!$W$38)</f>
        <v>0</v>
      </c>
      <c r="AF21" s="1">
        <f ca="1">MIN(AF17,0)*-1*(AF$8&gt;='A&amp;R'!$V$38)*(AF$8&lt;'A&amp;R'!$W$38)</f>
        <v>0</v>
      </c>
      <c r="AG21" s="1">
        <f ca="1">MIN(AG17,0)*-1*(AG$8&gt;='A&amp;R'!$V$38)*(AG$8&lt;'A&amp;R'!$W$38)</f>
        <v>0</v>
      </c>
      <c r="AH21" s="1">
        <f ca="1">MIN(AH17,0)*-1*(AH$8&gt;='A&amp;R'!$V$38)*(AH$8&lt;'A&amp;R'!$W$38)</f>
        <v>0</v>
      </c>
      <c r="AI21" s="1">
        <f ca="1">MIN(AI17,0)*-1*(AI$8&gt;='A&amp;R'!$V$38)*(AI$8&lt;'A&amp;R'!$W$38)</f>
        <v>0</v>
      </c>
      <c r="AJ21" s="1">
        <f ca="1">MIN(AJ17,0)*-1*(AJ$8&gt;='A&amp;R'!$V$38)*(AJ$8&lt;'A&amp;R'!$W$38)</f>
        <v>0</v>
      </c>
      <c r="AK21" s="1">
        <f ca="1">MIN(AK17,0)*-1*(AK$8&gt;='A&amp;R'!$V$38)*(AK$8&lt;'A&amp;R'!$W$38)</f>
        <v>0</v>
      </c>
      <c r="AL21" s="1">
        <f ca="1">MIN(AL17,0)*-1*(AL$8&gt;='A&amp;R'!$V$38)*(AL$8&lt;'A&amp;R'!$W$38)</f>
        <v>0</v>
      </c>
      <c r="AM21" s="1">
        <f ca="1">MIN(AM17,0)*-1*(AM$8&gt;='A&amp;R'!$V$38)*(AM$8&lt;'A&amp;R'!$W$38)</f>
        <v>0</v>
      </c>
      <c r="AN21" s="1">
        <f ca="1">MIN(AN17,0)*-1*(AN$8&gt;='A&amp;R'!$V$38)*(AN$8&lt;'A&amp;R'!$W$38)</f>
        <v>0</v>
      </c>
      <c r="AO21" s="1">
        <f ca="1">MIN(AO17,0)*-1*(AO$8&gt;='A&amp;R'!$V$38)*(AO$8&lt;'A&amp;R'!$W$38)</f>
        <v>0</v>
      </c>
      <c r="AP21" s="1">
        <f ca="1">MIN(AP17,0)*-1*(AP$8&gt;='A&amp;R'!$V$38)*(AP$8&lt;'A&amp;R'!$W$38)</f>
        <v>0</v>
      </c>
      <c r="AQ21" s="1">
        <f ca="1">MIN(AQ17,0)*-1*(AQ$8&gt;='A&amp;R'!$V$38)*(AQ$8&lt;'A&amp;R'!$W$38)</f>
        <v>0</v>
      </c>
      <c r="AR21" s="1">
        <f ca="1">MIN(AR17,0)*-1*(AR$8&gt;='A&amp;R'!$V$38)*(AR$8&lt;'A&amp;R'!$W$38)</f>
        <v>0</v>
      </c>
      <c r="AS21" s="1">
        <f ca="1">MIN(AS17,0)*-1*(AS$8&gt;='A&amp;R'!$V$38)*(AS$8&lt;'A&amp;R'!$W$38)</f>
        <v>0</v>
      </c>
      <c r="AT21" s="1">
        <f ca="1">MIN(AT17,0)*-1*(AT$8&gt;='A&amp;R'!$V$38)*(AT$8&lt;'A&amp;R'!$W$38)</f>
        <v>0</v>
      </c>
      <c r="AU21" s="1">
        <f ca="1">MIN(AU17,0)*-1*(AU$8&gt;='A&amp;R'!$V$38)*(AU$8&lt;'A&amp;R'!$W$38)</f>
        <v>0</v>
      </c>
      <c r="AV21" s="1">
        <f ca="1">MIN(AV17,0)*-1*(AV$8&gt;='A&amp;R'!$V$38)*(AV$8&lt;'A&amp;R'!$W$38)</f>
        <v>0</v>
      </c>
      <c r="AW21" s="1">
        <f ca="1">MIN(AW17,0)*-1*(AW$8&gt;='A&amp;R'!$V$38)*(AW$8&lt;'A&amp;R'!$W$38)</f>
        <v>0</v>
      </c>
      <c r="AX21" s="1">
        <f ca="1">MIN(AX17,0)*-1*(AX$8&gt;='A&amp;R'!$V$38)*(AX$8&lt;'A&amp;R'!$W$38)</f>
        <v>0</v>
      </c>
      <c r="AY21" s="1">
        <f ca="1">MIN(AY17,0)*-1*(AY$8&gt;='A&amp;R'!$V$38)*(AY$8&lt;'A&amp;R'!$W$38)</f>
        <v>0</v>
      </c>
      <c r="AZ21" s="1">
        <f ca="1">MIN(AZ17,0)*-1*(AZ$8&gt;='A&amp;R'!$V$38)*(AZ$8&lt;'A&amp;R'!$W$38)</f>
        <v>0</v>
      </c>
      <c r="BA21" s="1">
        <f ca="1">MIN(BA17,0)*-1*(BA$8&gt;='A&amp;R'!$V$38)*(BA$8&lt;'A&amp;R'!$W$38)</f>
        <v>0</v>
      </c>
      <c r="BB21" s="1">
        <f ca="1">MIN(BB17,0)*-1*(BB$8&gt;='A&amp;R'!$V$38)*(BB$8&lt;'A&amp;R'!$W$38)</f>
        <v>0</v>
      </c>
      <c r="BC21" s="1">
        <f ca="1">MIN(BC17,0)*-1*(BC$8&gt;='A&amp;R'!$V$38)*(BC$8&lt;'A&amp;R'!$W$38)</f>
        <v>0</v>
      </c>
      <c r="BD21" s="1">
        <f ca="1">MIN(BD17,0)*-1*(BD$8&gt;='A&amp;R'!$V$38)*(BD$8&lt;'A&amp;R'!$W$38)</f>
        <v>0</v>
      </c>
      <c r="BE21" s="1">
        <f ca="1">MIN(BE17,0)*-1*(BE$8&gt;='A&amp;R'!$V$38)*(BE$8&lt;'A&amp;R'!$W$38)</f>
        <v>0</v>
      </c>
      <c r="BF21" s="1">
        <f ca="1">MIN(BF17,0)*-1*(BF$8&gt;='A&amp;R'!$V$38)*(BF$8&lt;'A&amp;R'!$W$38)</f>
        <v>0</v>
      </c>
      <c r="BG21" s="1">
        <f ca="1">MIN(BG17,0)*-1*(BG$8&gt;='A&amp;R'!$V$38)*(BG$8&lt;'A&amp;R'!$W$38)</f>
        <v>0</v>
      </c>
      <c r="BH21" s="1">
        <f ca="1">MIN(BH17,0)*-1*(BH$8&gt;='A&amp;R'!$V$38)*(BH$8&lt;'A&amp;R'!$W$38)</f>
        <v>0</v>
      </c>
      <c r="BI21" s="1">
        <f ca="1">MIN(BI17,0)*-1*(BI$8&gt;='A&amp;R'!$V$38)*(BI$8&lt;'A&amp;R'!$W$38)</f>
        <v>0</v>
      </c>
      <c r="BJ21" s="1">
        <f ca="1">MIN(BJ17,0)*-1*(BJ$8&gt;='A&amp;R'!$V$38)*(BJ$8&lt;'A&amp;R'!$W$38)</f>
        <v>0</v>
      </c>
      <c r="BK21" s="1">
        <f ca="1">MIN(BK17,0)*-1*(BK$8&gt;='A&amp;R'!$V$38)*(BK$8&lt;'A&amp;R'!$W$38)</f>
        <v>0</v>
      </c>
    </row>
    <row r="22" spans="2:63" ht="13.5" customHeight="1">
      <c r="C22" s="1" t="s">
        <v>419</v>
      </c>
      <c r="G22" s="1">
        <f ca="1">SUM(H22:XFD22)</f>
        <v>-12683.093531660788</v>
      </c>
      <c r="I22" s="1">
        <f ca="1">MIN(I17,I20)*-1*(I$8='A&amp;R'!$W$38)</f>
        <v>0</v>
      </c>
      <c r="J22" s="1">
        <f ca="1">MIN(J17,J20)*-1*(J$8='A&amp;R'!$W$38)</f>
        <v>0</v>
      </c>
      <c r="K22" s="1">
        <f ca="1">MIN(K17,K20)*-1*(K$8='A&amp;R'!$W$38)</f>
        <v>0</v>
      </c>
      <c r="L22" s="1">
        <f ca="1">MIN(L17,L20)*-1*(L$8='A&amp;R'!$W$38)</f>
        <v>0</v>
      </c>
      <c r="M22" s="1">
        <f ca="1">MIN(M17,M20)*-1*(M$8='A&amp;R'!$W$38)</f>
        <v>0</v>
      </c>
      <c r="N22" s="1">
        <f ca="1">MIN(N17,N20)*-1*(N$8='A&amp;R'!$W$38)</f>
        <v>0</v>
      </c>
      <c r="O22" s="1">
        <f ca="1">MIN(O17,O20)*-1*(O$8='A&amp;R'!$W$38)</f>
        <v>0</v>
      </c>
      <c r="P22" s="1">
        <f ca="1">MIN(P17,P20)*-1*(P$8='A&amp;R'!$W$38)</f>
        <v>0</v>
      </c>
      <c r="Q22" s="1">
        <f ca="1">MIN(Q17,Q20)*-1*(Q$8='A&amp;R'!$W$38)</f>
        <v>0</v>
      </c>
      <c r="R22" s="1">
        <f ca="1">MIN(R17,R20)*-1*(R$8='A&amp;R'!$W$38)</f>
        <v>0</v>
      </c>
      <c r="S22" s="1">
        <f ca="1">MIN(S17,S20)*-1*(S$8='A&amp;R'!$W$38)</f>
        <v>0</v>
      </c>
      <c r="T22" s="1">
        <f ca="1">MIN(T17,T20)*-1*(T$8='A&amp;R'!$W$38)</f>
        <v>0</v>
      </c>
      <c r="U22" s="1">
        <f ca="1">MIN(U17,U20)*-1*(U$8='A&amp;R'!$W$38)</f>
        <v>0</v>
      </c>
      <c r="V22" s="1">
        <f ca="1">MIN(V17,V20)*-1*(V$8='A&amp;R'!$W$38)</f>
        <v>0</v>
      </c>
      <c r="W22" s="1">
        <f ca="1">MIN(W17,W20)*-1*(W$8='A&amp;R'!$W$38)</f>
        <v>0</v>
      </c>
      <c r="X22" s="1">
        <f ca="1">MIN(X17,X20)*-1*(X$8='A&amp;R'!$W$38)</f>
        <v>0</v>
      </c>
      <c r="Y22" s="1">
        <f ca="1">MIN(Y17,Y20)*-1*(Y$8='A&amp;R'!$W$38)</f>
        <v>0</v>
      </c>
      <c r="Z22" s="1">
        <f ca="1">MIN(Z17,Z20)*-1*(Z$8='A&amp;R'!$W$38)</f>
        <v>0</v>
      </c>
      <c r="AA22" s="1">
        <f ca="1">MIN(AA17,AA20)*-1*(AA$8='A&amp;R'!$W$38)</f>
        <v>0</v>
      </c>
      <c r="AB22" s="1">
        <f ca="1">MIN(AB17,AB20)*-1*(AB$8='A&amp;R'!$W$38)</f>
        <v>0</v>
      </c>
      <c r="AC22" s="1">
        <f ca="1">MIN(AC17,AC20)*-1*(AC$8='A&amp;R'!$W$38)</f>
        <v>0</v>
      </c>
      <c r="AD22" s="1">
        <f ca="1">MIN(AD17,AD20)*-1*(AD$8='A&amp;R'!$W$38)</f>
        <v>0</v>
      </c>
      <c r="AE22" s="1">
        <f ca="1">MIN(AE17,AE20)*-1*(AE$8='A&amp;R'!$W$38)</f>
        <v>0</v>
      </c>
      <c r="AF22" s="1">
        <f ca="1">MIN(AF17,AF20)*-1*(AF$8='A&amp;R'!$W$38)</f>
        <v>0</v>
      </c>
      <c r="AG22" s="1">
        <f ca="1">MIN(AG17,AG20)*-1*(AG$8='A&amp;R'!$W$38)</f>
        <v>0</v>
      </c>
      <c r="AH22" s="1">
        <f ca="1">MIN(AH17,AH20)*-1*(AH$8='A&amp;R'!$W$38)</f>
        <v>0</v>
      </c>
      <c r="AI22" s="1">
        <f ca="1">MIN(AI17,AI20)*-1*(AI$8='A&amp;R'!$W$38)</f>
        <v>0</v>
      </c>
      <c r="AJ22" s="1">
        <f ca="1">MIN(AJ17,AJ20)*-1*(AJ$8='A&amp;R'!$W$38)</f>
        <v>0</v>
      </c>
      <c r="AK22" s="1">
        <f ca="1">MIN(AK17,AK20)*-1*(AK$8='A&amp;R'!$W$38)</f>
        <v>0</v>
      </c>
      <c r="AL22" s="1">
        <f ca="1">MIN(AL17,AL20)*-1*(AL$8='A&amp;R'!$W$38)</f>
        <v>0</v>
      </c>
      <c r="AM22" s="1">
        <f ca="1">MIN(AM17,AM20)*-1*(AM$8='A&amp;R'!$W$38)</f>
        <v>0</v>
      </c>
      <c r="AN22" s="1">
        <f ca="1">MIN(AN17,AN20)*-1*(AN$8='A&amp;R'!$W$38)</f>
        <v>0</v>
      </c>
      <c r="AO22" s="1">
        <f ca="1">MIN(AO17,AO20)*-1*(AO$8='A&amp;R'!$W$38)</f>
        <v>0</v>
      </c>
      <c r="AP22" s="1">
        <f ca="1">MIN(AP17,AP20)*-1*(AP$8='A&amp;R'!$W$38)</f>
        <v>0</v>
      </c>
      <c r="AQ22" s="1">
        <f ca="1">MIN(AQ17,AQ20)*-1*(AQ$8='A&amp;R'!$W$38)</f>
        <v>0</v>
      </c>
      <c r="AR22" s="1">
        <f ca="1">MIN(AR17,AR20)*-1*(AR$8='A&amp;R'!$W$38)</f>
        <v>0</v>
      </c>
      <c r="AS22" s="1">
        <f ca="1">MIN(AS17,AS20)*-1*(AS$8='A&amp;R'!$W$38)</f>
        <v>0</v>
      </c>
      <c r="AT22" s="1">
        <f ca="1">MIN(AT17,AT20)*-1*(AT$8='A&amp;R'!$W$38)</f>
        <v>0</v>
      </c>
      <c r="AU22" s="1">
        <f ca="1">MIN(AU17,AU20)*-1*(AU$8='A&amp;R'!$W$38)</f>
        <v>0</v>
      </c>
      <c r="AV22" s="1">
        <f ca="1">MIN(AV17,AV20)*-1*(AV$8='A&amp;R'!$W$38)</f>
        <v>0</v>
      </c>
      <c r="AW22" s="1">
        <f ca="1">MIN(AW17,AW20)*-1*(AW$8='A&amp;R'!$W$38)</f>
        <v>0</v>
      </c>
      <c r="AX22" s="1">
        <f ca="1">MIN(AX17,AX20)*-1*(AX$8='A&amp;R'!$W$38)</f>
        <v>0</v>
      </c>
      <c r="AY22" s="1">
        <f ca="1">MIN(AY17,AY20)*-1*(AY$8='A&amp;R'!$W$38)</f>
        <v>0</v>
      </c>
      <c r="AZ22" s="1">
        <f ca="1">MIN(AZ17,AZ20)*-1*(AZ$8='A&amp;R'!$W$38)</f>
        <v>0</v>
      </c>
      <c r="BA22" s="1">
        <f ca="1">MIN(BA17,BA20)*-1*(BA$8='A&amp;R'!$W$38)</f>
        <v>0</v>
      </c>
      <c r="BB22" s="1">
        <f ca="1">MIN(BB17,BB20)*-1*(BB$8='A&amp;R'!$W$38)</f>
        <v>0</v>
      </c>
      <c r="BC22" s="1">
        <f ca="1">MIN(BC17,BC20)*-1*(BC$8='A&amp;R'!$W$38)</f>
        <v>0</v>
      </c>
      <c r="BD22" s="1">
        <f ca="1">MIN(BD17,BD20)*-1*(BD$8='A&amp;R'!$W$38)</f>
        <v>0</v>
      </c>
      <c r="BE22" s="1">
        <f ca="1">MIN(BE17,BE20)*-1*(BE$8='A&amp;R'!$W$38)</f>
        <v>0</v>
      </c>
      <c r="BF22" s="1">
        <f ca="1">MIN(BF17,BF20)*-1*(BF$8='A&amp;R'!$W$38)</f>
        <v>0</v>
      </c>
      <c r="BG22" s="1">
        <f ca="1">MIN(BG17,BG20)*-1*(BG$8='A&amp;R'!$W$38)</f>
        <v>0</v>
      </c>
      <c r="BH22" s="1">
        <f ca="1">MIN(BH17,BH20)*-1*(BH$8='A&amp;R'!$W$38)</f>
        <v>0</v>
      </c>
      <c r="BI22" s="1">
        <f ca="1">MIN(BI17,BI20)*-1*(BI$8='A&amp;R'!$W$38)</f>
        <v>0</v>
      </c>
      <c r="BJ22" s="1">
        <f ca="1">MIN(BJ17,BJ20)*-1*(BJ$8='A&amp;R'!$W$38)</f>
        <v>-12683.093405007183</v>
      </c>
      <c r="BK22" s="1">
        <f ca="1">MIN(BK17,BK20)*-1*(BK$8='A&amp;R'!$W$38)</f>
        <v>0</v>
      </c>
    </row>
    <row r="23" spans="2:63" ht="13.5" customHeight="1">
      <c r="C23" s="22" t="s">
        <v>352</v>
      </c>
      <c r="D23" s="22"/>
      <c r="E23" s="22"/>
      <c r="F23" s="22"/>
      <c r="G23" s="22"/>
      <c r="H23" s="22"/>
      <c r="I23" s="22">
        <f t="shared" ref="I23:AN23" ca="1" si="5">SUM(I20:I22)</f>
        <v>0</v>
      </c>
      <c r="J23" s="22">
        <f t="shared" ca="1" si="5"/>
        <v>0</v>
      </c>
      <c r="K23" s="22">
        <f t="shared" ca="1" si="5"/>
        <v>0</v>
      </c>
      <c r="L23" s="22">
        <f t="shared" ca="1" si="5"/>
        <v>0</v>
      </c>
      <c r="M23" s="22">
        <f t="shared" ca="1" si="5"/>
        <v>0</v>
      </c>
      <c r="N23" s="22">
        <f t="shared" ca="1" si="5"/>
        <v>0</v>
      </c>
      <c r="O23" s="22">
        <f t="shared" ca="1" si="5"/>
        <v>0</v>
      </c>
      <c r="P23" s="22">
        <f t="shared" ca="1" si="5"/>
        <v>0</v>
      </c>
      <c r="Q23" s="22">
        <f t="shared" ca="1" si="5"/>
        <v>0</v>
      </c>
      <c r="R23" s="22">
        <f t="shared" ca="1" si="5"/>
        <v>0</v>
      </c>
      <c r="S23" s="22">
        <f t="shared" ca="1" si="5"/>
        <v>0</v>
      </c>
      <c r="T23" s="22">
        <f t="shared" ca="1" si="5"/>
        <v>0</v>
      </c>
      <c r="U23" s="22">
        <f t="shared" ca="1" si="5"/>
        <v>0</v>
      </c>
      <c r="V23" s="22">
        <f t="shared" ca="1" si="5"/>
        <v>0</v>
      </c>
      <c r="W23" s="22">
        <f t="shared" ca="1" si="5"/>
        <v>0</v>
      </c>
      <c r="X23" s="22">
        <f t="shared" ca="1" si="5"/>
        <v>12683.082202284455</v>
      </c>
      <c r="Y23" s="22">
        <f t="shared" ca="1" si="5"/>
        <v>12683.082438554171</v>
      </c>
      <c r="Z23" s="22">
        <f t="shared" ca="1" si="5"/>
        <v>12683.082670227104</v>
      </c>
      <c r="AA23" s="22">
        <f t="shared" ca="1" si="5"/>
        <v>12683.082907969008</v>
      </c>
      <c r="AB23" s="22">
        <f t="shared" ca="1" si="5"/>
        <v>12683.083151337432</v>
      </c>
      <c r="AC23" s="22">
        <f t="shared" ca="1" si="5"/>
        <v>12683.083465192061</v>
      </c>
      <c r="AD23" s="22">
        <f t="shared" ca="1" si="5"/>
        <v>12683.083860179311</v>
      </c>
      <c r="AE23" s="22">
        <f t="shared" ca="1" si="5"/>
        <v>12683.084251790058</v>
      </c>
      <c r="AF23" s="22">
        <f t="shared" ca="1" si="5"/>
        <v>12683.084636379592</v>
      </c>
      <c r="AG23" s="22">
        <f t="shared" ca="1" si="5"/>
        <v>12683.085020209664</v>
      </c>
      <c r="AH23" s="22">
        <f t="shared" ca="1" si="5"/>
        <v>12683.085401773886</v>
      </c>
      <c r="AI23" s="22">
        <f t="shared" ca="1" si="5"/>
        <v>12683.085781340329</v>
      </c>
      <c r="AJ23" s="22">
        <f t="shared" ca="1" si="5"/>
        <v>12683.086158738028</v>
      </c>
      <c r="AK23" s="22">
        <f t="shared" ca="1" si="5"/>
        <v>12683.08653595113</v>
      </c>
      <c r="AL23" s="22">
        <f t="shared" ca="1" si="5"/>
        <v>12683.086911174849</v>
      </c>
      <c r="AM23" s="22">
        <f t="shared" ca="1" si="5"/>
        <v>12683.087284052917</v>
      </c>
      <c r="AN23" s="22">
        <f t="shared" ca="1" si="5"/>
        <v>12683.08765709064</v>
      </c>
      <c r="AO23" s="22">
        <f t="shared" ref="AO23:BK23" ca="1" si="6">SUM(AO20:AO22)</f>
        <v>12683.088025981817</v>
      </c>
      <c r="AP23" s="22">
        <f t="shared" ca="1" si="6"/>
        <v>12683.088396359859</v>
      </c>
      <c r="AQ23" s="22">
        <f t="shared" ca="1" si="6"/>
        <v>12683.088764996137</v>
      </c>
      <c r="AR23" s="22">
        <f t="shared" ca="1" si="6"/>
        <v>12683.089127818159</v>
      </c>
      <c r="AS23" s="22">
        <f t="shared" ca="1" si="6"/>
        <v>12683.089493403724</v>
      </c>
      <c r="AT23" s="22">
        <f t="shared" ca="1" si="6"/>
        <v>12683.089856211591</v>
      </c>
      <c r="AU23" s="22">
        <f t="shared" ca="1" si="6"/>
        <v>12683.090219002488</v>
      </c>
      <c r="AV23" s="22">
        <f t="shared" ca="1" si="6"/>
        <v>12683.090581727163</v>
      </c>
      <c r="AW23" s="22">
        <f t="shared" ca="1" si="6"/>
        <v>12683.090944444841</v>
      </c>
      <c r="AX23" s="22">
        <f t="shared" ca="1" si="6"/>
        <v>12683.091302119492</v>
      </c>
      <c r="AY23" s="22">
        <f t="shared" ca="1" si="6"/>
        <v>12683.091654619024</v>
      </c>
      <c r="AZ23" s="22">
        <f t="shared" ca="1" si="6"/>
        <v>12683.091948646892</v>
      </c>
      <c r="BA23" s="22">
        <f t="shared" ca="1" si="6"/>
        <v>12683.092179181656</v>
      </c>
      <c r="BB23" s="22">
        <f t="shared" ca="1" si="6"/>
        <v>12683.092404598276</v>
      </c>
      <c r="BC23" s="22">
        <f t="shared" ca="1" si="6"/>
        <v>12683.092573537382</v>
      </c>
      <c r="BD23" s="22">
        <f t="shared" ca="1" si="6"/>
        <v>12683.092686142523</v>
      </c>
      <c r="BE23" s="22">
        <f t="shared" ca="1" si="6"/>
        <v>12683.092798877729</v>
      </c>
      <c r="BF23" s="22">
        <f t="shared" ca="1" si="6"/>
        <v>12683.092915096029</v>
      </c>
      <c r="BG23" s="22">
        <f t="shared" ca="1" si="6"/>
        <v>12683.093035064876</v>
      </c>
      <c r="BH23" s="22">
        <f t="shared" ca="1" si="6"/>
        <v>12683.093155307879</v>
      </c>
      <c r="BI23" s="22">
        <f t="shared" ca="1" si="6"/>
        <v>12683.093278534792</v>
      </c>
      <c r="BJ23" s="22">
        <f t="shared" ca="1" si="6"/>
        <v>0</v>
      </c>
      <c r="BK23" s="22">
        <f t="shared" ca="1" si="6"/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M74"/>
  <sheetViews>
    <sheetView showGridLines="0" topLeftCell="A4" workbookViewId="0">
      <selection activeCell="E68" sqref="E68"/>
    </sheetView>
  </sheetViews>
  <sheetFormatPr defaultColWidth="9" defaultRowHeight="13.5" customHeight="1"/>
  <cols>
    <col min="1" max="1" width="3.3984375" style="1" customWidth="1"/>
    <col min="2" max="2" width="3.69921875" style="1" customWidth="1"/>
    <col min="3" max="7" width="9" style="1"/>
    <col min="8" max="8" width="3.8984375" style="1" customWidth="1"/>
    <col min="9" max="16384" width="9" style="1"/>
  </cols>
  <sheetData>
    <row r="1" spans="1:65" ht="12.9" customHeight="1"/>
    <row r="2" spans="1:65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65" ht="12.9" customHeight="1">
      <c r="AB3" s="6" t="s">
        <v>3</v>
      </c>
      <c r="AC3" s="7" t="s">
        <v>4</v>
      </c>
      <c r="AD3" s="8" t="s">
        <v>5</v>
      </c>
    </row>
    <row r="4" spans="1:65" ht="12.9" customHeight="1">
      <c r="AB4" s="9" t="s">
        <v>6</v>
      </c>
      <c r="AC4" s="10" t="s">
        <v>7</v>
      </c>
      <c r="AD4" s="11" t="s">
        <v>8</v>
      </c>
    </row>
    <row r="5" spans="1:65" s="12" customFormat="1" ht="12.9" customHeight="1" thickBot="1"/>
    <row r="6" spans="1:65" ht="12.9" customHeight="1" thickTop="1">
      <c r="A6" s="1" t="s">
        <v>9</v>
      </c>
      <c r="AD6" s="13">
        <v>44381</v>
      </c>
    </row>
    <row r="7" spans="1:65" ht="12.9" customHeight="1">
      <c r="A7" s="14" t="s">
        <v>19</v>
      </c>
    </row>
    <row r="8" spans="1:65" ht="13.5" customHeight="1">
      <c r="B8" s="45" t="s">
        <v>55</v>
      </c>
      <c r="C8" s="45"/>
      <c r="D8" s="45"/>
      <c r="E8" s="45"/>
      <c r="F8" s="45"/>
      <c r="G8" s="45" t="s">
        <v>62</v>
      </c>
      <c r="H8" s="45"/>
      <c r="I8" s="47">
        <f>Est</f>
        <v>44377</v>
      </c>
      <c r="J8" s="47">
        <f>EOMONTH(I8,1)</f>
        <v>44408</v>
      </c>
      <c r="K8" s="47">
        <f t="shared" ref="K8:BK8" si="0">EOMONTH(J8,1)</f>
        <v>44439</v>
      </c>
      <c r="L8" s="47">
        <f t="shared" si="0"/>
        <v>44469</v>
      </c>
      <c r="M8" s="47">
        <f t="shared" si="0"/>
        <v>44500</v>
      </c>
      <c r="N8" s="47">
        <f t="shared" si="0"/>
        <v>44530</v>
      </c>
      <c r="O8" s="47">
        <f t="shared" si="0"/>
        <v>44561</v>
      </c>
      <c r="P8" s="47">
        <f t="shared" si="0"/>
        <v>44592</v>
      </c>
      <c r="Q8" s="47">
        <f t="shared" si="0"/>
        <v>44620</v>
      </c>
      <c r="R8" s="47">
        <f t="shared" si="0"/>
        <v>44651</v>
      </c>
      <c r="S8" s="47">
        <f t="shared" si="0"/>
        <v>44681</v>
      </c>
      <c r="T8" s="47">
        <f t="shared" si="0"/>
        <v>44712</v>
      </c>
      <c r="U8" s="47">
        <f t="shared" si="0"/>
        <v>44742</v>
      </c>
      <c r="V8" s="47">
        <f t="shared" si="0"/>
        <v>44773</v>
      </c>
      <c r="W8" s="47">
        <f t="shared" si="0"/>
        <v>44804</v>
      </c>
      <c r="X8" s="47">
        <f t="shared" si="0"/>
        <v>44834</v>
      </c>
      <c r="Y8" s="47">
        <f t="shared" si="0"/>
        <v>44865</v>
      </c>
      <c r="Z8" s="47">
        <f t="shared" si="0"/>
        <v>44895</v>
      </c>
      <c r="AA8" s="47">
        <f t="shared" si="0"/>
        <v>44926</v>
      </c>
      <c r="AB8" s="47">
        <f t="shared" si="0"/>
        <v>44957</v>
      </c>
      <c r="AC8" s="47">
        <f t="shared" si="0"/>
        <v>44985</v>
      </c>
      <c r="AD8" s="47">
        <f t="shared" si="0"/>
        <v>45016</v>
      </c>
      <c r="AE8" s="47">
        <f t="shared" si="0"/>
        <v>45046</v>
      </c>
      <c r="AF8" s="47">
        <f t="shared" si="0"/>
        <v>45077</v>
      </c>
      <c r="AG8" s="47">
        <f t="shared" si="0"/>
        <v>45107</v>
      </c>
      <c r="AH8" s="47">
        <f t="shared" si="0"/>
        <v>45138</v>
      </c>
      <c r="AI8" s="47">
        <f t="shared" si="0"/>
        <v>45169</v>
      </c>
      <c r="AJ8" s="47">
        <f t="shared" si="0"/>
        <v>45199</v>
      </c>
      <c r="AK8" s="47">
        <f t="shared" si="0"/>
        <v>45230</v>
      </c>
      <c r="AL8" s="47">
        <f t="shared" si="0"/>
        <v>45260</v>
      </c>
      <c r="AM8" s="47">
        <f t="shared" si="0"/>
        <v>45291</v>
      </c>
      <c r="AN8" s="47">
        <f t="shared" si="0"/>
        <v>45322</v>
      </c>
      <c r="AO8" s="47">
        <f t="shared" si="0"/>
        <v>45351</v>
      </c>
      <c r="AP8" s="47">
        <f t="shared" si="0"/>
        <v>45382</v>
      </c>
      <c r="AQ8" s="47">
        <f t="shared" si="0"/>
        <v>45412</v>
      </c>
      <c r="AR8" s="47">
        <f t="shared" si="0"/>
        <v>45443</v>
      </c>
      <c r="AS8" s="47">
        <f t="shared" si="0"/>
        <v>45473</v>
      </c>
      <c r="AT8" s="47">
        <f t="shared" si="0"/>
        <v>45504</v>
      </c>
      <c r="AU8" s="47">
        <f t="shared" si="0"/>
        <v>45535</v>
      </c>
      <c r="AV8" s="47">
        <f t="shared" si="0"/>
        <v>45565</v>
      </c>
      <c r="AW8" s="47">
        <f t="shared" si="0"/>
        <v>45596</v>
      </c>
      <c r="AX8" s="47">
        <f t="shared" si="0"/>
        <v>45626</v>
      </c>
      <c r="AY8" s="47">
        <f t="shared" si="0"/>
        <v>45657</v>
      </c>
      <c r="AZ8" s="47">
        <f t="shared" si="0"/>
        <v>45688</v>
      </c>
      <c r="BA8" s="47">
        <f t="shared" si="0"/>
        <v>45716</v>
      </c>
      <c r="BB8" s="47">
        <f t="shared" si="0"/>
        <v>45747</v>
      </c>
      <c r="BC8" s="47">
        <f t="shared" si="0"/>
        <v>45777</v>
      </c>
      <c r="BD8" s="47">
        <f t="shared" si="0"/>
        <v>45808</v>
      </c>
      <c r="BE8" s="47">
        <f t="shared" si="0"/>
        <v>45838</v>
      </c>
      <c r="BF8" s="47">
        <f t="shared" si="0"/>
        <v>45869</v>
      </c>
      <c r="BG8" s="47">
        <f t="shared" si="0"/>
        <v>45900</v>
      </c>
      <c r="BH8" s="47">
        <f t="shared" si="0"/>
        <v>45930</v>
      </c>
      <c r="BI8" s="47">
        <f t="shared" si="0"/>
        <v>45961</v>
      </c>
      <c r="BJ8" s="47">
        <f t="shared" si="0"/>
        <v>45991</v>
      </c>
      <c r="BK8" s="47">
        <f t="shared" si="0"/>
        <v>46022</v>
      </c>
      <c r="BL8" s="17"/>
      <c r="BM8" s="17"/>
    </row>
    <row r="9" spans="1:65" ht="13.5" customHeight="1">
      <c r="B9" s="1" t="s">
        <v>442</v>
      </c>
    </row>
    <row r="10" spans="1:65" ht="13.5" customHeight="1">
      <c r="C10" s="1" t="s">
        <v>443</v>
      </c>
      <c r="G10" s="1">
        <f ca="1">SUMIF(현금흐름!8:8,Exit,현금흐름!50:50)</f>
        <v>160810.92912693677</v>
      </c>
    </row>
    <row r="11" spans="1:65" ht="13.5" customHeight="1">
      <c r="C11" s="24" t="s">
        <v>446</v>
      </c>
      <c r="D11" s="24"/>
      <c r="E11" s="24"/>
      <c r="F11" s="24"/>
      <c r="G11" s="24">
        <f ca="1">E67</f>
        <v>1078</v>
      </c>
    </row>
    <row r="12" spans="1:65" ht="13.5" customHeight="1">
      <c r="C12" s="1" t="s">
        <v>455</v>
      </c>
      <c r="G12" s="1">
        <f ca="1">MAX(G10-G11,0)</f>
        <v>159732.92912693677</v>
      </c>
    </row>
    <row r="14" spans="1:65" ht="13.5" customHeight="1">
      <c r="B14" s="14" t="s">
        <v>456</v>
      </c>
    </row>
    <row r="15" spans="1:65" ht="13.5" customHeight="1">
      <c r="C15" s="1" t="s">
        <v>457</v>
      </c>
      <c r="G15" s="1">
        <f ca="1">SUM(H15:XFD15)</f>
        <v>159732.9289726181</v>
      </c>
      <c r="I15" s="1">
        <f t="shared" ref="I15:AN15" ca="1" si="1">(I$8=Exit)*$G$12</f>
        <v>0</v>
      </c>
      <c r="J15" s="1">
        <f t="shared" ca="1" si="1"/>
        <v>0</v>
      </c>
      <c r="K15" s="1">
        <f t="shared" ca="1" si="1"/>
        <v>0</v>
      </c>
      <c r="L15" s="1">
        <f t="shared" ca="1" si="1"/>
        <v>0</v>
      </c>
      <c r="M15" s="1">
        <f t="shared" ca="1" si="1"/>
        <v>0</v>
      </c>
      <c r="N15" s="1">
        <f t="shared" ca="1" si="1"/>
        <v>0</v>
      </c>
      <c r="O15" s="1">
        <f t="shared" ca="1" si="1"/>
        <v>0</v>
      </c>
      <c r="P15" s="1">
        <f t="shared" ca="1" si="1"/>
        <v>0</v>
      </c>
      <c r="Q15" s="1">
        <f t="shared" ca="1" si="1"/>
        <v>0</v>
      </c>
      <c r="R15" s="1">
        <f t="shared" ca="1" si="1"/>
        <v>0</v>
      </c>
      <c r="S15" s="1">
        <f t="shared" ca="1" si="1"/>
        <v>0</v>
      </c>
      <c r="T15" s="1">
        <f t="shared" ca="1" si="1"/>
        <v>0</v>
      </c>
      <c r="U15" s="1">
        <f t="shared" ca="1" si="1"/>
        <v>0</v>
      </c>
      <c r="V15" s="1">
        <f t="shared" ca="1" si="1"/>
        <v>0</v>
      </c>
      <c r="W15" s="1">
        <f t="shared" ca="1" si="1"/>
        <v>0</v>
      </c>
      <c r="X15" s="1">
        <f t="shared" ca="1" si="1"/>
        <v>0</v>
      </c>
      <c r="Y15" s="1">
        <f t="shared" ca="1" si="1"/>
        <v>0</v>
      </c>
      <c r="Z15" s="1">
        <f t="shared" ca="1" si="1"/>
        <v>0</v>
      </c>
      <c r="AA15" s="1">
        <f t="shared" ca="1" si="1"/>
        <v>0</v>
      </c>
      <c r="AB15" s="1">
        <f t="shared" ca="1" si="1"/>
        <v>0</v>
      </c>
      <c r="AC15" s="1">
        <f t="shared" ca="1" si="1"/>
        <v>0</v>
      </c>
      <c r="AD15" s="1">
        <f t="shared" ca="1" si="1"/>
        <v>0</v>
      </c>
      <c r="AE15" s="1">
        <f t="shared" ca="1" si="1"/>
        <v>0</v>
      </c>
      <c r="AF15" s="1">
        <f t="shared" ca="1" si="1"/>
        <v>0</v>
      </c>
      <c r="AG15" s="1">
        <f t="shared" ca="1" si="1"/>
        <v>0</v>
      </c>
      <c r="AH15" s="1">
        <f t="shared" ca="1" si="1"/>
        <v>0</v>
      </c>
      <c r="AI15" s="1">
        <f t="shared" ca="1" si="1"/>
        <v>0</v>
      </c>
      <c r="AJ15" s="1">
        <f t="shared" ca="1" si="1"/>
        <v>0</v>
      </c>
      <c r="AK15" s="1">
        <f t="shared" ca="1" si="1"/>
        <v>0</v>
      </c>
      <c r="AL15" s="1">
        <f t="shared" ca="1" si="1"/>
        <v>0</v>
      </c>
      <c r="AM15" s="1">
        <f t="shared" ca="1" si="1"/>
        <v>0</v>
      </c>
      <c r="AN15" s="1">
        <f t="shared" ca="1" si="1"/>
        <v>0</v>
      </c>
      <c r="AO15" s="1">
        <f t="shared" ref="AO15:BK15" ca="1" si="2">(AO$8=Exit)*$G$12</f>
        <v>0</v>
      </c>
      <c r="AP15" s="1">
        <f t="shared" ca="1" si="2"/>
        <v>0</v>
      </c>
      <c r="AQ15" s="1">
        <f t="shared" ca="1" si="2"/>
        <v>0</v>
      </c>
      <c r="AR15" s="1">
        <f t="shared" ca="1" si="2"/>
        <v>0</v>
      </c>
      <c r="AS15" s="1">
        <f t="shared" ca="1" si="2"/>
        <v>0</v>
      </c>
      <c r="AT15" s="1">
        <f t="shared" ca="1" si="2"/>
        <v>0</v>
      </c>
      <c r="AU15" s="1">
        <f t="shared" ca="1" si="2"/>
        <v>0</v>
      </c>
      <c r="AV15" s="1">
        <f t="shared" ca="1" si="2"/>
        <v>0</v>
      </c>
      <c r="AW15" s="1">
        <f t="shared" ca="1" si="2"/>
        <v>0</v>
      </c>
      <c r="AX15" s="1">
        <f t="shared" ca="1" si="2"/>
        <v>0</v>
      </c>
      <c r="AY15" s="1">
        <f t="shared" ca="1" si="2"/>
        <v>0</v>
      </c>
      <c r="AZ15" s="1">
        <f t="shared" ca="1" si="2"/>
        <v>0</v>
      </c>
      <c r="BA15" s="1">
        <f t="shared" ca="1" si="2"/>
        <v>0</v>
      </c>
      <c r="BB15" s="1">
        <f t="shared" ca="1" si="2"/>
        <v>0</v>
      </c>
      <c r="BC15" s="1">
        <f t="shared" ca="1" si="2"/>
        <v>0</v>
      </c>
      <c r="BD15" s="1">
        <f t="shared" ca="1" si="2"/>
        <v>0</v>
      </c>
      <c r="BE15" s="1">
        <f t="shared" ca="1" si="2"/>
        <v>0</v>
      </c>
      <c r="BF15" s="1">
        <f t="shared" ca="1" si="2"/>
        <v>0</v>
      </c>
      <c r="BG15" s="1">
        <f t="shared" ca="1" si="2"/>
        <v>0</v>
      </c>
      <c r="BH15" s="1">
        <f t="shared" ca="1" si="2"/>
        <v>0</v>
      </c>
      <c r="BI15" s="1">
        <f t="shared" ca="1" si="2"/>
        <v>0</v>
      </c>
      <c r="BJ15" s="1">
        <f t="shared" ca="1" si="2"/>
        <v>159732.92912693677</v>
      </c>
      <c r="BK15" s="1">
        <f t="shared" ca="1" si="2"/>
        <v>0</v>
      </c>
    </row>
    <row r="16" spans="1:65" ht="13.5" customHeight="1">
      <c r="C16" s="1" t="s">
        <v>458</v>
      </c>
      <c r="E16" s="11">
        <f>'A&amp;R'!R31</f>
        <v>10000</v>
      </c>
      <c r="G16" s="1">
        <f t="shared" ref="G16:G19" si="3">SUM(H16:XFD16)</f>
        <v>10000</v>
      </c>
      <c r="I16" s="1">
        <f t="shared" ref="I16:AN16" si="4">(I$8=Exit)*$E$16</f>
        <v>0</v>
      </c>
      <c r="J16" s="1">
        <f t="shared" si="4"/>
        <v>0</v>
      </c>
      <c r="K16" s="1">
        <f t="shared" si="4"/>
        <v>0</v>
      </c>
      <c r="L16" s="1">
        <f t="shared" si="4"/>
        <v>0</v>
      </c>
      <c r="M16" s="1">
        <f t="shared" si="4"/>
        <v>0</v>
      </c>
      <c r="N16" s="1">
        <f t="shared" si="4"/>
        <v>0</v>
      </c>
      <c r="O16" s="1">
        <f t="shared" si="4"/>
        <v>0</v>
      </c>
      <c r="P16" s="1">
        <f t="shared" si="4"/>
        <v>0</v>
      </c>
      <c r="Q16" s="1">
        <f t="shared" si="4"/>
        <v>0</v>
      </c>
      <c r="R16" s="1">
        <f t="shared" si="4"/>
        <v>0</v>
      </c>
      <c r="S16" s="1">
        <f t="shared" si="4"/>
        <v>0</v>
      </c>
      <c r="T16" s="1">
        <f t="shared" si="4"/>
        <v>0</v>
      </c>
      <c r="U16" s="1">
        <f t="shared" si="4"/>
        <v>0</v>
      </c>
      <c r="V16" s="1">
        <f t="shared" si="4"/>
        <v>0</v>
      </c>
      <c r="W16" s="1">
        <f t="shared" si="4"/>
        <v>0</v>
      </c>
      <c r="X16" s="1">
        <f t="shared" si="4"/>
        <v>0</v>
      </c>
      <c r="Y16" s="1">
        <f t="shared" si="4"/>
        <v>0</v>
      </c>
      <c r="Z16" s="1">
        <f t="shared" si="4"/>
        <v>0</v>
      </c>
      <c r="AA16" s="1">
        <f t="shared" si="4"/>
        <v>0</v>
      </c>
      <c r="AB16" s="1">
        <f t="shared" si="4"/>
        <v>0</v>
      </c>
      <c r="AC16" s="1">
        <f t="shared" si="4"/>
        <v>0</v>
      </c>
      <c r="AD16" s="1">
        <f t="shared" si="4"/>
        <v>0</v>
      </c>
      <c r="AE16" s="1">
        <f t="shared" si="4"/>
        <v>0</v>
      </c>
      <c r="AF16" s="1">
        <f t="shared" si="4"/>
        <v>0</v>
      </c>
      <c r="AG16" s="1">
        <f t="shared" si="4"/>
        <v>0</v>
      </c>
      <c r="AH16" s="1">
        <f t="shared" si="4"/>
        <v>0</v>
      </c>
      <c r="AI16" s="1">
        <f t="shared" si="4"/>
        <v>0</v>
      </c>
      <c r="AJ16" s="1">
        <f t="shared" si="4"/>
        <v>0</v>
      </c>
      <c r="AK16" s="1">
        <f t="shared" si="4"/>
        <v>0</v>
      </c>
      <c r="AL16" s="1">
        <f t="shared" si="4"/>
        <v>0</v>
      </c>
      <c r="AM16" s="1">
        <f t="shared" si="4"/>
        <v>0</v>
      </c>
      <c r="AN16" s="1">
        <f t="shared" si="4"/>
        <v>0</v>
      </c>
      <c r="AO16" s="1">
        <f t="shared" ref="AO16:BK16" si="5">(AO$8=Exit)*$E$16</f>
        <v>0</v>
      </c>
      <c r="AP16" s="1">
        <f t="shared" si="5"/>
        <v>0</v>
      </c>
      <c r="AQ16" s="1">
        <f t="shared" si="5"/>
        <v>0</v>
      </c>
      <c r="AR16" s="1">
        <f t="shared" si="5"/>
        <v>0</v>
      </c>
      <c r="AS16" s="1">
        <f t="shared" si="5"/>
        <v>0</v>
      </c>
      <c r="AT16" s="1">
        <f t="shared" si="5"/>
        <v>0</v>
      </c>
      <c r="AU16" s="1">
        <f t="shared" si="5"/>
        <v>0</v>
      </c>
      <c r="AV16" s="1">
        <f t="shared" si="5"/>
        <v>0</v>
      </c>
      <c r="AW16" s="1">
        <f t="shared" si="5"/>
        <v>0</v>
      </c>
      <c r="AX16" s="1">
        <f t="shared" si="5"/>
        <v>0</v>
      </c>
      <c r="AY16" s="1">
        <f t="shared" si="5"/>
        <v>0</v>
      </c>
      <c r="AZ16" s="1">
        <f t="shared" si="5"/>
        <v>0</v>
      </c>
      <c r="BA16" s="1">
        <f t="shared" si="5"/>
        <v>0</v>
      </c>
      <c r="BB16" s="1">
        <f t="shared" si="5"/>
        <v>0</v>
      </c>
      <c r="BC16" s="1">
        <f t="shared" si="5"/>
        <v>0</v>
      </c>
      <c r="BD16" s="1">
        <f t="shared" si="5"/>
        <v>0</v>
      </c>
      <c r="BE16" s="1">
        <f t="shared" si="5"/>
        <v>0</v>
      </c>
      <c r="BF16" s="1">
        <f t="shared" si="5"/>
        <v>0</v>
      </c>
      <c r="BG16" s="1">
        <f t="shared" si="5"/>
        <v>0</v>
      </c>
      <c r="BH16" s="1">
        <f t="shared" si="5"/>
        <v>0</v>
      </c>
      <c r="BI16" s="1">
        <f t="shared" si="5"/>
        <v>0</v>
      </c>
      <c r="BJ16" s="1">
        <f t="shared" si="5"/>
        <v>10000</v>
      </c>
      <c r="BK16" s="1">
        <f t="shared" si="5"/>
        <v>0</v>
      </c>
    </row>
    <row r="17" spans="2:63" ht="13.5" customHeight="1">
      <c r="C17" s="26" t="s">
        <v>459</v>
      </c>
      <c r="D17" s="26"/>
      <c r="E17" s="26"/>
      <c r="F17" s="26"/>
      <c r="G17" s="26">
        <f t="shared" ca="1" si="3"/>
        <v>10000</v>
      </c>
      <c r="H17" s="26"/>
      <c r="I17" s="26">
        <f ca="1">MIN(I15,I16)</f>
        <v>0</v>
      </c>
      <c r="J17" s="26">
        <f t="shared" ref="J17:BK17" ca="1" si="6">MIN(J15,J16)</f>
        <v>0</v>
      </c>
      <c r="K17" s="26">
        <f t="shared" ca="1" si="6"/>
        <v>0</v>
      </c>
      <c r="L17" s="26">
        <f t="shared" ca="1" si="6"/>
        <v>0</v>
      </c>
      <c r="M17" s="26">
        <f t="shared" ca="1" si="6"/>
        <v>0</v>
      </c>
      <c r="N17" s="26">
        <f t="shared" ca="1" si="6"/>
        <v>0</v>
      </c>
      <c r="O17" s="26">
        <f t="shared" ca="1" si="6"/>
        <v>0</v>
      </c>
      <c r="P17" s="26">
        <f t="shared" ca="1" si="6"/>
        <v>0</v>
      </c>
      <c r="Q17" s="26">
        <f t="shared" ca="1" si="6"/>
        <v>0</v>
      </c>
      <c r="R17" s="26">
        <f t="shared" ca="1" si="6"/>
        <v>0</v>
      </c>
      <c r="S17" s="26">
        <f t="shared" ca="1" si="6"/>
        <v>0</v>
      </c>
      <c r="T17" s="26">
        <f t="shared" ca="1" si="6"/>
        <v>0</v>
      </c>
      <c r="U17" s="26">
        <f t="shared" ca="1" si="6"/>
        <v>0</v>
      </c>
      <c r="V17" s="26">
        <f t="shared" ca="1" si="6"/>
        <v>0</v>
      </c>
      <c r="W17" s="26">
        <f t="shared" ca="1" si="6"/>
        <v>0</v>
      </c>
      <c r="X17" s="26">
        <f t="shared" ca="1" si="6"/>
        <v>0</v>
      </c>
      <c r="Y17" s="26">
        <f t="shared" ca="1" si="6"/>
        <v>0</v>
      </c>
      <c r="Z17" s="26">
        <f t="shared" ca="1" si="6"/>
        <v>0</v>
      </c>
      <c r="AA17" s="26">
        <f t="shared" ca="1" si="6"/>
        <v>0</v>
      </c>
      <c r="AB17" s="26">
        <f t="shared" ca="1" si="6"/>
        <v>0</v>
      </c>
      <c r="AC17" s="26">
        <f t="shared" ca="1" si="6"/>
        <v>0</v>
      </c>
      <c r="AD17" s="26">
        <f t="shared" ca="1" si="6"/>
        <v>0</v>
      </c>
      <c r="AE17" s="26">
        <f t="shared" ca="1" si="6"/>
        <v>0</v>
      </c>
      <c r="AF17" s="26">
        <f t="shared" ca="1" si="6"/>
        <v>0</v>
      </c>
      <c r="AG17" s="26">
        <f t="shared" ca="1" si="6"/>
        <v>0</v>
      </c>
      <c r="AH17" s="26">
        <f t="shared" ca="1" si="6"/>
        <v>0</v>
      </c>
      <c r="AI17" s="26">
        <f t="shared" ca="1" si="6"/>
        <v>0</v>
      </c>
      <c r="AJ17" s="26">
        <f t="shared" ca="1" si="6"/>
        <v>0</v>
      </c>
      <c r="AK17" s="26">
        <f t="shared" ca="1" si="6"/>
        <v>0</v>
      </c>
      <c r="AL17" s="26">
        <f t="shared" ca="1" si="6"/>
        <v>0</v>
      </c>
      <c r="AM17" s="26">
        <f t="shared" ca="1" si="6"/>
        <v>0</v>
      </c>
      <c r="AN17" s="26">
        <f t="shared" ca="1" si="6"/>
        <v>0</v>
      </c>
      <c r="AO17" s="26">
        <f t="shared" ca="1" si="6"/>
        <v>0</v>
      </c>
      <c r="AP17" s="26">
        <f t="shared" ca="1" si="6"/>
        <v>0</v>
      </c>
      <c r="AQ17" s="26">
        <f t="shared" ca="1" si="6"/>
        <v>0</v>
      </c>
      <c r="AR17" s="26">
        <f t="shared" ca="1" si="6"/>
        <v>0</v>
      </c>
      <c r="AS17" s="26">
        <f t="shared" ca="1" si="6"/>
        <v>0</v>
      </c>
      <c r="AT17" s="26">
        <f t="shared" ca="1" si="6"/>
        <v>0</v>
      </c>
      <c r="AU17" s="26">
        <f t="shared" ca="1" si="6"/>
        <v>0</v>
      </c>
      <c r="AV17" s="26">
        <f t="shared" ca="1" si="6"/>
        <v>0</v>
      </c>
      <c r="AW17" s="26">
        <f t="shared" ca="1" si="6"/>
        <v>0</v>
      </c>
      <c r="AX17" s="26">
        <f t="shared" ca="1" si="6"/>
        <v>0</v>
      </c>
      <c r="AY17" s="26">
        <f t="shared" ca="1" si="6"/>
        <v>0</v>
      </c>
      <c r="AZ17" s="26">
        <f t="shared" ca="1" si="6"/>
        <v>0</v>
      </c>
      <c r="BA17" s="26">
        <f t="shared" ca="1" si="6"/>
        <v>0</v>
      </c>
      <c r="BB17" s="26">
        <f t="shared" ca="1" si="6"/>
        <v>0</v>
      </c>
      <c r="BC17" s="26">
        <f t="shared" ca="1" si="6"/>
        <v>0</v>
      </c>
      <c r="BD17" s="26">
        <f t="shared" ca="1" si="6"/>
        <v>0</v>
      </c>
      <c r="BE17" s="26">
        <f t="shared" ca="1" si="6"/>
        <v>0</v>
      </c>
      <c r="BF17" s="26">
        <f t="shared" ca="1" si="6"/>
        <v>0</v>
      </c>
      <c r="BG17" s="26">
        <f t="shared" ca="1" si="6"/>
        <v>0</v>
      </c>
      <c r="BH17" s="26">
        <f t="shared" ca="1" si="6"/>
        <v>0</v>
      </c>
      <c r="BI17" s="26">
        <f t="shared" ca="1" si="6"/>
        <v>0</v>
      </c>
      <c r="BJ17" s="26">
        <f t="shared" ca="1" si="6"/>
        <v>10000</v>
      </c>
      <c r="BK17" s="26">
        <f t="shared" ca="1" si="6"/>
        <v>0</v>
      </c>
    </row>
    <row r="18" spans="2:63" ht="13.5" customHeight="1">
      <c r="C18" s="4"/>
      <c r="D18" s="316" t="str">
        <f>'A&amp;R'!Q29</f>
        <v>시행사</v>
      </c>
      <c r="E18" s="317">
        <f>'A&amp;R'!S29</f>
        <v>0.9</v>
      </c>
      <c r="F18" s="26"/>
      <c r="G18" s="26">
        <f t="shared" ca="1" si="3"/>
        <v>9000</v>
      </c>
      <c r="H18" s="26"/>
      <c r="I18" s="26">
        <f ca="1">I$17*$E18</f>
        <v>0</v>
      </c>
      <c r="J18" s="26">
        <f t="shared" ref="J18:BK18" ca="1" si="7">J$17*$E18</f>
        <v>0</v>
      </c>
      <c r="K18" s="26">
        <f t="shared" ca="1" si="7"/>
        <v>0</v>
      </c>
      <c r="L18" s="26">
        <f t="shared" ca="1" si="7"/>
        <v>0</v>
      </c>
      <c r="M18" s="26">
        <f t="shared" ca="1" si="7"/>
        <v>0</v>
      </c>
      <c r="N18" s="26">
        <f t="shared" ca="1" si="7"/>
        <v>0</v>
      </c>
      <c r="O18" s="26">
        <f t="shared" ca="1" si="7"/>
        <v>0</v>
      </c>
      <c r="P18" s="26">
        <f t="shared" ca="1" si="7"/>
        <v>0</v>
      </c>
      <c r="Q18" s="26">
        <f t="shared" ca="1" si="7"/>
        <v>0</v>
      </c>
      <c r="R18" s="26">
        <f t="shared" ca="1" si="7"/>
        <v>0</v>
      </c>
      <c r="S18" s="26">
        <f t="shared" ca="1" si="7"/>
        <v>0</v>
      </c>
      <c r="T18" s="26">
        <f t="shared" ca="1" si="7"/>
        <v>0</v>
      </c>
      <c r="U18" s="26">
        <f t="shared" ca="1" si="7"/>
        <v>0</v>
      </c>
      <c r="V18" s="26">
        <f t="shared" ca="1" si="7"/>
        <v>0</v>
      </c>
      <c r="W18" s="26">
        <f t="shared" ca="1" si="7"/>
        <v>0</v>
      </c>
      <c r="X18" s="26">
        <f t="shared" ca="1" si="7"/>
        <v>0</v>
      </c>
      <c r="Y18" s="26">
        <f t="shared" ca="1" si="7"/>
        <v>0</v>
      </c>
      <c r="Z18" s="26">
        <f t="shared" ca="1" si="7"/>
        <v>0</v>
      </c>
      <c r="AA18" s="26">
        <f t="shared" ca="1" si="7"/>
        <v>0</v>
      </c>
      <c r="AB18" s="26">
        <f t="shared" ca="1" si="7"/>
        <v>0</v>
      </c>
      <c r="AC18" s="26">
        <f t="shared" ca="1" si="7"/>
        <v>0</v>
      </c>
      <c r="AD18" s="26">
        <f t="shared" ca="1" si="7"/>
        <v>0</v>
      </c>
      <c r="AE18" s="26">
        <f t="shared" ca="1" si="7"/>
        <v>0</v>
      </c>
      <c r="AF18" s="26">
        <f t="shared" ca="1" si="7"/>
        <v>0</v>
      </c>
      <c r="AG18" s="26">
        <f t="shared" ca="1" si="7"/>
        <v>0</v>
      </c>
      <c r="AH18" s="26">
        <f t="shared" ca="1" si="7"/>
        <v>0</v>
      </c>
      <c r="AI18" s="26">
        <f t="shared" ca="1" si="7"/>
        <v>0</v>
      </c>
      <c r="AJ18" s="26">
        <f t="shared" ca="1" si="7"/>
        <v>0</v>
      </c>
      <c r="AK18" s="26">
        <f t="shared" ca="1" si="7"/>
        <v>0</v>
      </c>
      <c r="AL18" s="26">
        <f t="shared" ca="1" si="7"/>
        <v>0</v>
      </c>
      <c r="AM18" s="26">
        <f t="shared" ca="1" si="7"/>
        <v>0</v>
      </c>
      <c r="AN18" s="26">
        <f t="shared" ca="1" si="7"/>
        <v>0</v>
      </c>
      <c r="AO18" s="26">
        <f t="shared" ca="1" si="7"/>
        <v>0</v>
      </c>
      <c r="AP18" s="26">
        <f t="shared" ca="1" si="7"/>
        <v>0</v>
      </c>
      <c r="AQ18" s="26">
        <f t="shared" ca="1" si="7"/>
        <v>0</v>
      </c>
      <c r="AR18" s="26">
        <f t="shared" ca="1" si="7"/>
        <v>0</v>
      </c>
      <c r="AS18" s="26">
        <f t="shared" ca="1" si="7"/>
        <v>0</v>
      </c>
      <c r="AT18" s="26">
        <f t="shared" ca="1" si="7"/>
        <v>0</v>
      </c>
      <c r="AU18" s="26">
        <f t="shared" ca="1" si="7"/>
        <v>0</v>
      </c>
      <c r="AV18" s="26">
        <f t="shared" ca="1" si="7"/>
        <v>0</v>
      </c>
      <c r="AW18" s="26">
        <f t="shared" ca="1" si="7"/>
        <v>0</v>
      </c>
      <c r="AX18" s="26">
        <f t="shared" ca="1" si="7"/>
        <v>0</v>
      </c>
      <c r="AY18" s="26">
        <f t="shared" ca="1" si="7"/>
        <v>0</v>
      </c>
      <c r="AZ18" s="26">
        <f t="shared" ca="1" si="7"/>
        <v>0</v>
      </c>
      <c r="BA18" s="26">
        <f t="shared" ca="1" si="7"/>
        <v>0</v>
      </c>
      <c r="BB18" s="26">
        <f t="shared" ca="1" si="7"/>
        <v>0</v>
      </c>
      <c r="BC18" s="26">
        <f t="shared" ca="1" si="7"/>
        <v>0</v>
      </c>
      <c r="BD18" s="26">
        <f t="shared" ca="1" si="7"/>
        <v>0</v>
      </c>
      <c r="BE18" s="26">
        <f t="shared" ca="1" si="7"/>
        <v>0</v>
      </c>
      <c r="BF18" s="26">
        <f t="shared" ca="1" si="7"/>
        <v>0</v>
      </c>
      <c r="BG18" s="26">
        <f t="shared" ca="1" si="7"/>
        <v>0</v>
      </c>
      <c r="BH18" s="26">
        <f t="shared" ca="1" si="7"/>
        <v>0</v>
      </c>
      <c r="BI18" s="26">
        <f t="shared" ca="1" si="7"/>
        <v>0</v>
      </c>
      <c r="BJ18" s="26">
        <f t="shared" ca="1" si="7"/>
        <v>9000</v>
      </c>
      <c r="BK18" s="26">
        <f t="shared" ca="1" si="7"/>
        <v>0</v>
      </c>
    </row>
    <row r="19" spans="2:63" ht="13.5" customHeight="1">
      <c r="C19" s="318"/>
      <c r="D19" s="319" t="str">
        <f>'A&amp;R'!Q30</f>
        <v>금융사</v>
      </c>
      <c r="E19" s="320">
        <f>'A&amp;R'!S30</f>
        <v>0.1</v>
      </c>
      <c r="F19" s="28"/>
      <c r="G19" s="28">
        <f t="shared" ca="1" si="3"/>
        <v>1000</v>
      </c>
      <c r="H19" s="28"/>
      <c r="I19" s="28">
        <f t="shared" ref="I19:BK19" ca="1" si="8">I$17*$E19</f>
        <v>0</v>
      </c>
      <c r="J19" s="28">
        <f t="shared" ca="1" si="8"/>
        <v>0</v>
      </c>
      <c r="K19" s="28">
        <f t="shared" ca="1" si="8"/>
        <v>0</v>
      </c>
      <c r="L19" s="28">
        <f t="shared" ca="1" si="8"/>
        <v>0</v>
      </c>
      <c r="M19" s="28">
        <f t="shared" ca="1" si="8"/>
        <v>0</v>
      </c>
      <c r="N19" s="28">
        <f t="shared" ca="1" si="8"/>
        <v>0</v>
      </c>
      <c r="O19" s="28">
        <f t="shared" ca="1" si="8"/>
        <v>0</v>
      </c>
      <c r="P19" s="28">
        <f t="shared" ca="1" si="8"/>
        <v>0</v>
      </c>
      <c r="Q19" s="28">
        <f t="shared" ca="1" si="8"/>
        <v>0</v>
      </c>
      <c r="R19" s="28">
        <f t="shared" ca="1" si="8"/>
        <v>0</v>
      </c>
      <c r="S19" s="28">
        <f t="shared" ca="1" si="8"/>
        <v>0</v>
      </c>
      <c r="T19" s="28">
        <f t="shared" ca="1" si="8"/>
        <v>0</v>
      </c>
      <c r="U19" s="28">
        <f t="shared" ca="1" si="8"/>
        <v>0</v>
      </c>
      <c r="V19" s="28">
        <f t="shared" ca="1" si="8"/>
        <v>0</v>
      </c>
      <c r="W19" s="28">
        <f t="shared" ca="1" si="8"/>
        <v>0</v>
      </c>
      <c r="X19" s="28">
        <f t="shared" ca="1" si="8"/>
        <v>0</v>
      </c>
      <c r="Y19" s="28">
        <f t="shared" ca="1" si="8"/>
        <v>0</v>
      </c>
      <c r="Z19" s="28">
        <f t="shared" ca="1" si="8"/>
        <v>0</v>
      </c>
      <c r="AA19" s="28">
        <f t="shared" ca="1" si="8"/>
        <v>0</v>
      </c>
      <c r="AB19" s="28">
        <f t="shared" ca="1" si="8"/>
        <v>0</v>
      </c>
      <c r="AC19" s="28">
        <f t="shared" ca="1" si="8"/>
        <v>0</v>
      </c>
      <c r="AD19" s="28">
        <f t="shared" ca="1" si="8"/>
        <v>0</v>
      </c>
      <c r="AE19" s="28">
        <f t="shared" ca="1" si="8"/>
        <v>0</v>
      </c>
      <c r="AF19" s="28">
        <f t="shared" ca="1" si="8"/>
        <v>0</v>
      </c>
      <c r="AG19" s="28">
        <f t="shared" ca="1" si="8"/>
        <v>0</v>
      </c>
      <c r="AH19" s="28">
        <f t="shared" ca="1" si="8"/>
        <v>0</v>
      </c>
      <c r="AI19" s="28">
        <f t="shared" ca="1" si="8"/>
        <v>0</v>
      </c>
      <c r="AJ19" s="28">
        <f t="shared" ca="1" si="8"/>
        <v>0</v>
      </c>
      <c r="AK19" s="28">
        <f t="shared" ca="1" si="8"/>
        <v>0</v>
      </c>
      <c r="AL19" s="28">
        <f t="shared" ca="1" si="8"/>
        <v>0</v>
      </c>
      <c r="AM19" s="28">
        <f t="shared" ca="1" si="8"/>
        <v>0</v>
      </c>
      <c r="AN19" s="28">
        <f t="shared" ca="1" si="8"/>
        <v>0</v>
      </c>
      <c r="AO19" s="28">
        <f t="shared" ca="1" si="8"/>
        <v>0</v>
      </c>
      <c r="AP19" s="28">
        <f t="shared" ca="1" si="8"/>
        <v>0</v>
      </c>
      <c r="AQ19" s="28">
        <f t="shared" ca="1" si="8"/>
        <v>0</v>
      </c>
      <c r="AR19" s="28">
        <f t="shared" ca="1" si="8"/>
        <v>0</v>
      </c>
      <c r="AS19" s="28">
        <f t="shared" ca="1" si="8"/>
        <v>0</v>
      </c>
      <c r="AT19" s="28">
        <f t="shared" ca="1" si="8"/>
        <v>0</v>
      </c>
      <c r="AU19" s="28">
        <f t="shared" ca="1" si="8"/>
        <v>0</v>
      </c>
      <c r="AV19" s="28">
        <f t="shared" ca="1" si="8"/>
        <v>0</v>
      </c>
      <c r="AW19" s="28">
        <f t="shared" ca="1" si="8"/>
        <v>0</v>
      </c>
      <c r="AX19" s="28">
        <f t="shared" ca="1" si="8"/>
        <v>0</v>
      </c>
      <c r="AY19" s="28">
        <f t="shared" ca="1" si="8"/>
        <v>0</v>
      </c>
      <c r="AZ19" s="28">
        <f t="shared" ca="1" si="8"/>
        <v>0</v>
      </c>
      <c r="BA19" s="28">
        <f t="shared" ca="1" si="8"/>
        <v>0</v>
      </c>
      <c r="BB19" s="28">
        <f t="shared" ca="1" si="8"/>
        <v>0</v>
      </c>
      <c r="BC19" s="28">
        <f t="shared" ca="1" si="8"/>
        <v>0</v>
      </c>
      <c r="BD19" s="28">
        <f t="shared" ca="1" si="8"/>
        <v>0</v>
      </c>
      <c r="BE19" s="28">
        <f t="shared" ca="1" si="8"/>
        <v>0</v>
      </c>
      <c r="BF19" s="28">
        <f t="shared" ca="1" si="8"/>
        <v>0</v>
      </c>
      <c r="BG19" s="28">
        <f t="shared" ca="1" si="8"/>
        <v>0</v>
      </c>
      <c r="BH19" s="28">
        <f t="shared" ca="1" si="8"/>
        <v>0</v>
      </c>
      <c r="BI19" s="28">
        <f t="shared" ca="1" si="8"/>
        <v>0</v>
      </c>
      <c r="BJ19" s="28">
        <f t="shared" ca="1" si="8"/>
        <v>1000</v>
      </c>
      <c r="BK19" s="28">
        <f t="shared" ca="1" si="8"/>
        <v>0</v>
      </c>
    </row>
    <row r="21" spans="2:63" ht="13.5" customHeight="1">
      <c r="B21" s="14" t="s">
        <v>460</v>
      </c>
    </row>
    <row r="22" spans="2:63" ht="13.5" customHeight="1">
      <c r="C22" s="1" t="s">
        <v>461</v>
      </c>
      <c r="G22" s="1">
        <f ca="1">SUM(H22:XFD22)</f>
        <v>149732.9289726181</v>
      </c>
      <c r="I22" s="1">
        <f ca="1">I15-I17</f>
        <v>0</v>
      </c>
      <c r="J22" s="1">
        <f t="shared" ref="J22:BK22" ca="1" si="9">J15-J17</f>
        <v>0</v>
      </c>
      <c r="K22" s="1">
        <f t="shared" ca="1" si="9"/>
        <v>0</v>
      </c>
      <c r="L22" s="1">
        <f t="shared" ca="1" si="9"/>
        <v>0</v>
      </c>
      <c r="M22" s="1">
        <f t="shared" ca="1" si="9"/>
        <v>0</v>
      </c>
      <c r="N22" s="1">
        <f t="shared" ca="1" si="9"/>
        <v>0</v>
      </c>
      <c r="O22" s="1">
        <f t="shared" ca="1" si="9"/>
        <v>0</v>
      </c>
      <c r="P22" s="1">
        <f t="shared" ca="1" si="9"/>
        <v>0</v>
      </c>
      <c r="Q22" s="1">
        <f t="shared" ca="1" si="9"/>
        <v>0</v>
      </c>
      <c r="R22" s="1">
        <f t="shared" ca="1" si="9"/>
        <v>0</v>
      </c>
      <c r="S22" s="1">
        <f t="shared" ca="1" si="9"/>
        <v>0</v>
      </c>
      <c r="T22" s="1">
        <f t="shared" ca="1" si="9"/>
        <v>0</v>
      </c>
      <c r="U22" s="1">
        <f t="shared" ca="1" si="9"/>
        <v>0</v>
      </c>
      <c r="V22" s="1">
        <f t="shared" ca="1" si="9"/>
        <v>0</v>
      </c>
      <c r="W22" s="1">
        <f t="shared" ca="1" si="9"/>
        <v>0</v>
      </c>
      <c r="X22" s="1">
        <f t="shared" ca="1" si="9"/>
        <v>0</v>
      </c>
      <c r="Y22" s="1">
        <f t="shared" ca="1" si="9"/>
        <v>0</v>
      </c>
      <c r="Z22" s="1">
        <f t="shared" ca="1" si="9"/>
        <v>0</v>
      </c>
      <c r="AA22" s="1">
        <f t="shared" ca="1" si="9"/>
        <v>0</v>
      </c>
      <c r="AB22" s="1">
        <f t="shared" ca="1" si="9"/>
        <v>0</v>
      </c>
      <c r="AC22" s="1">
        <f t="shared" ca="1" si="9"/>
        <v>0</v>
      </c>
      <c r="AD22" s="1">
        <f t="shared" ca="1" si="9"/>
        <v>0</v>
      </c>
      <c r="AE22" s="1">
        <f t="shared" ca="1" si="9"/>
        <v>0</v>
      </c>
      <c r="AF22" s="1">
        <f t="shared" ca="1" si="9"/>
        <v>0</v>
      </c>
      <c r="AG22" s="1">
        <f t="shared" ca="1" si="9"/>
        <v>0</v>
      </c>
      <c r="AH22" s="1">
        <f t="shared" ca="1" si="9"/>
        <v>0</v>
      </c>
      <c r="AI22" s="1">
        <f t="shared" ca="1" si="9"/>
        <v>0</v>
      </c>
      <c r="AJ22" s="1">
        <f t="shared" ca="1" si="9"/>
        <v>0</v>
      </c>
      <c r="AK22" s="1">
        <f t="shared" ca="1" si="9"/>
        <v>0</v>
      </c>
      <c r="AL22" s="1">
        <f t="shared" ca="1" si="9"/>
        <v>0</v>
      </c>
      <c r="AM22" s="1">
        <f t="shared" ca="1" si="9"/>
        <v>0</v>
      </c>
      <c r="AN22" s="1">
        <f t="shared" ca="1" si="9"/>
        <v>0</v>
      </c>
      <c r="AO22" s="1">
        <f t="shared" ca="1" si="9"/>
        <v>0</v>
      </c>
      <c r="AP22" s="1">
        <f t="shared" ca="1" si="9"/>
        <v>0</v>
      </c>
      <c r="AQ22" s="1">
        <f t="shared" ca="1" si="9"/>
        <v>0</v>
      </c>
      <c r="AR22" s="1">
        <f t="shared" ca="1" si="9"/>
        <v>0</v>
      </c>
      <c r="AS22" s="1">
        <f t="shared" ca="1" si="9"/>
        <v>0</v>
      </c>
      <c r="AT22" s="1">
        <f t="shared" ca="1" si="9"/>
        <v>0</v>
      </c>
      <c r="AU22" s="1">
        <f t="shared" ca="1" si="9"/>
        <v>0</v>
      </c>
      <c r="AV22" s="1">
        <f t="shared" ca="1" si="9"/>
        <v>0</v>
      </c>
      <c r="AW22" s="1">
        <f t="shared" ca="1" si="9"/>
        <v>0</v>
      </c>
      <c r="AX22" s="1">
        <f t="shared" ca="1" si="9"/>
        <v>0</v>
      </c>
      <c r="AY22" s="1">
        <f t="shared" ca="1" si="9"/>
        <v>0</v>
      </c>
      <c r="AZ22" s="1">
        <f t="shared" ca="1" si="9"/>
        <v>0</v>
      </c>
      <c r="BA22" s="1">
        <f t="shared" ca="1" si="9"/>
        <v>0</v>
      </c>
      <c r="BB22" s="1">
        <f t="shared" ca="1" si="9"/>
        <v>0</v>
      </c>
      <c r="BC22" s="1">
        <f t="shared" ca="1" si="9"/>
        <v>0</v>
      </c>
      <c r="BD22" s="1">
        <f t="shared" ca="1" si="9"/>
        <v>0</v>
      </c>
      <c r="BE22" s="1">
        <f t="shared" ca="1" si="9"/>
        <v>0</v>
      </c>
      <c r="BF22" s="1">
        <f t="shared" ca="1" si="9"/>
        <v>0</v>
      </c>
      <c r="BG22" s="1">
        <f t="shared" ca="1" si="9"/>
        <v>0</v>
      </c>
      <c r="BH22" s="1">
        <f t="shared" ca="1" si="9"/>
        <v>0</v>
      </c>
      <c r="BI22" s="1">
        <f t="shared" ca="1" si="9"/>
        <v>0</v>
      </c>
      <c r="BJ22" s="1">
        <f t="shared" ca="1" si="9"/>
        <v>149732.92912693677</v>
      </c>
      <c r="BK22" s="1">
        <f t="shared" ca="1" si="9"/>
        <v>0</v>
      </c>
    </row>
    <row r="23" spans="2:63" ht="13.5" customHeight="1">
      <c r="C23" s="1" t="s">
        <v>462</v>
      </c>
    </row>
    <row r="24" spans="2:63" ht="13.5" customHeight="1">
      <c r="D24" s="1" t="s">
        <v>394</v>
      </c>
      <c r="G24" s="1">
        <f ca="1">'A&amp;R'!W24</f>
        <v>734876.89418260881</v>
      </c>
    </row>
    <row r="25" spans="2:63" ht="13.5" customHeight="1">
      <c r="D25" s="1" t="s">
        <v>463</v>
      </c>
      <c r="G25" s="1">
        <f ca="1">총투자비!F156</f>
        <v>584065.95101551479</v>
      </c>
    </row>
    <row r="26" spans="2:63" ht="13.5" customHeight="1">
      <c r="D26" s="24" t="s">
        <v>445</v>
      </c>
      <c r="E26" s="24"/>
      <c r="F26" s="24"/>
      <c r="G26" s="24">
        <f ca="1">G11</f>
        <v>1078</v>
      </c>
    </row>
    <row r="27" spans="2:63" ht="13.5" customHeight="1">
      <c r="G27" s="1">
        <f ca="1">MAX(G24-G25-G26,0)</f>
        <v>149732.94316709402</v>
      </c>
      <c r="I27" s="1">
        <f t="shared" ref="I27:AN27" ca="1" si="10">(I$8=Exit)*$G$27</f>
        <v>0</v>
      </c>
      <c r="J27" s="1">
        <f t="shared" ca="1" si="10"/>
        <v>0</v>
      </c>
      <c r="K27" s="1">
        <f t="shared" ca="1" si="10"/>
        <v>0</v>
      </c>
      <c r="L27" s="1">
        <f t="shared" ca="1" si="10"/>
        <v>0</v>
      </c>
      <c r="M27" s="1">
        <f t="shared" ca="1" si="10"/>
        <v>0</v>
      </c>
      <c r="N27" s="1">
        <f t="shared" ca="1" si="10"/>
        <v>0</v>
      </c>
      <c r="O27" s="1">
        <f t="shared" ca="1" si="10"/>
        <v>0</v>
      </c>
      <c r="P27" s="1">
        <f t="shared" ca="1" si="10"/>
        <v>0</v>
      </c>
      <c r="Q27" s="1">
        <f t="shared" ca="1" si="10"/>
        <v>0</v>
      </c>
      <c r="R27" s="1">
        <f t="shared" ca="1" si="10"/>
        <v>0</v>
      </c>
      <c r="S27" s="1">
        <f t="shared" ca="1" si="10"/>
        <v>0</v>
      </c>
      <c r="T27" s="1">
        <f t="shared" ca="1" si="10"/>
        <v>0</v>
      </c>
      <c r="U27" s="1">
        <f t="shared" ca="1" si="10"/>
        <v>0</v>
      </c>
      <c r="V27" s="1">
        <f t="shared" ca="1" si="10"/>
        <v>0</v>
      </c>
      <c r="W27" s="1">
        <f t="shared" ca="1" si="10"/>
        <v>0</v>
      </c>
      <c r="X27" s="1">
        <f t="shared" ca="1" si="10"/>
        <v>0</v>
      </c>
      <c r="Y27" s="1">
        <f t="shared" ca="1" si="10"/>
        <v>0</v>
      </c>
      <c r="Z27" s="1">
        <f t="shared" ca="1" si="10"/>
        <v>0</v>
      </c>
      <c r="AA27" s="1">
        <f t="shared" ca="1" si="10"/>
        <v>0</v>
      </c>
      <c r="AB27" s="1">
        <f t="shared" ca="1" si="10"/>
        <v>0</v>
      </c>
      <c r="AC27" s="1">
        <f t="shared" ca="1" si="10"/>
        <v>0</v>
      </c>
      <c r="AD27" s="1">
        <f t="shared" ca="1" si="10"/>
        <v>0</v>
      </c>
      <c r="AE27" s="1">
        <f t="shared" ca="1" si="10"/>
        <v>0</v>
      </c>
      <c r="AF27" s="1">
        <f t="shared" ca="1" si="10"/>
        <v>0</v>
      </c>
      <c r="AG27" s="1">
        <f t="shared" ca="1" si="10"/>
        <v>0</v>
      </c>
      <c r="AH27" s="1">
        <f t="shared" ca="1" si="10"/>
        <v>0</v>
      </c>
      <c r="AI27" s="1">
        <f t="shared" ca="1" si="10"/>
        <v>0</v>
      </c>
      <c r="AJ27" s="1">
        <f t="shared" ca="1" si="10"/>
        <v>0</v>
      </c>
      <c r="AK27" s="1">
        <f t="shared" ca="1" si="10"/>
        <v>0</v>
      </c>
      <c r="AL27" s="1">
        <f t="shared" ca="1" si="10"/>
        <v>0</v>
      </c>
      <c r="AM27" s="1">
        <f t="shared" ca="1" si="10"/>
        <v>0</v>
      </c>
      <c r="AN27" s="1">
        <f t="shared" ca="1" si="10"/>
        <v>0</v>
      </c>
      <c r="AO27" s="1">
        <f t="shared" ref="AO27:BK27" ca="1" si="11">(AO$8=Exit)*$G$27</f>
        <v>0</v>
      </c>
      <c r="AP27" s="1">
        <f t="shared" ca="1" si="11"/>
        <v>0</v>
      </c>
      <c r="AQ27" s="1">
        <f t="shared" ca="1" si="11"/>
        <v>0</v>
      </c>
      <c r="AR27" s="1">
        <f t="shared" ca="1" si="11"/>
        <v>0</v>
      </c>
      <c r="AS27" s="1">
        <f t="shared" ca="1" si="11"/>
        <v>0</v>
      </c>
      <c r="AT27" s="1">
        <f t="shared" ca="1" si="11"/>
        <v>0</v>
      </c>
      <c r="AU27" s="1">
        <f t="shared" ca="1" si="11"/>
        <v>0</v>
      </c>
      <c r="AV27" s="1">
        <f t="shared" ca="1" si="11"/>
        <v>0</v>
      </c>
      <c r="AW27" s="1">
        <f t="shared" ca="1" si="11"/>
        <v>0</v>
      </c>
      <c r="AX27" s="1">
        <f t="shared" ca="1" si="11"/>
        <v>0</v>
      </c>
      <c r="AY27" s="1">
        <f t="shared" ca="1" si="11"/>
        <v>0</v>
      </c>
      <c r="AZ27" s="1">
        <f t="shared" ca="1" si="11"/>
        <v>0</v>
      </c>
      <c r="BA27" s="1">
        <f t="shared" ca="1" si="11"/>
        <v>0</v>
      </c>
      <c r="BB27" s="1">
        <f t="shared" ca="1" si="11"/>
        <v>0</v>
      </c>
      <c r="BC27" s="1">
        <f t="shared" ca="1" si="11"/>
        <v>0</v>
      </c>
      <c r="BD27" s="1">
        <f t="shared" ca="1" si="11"/>
        <v>0</v>
      </c>
      <c r="BE27" s="1">
        <f t="shared" ca="1" si="11"/>
        <v>0</v>
      </c>
      <c r="BF27" s="1">
        <f t="shared" ca="1" si="11"/>
        <v>0</v>
      </c>
      <c r="BG27" s="1">
        <f t="shared" ca="1" si="11"/>
        <v>0</v>
      </c>
      <c r="BH27" s="1">
        <f t="shared" ca="1" si="11"/>
        <v>0</v>
      </c>
      <c r="BI27" s="1">
        <f t="shared" ca="1" si="11"/>
        <v>0</v>
      </c>
      <c r="BJ27" s="1">
        <f t="shared" ca="1" si="11"/>
        <v>149732.94316709402</v>
      </c>
      <c r="BK27" s="1">
        <f t="shared" ca="1" si="11"/>
        <v>0</v>
      </c>
    </row>
    <row r="28" spans="2:63" ht="13.5" customHeight="1">
      <c r="C28" s="26" t="s">
        <v>464</v>
      </c>
      <c r="D28" s="26"/>
      <c r="E28" s="26"/>
      <c r="F28" s="26"/>
      <c r="G28" s="26">
        <f ca="1">SUM(H28:XFD28)</f>
        <v>149732.9289726181</v>
      </c>
      <c r="H28" s="26"/>
      <c r="I28" s="26">
        <f ca="1">MIN(I22,I27)</f>
        <v>0</v>
      </c>
      <c r="J28" s="26">
        <f t="shared" ref="J28:BK28" ca="1" si="12">MIN(J22,J27)</f>
        <v>0</v>
      </c>
      <c r="K28" s="26">
        <f t="shared" ca="1" si="12"/>
        <v>0</v>
      </c>
      <c r="L28" s="26">
        <f t="shared" ca="1" si="12"/>
        <v>0</v>
      </c>
      <c r="M28" s="26">
        <f t="shared" ca="1" si="12"/>
        <v>0</v>
      </c>
      <c r="N28" s="26">
        <f t="shared" ca="1" si="12"/>
        <v>0</v>
      </c>
      <c r="O28" s="26">
        <f t="shared" ca="1" si="12"/>
        <v>0</v>
      </c>
      <c r="P28" s="26">
        <f t="shared" ca="1" si="12"/>
        <v>0</v>
      </c>
      <c r="Q28" s="26">
        <f t="shared" ca="1" si="12"/>
        <v>0</v>
      </c>
      <c r="R28" s="26">
        <f t="shared" ca="1" si="12"/>
        <v>0</v>
      </c>
      <c r="S28" s="26">
        <f t="shared" ca="1" si="12"/>
        <v>0</v>
      </c>
      <c r="T28" s="26">
        <f t="shared" ca="1" si="12"/>
        <v>0</v>
      </c>
      <c r="U28" s="26">
        <f t="shared" ca="1" si="12"/>
        <v>0</v>
      </c>
      <c r="V28" s="26">
        <f t="shared" ca="1" si="12"/>
        <v>0</v>
      </c>
      <c r="W28" s="26">
        <f t="shared" ca="1" si="12"/>
        <v>0</v>
      </c>
      <c r="X28" s="26">
        <f t="shared" ca="1" si="12"/>
        <v>0</v>
      </c>
      <c r="Y28" s="26">
        <f t="shared" ca="1" si="12"/>
        <v>0</v>
      </c>
      <c r="Z28" s="26">
        <f t="shared" ca="1" si="12"/>
        <v>0</v>
      </c>
      <c r="AA28" s="26">
        <f t="shared" ca="1" si="12"/>
        <v>0</v>
      </c>
      <c r="AB28" s="26">
        <f t="shared" ca="1" si="12"/>
        <v>0</v>
      </c>
      <c r="AC28" s="26">
        <f t="shared" ca="1" si="12"/>
        <v>0</v>
      </c>
      <c r="AD28" s="26">
        <f t="shared" ca="1" si="12"/>
        <v>0</v>
      </c>
      <c r="AE28" s="26">
        <f t="shared" ca="1" si="12"/>
        <v>0</v>
      </c>
      <c r="AF28" s="26">
        <f t="shared" ca="1" si="12"/>
        <v>0</v>
      </c>
      <c r="AG28" s="26">
        <f t="shared" ca="1" si="12"/>
        <v>0</v>
      </c>
      <c r="AH28" s="26">
        <f t="shared" ca="1" si="12"/>
        <v>0</v>
      </c>
      <c r="AI28" s="26">
        <f t="shared" ca="1" si="12"/>
        <v>0</v>
      </c>
      <c r="AJ28" s="26">
        <f t="shared" ca="1" si="12"/>
        <v>0</v>
      </c>
      <c r="AK28" s="26">
        <f t="shared" ca="1" si="12"/>
        <v>0</v>
      </c>
      <c r="AL28" s="26">
        <f t="shared" ca="1" si="12"/>
        <v>0</v>
      </c>
      <c r="AM28" s="26">
        <f t="shared" ca="1" si="12"/>
        <v>0</v>
      </c>
      <c r="AN28" s="26">
        <f t="shared" ca="1" si="12"/>
        <v>0</v>
      </c>
      <c r="AO28" s="26">
        <f t="shared" ca="1" si="12"/>
        <v>0</v>
      </c>
      <c r="AP28" s="26">
        <f t="shared" ca="1" si="12"/>
        <v>0</v>
      </c>
      <c r="AQ28" s="26">
        <f t="shared" ca="1" si="12"/>
        <v>0</v>
      </c>
      <c r="AR28" s="26">
        <f t="shared" ca="1" si="12"/>
        <v>0</v>
      </c>
      <c r="AS28" s="26">
        <f t="shared" ca="1" si="12"/>
        <v>0</v>
      </c>
      <c r="AT28" s="26">
        <f t="shared" ca="1" si="12"/>
        <v>0</v>
      </c>
      <c r="AU28" s="26">
        <f t="shared" ca="1" si="12"/>
        <v>0</v>
      </c>
      <c r="AV28" s="26">
        <f t="shared" ca="1" si="12"/>
        <v>0</v>
      </c>
      <c r="AW28" s="26">
        <f t="shared" ca="1" si="12"/>
        <v>0</v>
      </c>
      <c r="AX28" s="26">
        <f t="shared" ca="1" si="12"/>
        <v>0</v>
      </c>
      <c r="AY28" s="26">
        <f t="shared" ca="1" si="12"/>
        <v>0</v>
      </c>
      <c r="AZ28" s="26">
        <f t="shared" ca="1" si="12"/>
        <v>0</v>
      </c>
      <c r="BA28" s="26">
        <f t="shared" ca="1" si="12"/>
        <v>0</v>
      </c>
      <c r="BB28" s="26">
        <f t="shared" ca="1" si="12"/>
        <v>0</v>
      </c>
      <c r="BC28" s="26">
        <f t="shared" ca="1" si="12"/>
        <v>0</v>
      </c>
      <c r="BD28" s="26">
        <f t="shared" ca="1" si="12"/>
        <v>0</v>
      </c>
      <c r="BE28" s="26">
        <f t="shared" ca="1" si="12"/>
        <v>0</v>
      </c>
      <c r="BF28" s="26">
        <f t="shared" ca="1" si="12"/>
        <v>0</v>
      </c>
      <c r="BG28" s="26">
        <f t="shared" ca="1" si="12"/>
        <v>0</v>
      </c>
      <c r="BH28" s="26">
        <f t="shared" ca="1" si="12"/>
        <v>0</v>
      </c>
      <c r="BI28" s="26">
        <f t="shared" ca="1" si="12"/>
        <v>0</v>
      </c>
      <c r="BJ28" s="26">
        <f t="shared" ca="1" si="12"/>
        <v>149732.92912693677</v>
      </c>
      <c r="BK28" s="26">
        <f t="shared" ca="1" si="12"/>
        <v>0</v>
      </c>
    </row>
    <row r="29" spans="2:63" ht="13.5" customHeight="1">
      <c r="C29" s="4"/>
      <c r="D29" s="316" t="str">
        <f>D18</f>
        <v>시행사</v>
      </c>
      <c r="E29" s="317">
        <f>'A&amp;R'!U29</f>
        <v>0.9</v>
      </c>
      <c r="F29" s="26"/>
      <c r="G29" s="26">
        <f t="shared" ref="G29:G30" ca="1" si="13">SUM(H29:XFD29)</f>
        <v>134759.63607535631</v>
      </c>
      <c r="H29" s="26"/>
      <c r="I29" s="26">
        <f ca="1">I$28*$E29</f>
        <v>0</v>
      </c>
      <c r="J29" s="26">
        <f t="shared" ref="J29:BK29" ca="1" si="14">J$28*$E29</f>
        <v>0</v>
      </c>
      <c r="K29" s="26">
        <f t="shared" ca="1" si="14"/>
        <v>0</v>
      </c>
      <c r="L29" s="26">
        <f t="shared" ca="1" si="14"/>
        <v>0</v>
      </c>
      <c r="M29" s="26">
        <f t="shared" ca="1" si="14"/>
        <v>0</v>
      </c>
      <c r="N29" s="26">
        <f t="shared" ca="1" si="14"/>
        <v>0</v>
      </c>
      <c r="O29" s="26">
        <f t="shared" ca="1" si="14"/>
        <v>0</v>
      </c>
      <c r="P29" s="26">
        <f t="shared" ca="1" si="14"/>
        <v>0</v>
      </c>
      <c r="Q29" s="26">
        <f t="shared" ca="1" si="14"/>
        <v>0</v>
      </c>
      <c r="R29" s="26">
        <f t="shared" ca="1" si="14"/>
        <v>0</v>
      </c>
      <c r="S29" s="26">
        <f t="shared" ca="1" si="14"/>
        <v>0</v>
      </c>
      <c r="T29" s="26">
        <f t="shared" ca="1" si="14"/>
        <v>0</v>
      </c>
      <c r="U29" s="26">
        <f t="shared" ca="1" si="14"/>
        <v>0</v>
      </c>
      <c r="V29" s="26">
        <f t="shared" ca="1" si="14"/>
        <v>0</v>
      </c>
      <c r="W29" s="26">
        <f t="shared" ca="1" si="14"/>
        <v>0</v>
      </c>
      <c r="X29" s="26">
        <f t="shared" ca="1" si="14"/>
        <v>0</v>
      </c>
      <c r="Y29" s="26">
        <f t="shared" ca="1" si="14"/>
        <v>0</v>
      </c>
      <c r="Z29" s="26">
        <f t="shared" ca="1" si="14"/>
        <v>0</v>
      </c>
      <c r="AA29" s="26">
        <f t="shared" ca="1" si="14"/>
        <v>0</v>
      </c>
      <c r="AB29" s="26">
        <f t="shared" ca="1" si="14"/>
        <v>0</v>
      </c>
      <c r="AC29" s="26">
        <f t="shared" ca="1" si="14"/>
        <v>0</v>
      </c>
      <c r="AD29" s="26">
        <f t="shared" ca="1" si="14"/>
        <v>0</v>
      </c>
      <c r="AE29" s="26">
        <f t="shared" ca="1" si="14"/>
        <v>0</v>
      </c>
      <c r="AF29" s="26">
        <f t="shared" ca="1" si="14"/>
        <v>0</v>
      </c>
      <c r="AG29" s="26">
        <f t="shared" ca="1" si="14"/>
        <v>0</v>
      </c>
      <c r="AH29" s="26">
        <f t="shared" ca="1" si="14"/>
        <v>0</v>
      </c>
      <c r="AI29" s="26">
        <f t="shared" ca="1" si="14"/>
        <v>0</v>
      </c>
      <c r="AJ29" s="26">
        <f t="shared" ca="1" si="14"/>
        <v>0</v>
      </c>
      <c r="AK29" s="26">
        <f t="shared" ca="1" si="14"/>
        <v>0</v>
      </c>
      <c r="AL29" s="26">
        <f t="shared" ca="1" si="14"/>
        <v>0</v>
      </c>
      <c r="AM29" s="26">
        <f t="shared" ca="1" si="14"/>
        <v>0</v>
      </c>
      <c r="AN29" s="26">
        <f t="shared" ca="1" si="14"/>
        <v>0</v>
      </c>
      <c r="AO29" s="26">
        <f t="shared" ca="1" si="14"/>
        <v>0</v>
      </c>
      <c r="AP29" s="26">
        <f t="shared" ca="1" si="14"/>
        <v>0</v>
      </c>
      <c r="AQ29" s="26">
        <f t="shared" ca="1" si="14"/>
        <v>0</v>
      </c>
      <c r="AR29" s="26">
        <f t="shared" ca="1" si="14"/>
        <v>0</v>
      </c>
      <c r="AS29" s="26">
        <f t="shared" ca="1" si="14"/>
        <v>0</v>
      </c>
      <c r="AT29" s="26">
        <f t="shared" ca="1" si="14"/>
        <v>0</v>
      </c>
      <c r="AU29" s="26">
        <f t="shared" ca="1" si="14"/>
        <v>0</v>
      </c>
      <c r="AV29" s="26">
        <f t="shared" ca="1" si="14"/>
        <v>0</v>
      </c>
      <c r="AW29" s="26">
        <f t="shared" ca="1" si="14"/>
        <v>0</v>
      </c>
      <c r="AX29" s="26">
        <f t="shared" ca="1" si="14"/>
        <v>0</v>
      </c>
      <c r="AY29" s="26">
        <f t="shared" ca="1" si="14"/>
        <v>0</v>
      </c>
      <c r="AZ29" s="26">
        <f t="shared" ca="1" si="14"/>
        <v>0</v>
      </c>
      <c r="BA29" s="26">
        <f t="shared" ca="1" si="14"/>
        <v>0</v>
      </c>
      <c r="BB29" s="26">
        <f t="shared" ca="1" si="14"/>
        <v>0</v>
      </c>
      <c r="BC29" s="26">
        <f t="shared" ca="1" si="14"/>
        <v>0</v>
      </c>
      <c r="BD29" s="26">
        <f t="shared" ca="1" si="14"/>
        <v>0</v>
      </c>
      <c r="BE29" s="26">
        <f t="shared" ca="1" si="14"/>
        <v>0</v>
      </c>
      <c r="BF29" s="26">
        <f t="shared" ca="1" si="14"/>
        <v>0</v>
      </c>
      <c r="BG29" s="26">
        <f t="shared" ca="1" si="14"/>
        <v>0</v>
      </c>
      <c r="BH29" s="26">
        <f t="shared" ca="1" si="14"/>
        <v>0</v>
      </c>
      <c r="BI29" s="26">
        <f t="shared" ca="1" si="14"/>
        <v>0</v>
      </c>
      <c r="BJ29" s="26">
        <f t="shared" ca="1" si="14"/>
        <v>134759.6362142431</v>
      </c>
      <c r="BK29" s="26">
        <f t="shared" ca="1" si="14"/>
        <v>0</v>
      </c>
    </row>
    <row r="30" spans="2:63" ht="13.5" customHeight="1">
      <c r="C30" s="318"/>
      <c r="D30" s="319" t="str">
        <f t="shared" ref="D30" si="15">D19</f>
        <v>금융사</v>
      </c>
      <c r="E30" s="320">
        <f>'A&amp;R'!U30</f>
        <v>0.1</v>
      </c>
      <c r="F30" s="28"/>
      <c r="G30" s="28">
        <f t="shared" ca="1" si="13"/>
        <v>14973.29289726181</v>
      </c>
      <c r="H30" s="28"/>
      <c r="I30" s="28">
        <f t="shared" ref="I30:BK30" ca="1" si="16">I$28*$E30</f>
        <v>0</v>
      </c>
      <c r="J30" s="28">
        <f t="shared" ca="1" si="16"/>
        <v>0</v>
      </c>
      <c r="K30" s="28">
        <f t="shared" ca="1" si="16"/>
        <v>0</v>
      </c>
      <c r="L30" s="28">
        <f t="shared" ca="1" si="16"/>
        <v>0</v>
      </c>
      <c r="M30" s="28">
        <f t="shared" ca="1" si="16"/>
        <v>0</v>
      </c>
      <c r="N30" s="28">
        <f t="shared" ca="1" si="16"/>
        <v>0</v>
      </c>
      <c r="O30" s="28">
        <f t="shared" ca="1" si="16"/>
        <v>0</v>
      </c>
      <c r="P30" s="28">
        <f t="shared" ca="1" si="16"/>
        <v>0</v>
      </c>
      <c r="Q30" s="28">
        <f t="shared" ca="1" si="16"/>
        <v>0</v>
      </c>
      <c r="R30" s="28">
        <f t="shared" ca="1" si="16"/>
        <v>0</v>
      </c>
      <c r="S30" s="28">
        <f t="shared" ca="1" si="16"/>
        <v>0</v>
      </c>
      <c r="T30" s="28">
        <f t="shared" ca="1" si="16"/>
        <v>0</v>
      </c>
      <c r="U30" s="28">
        <f t="shared" ca="1" si="16"/>
        <v>0</v>
      </c>
      <c r="V30" s="28">
        <f t="shared" ca="1" si="16"/>
        <v>0</v>
      </c>
      <c r="W30" s="28">
        <f t="shared" ca="1" si="16"/>
        <v>0</v>
      </c>
      <c r="X30" s="28">
        <f t="shared" ca="1" si="16"/>
        <v>0</v>
      </c>
      <c r="Y30" s="28">
        <f t="shared" ca="1" si="16"/>
        <v>0</v>
      </c>
      <c r="Z30" s="28">
        <f t="shared" ca="1" si="16"/>
        <v>0</v>
      </c>
      <c r="AA30" s="28">
        <f t="shared" ca="1" si="16"/>
        <v>0</v>
      </c>
      <c r="AB30" s="28">
        <f t="shared" ca="1" si="16"/>
        <v>0</v>
      </c>
      <c r="AC30" s="28">
        <f t="shared" ca="1" si="16"/>
        <v>0</v>
      </c>
      <c r="AD30" s="28">
        <f t="shared" ca="1" si="16"/>
        <v>0</v>
      </c>
      <c r="AE30" s="28">
        <f t="shared" ca="1" si="16"/>
        <v>0</v>
      </c>
      <c r="AF30" s="28">
        <f t="shared" ca="1" si="16"/>
        <v>0</v>
      </c>
      <c r="AG30" s="28">
        <f t="shared" ca="1" si="16"/>
        <v>0</v>
      </c>
      <c r="AH30" s="28">
        <f t="shared" ca="1" si="16"/>
        <v>0</v>
      </c>
      <c r="AI30" s="28">
        <f t="shared" ca="1" si="16"/>
        <v>0</v>
      </c>
      <c r="AJ30" s="28">
        <f t="shared" ca="1" si="16"/>
        <v>0</v>
      </c>
      <c r="AK30" s="28">
        <f t="shared" ca="1" si="16"/>
        <v>0</v>
      </c>
      <c r="AL30" s="28">
        <f t="shared" ca="1" si="16"/>
        <v>0</v>
      </c>
      <c r="AM30" s="28">
        <f t="shared" ca="1" si="16"/>
        <v>0</v>
      </c>
      <c r="AN30" s="28">
        <f t="shared" ca="1" si="16"/>
        <v>0</v>
      </c>
      <c r="AO30" s="28">
        <f t="shared" ca="1" si="16"/>
        <v>0</v>
      </c>
      <c r="AP30" s="28">
        <f t="shared" ca="1" si="16"/>
        <v>0</v>
      </c>
      <c r="AQ30" s="28">
        <f t="shared" ca="1" si="16"/>
        <v>0</v>
      </c>
      <c r="AR30" s="28">
        <f t="shared" ca="1" si="16"/>
        <v>0</v>
      </c>
      <c r="AS30" s="28">
        <f t="shared" ca="1" si="16"/>
        <v>0</v>
      </c>
      <c r="AT30" s="28">
        <f t="shared" ca="1" si="16"/>
        <v>0</v>
      </c>
      <c r="AU30" s="28">
        <f t="shared" ca="1" si="16"/>
        <v>0</v>
      </c>
      <c r="AV30" s="28">
        <f t="shared" ca="1" si="16"/>
        <v>0</v>
      </c>
      <c r="AW30" s="28">
        <f t="shared" ca="1" si="16"/>
        <v>0</v>
      </c>
      <c r="AX30" s="28">
        <f t="shared" ca="1" si="16"/>
        <v>0</v>
      </c>
      <c r="AY30" s="28">
        <f t="shared" ca="1" si="16"/>
        <v>0</v>
      </c>
      <c r="AZ30" s="28">
        <f t="shared" ca="1" si="16"/>
        <v>0</v>
      </c>
      <c r="BA30" s="28">
        <f t="shared" ca="1" si="16"/>
        <v>0</v>
      </c>
      <c r="BB30" s="28">
        <f t="shared" ca="1" si="16"/>
        <v>0</v>
      </c>
      <c r="BC30" s="28">
        <f t="shared" ca="1" si="16"/>
        <v>0</v>
      </c>
      <c r="BD30" s="28">
        <f t="shared" ca="1" si="16"/>
        <v>0</v>
      </c>
      <c r="BE30" s="28">
        <f t="shared" ca="1" si="16"/>
        <v>0</v>
      </c>
      <c r="BF30" s="28">
        <f t="shared" ca="1" si="16"/>
        <v>0</v>
      </c>
      <c r="BG30" s="28">
        <f t="shared" ca="1" si="16"/>
        <v>0</v>
      </c>
      <c r="BH30" s="28">
        <f t="shared" ca="1" si="16"/>
        <v>0</v>
      </c>
      <c r="BI30" s="28">
        <f t="shared" ca="1" si="16"/>
        <v>0</v>
      </c>
      <c r="BJ30" s="28">
        <f t="shared" ca="1" si="16"/>
        <v>14973.292912693678</v>
      </c>
      <c r="BK30" s="28">
        <f t="shared" ca="1" si="16"/>
        <v>0</v>
      </c>
    </row>
    <row r="32" spans="2:63" ht="13.5" customHeight="1">
      <c r="B32" s="14" t="s">
        <v>489</v>
      </c>
    </row>
    <row r="33" spans="3:63" ht="13.5" customHeight="1">
      <c r="C33" s="1" t="str">
        <f>D29</f>
        <v>시행사</v>
      </c>
    </row>
    <row r="34" spans="3:63" ht="13.5" customHeight="1">
      <c r="D34" s="1" t="s">
        <v>490</v>
      </c>
      <c r="G34" s="1">
        <f>SUM(H34:XFD34)</f>
        <v>-9000</v>
      </c>
      <c r="I34" s="1">
        <f>현금흐름!I27*-1</f>
        <v>-9000</v>
      </c>
      <c r="J34" s="1">
        <f>현금흐름!J27*-1</f>
        <v>0</v>
      </c>
      <c r="K34" s="1">
        <f>현금흐름!K27*-1</f>
        <v>0</v>
      </c>
      <c r="L34" s="1">
        <f>현금흐름!L27*-1</f>
        <v>0</v>
      </c>
      <c r="M34" s="1">
        <f>현금흐름!M27*-1</f>
        <v>0</v>
      </c>
      <c r="N34" s="1">
        <f>현금흐름!N27*-1</f>
        <v>0</v>
      </c>
      <c r="O34" s="1">
        <f>현금흐름!O27*-1</f>
        <v>0</v>
      </c>
      <c r="P34" s="1">
        <f>현금흐름!P27*-1</f>
        <v>0</v>
      </c>
      <c r="Q34" s="1">
        <f>현금흐름!Q27*-1</f>
        <v>0</v>
      </c>
      <c r="R34" s="1">
        <f>현금흐름!R27*-1</f>
        <v>0</v>
      </c>
      <c r="S34" s="1">
        <f>현금흐름!S27*-1</f>
        <v>0</v>
      </c>
      <c r="T34" s="1">
        <f>현금흐름!T27*-1</f>
        <v>0</v>
      </c>
      <c r="U34" s="1">
        <f>현금흐름!U27*-1</f>
        <v>0</v>
      </c>
      <c r="V34" s="1">
        <f>현금흐름!V27*-1</f>
        <v>0</v>
      </c>
      <c r="W34" s="1">
        <f>현금흐름!W27*-1</f>
        <v>0</v>
      </c>
      <c r="X34" s="1">
        <f>현금흐름!X27*-1</f>
        <v>0</v>
      </c>
      <c r="Y34" s="1">
        <f>현금흐름!Y27*-1</f>
        <v>0</v>
      </c>
      <c r="Z34" s="1">
        <f>현금흐름!Z27*-1</f>
        <v>0</v>
      </c>
      <c r="AA34" s="1">
        <f>현금흐름!AA27*-1</f>
        <v>0</v>
      </c>
      <c r="AB34" s="1">
        <f>현금흐름!AB27*-1</f>
        <v>0</v>
      </c>
      <c r="AC34" s="1">
        <f>현금흐름!AC27*-1</f>
        <v>0</v>
      </c>
      <c r="AD34" s="1">
        <f>현금흐름!AD27*-1</f>
        <v>0</v>
      </c>
      <c r="AE34" s="1">
        <f>현금흐름!AE27*-1</f>
        <v>0</v>
      </c>
      <c r="AF34" s="1">
        <f>현금흐름!AF27*-1</f>
        <v>0</v>
      </c>
      <c r="AG34" s="1">
        <f>현금흐름!AG27*-1</f>
        <v>0</v>
      </c>
      <c r="AH34" s="1">
        <f>현금흐름!AH27*-1</f>
        <v>0</v>
      </c>
      <c r="AI34" s="1">
        <f>현금흐름!AI27*-1</f>
        <v>0</v>
      </c>
      <c r="AJ34" s="1">
        <f>현금흐름!AJ27*-1</f>
        <v>0</v>
      </c>
      <c r="AK34" s="1">
        <f>현금흐름!AK27*-1</f>
        <v>0</v>
      </c>
      <c r="AL34" s="1">
        <f>현금흐름!AL27*-1</f>
        <v>0</v>
      </c>
      <c r="AM34" s="1">
        <f>현금흐름!AM27*-1</f>
        <v>0</v>
      </c>
      <c r="AN34" s="1">
        <f>현금흐름!AN27*-1</f>
        <v>0</v>
      </c>
      <c r="AO34" s="1">
        <f>현금흐름!AO27*-1</f>
        <v>0</v>
      </c>
      <c r="AP34" s="1">
        <f>현금흐름!AP27*-1</f>
        <v>0</v>
      </c>
      <c r="AQ34" s="1">
        <f>현금흐름!AQ27*-1</f>
        <v>0</v>
      </c>
      <c r="AR34" s="1">
        <f>현금흐름!AR27*-1</f>
        <v>0</v>
      </c>
      <c r="AS34" s="1">
        <f>현금흐름!AS27*-1</f>
        <v>0</v>
      </c>
      <c r="AT34" s="1">
        <f>현금흐름!AT27*-1</f>
        <v>0</v>
      </c>
      <c r="AU34" s="1">
        <f>현금흐름!AU27*-1</f>
        <v>0</v>
      </c>
      <c r="AV34" s="1">
        <f>현금흐름!AV27*-1</f>
        <v>0</v>
      </c>
      <c r="AW34" s="1">
        <f>현금흐름!AW27*-1</f>
        <v>0</v>
      </c>
      <c r="AX34" s="1">
        <f>현금흐름!AX27*-1</f>
        <v>0</v>
      </c>
      <c r="AY34" s="1">
        <f>현금흐름!AY27*-1</f>
        <v>0</v>
      </c>
      <c r="AZ34" s="1">
        <f>현금흐름!AZ27*-1</f>
        <v>0</v>
      </c>
      <c r="BA34" s="1">
        <f>현금흐름!BA27*-1</f>
        <v>0</v>
      </c>
      <c r="BB34" s="1">
        <f>현금흐름!BB27*-1</f>
        <v>0</v>
      </c>
      <c r="BC34" s="1">
        <f>현금흐름!BC27*-1</f>
        <v>0</v>
      </c>
      <c r="BD34" s="1">
        <f>현금흐름!BD27*-1</f>
        <v>0</v>
      </c>
      <c r="BE34" s="1">
        <f>현금흐름!BE27*-1</f>
        <v>0</v>
      </c>
      <c r="BF34" s="1">
        <f>현금흐름!BF27*-1</f>
        <v>0</v>
      </c>
      <c r="BG34" s="1">
        <f>현금흐름!BG27*-1</f>
        <v>0</v>
      </c>
      <c r="BH34" s="1">
        <f>현금흐름!BH27*-1</f>
        <v>0</v>
      </c>
      <c r="BI34" s="1">
        <f>현금흐름!BI27*-1</f>
        <v>0</v>
      </c>
      <c r="BJ34" s="1">
        <f>현금흐름!BJ27*-1</f>
        <v>0</v>
      </c>
      <c r="BK34" s="1">
        <f>현금흐름!BK27*-1</f>
        <v>0</v>
      </c>
    </row>
    <row r="35" spans="3:63" ht="13.5" customHeight="1">
      <c r="D35" s="1" t="s">
        <v>491</v>
      </c>
      <c r="G35" s="1">
        <f t="shared" ref="G35:G37" ca="1" si="17">SUM(H35:XFD35)</f>
        <v>9000</v>
      </c>
      <c r="I35" s="1">
        <f ca="1">I18</f>
        <v>0</v>
      </c>
      <c r="J35" s="1">
        <f t="shared" ref="J35:BK35" ca="1" si="18">J18</f>
        <v>0</v>
      </c>
      <c r="K35" s="1">
        <f t="shared" ca="1" si="18"/>
        <v>0</v>
      </c>
      <c r="L35" s="1">
        <f t="shared" ca="1" si="18"/>
        <v>0</v>
      </c>
      <c r="M35" s="1">
        <f t="shared" ca="1" si="18"/>
        <v>0</v>
      </c>
      <c r="N35" s="1">
        <f t="shared" ca="1" si="18"/>
        <v>0</v>
      </c>
      <c r="O35" s="1">
        <f t="shared" ca="1" si="18"/>
        <v>0</v>
      </c>
      <c r="P35" s="1">
        <f t="shared" ca="1" si="18"/>
        <v>0</v>
      </c>
      <c r="Q35" s="1">
        <f t="shared" ca="1" si="18"/>
        <v>0</v>
      </c>
      <c r="R35" s="1">
        <f t="shared" ca="1" si="18"/>
        <v>0</v>
      </c>
      <c r="S35" s="1">
        <f t="shared" ca="1" si="18"/>
        <v>0</v>
      </c>
      <c r="T35" s="1">
        <f t="shared" ca="1" si="18"/>
        <v>0</v>
      </c>
      <c r="U35" s="1">
        <f t="shared" ca="1" si="18"/>
        <v>0</v>
      </c>
      <c r="V35" s="1">
        <f t="shared" ca="1" si="18"/>
        <v>0</v>
      </c>
      <c r="W35" s="1">
        <f t="shared" ca="1" si="18"/>
        <v>0</v>
      </c>
      <c r="X35" s="1">
        <f t="shared" ca="1" si="18"/>
        <v>0</v>
      </c>
      <c r="Y35" s="1">
        <f t="shared" ca="1" si="18"/>
        <v>0</v>
      </c>
      <c r="Z35" s="1">
        <f t="shared" ca="1" si="18"/>
        <v>0</v>
      </c>
      <c r="AA35" s="1">
        <f t="shared" ca="1" si="18"/>
        <v>0</v>
      </c>
      <c r="AB35" s="1">
        <f t="shared" ca="1" si="18"/>
        <v>0</v>
      </c>
      <c r="AC35" s="1">
        <f t="shared" ca="1" si="18"/>
        <v>0</v>
      </c>
      <c r="AD35" s="1">
        <f t="shared" ca="1" si="18"/>
        <v>0</v>
      </c>
      <c r="AE35" s="1">
        <f t="shared" ca="1" si="18"/>
        <v>0</v>
      </c>
      <c r="AF35" s="1">
        <f t="shared" ca="1" si="18"/>
        <v>0</v>
      </c>
      <c r="AG35" s="1">
        <f t="shared" ca="1" si="18"/>
        <v>0</v>
      </c>
      <c r="AH35" s="1">
        <f t="shared" ca="1" si="18"/>
        <v>0</v>
      </c>
      <c r="AI35" s="1">
        <f t="shared" ca="1" si="18"/>
        <v>0</v>
      </c>
      <c r="AJ35" s="1">
        <f t="shared" ca="1" si="18"/>
        <v>0</v>
      </c>
      <c r="AK35" s="1">
        <f t="shared" ca="1" si="18"/>
        <v>0</v>
      </c>
      <c r="AL35" s="1">
        <f t="shared" ca="1" si="18"/>
        <v>0</v>
      </c>
      <c r="AM35" s="1">
        <f t="shared" ca="1" si="18"/>
        <v>0</v>
      </c>
      <c r="AN35" s="1">
        <f t="shared" ca="1" si="18"/>
        <v>0</v>
      </c>
      <c r="AO35" s="1">
        <f t="shared" ca="1" si="18"/>
        <v>0</v>
      </c>
      <c r="AP35" s="1">
        <f t="shared" ca="1" si="18"/>
        <v>0</v>
      </c>
      <c r="AQ35" s="1">
        <f t="shared" ca="1" si="18"/>
        <v>0</v>
      </c>
      <c r="AR35" s="1">
        <f t="shared" ca="1" si="18"/>
        <v>0</v>
      </c>
      <c r="AS35" s="1">
        <f t="shared" ca="1" si="18"/>
        <v>0</v>
      </c>
      <c r="AT35" s="1">
        <f t="shared" ca="1" si="18"/>
        <v>0</v>
      </c>
      <c r="AU35" s="1">
        <f t="shared" ca="1" si="18"/>
        <v>0</v>
      </c>
      <c r="AV35" s="1">
        <f t="shared" ca="1" si="18"/>
        <v>0</v>
      </c>
      <c r="AW35" s="1">
        <f t="shared" ca="1" si="18"/>
        <v>0</v>
      </c>
      <c r="AX35" s="1">
        <f t="shared" ca="1" si="18"/>
        <v>0</v>
      </c>
      <c r="AY35" s="1">
        <f t="shared" ca="1" si="18"/>
        <v>0</v>
      </c>
      <c r="AZ35" s="1">
        <f t="shared" ca="1" si="18"/>
        <v>0</v>
      </c>
      <c r="BA35" s="1">
        <f t="shared" ca="1" si="18"/>
        <v>0</v>
      </c>
      <c r="BB35" s="1">
        <f t="shared" ca="1" si="18"/>
        <v>0</v>
      </c>
      <c r="BC35" s="1">
        <f t="shared" ca="1" si="18"/>
        <v>0</v>
      </c>
      <c r="BD35" s="1">
        <f t="shared" ca="1" si="18"/>
        <v>0</v>
      </c>
      <c r="BE35" s="1">
        <f t="shared" ca="1" si="18"/>
        <v>0</v>
      </c>
      <c r="BF35" s="1">
        <f t="shared" ca="1" si="18"/>
        <v>0</v>
      </c>
      <c r="BG35" s="1">
        <f t="shared" ca="1" si="18"/>
        <v>0</v>
      </c>
      <c r="BH35" s="1">
        <f t="shared" ca="1" si="18"/>
        <v>0</v>
      </c>
      <c r="BI35" s="1">
        <f t="shared" ca="1" si="18"/>
        <v>0</v>
      </c>
      <c r="BJ35" s="1">
        <f t="shared" ca="1" si="18"/>
        <v>9000</v>
      </c>
      <c r="BK35" s="1">
        <f t="shared" ca="1" si="18"/>
        <v>0</v>
      </c>
    </row>
    <row r="36" spans="3:63" ht="13.5" customHeight="1">
      <c r="D36" s="24" t="s">
        <v>460</v>
      </c>
      <c r="E36" s="24"/>
      <c r="F36" s="24"/>
      <c r="G36" s="24">
        <f t="shared" ca="1" si="17"/>
        <v>134759.63607535631</v>
      </c>
      <c r="H36" s="24"/>
      <c r="I36" s="24">
        <f ca="1">I29</f>
        <v>0</v>
      </c>
      <c r="J36" s="24">
        <f t="shared" ref="J36:BK36" ca="1" si="19">J29</f>
        <v>0</v>
      </c>
      <c r="K36" s="24">
        <f t="shared" ca="1" si="19"/>
        <v>0</v>
      </c>
      <c r="L36" s="24">
        <f t="shared" ca="1" si="19"/>
        <v>0</v>
      </c>
      <c r="M36" s="24">
        <f t="shared" ca="1" si="19"/>
        <v>0</v>
      </c>
      <c r="N36" s="24">
        <f t="shared" ca="1" si="19"/>
        <v>0</v>
      </c>
      <c r="O36" s="24">
        <f t="shared" ca="1" si="19"/>
        <v>0</v>
      </c>
      <c r="P36" s="24">
        <f t="shared" ca="1" si="19"/>
        <v>0</v>
      </c>
      <c r="Q36" s="24">
        <f t="shared" ca="1" si="19"/>
        <v>0</v>
      </c>
      <c r="R36" s="24">
        <f t="shared" ca="1" si="19"/>
        <v>0</v>
      </c>
      <c r="S36" s="24">
        <f t="shared" ca="1" si="19"/>
        <v>0</v>
      </c>
      <c r="T36" s="24">
        <f t="shared" ca="1" si="19"/>
        <v>0</v>
      </c>
      <c r="U36" s="24">
        <f t="shared" ca="1" si="19"/>
        <v>0</v>
      </c>
      <c r="V36" s="24">
        <f t="shared" ca="1" si="19"/>
        <v>0</v>
      </c>
      <c r="W36" s="24">
        <f t="shared" ca="1" si="19"/>
        <v>0</v>
      </c>
      <c r="X36" s="24">
        <f t="shared" ca="1" si="19"/>
        <v>0</v>
      </c>
      <c r="Y36" s="24">
        <f t="shared" ca="1" si="19"/>
        <v>0</v>
      </c>
      <c r="Z36" s="24">
        <f t="shared" ca="1" si="19"/>
        <v>0</v>
      </c>
      <c r="AA36" s="24">
        <f t="shared" ca="1" si="19"/>
        <v>0</v>
      </c>
      <c r="AB36" s="24">
        <f t="shared" ca="1" si="19"/>
        <v>0</v>
      </c>
      <c r="AC36" s="24">
        <f t="shared" ca="1" si="19"/>
        <v>0</v>
      </c>
      <c r="AD36" s="24">
        <f t="shared" ca="1" si="19"/>
        <v>0</v>
      </c>
      <c r="AE36" s="24">
        <f t="shared" ca="1" si="19"/>
        <v>0</v>
      </c>
      <c r="AF36" s="24">
        <f t="shared" ca="1" si="19"/>
        <v>0</v>
      </c>
      <c r="AG36" s="24">
        <f t="shared" ca="1" si="19"/>
        <v>0</v>
      </c>
      <c r="AH36" s="24">
        <f t="shared" ca="1" si="19"/>
        <v>0</v>
      </c>
      <c r="AI36" s="24">
        <f t="shared" ca="1" si="19"/>
        <v>0</v>
      </c>
      <c r="AJ36" s="24">
        <f t="shared" ca="1" si="19"/>
        <v>0</v>
      </c>
      <c r="AK36" s="24">
        <f t="shared" ca="1" si="19"/>
        <v>0</v>
      </c>
      <c r="AL36" s="24">
        <f t="shared" ca="1" si="19"/>
        <v>0</v>
      </c>
      <c r="AM36" s="24">
        <f t="shared" ca="1" si="19"/>
        <v>0</v>
      </c>
      <c r="AN36" s="24">
        <f t="shared" ca="1" si="19"/>
        <v>0</v>
      </c>
      <c r="AO36" s="24">
        <f t="shared" ca="1" si="19"/>
        <v>0</v>
      </c>
      <c r="AP36" s="24">
        <f t="shared" ca="1" si="19"/>
        <v>0</v>
      </c>
      <c r="AQ36" s="24">
        <f t="shared" ca="1" si="19"/>
        <v>0</v>
      </c>
      <c r="AR36" s="24">
        <f t="shared" ca="1" si="19"/>
        <v>0</v>
      </c>
      <c r="AS36" s="24">
        <f t="shared" ca="1" si="19"/>
        <v>0</v>
      </c>
      <c r="AT36" s="24">
        <f t="shared" ca="1" si="19"/>
        <v>0</v>
      </c>
      <c r="AU36" s="24">
        <f t="shared" ca="1" si="19"/>
        <v>0</v>
      </c>
      <c r="AV36" s="24">
        <f t="shared" ca="1" si="19"/>
        <v>0</v>
      </c>
      <c r="AW36" s="24">
        <f t="shared" ca="1" si="19"/>
        <v>0</v>
      </c>
      <c r="AX36" s="24">
        <f t="shared" ca="1" si="19"/>
        <v>0</v>
      </c>
      <c r="AY36" s="24">
        <f t="shared" ca="1" si="19"/>
        <v>0</v>
      </c>
      <c r="AZ36" s="24">
        <f t="shared" ca="1" si="19"/>
        <v>0</v>
      </c>
      <c r="BA36" s="24">
        <f t="shared" ca="1" si="19"/>
        <v>0</v>
      </c>
      <c r="BB36" s="24">
        <f t="shared" ca="1" si="19"/>
        <v>0</v>
      </c>
      <c r="BC36" s="24">
        <f t="shared" ca="1" si="19"/>
        <v>0</v>
      </c>
      <c r="BD36" s="24">
        <f t="shared" ca="1" si="19"/>
        <v>0</v>
      </c>
      <c r="BE36" s="24">
        <f t="shared" ca="1" si="19"/>
        <v>0</v>
      </c>
      <c r="BF36" s="24">
        <f t="shared" ca="1" si="19"/>
        <v>0</v>
      </c>
      <c r="BG36" s="24">
        <f t="shared" ca="1" si="19"/>
        <v>0</v>
      </c>
      <c r="BH36" s="24">
        <f t="shared" ca="1" si="19"/>
        <v>0</v>
      </c>
      <c r="BI36" s="24">
        <f t="shared" ca="1" si="19"/>
        <v>0</v>
      </c>
      <c r="BJ36" s="24">
        <f t="shared" ca="1" si="19"/>
        <v>134759.6362142431</v>
      </c>
      <c r="BK36" s="24">
        <f t="shared" ca="1" si="19"/>
        <v>0</v>
      </c>
    </row>
    <row r="37" spans="3:63" ht="13.5" customHeight="1">
      <c r="D37" s="1" t="s">
        <v>492</v>
      </c>
      <c r="G37" s="1">
        <f t="shared" ca="1" si="17"/>
        <v>134759.63607535631</v>
      </c>
      <c r="I37" s="1">
        <f ca="1">SUM(I34:I36)</f>
        <v>-9000</v>
      </c>
      <c r="J37" s="1">
        <f t="shared" ref="J37:BK37" ca="1" si="20">SUM(J34:J36)</f>
        <v>0</v>
      </c>
      <c r="K37" s="1">
        <f t="shared" ca="1" si="20"/>
        <v>0</v>
      </c>
      <c r="L37" s="1">
        <f t="shared" ca="1" si="20"/>
        <v>0</v>
      </c>
      <c r="M37" s="1">
        <f t="shared" ca="1" si="20"/>
        <v>0</v>
      </c>
      <c r="N37" s="1">
        <f t="shared" ca="1" si="20"/>
        <v>0</v>
      </c>
      <c r="O37" s="1">
        <f t="shared" ca="1" si="20"/>
        <v>0</v>
      </c>
      <c r="P37" s="1">
        <f t="shared" ca="1" si="20"/>
        <v>0</v>
      </c>
      <c r="Q37" s="1">
        <f t="shared" ca="1" si="20"/>
        <v>0</v>
      </c>
      <c r="R37" s="1">
        <f t="shared" ca="1" si="20"/>
        <v>0</v>
      </c>
      <c r="S37" s="1">
        <f t="shared" ca="1" si="20"/>
        <v>0</v>
      </c>
      <c r="T37" s="1">
        <f t="shared" ca="1" si="20"/>
        <v>0</v>
      </c>
      <c r="U37" s="1">
        <f t="shared" ca="1" si="20"/>
        <v>0</v>
      </c>
      <c r="V37" s="1">
        <f t="shared" ca="1" si="20"/>
        <v>0</v>
      </c>
      <c r="W37" s="1">
        <f t="shared" ca="1" si="20"/>
        <v>0</v>
      </c>
      <c r="X37" s="1">
        <f t="shared" ca="1" si="20"/>
        <v>0</v>
      </c>
      <c r="Y37" s="1">
        <f t="shared" ca="1" si="20"/>
        <v>0</v>
      </c>
      <c r="Z37" s="1">
        <f t="shared" ca="1" si="20"/>
        <v>0</v>
      </c>
      <c r="AA37" s="1">
        <f t="shared" ca="1" si="20"/>
        <v>0</v>
      </c>
      <c r="AB37" s="1">
        <f t="shared" ca="1" si="20"/>
        <v>0</v>
      </c>
      <c r="AC37" s="1">
        <f t="shared" ca="1" si="20"/>
        <v>0</v>
      </c>
      <c r="AD37" s="1">
        <f t="shared" ca="1" si="20"/>
        <v>0</v>
      </c>
      <c r="AE37" s="1">
        <f t="shared" ca="1" si="20"/>
        <v>0</v>
      </c>
      <c r="AF37" s="1">
        <f t="shared" ca="1" si="20"/>
        <v>0</v>
      </c>
      <c r="AG37" s="1">
        <f t="shared" ca="1" si="20"/>
        <v>0</v>
      </c>
      <c r="AH37" s="1">
        <f t="shared" ca="1" si="20"/>
        <v>0</v>
      </c>
      <c r="AI37" s="1">
        <f t="shared" ca="1" si="20"/>
        <v>0</v>
      </c>
      <c r="AJ37" s="1">
        <f t="shared" ca="1" si="20"/>
        <v>0</v>
      </c>
      <c r="AK37" s="1">
        <f t="shared" ca="1" si="20"/>
        <v>0</v>
      </c>
      <c r="AL37" s="1">
        <f t="shared" ca="1" si="20"/>
        <v>0</v>
      </c>
      <c r="AM37" s="1">
        <f t="shared" ca="1" si="20"/>
        <v>0</v>
      </c>
      <c r="AN37" s="1">
        <f t="shared" ca="1" si="20"/>
        <v>0</v>
      </c>
      <c r="AO37" s="1">
        <f t="shared" ca="1" si="20"/>
        <v>0</v>
      </c>
      <c r="AP37" s="1">
        <f t="shared" ca="1" si="20"/>
        <v>0</v>
      </c>
      <c r="AQ37" s="1">
        <f t="shared" ca="1" si="20"/>
        <v>0</v>
      </c>
      <c r="AR37" s="1">
        <f t="shared" ca="1" si="20"/>
        <v>0</v>
      </c>
      <c r="AS37" s="1">
        <f t="shared" ca="1" si="20"/>
        <v>0</v>
      </c>
      <c r="AT37" s="1">
        <f t="shared" ca="1" si="20"/>
        <v>0</v>
      </c>
      <c r="AU37" s="1">
        <f t="shared" ca="1" si="20"/>
        <v>0</v>
      </c>
      <c r="AV37" s="1">
        <f t="shared" ca="1" si="20"/>
        <v>0</v>
      </c>
      <c r="AW37" s="1">
        <f t="shared" ca="1" si="20"/>
        <v>0</v>
      </c>
      <c r="AX37" s="1">
        <f t="shared" ca="1" si="20"/>
        <v>0</v>
      </c>
      <c r="AY37" s="1">
        <f t="shared" ca="1" si="20"/>
        <v>0</v>
      </c>
      <c r="AZ37" s="1">
        <f t="shared" ca="1" si="20"/>
        <v>0</v>
      </c>
      <c r="BA37" s="1">
        <f t="shared" ca="1" si="20"/>
        <v>0</v>
      </c>
      <c r="BB37" s="1">
        <f t="shared" ca="1" si="20"/>
        <v>0</v>
      </c>
      <c r="BC37" s="1">
        <f t="shared" ca="1" si="20"/>
        <v>0</v>
      </c>
      <c r="BD37" s="1">
        <f t="shared" ca="1" si="20"/>
        <v>0</v>
      </c>
      <c r="BE37" s="1">
        <f t="shared" ca="1" si="20"/>
        <v>0</v>
      </c>
      <c r="BF37" s="1">
        <f t="shared" ca="1" si="20"/>
        <v>0</v>
      </c>
      <c r="BG37" s="1">
        <f t="shared" ca="1" si="20"/>
        <v>0</v>
      </c>
      <c r="BH37" s="1">
        <f t="shared" ca="1" si="20"/>
        <v>0</v>
      </c>
      <c r="BI37" s="1">
        <f t="shared" ca="1" si="20"/>
        <v>0</v>
      </c>
      <c r="BJ37" s="1">
        <f t="shared" ca="1" si="20"/>
        <v>143759.6362142431</v>
      </c>
      <c r="BK37" s="1">
        <f t="shared" ca="1" si="20"/>
        <v>0</v>
      </c>
    </row>
    <row r="38" spans="3:63" ht="13.5" customHeight="1">
      <c r="D38" s="367" t="s">
        <v>489</v>
      </c>
      <c r="E38" s="368"/>
      <c r="F38" s="95">
        <f ca="1">XIRR(I37:XFD37,$I$8:$XFD$8,1%)</f>
        <v>0.87129866600036632</v>
      </c>
    </row>
    <row r="40" spans="3:63" ht="13.5" customHeight="1">
      <c r="C40" s="1" t="str">
        <f>D30</f>
        <v>금융사</v>
      </c>
    </row>
    <row r="41" spans="3:63" ht="13.5" customHeight="1">
      <c r="D41" s="1" t="s">
        <v>490</v>
      </c>
      <c r="G41" s="1">
        <f>SUM(H41:XFD41)</f>
        <v>-1000</v>
      </c>
      <c r="I41" s="1">
        <f>현금흐름!I28*-1</f>
        <v>-1000</v>
      </c>
      <c r="J41" s="1">
        <f>현금흐름!J28*-1</f>
        <v>0</v>
      </c>
      <c r="K41" s="1">
        <f>현금흐름!K28*-1</f>
        <v>0</v>
      </c>
      <c r="L41" s="1">
        <f>현금흐름!L28*-1</f>
        <v>0</v>
      </c>
      <c r="M41" s="1">
        <f>현금흐름!M28*-1</f>
        <v>0</v>
      </c>
      <c r="N41" s="1">
        <f>현금흐름!N28*-1</f>
        <v>0</v>
      </c>
      <c r="O41" s="1">
        <f>현금흐름!O28*-1</f>
        <v>0</v>
      </c>
      <c r="P41" s="1">
        <f>현금흐름!P28*-1</f>
        <v>0</v>
      </c>
      <c r="Q41" s="1">
        <f>현금흐름!Q28*-1</f>
        <v>0</v>
      </c>
      <c r="R41" s="1">
        <f>현금흐름!R28*-1</f>
        <v>0</v>
      </c>
      <c r="S41" s="1">
        <f>현금흐름!S28*-1</f>
        <v>0</v>
      </c>
      <c r="T41" s="1">
        <f>현금흐름!T28*-1</f>
        <v>0</v>
      </c>
      <c r="U41" s="1">
        <f>현금흐름!U28*-1</f>
        <v>0</v>
      </c>
      <c r="V41" s="1">
        <f>현금흐름!V28*-1</f>
        <v>0</v>
      </c>
      <c r="W41" s="1">
        <f>현금흐름!W28*-1</f>
        <v>0</v>
      </c>
      <c r="X41" s="1">
        <f>현금흐름!X28*-1</f>
        <v>0</v>
      </c>
      <c r="Y41" s="1">
        <f>현금흐름!Y28*-1</f>
        <v>0</v>
      </c>
      <c r="Z41" s="1">
        <f>현금흐름!Z28*-1</f>
        <v>0</v>
      </c>
      <c r="AA41" s="1">
        <f>현금흐름!AA28*-1</f>
        <v>0</v>
      </c>
      <c r="AB41" s="1">
        <f>현금흐름!AB28*-1</f>
        <v>0</v>
      </c>
      <c r="AC41" s="1">
        <f>현금흐름!AC28*-1</f>
        <v>0</v>
      </c>
      <c r="AD41" s="1">
        <f>현금흐름!AD28*-1</f>
        <v>0</v>
      </c>
      <c r="AE41" s="1">
        <f>현금흐름!AE28*-1</f>
        <v>0</v>
      </c>
      <c r="AF41" s="1">
        <f>현금흐름!AF28*-1</f>
        <v>0</v>
      </c>
      <c r="AG41" s="1">
        <f>현금흐름!AG28*-1</f>
        <v>0</v>
      </c>
      <c r="AH41" s="1">
        <f>현금흐름!AH28*-1</f>
        <v>0</v>
      </c>
      <c r="AI41" s="1">
        <f>현금흐름!AI28*-1</f>
        <v>0</v>
      </c>
      <c r="AJ41" s="1">
        <f>현금흐름!AJ28*-1</f>
        <v>0</v>
      </c>
      <c r="AK41" s="1">
        <f>현금흐름!AK28*-1</f>
        <v>0</v>
      </c>
      <c r="AL41" s="1">
        <f>현금흐름!AL28*-1</f>
        <v>0</v>
      </c>
      <c r="AM41" s="1">
        <f>현금흐름!AM28*-1</f>
        <v>0</v>
      </c>
      <c r="AN41" s="1">
        <f>현금흐름!AN28*-1</f>
        <v>0</v>
      </c>
      <c r="AO41" s="1">
        <f>현금흐름!AO28*-1</f>
        <v>0</v>
      </c>
      <c r="AP41" s="1">
        <f>현금흐름!AP28*-1</f>
        <v>0</v>
      </c>
      <c r="AQ41" s="1">
        <f>현금흐름!AQ28*-1</f>
        <v>0</v>
      </c>
      <c r="AR41" s="1">
        <f>현금흐름!AR28*-1</f>
        <v>0</v>
      </c>
      <c r="AS41" s="1">
        <f>현금흐름!AS28*-1</f>
        <v>0</v>
      </c>
      <c r="AT41" s="1">
        <f>현금흐름!AT28*-1</f>
        <v>0</v>
      </c>
      <c r="AU41" s="1">
        <f>현금흐름!AU28*-1</f>
        <v>0</v>
      </c>
      <c r="AV41" s="1">
        <f>현금흐름!AV28*-1</f>
        <v>0</v>
      </c>
      <c r="AW41" s="1">
        <f>현금흐름!AW28*-1</f>
        <v>0</v>
      </c>
      <c r="AX41" s="1">
        <f>현금흐름!AX28*-1</f>
        <v>0</v>
      </c>
      <c r="AY41" s="1">
        <f>현금흐름!AY28*-1</f>
        <v>0</v>
      </c>
      <c r="AZ41" s="1">
        <f>현금흐름!AZ28*-1</f>
        <v>0</v>
      </c>
      <c r="BA41" s="1">
        <f>현금흐름!BA28*-1</f>
        <v>0</v>
      </c>
      <c r="BB41" s="1">
        <f>현금흐름!BB28*-1</f>
        <v>0</v>
      </c>
      <c r="BC41" s="1">
        <f>현금흐름!BC28*-1</f>
        <v>0</v>
      </c>
      <c r="BD41" s="1">
        <f>현금흐름!BD28*-1</f>
        <v>0</v>
      </c>
      <c r="BE41" s="1">
        <f>현금흐름!BE28*-1</f>
        <v>0</v>
      </c>
      <c r="BF41" s="1">
        <f>현금흐름!BF28*-1</f>
        <v>0</v>
      </c>
      <c r="BG41" s="1">
        <f>현금흐름!BG28*-1</f>
        <v>0</v>
      </c>
      <c r="BH41" s="1">
        <f>현금흐름!BH28*-1</f>
        <v>0</v>
      </c>
      <c r="BI41" s="1">
        <f>현금흐름!BI28*-1</f>
        <v>0</v>
      </c>
      <c r="BJ41" s="1">
        <f>현금흐름!BJ28*-1</f>
        <v>0</v>
      </c>
      <c r="BK41" s="1">
        <f>현금흐름!BK28*-1</f>
        <v>0</v>
      </c>
    </row>
    <row r="42" spans="3:63" ht="13.5" customHeight="1">
      <c r="D42" s="1" t="s">
        <v>491</v>
      </c>
      <c r="G42" s="1">
        <f t="shared" ref="G42:G44" ca="1" si="21">SUM(H42:XFD42)</f>
        <v>1000</v>
      </c>
      <c r="I42" s="1">
        <f ca="1">I19</f>
        <v>0</v>
      </c>
      <c r="J42" s="1">
        <f t="shared" ref="J42:BK42" ca="1" si="22">J19</f>
        <v>0</v>
      </c>
      <c r="K42" s="1">
        <f t="shared" ca="1" si="22"/>
        <v>0</v>
      </c>
      <c r="L42" s="1">
        <f t="shared" ca="1" si="22"/>
        <v>0</v>
      </c>
      <c r="M42" s="1">
        <f t="shared" ca="1" si="22"/>
        <v>0</v>
      </c>
      <c r="N42" s="1">
        <f t="shared" ca="1" si="22"/>
        <v>0</v>
      </c>
      <c r="O42" s="1">
        <f t="shared" ca="1" si="22"/>
        <v>0</v>
      </c>
      <c r="P42" s="1">
        <f t="shared" ca="1" si="22"/>
        <v>0</v>
      </c>
      <c r="Q42" s="1">
        <f t="shared" ca="1" si="22"/>
        <v>0</v>
      </c>
      <c r="R42" s="1">
        <f t="shared" ca="1" si="22"/>
        <v>0</v>
      </c>
      <c r="S42" s="1">
        <f t="shared" ca="1" si="22"/>
        <v>0</v>
      </c>
      <c r="T42" s="1">
        <f t="shared" ca="1" si="22"/>
        <v>0</v>
      </c>
      <c r="U42" s="1">
        <f t="shared" ca="1" si="22"/>
        <v>0</v>
      </c>
      <c r="V42" s="1">
        <f t="shared" ca="1" si="22"/>
        <v>0</v>
      </c>
      <c r="W42" s="1">
        <f t="shared" ca="1" si="22"/>
        <v>0</v>
      </c>
      <c r="X42" s="1">
        <f t="shared" ca="1" si="22"/>
        <v>0</v>
      </c>
      <c r="Y42" s="1">
        <f t="shared" ca="1" si="22"/>
        <v>0</v>
      </c>
      <c r="Z42" s="1">
        <f t="shared" ca="1" si="22"/>
        <v>0</v>
      </c>
      <c r="AA42" s="1">
        <f t="shared" ca="1" si="22"/>
        <v>0</v>
      </c>
      <c r="AB42" s="1">
        <f t="shared" ca="1" si="22"/>
        <v>0</v>
      </c>
      <c r="AC42" s="1">
        <f t="shared" ca="1" si="22"/>
        <v>0</v>
      </c>
      <c r="AD42" s="1">
        <f t="shared" ca="1" si="22"/>
        <v>0</v>
      </c>
      <c r="AE42" s="1">
        <f t="shared" ca="1" si="22"/>
        <v>0</v>
      </c>
      <c r="AF42" s="1">
        <f t="shared" ca="1" si="22"/>
        <v>0</v>
      </c>
      <c r="AG42" s="1">
        <f t="shared" ca="1" si="22"/>
        <v>0</v>
      </c>
      <c r="AH42" s="1">
        <f t="shared" ca="1" si="22"/>
        <v>0</v>
      </c>
      <c r="AI42" s="1">
        <f t="shared" ca="1" si="22"/>
        <v>0</v>
      </c>
      <c r="AJ42" s="1">
        <f t="shared" ca="1" si="22"/>
        <v>0</v>
      </c>
      <c r="AK42" s="1">
        <f t="shared" ca="1" si="22"/>
        <v>0</v>
      </c>
      <c r="AL42" s="1">
        <f t="shared" ca="1" si="22"/>
        <v>0</v>
      </c>
      <c r="AM42" s="1">
        <f t="shared" ca="1" si="22"/>
        <v>0</v>
      </c>
      <c r="AN42" s="1">
        <f t="shared" ca="1" si="22"/>
        <v>0</v>
      </c>
      <c r="AO42" s="1">
        <f t="shared" ca="1" si="22"/>
        <v>0</v>
      </c>
      <c r="AP42" s="1">
        <f t="shared" ca="1" si="22"/>
        <v>0</v>
      </c>
      <c r="AQ42" s="1">
        <f t="shared" ca="1" si="22"/>
        <v>0</v>
      </c>
      <c r="AR42" s="1">
        <f t="shared" ca="1" si="22"/>
        <v>0</v>
      </c>
      <c r="AS42" s="1">
        <f t="shared" ca="1" si="22"/>
        <v>0</v>
      </c>
      <c r="AT42" s="1">
        <f t="shared" ca="1" si="22"/>
        <v>0</v>
      </c>
      <c r="AU42" s="1">
        <f t="shared" ca="1" si="22"/>
        <v>0</v>
      </c>
      <c r="AV42" s="1">
        <f t="shared" ca="1" si="22"/>
        <v>0</v>
      </c>
      <c r="AW42" s="1">
        <f t="shared" ca="1" si="22"/>
        <v>0</v>
      </c>
      <c r="AX42" s="1">
        <f t="shared" ca="1" si="22"/>
        <v>0</v>
      </c>
      <c r="AY42" s="1">
        <f t="shared" ca="1" si="22"/>
        <v>0</v>
      </c>
      <c r="AZ42" s="1">
        <f t="shared" ca="1" si="22"/>
        <v>0</v>
      </c>
      <c r="BA42" s="1">
        <f t="shared" ca="1" si="22"/>
        <v>0</v>
      </c>
      <c r="BB42" s="1">
        <f t="shared" ca="1" si="22"/>
        <v>0</v>
      </c>
      <c r="BC42" s="1">
        <f t="shared" ca="1" si="22"/>
        <v>0</v>
      </c>
      <c r="BD42" s="1">
        <f t="shared" ca="1" si="22"/>
        <v>0</v>
      </c>
      <c r="BE42" s="1">
        <f t="shared" ca="1" si="22"/>
        <v>0</v>
      </c>
      <c r="BF42" s="1">
        <f t="shared" ca="1" si="22"/>
        <v>0</v>
      </c>
      <c r="BG42" s="1">
        <f t="shared" ca="1" si="22"/>
        <v>0</v>
      </c>
      <c r="BH42" s="1">
        <f t="shared" ca="1" si="22"/>
        <v>0</v>
      </c>
      <c r="BI42" s="1">
        <f t="shared" ca="1" si="22"/>
        <v>0</v>
      </c>
      <c r="BJ42" s="1">
        <f t="shared" ca="1" si="22"/>
        <v>1000</v>
      </c>
      <c r="BK42" s="1">
        <f t="shared" ca="1" si="22"/>
        <v>0</v>
      </c>
    </row>
    <row r="43" spans="3:63" ht="13.5" customHeight="1">
      <c r="D43" s="24" t="s">
        <v>460</v>
      </c>
      <c r="E43" s="24"/>
      <c r="F43" s="24"/>
      <c r="G43" s="24">
        <f t="shared" ca="1" si="21"/>
        <v>14973.29289726181</v>
      </c>
      <c r="H43" s="24"/>
      <c r="I43" s="24">
        <f ca="1">I30</f>
        <v>0</v>
      </c>
      <c r="J43" s="24">
        <f t="shared" ref="J43:BK43" ca="1" si="23">J30</f>
        <v>0</v>
      </c>
      <c r="K43" s="24">
        <f t="shared" ca="1" si="23"/>
        <v>0</v>
      </c>
      <c r="L43" s="24">
        <f t="shared" ca="1" si="23"/>
        <v>0</v>
      </c>
      <c r="M43" s="24">
        <f t="shared" ca="1" si="23"/>
        <v>0</v>
      </c>
      <c r="N43" s="24">
        <f t="shared" ca="1" si="23"/>
        <v>0</v>
      </c>
      <c r="O43" s="24">
        <f t="shared" ca="1" si="23"/>
        <v>0</v>
      </c>
      <c r="P43" s="24">
        <f t="shared" ca="1" si="23"/>
        <v>0</v>
      </c>
      <c r="Q43" s="24">
        <f t="shared" ca="1" si="23"/>
        <v>0</v>
      </c>
      <c r="R43" s="24">
        <f t="shared" ca="1" si="23"/>
        <v>0</v>
      </c>
      <c r="S43" s="24">
        <f t="shared" ca="1" si="23"/>
        <v>0</v>
      </c>
      <c r="T43" s="24">
        <f t="shared" ca="1" si="23"/>
        <v>0</v>
      </c>
      <c r="U43" s="24">
        <f t="shared" ca="1" si="23"/>
        <v>0</v>
      </c>
      <c r="V43" s="24">
        <f t="shared" ca="1" si="23"/>
        <v>0</v>
      </c>
      <c r="W43" s="24">
        <f t="shared" ca="1" si="23"/>
        <v>0</v>
      </c>
      <c r="X43" s="24">
        <f t="shared" ca="1" si="23"/>
        <v>0</v>
      </c>
      <c r="Y43" s="24">
        <f t="shared" ca="1" si="23"/>
        <v>0</v>
      </c>
      <c r="Z43" s="24">
        <f t="shared" ca="1" si="23"/>
        <v>0</v>
      </c>
      <c r="AA43" s="24">
        <f t="shared" ca="1" si="23"/>
        <v>0</v>
      </c>
      <c r="AB43" s="24">
        <f t="shared" ca="1" si="23"/>
        <v>0</v>
      </c>
      <c r="AC43" s="24">
        <f t="shared" ca="1" si="23"/>
        <v>0</v>
      </c>
      <c r="AD43" s="24">
        <f t="shared" ca="1" si="23"/>
        <v>0</v>
      </c>
      <c r="AE43" s="24">
        <f t="shared" ca="1" si="23"/>
        <v>0</v>
      </c>
      <c r="AF43" s="24">
        <f t="shared" ca="1" si="23"/>
        <v>0</v>
      </c>
      <c r="AG43" s="24">
        <f t="shared" ca="1" si="23"/>
        <v>0</v>
      </c>
      <c r="AH43" s="24">
        <f t="shared" ca="1" si="23"/>
        <v>0</v>
      </c>
      <c r="AI43" s="24">
        <f t="shared" ca="1" si="23"/>
        <v>0</v>
      </c>
      <c r="AJ43" s="24">
        <f t="shared" ca="1" si="23"/>
        <v>0</v>
      </c>
      <c r="AK43" s="24">
        <f t="shared" ca="1" si="23"/>
        <v>0</v>
      </c>
      <c r="AL43" s="24">
        <f t="shared" ca="1" si="23"/>
        <v>0</v>
      </c>
      <c r="AM43" s="24">
        <f t="shared" ca="1" si="23"/>
        <v>0</v>
      </c>
      <c r="AN43" s="24">
        <f t="shared" ca="1" si="23"/>
        <v>0</v>
      </c>
      <c r="AO43" s="24">
        <f t="shared" ca="1" si="23"/>
        <v>0</v>
      </c>
      <c r="AP43" s="24">
        <f t="shared" ca="1" si="23"/>
        <v>0</v>
      </c>
      <c r="AQ43" s="24">
        <f t="shared" ca="1" si="23"/>
        <v>0</v>
      </c>
      <c r="AR43" s="24">
        <f t="shared" ca="1" si="23"/>
        <v>0</v>
      </c>
      <c r="AS43" s="24">
        <f t="shared" ca="1" si="23"/>
        <v>0</v>
      </c>
      <c r="AT43" s="24">
        <f t="shared" ca="1" si="23"/>
        <v>0</v>
      </c>
      <c r="AU43" s="24">
        <f t="shared" ca="1" si="23"/>
        <v>0</v>
      </c>
      <c r="AV43" s="24">
        <f t="shared" ca="1" si="23"/>
        <v>0</v>
      </c>
      <c r="AW43" s="24">
        <f t="shared" ca="1" si="23"/>
        <v>0</v>
      </c>
      <c r="AX43" s="24">
        <f t="shared" ca="1" si="23"/>
        <v>0</v>
      </c>
      <c r="AY43" s="24">
        <f t="shared" ca="1" si="23"/>
        <v>0</v>
      </c>
      <c r="AZ43" s="24">
        <f t="shared" ca="1" si="23"/>
        <v>0</v>
      </c>
      <c r="BA43" s="24">
        <f t="shared" ca="1" si="23"/>
        <v>0</v>
      </c>
      <c r="BB43" s="24">
        <f t="shared" ca="1" si="23"/>
        <v>0</v>
      </c>
      <c r="BC43" s="24">
        <f t="shared" ca="1" si="23"/>
        <v>0</v>
      </c>
      <c r="BD43" s="24">
        <f t="shared" ca="1" si="23"/>
        <v>0</v>
      </c>
      <c r="BE43" s="24">
        <f t="shared" ca="1" si="23"/>
        <v>0</v>
      </c>
      <c r="BF43" s="24">
        <f t="shared" ca="1" si="23"/>
        <v>0</v>
      </c>
      <c r="BG43" s="24">
        <f t="shared" ca="1" si="23"/>
        <v>0</v>
      </c>
      <c r="BH43" s="24">
        <f t="shared" ca="1" si="23"/>
        <v>0</v>
      </c>
      <c r="BI43" s="24">
        <f t="shared" ca="1" si="23"/>
        <v>0</v>
      </c>
      <c r="BJ43" s="24">
        <f t="shared" ca="1" si="23"/>
        <v>14973.292912693678</v>
      </c>
      <c r="BK43" s="24">
        <f t="shared" ca="1" si="23"/>
        <v>0</v>
      </c>
    </row>
    <row r="44" spans="3:63" ht="13.5" customHeight="1">
      <c r="D44" s="1" t="s">
        <v>492</v>
      </c>
      <c r="G44" s="1">
        <f t="shared" ca="1" si="21"/>
        <v>14973.29289726181</v>
      </c>
      <c r="I44" s="1">
        <f ca="1">SUM(I41:I43)</f>
        <v>-1000</v>
      </c>
      <c r="J44" s="1">
        <f t="shared" ref="J44" ca="1" si="24">SUM(J41:J43)</f>
        <v>0</v>
      </c>
      <c r="K44" s="1">
        <f t="shared" ref="K44" ca="1" si="25">SUM(K41:K43)</f>
        <v>0</v>
      </c>
      <c r="L44" s="1">
        <f t="shared" ref="L44" ca="1" si="26">SUM(L41:L43)</f>
        <v>0</v>
      </c>
      <c r="M44" s="1">
        <f t="shared" ref="M44" ca="1" si="27">SUM(M41:M43)</f>
        <v>0</v>
      </c>
      <c r="N44" s="1">
        <f t="shared" ref="N44" ca="1" si="28">SUM(N41:N43)</f>
        <v>0</v>
      </c>
      <c r="O44" s="1">
        <f t="shared" ref="O44" ca="1" si="29">SUM(O41:O43)</f>
        <v>0</v>
      </c>
      <c r="P44" s="1">
        <f t="shared" ref="P44" ca="1" si="30">SUM(P41:P43)</f>
        <v>0</v>
      </c>
      <c r="Q44" s="1">
        <f t="shared" ref="Q44" ca="1" si="31">SUM(Q41:Q43)</f>
        <v>0</v>
      </c>
      <c r="R44" s="1">
        <f t="shared" ref="R44" ca="1" si="32">SUM(R41:R43)</f>
        <v>0</v>
      </c>
      <c r="S44" s="1">
        <f t="shared" ref="S44" ca="1" si="33">SUM(S41:S43)</f>
        <v>0</v>
      </c>
      <c r="T44" s="1">
        <f t="shared" ref="T44" ca="1" si="34">SUM(T41:T43)</f>
        <v>0</v>
      </c>
      <c r="U44" s="1">
        <f t="shared" ref="U44" ca="1" si="35">SUM(U41:U43)</f>
        <v>0</v>
      </c>
      <c r="V44" s="1">
        <f t="shared" ref="V44" ca="1" si="36">SUM(V41:V43)</f>
        <v>0</v>
      </c>
      <c r="W44" s="1">
        <f t="shared" ref="W44" ca="1" si="37">SUM(W41:W43)</f>
        <v>0</v>
      </c>
      <c r="X44" s="1">
        <f t="shared" ref="X44" ca="1" si="38">SUM(X41:X43)</f>
        <v>0</v>
      </c>
      <c r="Y44" s="1">
        <f t="shared" ref="Y44" ca="1" si="39">SUM(Y41:Y43)</f>
        <v>0</v>
      </c>
      <c r="Z44" s="1">
        <f t="shared" ref="Z44" ca="1" si="40">SUM(Z41:Z43)</f>
        <v>0</v>
      </c>
      <c r="AA44" s="1">
        <f t="shared" ref="AA44" ca="1" si="41">SUM(AA41:AA43)</f>
        <v>0</v>
      </c>
      <c r="AB44" s="1">
        <f t="shared" ref="AB44" ca="1" si="42">SUM(AB41:AB43)</f>
        <v>0</v>
      </c>
      <c r="AC44" s="1">
        <f t="shared" ref="AC44" ca="1" si="43">SUM(AC41:AC43)</f>
        <v>0</v>
      </c>
      <c r="AD44" s="1">
        <f t="shared" ref="AD44" ca="1" si="44">SUM(AD41:AD43)</f>
        <v>0</v>
      </c>
      <c r="AE44" s="1">
        <f t="shared" ref="AE44" ca="1" si="45">SUM(AE41:AE43)</f>
        <v>0</v>
      </c>
      <c r="AF44" s="1">
        <f t="shared" ref="AF44" ca="1" si="46">SUM(AF41:AF43)</f>
        <v>0</v>
      </c>
      <c r="AG44" s="1">
        <f t="shared" ref="AG44" ca="1" si="47">SUM(AG41:AG43)</f>
        <v>0</v>
      </c>
      <c r="AH44" s="1">
        <f t="shared" ref="AH44" ca="1" si="48">SUM(AH41:AH43)</f>
        <v>0</v>
      </c>
      <c r="AI44" s="1">
        <f t="shared" ref="AI44" ca="1" si="49">SUM(AI41:AI43)</f>
        <v>0</v>
      </c>
      <c r="AJ44" s="1">
        <f t="shared" ref="AJ44" ca="1" si="50">SUM(AJ41:AJ43)</f>
        <v>0</v>
      </c>
      <c r="AK44" s="1">
        <f t="shared" ref="AK44" ca="1" si="51">SUM(AK41:AK43)</f>
        <v>0</v>
      </c>
      <c r="AL44" s="1">
        <f t="shared" ref="AL44" ca="1" si="52">SUM(AL41:AL43)</f>
        <v>0</v>
      </c>
      <c r="AM44" s="1">
        <f t="shared" ref="AM44" ca="1" si="53">SUM(AM41:AM43)</f>
        <v>0</v>
      </c>
      <c r="AN44" s="1">
        <f t="shared" ref="AN44" ca="1" si="54">SUM(AN41:AN43)</f>
        <v>0</v>
      </c>
      <c r="AO44" s="1">
        <f t="shared" ref="AO44" ca="1" si="55">SUM(AO41:AO43)</f>
        <v>0</v>
      </c>
      <c r="AP44" s="1">
        <f t="shared" ref="AP44" ca="1" si="56">SUM(AP41:AP43)</f>
        <v>0</v>
      </c>
      <c r="AQ44" s="1">
        <f t="shared" ref="AQ44" ca="1" si="57">SUM(AQ41:AQ43)</f>
        <v>0</v>
      </c>
      <c r="AR44" s="1">
        <f t="shared" ref="AR44" ca="1" si="58">SUM(AR41:AR43)</f>
        <v>0</v>
      </c>
      <c r="AS44" s="1">
        <f t="shared" ref="AS44" ca="1" si="59">SUM(AS41:AS43)</f>
        <v>0</v>
      </c>
      <c r="AT44" s="1">
        <f t="shared" ref="AT44" ca="1" si="60">SUM(AT41:AT43)</f>
        <v>0</v>
      </c>
      <c r="AU44" s="1">
        <f t="shared" ref="AU44" ca="1" si="61">SUM(AU41:AU43)</f>
        <v>0</v>
      </c>
      <c r="AV44" s="1">
        <f t="shared" ref="AV44" ca="1" si="62">SUM(AV41:AV43)</f>
        <v>0</v>
      </c>
      <c r="AW44" s="1">
        <f t="shared" ref="AW44" ca="1" si="63">SUM(AW41:AW43)</f>
        <v>0</v>
      </c>
      <c r="AX44" s="1">
        <f t="shared" ref="AX44" ca="1" si="64">SUM(AX41:AX43)</f>
        <v>0</v>
      </c>
      <c r="AY44" s="1">
        <f t="shared" ref="AY44" ca="1" si="65">SUM(AY41:AY43)</f>
        <v>0</v>
      </c>
      <c r="AZ44" s="1">
        <f t="shared" ref="AZ44" ca="1" si="66">SUM(AZ41:AZ43)</f>
        <v>0</v>
      </c>
      <c r="BA44" s="1">
        <f t="shared" ref="BA44" ca="1" si="67">SUM(BA41:BA43)</f>
        <v>0</v>
      </c>
      <c r="BB44" s="1">
        <f t="shared" ref="BB44" ca="1" si="68">SUM(BB41:BB43)</f>
        <v>0</v>
      </c>
      <c r="BC44" s="1">
        <f t="shared" ref="BC44" ca="1" si="69">SUM(BC41:BC43)</f>
        <v>0</v>
      </c>
      <c r="BD44" s="1">
        <f t="shared" ref="BD44" ca="1" si="70">SUM(BD41:BD43)</f>
        <v>0</v>
      </c>
      <c r="BE44" s="1">
        <f t="shared" ref="BE44" ca="1" si="71">SUM(BE41:BE43)</f>
        <v>0</v>
      </c>
      <c r="BF44" s="1">
        <f t="shared" ref="BF44" ca="1" si="72">SUM(BF41:BF43)</f>
        <v>0</v>
      </c>
      <c r="BG44" s="1">
        <f t="shared" ref="BG44" ca="1" si="73">SUM(BG41:BG43)</f>
        <v>0</v>
      </c>
      <c r="BH44" s="1">
        <f t="shared" ref="BH44" ca="1" si="74">SUM(BH41:BH43)</f>
        <v>0</v>
      </c>
      <c r="BI44" s="1">
        <f t="shared" ref="BI44" ca="1" si="75">SUM(BI41:BI43)</f>
        <v>0</v>
      </c>
      <c r="BJ44" s="1">
        <f t="shared" ref="BJ44" ca="1" si="76">SUM(BJ41:BJ43)</f>
        <v>15973.292912693678</v>
      </c>
      <c r="BK44" s="1">
        <f t="shared" ref="BK44" ca="1" si="77">SUM(BK41:BK43)</f>
        <v>0</v>
      </c>
    </row>
    <row r="45" spans="3:63" ht="13.5" customHeight="1">
      <c r="D45" s="367" t="s">
        <v>489</v>
      </c>
      <c r="E45" s="368"/>
      <c r="F45" s="95">
        <f ca="1">XIRR(I44:XFD44,$I$8:$XFD$8,1%)</f>
        <v>0.87129866600036632</v>
      </c>
    </row>
    <row r="47" spans="3:63" ht="13.5" customHeight="1">
      <c r="C47" s="1" t="s">
        <v>493</v>
      </c>
    </row>
    <row r="48" spans="3:63" ht="13.5" customHeight="1">
      <c r="D48" s="1" t="s">
        <v>490</v>
      </c>
      <c r="G48" s="1">
        <f>SUM(H48:XFD48)</f>
        <v>-10000</v>
      </c>
      <c r="I48" s="1">
        <f>I34+I41</f>
        <v>-10000</v>
      </c>
      <c r="J48" s="1">
        <f t="shared" ref="J48:BK50" si="78">J34+J41</f>
        <v>0</v>
      </c>
      <c r="K48" s="1">
        <f t="shared" si="78"/>
        <v>0</v>
      </c>
      <c r="L48" s="1">
        <f t="shared" si="78"/>
        <v>0</v>
      </c>
      <c r="M48" s="1">
        <f t="shared" si="78"/>
        <v>0</v>
      </c>
      <c r="N48" s="1">
        <f t="shared" si="78"/>
        <v>0</v>
      </c>
      <c r="O48" s="1">
        <f t="shared" si="78"/>
        <v>0</v>
      </c>
      <c r="P48" s="1">
        <f t="shared" si="78"/>
        <v>0</v>
      </c>
      <c r="Q48" s="1">
        <f t="shared" si="78"/>
        <v>0</v>
      </c>
      <c r="R48" s="1">
        <f t="shared" si="78"/>
        <v>0</v>
      </c>
      <c r="S48" s="1">
        <f t="shared" si="78"/>
        <v>0</v>
      </c>
      <c r="T48" s="1">
        <f t="shared" si="78"/>
        <v>0</v>
      </c>
      <c r="U48" s="1">
        <f t="shared" si="78"/>
        <v>0</v>
      </c>
      <c r="V48" s="1">
        <f t="shared" si="78"/>
        <v>0</v>
      </c>
      <c r="W48" s="1">
        <f t="shared" si="78"/>
        <v>0</v>
      </c>
      <c r="X48" s="1">
        <f t="shared" si="78"/>
        <v>0</v>
      </c>
      <c r="Y48" s="1">
        <f t="shared" si="78"/>
        <v>0</v>
      </c>
      <c r="Z48" s="1">
        <f t="shared" si="78"/>
        <v>0</v>
      </c>
      <c r="AA48" s="1">
        <f t="shared" si="78"/>
        <v>0</v>
      </c>
      <c r="AB48" s="1">
        <f t="shared" si="78"/>
        <v>0</v>
      </c>
      <c r="AC48" s="1">
        <f t="shared" si="78"/>
        <v>0</v>
      </c>
      <c r="AD48" s="1">
        <f t="shared" si="78"/>
        <v>0</v>
      </c>
      <c r="AE48" s="1">
        <f t="shared" si="78"/>
        <v>0</v>
      </c>
      <c r="AF48" s="1">
        <f t="shared" si="78"/>
        <v>0</v>
      </c>
      <c r="AG48" s="1">
        <f t="shared" si="78"/>
        <v>0</v>
      </c>
      <c r="AH48" s="1">
        <f t="shared" si="78"/>
        <v>0</v>
      </c>
      <c r="AI48" s="1">
        <f t="shared" si="78"/>
        <v>0</v>
      </c>
      <c r="AJ48" s="1">
        <f t="shared" si="78"/>
        <v>0</v>
      </c>
      <c r="AK48" s="1">
        <f t="shared" si="78"/>
        <v>0</v>
      </c>
      <c r="AL48" s="1">
        <f t="shared" si="78"/>
        <v>0</v>
      </c>
      <c r="AM48" s="1">
        <f t="shared" si="78"/>
        <v>0</v>
      </c>
      <c r="AN48" s="1">
        <f t="shared" si="78"/>
        <v>0</v>
      </c>
      <c r="AO48" s="1">
        <f t="shared" si="78"/>
        <v>0</v>
      </c>
      <c r="AP48" s="1">
        <f t="shared" si="78"/>
        <v>0</v>
      </c>
      <c r="AQ48" s="1">
        <f t="shared" si="78"/>
        <v>0</v>
      </c>
      <c r="AR48" s="1">
        <f t="shared" si="78"/>
        <v>0</v>
      </c>
      <c r="AS48" s="1">
        <f t="shared" si="78"/>
        <v>0</v>
      </c>
      <c r="AT48" s="1">
        <f t="shared" si="78"/>
        <v>0</v>
      </c>
      <c r="AU48" s="1">
        <f t="shared" si="78"/>
        <v>0</v>
      </c>
      <c r="AV48" s="1">
        <f t="shared" si="78"/>
        <v>0</v>
      </c>
      <c r="AW48" s="1">
        <f t="shared" si="78"/>
        <v>0</v>
      </c>
      <c r="AX48" s="1">
        <f t="shared" si="78"/>
        <v>0</v>
      </c>
      <c r="AY48" s="1">
        <f t="shared" si="78"/>
        <v>0</v>
      </c>
      <c r="AZ48" s="1">
        <f t="shared" si="78"/>
        <v>0</v>
      </c>
      <c r="BA48" s="1">
        <f t="shared" si="78"/>
        <v>0</v>
      </c>
      <c r="BB48" s="1">
        <f t="shared" si="78"/>
        <v>0</v>
      </c>
      <c r="BC48" s="1">
        <f t="shared" si="78"/>
        <v>0</v>
      </c>
      <c r="BD48" s="1">
        <f t="shared" si="78"/>
        <v>0</v>
      </c>
      <c r="BE48" s="1">
        <f t="shared" si="78"/>
        <v>0</v>
      </c>
      <c r="BF48" s="1">
        <f t="shared" si="78"/>
        <v>0</v>
      </c>
      <c r="BG48" s="1">
        <f t="shared" si="78"/>
        <v>0</v>
      </c>
      <c r="BH48" s="1">
        <f t="shared" si="78"/>
        <v>0</v>
      </c>
      <c r="BI48" s="1">
        <f t="shared" si="78"/>
        <v>0</v>
      </c>
      <c r="BJ48" s="1">
        <f t="shared" si="78"/>
        <v>0</v>
      </c>
      <c r="BK48" s="1">
        <f t="shared" si="78"/>
        <v>0</v>
      </c>
    </row>
    <row r="49" spans="2:63" ht="13.5" customHeight="1">
      <c r="D49" s="1" t="s">
        <v>491</v>
      </c>
      <c r="G49" s="1">
        <f t="shared" ref="G49:G51" ca="1" si="79">SUM(H49:XFD49)</f>
        <v>10000</v>
      </c>
      <c r="I49" s="1">
        <f t="shared" ref="I49:X50" ca="1" si="80">I35+I42</f>
        <v>0</v>
      </c>
      <c r="J49" s="1">
        <f t="shared" ca="1" si="80"/>
        <v>0</v>
      </c>
      <c r="K49" s="1">
        <f t="shared" ca="1" si="80"/>
        <v>0</v>
      </c>
      <c r="L49" s="1">
        <f t="shared" ca="1" si="80"/>
        <v>0</v>
      </c>
      <c r="M49" s="1">
        <f t="shared" ca="1" si="80"/>
        <v>0</v>
      </c>
      <c r="N49" s="1">
        <f t="shared" ca="1" si="80"/>
        <v>0</v>
      </c>
      <c r="O49" s="1">
        <f t="shared" ca="1" si="80"/>
        <v>0</v>
      </c>
      <c r="P49" s="1">
        <f t="shared" ca="1" si="80"/>
        <v>0</v>
      </c>
      <c r="Q49" s="1">
        <f t="shared" ca="1" si="80"/>
        <v>0</v>
      </c>
      <c r="R49" s="1">
        <f t="shared" ca="1" si="80"/>
        <v>0</v>
      </c>
      <c r="S49" s="1">
        <f t="shared" ca="1" si="80"/>
        <v>0</v>
      </c>
      <c r="T49" s="1">
        <f t="shared" ca="1" si="80"/>
        <v>0</v>
      </c>
      <c r="U49" s="1">
        <f t="shared" ca="1" si="80"/>
        <v>0</v>
      </c>
      <c r="V49" s="1">
        <f t="shared" ca="1" si="80"/>
        <v>0</v>
      </c>
      <c r="W49" s="1">
        <f t="shared" ca="1" si="80"/>
        <v>0</v>
      </c>
      <c r="X49" s="1">
        <f t="shared" ca="1" si="80"/>
        <v>0</v>
      </c>
      <c r="Y49" s="1">
        <f t="shared" ca="1" si="78"/>
        <v>0</v>
      </c>
      <c r="Z49" s="1">
        <f t="shared" ca="1" si="78"/>
        <v>0</v>
      </c>
      <c r="AA49" s="1">
        <f t="shared" ca="1" si="78"/>
        <v>0</v>
      </c>
      <c r="AB49" s="1">
        <f t="shared" ca="1" si="78"/>
        <v>0</v>
      </c>
      <c r="AC49" s="1">
        <f t="shared" ca="1" si="78"/>
        <v>0</v>
      </c>
      <c r="AD49" s="1">
        <f t="shared" ca="1" si="78"/>
        <v>0</v>
      </c>
      <c r="AE49" s="1">
        <f t="shared" ca="1" si="78"/>
        <v>0</v>
      </c>
      <c r="AF49" s="1">
        <f t="shared" ca="1" si="78"/>
        <v>0</v>
      </c>
      <c r="AG49" s="1">
        <f t="shared" ca="1" si="78"/>
        <v>0</v>
      </c>
      <c r="AH49" s="1">
        <f t="shared" ca="1" si="78"/>
        <v>0</v>
      </c>
      <c r="AI49" s="1">
        <f t="shared" ca="1" si="78"/>
        <v>0</v>
      </c>
      <c r="AJ49" s="1">
        <f t="shared" ca="1" si="78"/>
        <v>0</v>
      </c>
      <c r="AK49" s="1">
        <f t="shared" ca="1" si="78"/>
        <v>0</v>
      </c>
      <c r="AL49" s="1">
        <f t="shared" ca="1" si="78"/>
        <v>0</v>
      </c>
      <c r="AM49" s="1">
        <f t="shared" ca="1" si="78"/>
        <v>0</v>
      </c>
      <c r="AN49" s="1">
        <f t="shared" ca="1" si="78"/>
        <v>0</v>
      </c>
      <c r="AO49" s="1">
        <f t="shared" ca="1" si="78"/>
        <v>0</v>
      </c>
      <c r="AP49" s="1">
        <f t="shared" ca="1" si="78"/>
        <v>0</v>
      </c>
      <c r="AQ49" s="1">
        <f t="shared" ca="1" si="78"/>
        <v>0</v>
      </c>
      <c r="AR49" s="1">
        <f t="shared" ca="1" si="78"/>
        <v>0</v>
      </c>
      <c r="AS49" s="1">
        <f t="shared" ca="1" si="78"/>
        <v>0</v>
      </c>
      <c r="AT49" s="1">
        <f t="shared" ca="1" si="78"/>
        <v>0</v>
      </c>
      <c r="AU49" s="1">
        <f t="shared" ca="1" si="78"/>
        <v>0</v>
      </c>
      <c r="AV49" s="1">
        <f t="shared" ca="1" si="78"/>
        <v>0</v>
      </c>
      <c r="AW49" s="1">
        <f t="shared" ca="1" si="78"/>
        <v>0</v>
      </c>
      <c r="AX49" s="1">
        <f t="shared" ca="1" si="78"/>
        <v>0</v>
      </c>
      <c r="AY49" s="1">
        <f t="shared" ca="1" si="78"/>
        <v>0</v>
      </c>
      <c r="AZ49" s="1">
        <f t="shared" ca="1" si="78"/>
        <v>0</v>
      </c>
      <c r="BA49" s="1">
        <f t="shared" ca="1" si="78"/>
        <v>0</v>
      </c>
      <c r="BB49" s="1">
        <f t="shared" ca="1" si="78"/>
        <v>0</v>
      </c>
      <c r="BC49" s="1">
        <f t="shared" ca="1" si="78"/>
        <v>0</v>
      </c>
      <c r="BD49" s="1">
        <f t="shared" ca="1" si="78"/>
        <v>0</v>
      </c>
      <c r="BE49" s="1">
        <f t="shared" ca="1" si="78"/>
        <v>0</v>
      </c>
      <c r="BF49" s="1">
        <f t="shared" ca="1" si="78"/>
        <v>0</v>
      </c>
      <c r="BG49" s="1">
        <f t="shared" ca="1" si="78"/>
        <v>0</v>
      </c>
      <c r="BH49" s="1">
        <f t="shared" ca="1" si="78"/>
        <v>0</v>
      </c>
      <c r="BI49" s="1">
        <f t="shared" ca="1" si="78"/>
        <v>0</v>
      </c>
      <c r="BJ49" s="1">
        <f t="shared" ca="1" si="78"/>
        <v>10000</v>
      </c>
      <c r="BK49" s="1">
        <f t="shared" ca="1" si="78"/>
        <v>0</v>
      </c>
    </row>
    <row r="50" spans="2:63" ht="13.5" customHeight="1">
      <c r="D50" s="24" t="s">
        <v>460</v>
      </c>
      <c r="E50" s="24"/>
      <c r="F50" s="24"/>
      <c r="G50" s="24">
        <f t="shared" ca="1" si="79"/>
        <v>149732.92897261813</v>
      </c>
      <c r="H50" s="24"/>
      <c r="I50" s="24">
        <f t="shared" ca="1" si="80"/>
        <v>0</v>
      </c>
      <c r="J50" s="24">
        <f t="shared" ca="1" si="78"/>
        <v>0</v>
      </c>
      <c r="K50" s="24">
        <f t="shared" ca="1" si="78"/>
        <v>0</v>
      </c>
      <c r="L50" s="24">
        <f t="shared" ca="1" si="78"/>
        <v>0</v>
      </c>
      <c r="M50" s="24">
        <f t="shared" ca="1" si="78"/>
        <v>0</v>
      </c>
      <c r="N50" s="24">
        <f t="shared" ca="1" si="78"/>
        <v>0</v>
      </c>
      <c r="O50" s="24">
        <f t="shared" ca="1" si="78"/>
        <v>0</v>
      </c>
      <c r="P50" s="24">
        <f t="shared" ca="1" si="78"/>
        <v>0</v>
      </c>
      <c r="Q50" s="24">
        <f t="shared" ca="1" si="78"/>
        <v>0</v>
      </c>
      <c r="R50" s="24">
        <f t="shared" ca="1" si="78"/>
        <v>0</v>
      </c>
      <c r="S50" s="24">
        <f t="shared" ca="1" si="78"/>
        <v>0</v>
      </c>
      <c r="T50" s="24">
        <f t="shared" ca="1" si="78"/>
        <v>0</v>
      </c>
      <c r="U50" s="24">
        <f t="shared" ca="1" si="78"/>
        <v>0</v>
      </c>
      <c r="V50" s="24">
        <f t="shared" ca="1" si="78"/>
        <v>0</v>
      </c>
      <c r="W50" s="24">
        <f t="shared" ca="1" si="78"/>
        <v>0</v>
      </c>
      <c r="X50" s="24">
        <f t="shared" ca="1" si="78"/>
        <v>0</v>
      </c>
      <c r="Y50" s="24">
        <f t="shared" ca="1" si="78"/>
        <v>0</v>
      </c>
      <c r="Z50" s="24">
        <f t="shared" ca="1" si="78"/>
        <v>0</v>
      </c>
      <c r="AA50" s="24">
        <f t="shared" ca="1" si="78"/>
        <v>0</v>
      </c>
      <c r="AB50" s="24">
        <f t="shared" ca="1" si="78"/>
        <v>0</v>
      </c>
      <c r="AC50" s="24">
        <f t="shared" ca="1" si="78"/>
        <v>0</v>
      </c>
      <c r="AD50" s="24">
        <f t="shared" ca="1" si="78"/>
        <v>0</v>
      </c>
      <c r="AE50" s="24">
        <f t="shared" ca="1" si="78"/>
        <v>0</v>
      </c>
      <c r="AF50" s="24">
        <f t="shared" ca="1" si="78"/>
        <v>0</v>
      </c>
      <c r="AG50" s="24">
        <f t="shared" ca="1" si="78"/>
        <v>0</v>
      </c>
      <c r="AH50" s="24">
        <f t="shared" ca="1" si="78"/>
        <v>0</v>
      </c>
      <c r="AI50" s="24">
        <f t="shared" ca="1" si="78"/>
        <v>0</v>
      </c>
      <c r="AJ50" s="24">
        <f t="shared" ca="1" si="78"/>
        <v>0</v>
      </c>
      <c r="AK50" s="24">
        <f t="shared" ca="1" si="78"/>
        <v>0</v>
      </c>
      <c r="AL50" s="24">
        <f t="shared" ca="1" si="78"/>
        <v>0</v>
      </c>
      <c r="AM50" s="24">
        <f t="shared" ca="1" si="78"/>
        <v>0</v>
      </c>
      <c r="AN50" s="24">
        <f t="shared" ca="1" si="78"/>
        <v>0</v>
      </c>
      <c r="AO50" s="24">
        <f t="shared" ca="1" si="78"/>
        <v>0</v>
      </c>
      <c r="AP50" s="24">
        <f t="shared" ca="1" si="78"/>
        <v>0</v>
      </c>
      <c r="AQ50" s="24">
        <f t="shared" ca="1" si="78"/>
        <v>0</v>
      </c>
      <c r="AR50" s="24">
        <f t="shared" ca="1" si="78"/>
        <v>0</v>
      </c>
      <c r="AS50" s="24">
        <f t="shared" ca="1" si="78"/>
        <v>0</v>
      </c>
      <c r="AT50" s="24">
        <f t="shared" ca="1" si="78"/>
        <v>0</v>
      </c>
      <c r="AU50" s="24">
        <f t="shared" ca="1" si="78"/>
        <v>0</v>
      </c>
      <c r="AV50" s="24">
        <f t="shared" ca="1" si="78"/>
        <v>0</v>
      </c>
      <c r="AW50" s="24">
        <f t="shared" ca="1" si="78"/>
        <v>0</v>
      </c>
      <c r="AX50" s="24">
        <f t="shared" ca="1" si="78"/>
        <v>0</v>
      </c>
      <c r="AY50" s="24">
        <f t="shared" ca="1" si="78"/>
        <v>0</v>
      </c>
      <c r="AZ50" s="24">
        <f t="shared" ca="1" si="78"/>
        <v>0</v>
      </c>
      <c r="BA50" s="24">
        <f t="shared" ca="1" si="78"/>
        <v>0</v>
      </c>
      <c r="BB50" s="24">
        <f t="shared" ca="1" si="78"/>
        <v>0</v>
      </c>
      <c r="BC50" s="24">
        <f t="shared" ca="1" si="78"/>
        <v>0</v>
      </c>
      <c r="BD50" s="24">
        <f t="shared" ca="1" si="78"/>
        <v>0</v>
      </c>
      <c r="BE50" s="24">
        <f t="shared" ca="1" si="78"/>
        <v>0</v>
      </c>
      <c r="BF50" s="24">
        <f t="shared" ca="1" si="78"/>
        <v>0</v>
      </c>
      <c r="BG50" s="24">
        <f t="shared" ca="1" si="78"/>
        <v>0</v>
      </c>
      <c r="BH50" s="24">
        <f t="shared" ca="1" si="78"/>
        <v>0</v>
      </c>
      <c r="BI50" s="24">
        <f t="shared" ca="1" si="78"/>
        <v>0</v>
      </c>
      <c r="BJ50" s="24">
        <f t="shared" ca="1" si="78"/>
        <v>149732.92912693677</v>
      </c>
      <c r="BK50" s="24">
        <f t="shared" ca="1" si="78"/>
        <v>0</v>
      </c>
    </row>
    <row r="51" spans="2:63" ht="13.5" customHeight="1">
      <c r="D51" s="1" t="s">
        <v>492</v>
      </c>
      <c r="G51" s="1">
        <f t="shared" ca="1" si="79"/>
        <v>149732.92897261813</v>
      </c>
      <c r="I51" s="1">
        <f ca="1">SUM(I48:I50)</f>
        <v>-10000</v>
      </c>
      <c r="J51" s="1">
        <f t="shared" ref="J51" ca="1" si="81">SUM(J48:J50)</f>
        <v>0</v>
      </c>
      <c r="K51" s="1">
        <f t="shared" ref="K51" ca="1" si="82">SUM(K48:K50)</f>
        <v>0</v>
      </c>
      <c r="L51" s="1">
        <f t="shared" ref="L51" ca="1" si="83">SUM(L48:L50)</f>
        <v>0</v>
      </c>
      <c r="M51" s="1">
        <f t="shared" ref="M51" ca="1" si="84">SUM(M48:M50)</f>
        <v>0</v>
      </c>
      <c r="N51" s="1">
        <f t="shared" ref="N51" ca="1" si="85">SUM(N48:N50)</f>
        <v>0</v>
      </c>
      <c r="O51" s="1">
        <f t="shared" ref="O51" ca="1" si="86">SUM(O48:O50)</f>
        <v>0</v>
      </c>
      <c r="P51" s="1">
        <f t="shared" ref="P51" ca="1" si="87">SUM(P48:P50)</f>
        <v>0</v>
      </c>
      <c r="Q51" s="1">
        <f t="shared" ref="Q51" ca="1" si="88">SUM(Q48:Q50)</f>
        <v>0</v>
      </c>
      <c r="R51" s="1">
        <f t="shared" ref="R51" ca="1" si="89">SUM(R48:R50)</f>
        <v>0</v>
      </c>
      <c r="S51" s="1">
        <f t="shared" ref="S51" ca="1" si="90">SUM(S48:S50)</f>
        <v>0</v>
      </c>
      <c r="T51" s="1">
        <f t="shared" ref="T51" ca="1" si="91">SUM(T48:T50)</f>
        <v>0</v>
      </c>
      <c r="U51" s="1">
        <f t="shared" ref="U51" ca="1" si="92">SUM(U48:U50)</f>
        <v>0</v>
      </c>
      <c r="V51" s="1">
        <f t="shared" ref="V51" ca="1" si="93">SUM(V48:V50)</f>
        <v>0</v>
      </c>
      <c r="W51" s="1">
        <f t="shared" ref="W51" ca="1" si="94">SUM(W48:W50)</f>
        <v>0</v>
      </c>
      <c r="X51" s="1">
        <f t="shared" ref="X51" ca="1" si="95">SUM(X48:X50)</f>
        <v>0</v>
      </c>
      <c r="Y51" s="1">
        <f t="shared" ref="Y51" ca="1" si="96">SUM(Y48:Y50)</f>
        <v>0</v>
      </c>
      <c r="Z51" s="1">
        <f t="shared" ref="Z51" ca="1" si="97">SUM(Z48:Z50)</f>
        <v>0</v>
      </c>
      <c r="AA51" s="1">
        <f t="shared" ref="AA51" ca="1" si="98">SUM(AA48:AA50)</f>
        <v>0</v>
      </c>
      <c r="AB51" s="1">
        <f t="shared" ref="AB51" ca="1" si="99">SUM(AB48:AB50)</f>
        <v>0</v>
      </c>
      <c r="AC51" s="1">
        <f t="shared" ref="AC51" ca="1" si="100">SUM(AC48:AC50)</f>
        <v>0</v>
      </c>
      <c r="AD51" s="1">
        <f t="shared" ref="AD51" ca="1" si="101">SUM(AD48:AD50)</f>
        <v>0</v>
      </c>
      <c r="AE51" s="1">
        <f t="shared" ref="AE51" ca="1" si="102">SUM(AE48:AE50)</f>
        <v>0</v>
      </c>
      <c r="AF51" s="1">
        <f t="shared" ref="AF51" ca="1" si="103">SUM(AF48:AF50)</f>
        <v>0</v>
      </c>
      <c r="AG51" s="1">
        <f t="shared" ref="AG51" ca="1" si="104">SUM(AG48:AG50)</f>
        <v>0</v>
      </c>
      <c r="AH51" s="1">
        <f t="shared" ref="AH51" ca="1" si="105">SUM(AH48:AH50)</f>
        <v>0</v>
      </c>
      <c r="AI51" s="1">
        <f t="shared" ref="AI51" ca="1" si="106">SUM(AI48:AI50)</f>
        <v>0</v>
      </c>
      <c r="AJ51" s="1">
        <f t="shared" ref="AJ51" ca="1" si="107">SUM(AJ48:AJ50)</f>
        <v>0</v>
      </c>
      <c r="AK51" s="1">
        <f t="shared" ref="AK51" ca="1" si="108">SUM(AK48:AK50)</f>
        <v>0</v>
      </c>
      <c r="AL51" s="1">
        <f t="shared" ref="AL51" ca="1" si="109">SUM(AL48:AL50)</f>
        <v>0</v>
      </c>
      <c r="AM51" s="1">
        <f t="shared" ref="AM51" ca="1" si="110">SUM(AM48:AM50)</f>
        <v>0</v>
      </c>
      <c r="AN51" s="1">
        <f t="shared" ref="AN51" ca="1" si="111">SUM(AN48:AN50)</f>
        <v>0</v>
      </c>
      <c r="AO51" s="1">
        <f t="shared" ref="AO51" ca="1" si="112">SUM(AO48:AO50)</f>
        <v>0</v>
      </c>
      <c r="AP51" s="1">
        <f t="shared" ref="AP51" ca="1" si="113">SUM(AP48:AP50)</f>
        <v>0</v>
      </c>
      <c r="AQ51" s="1">
        <f t="shared" ref="AQ51" ca="1" si="114">SUM(AQ48:AQ50)</f>
        <v>0</v>
      </c>
      <c r="AR51" s="1">
        <f t="shared" ref="AR51" ca="1" si="115">SUM(AR48:AR50)</f>
        <v>0</v>
      </c>
      <c r="AS51" s="1">
        <f t="shared" ref="AS51" ca="1" si="116">SUM(AS48:AS50)</f>
        <v>0</v>
      </c>
      <c r="AT51" s="1">
        <f t="shared" ref="AT51" ca="1" si="117">SUM(AT48:AT50)</f>
        <v>0</v>
      </c>
      <c r="AU51" s="1">
        <f t="shared" ref="AU51" ca="1" si="118">SUM(AU48:AU50)</f>
        <v>0</v>
      </c>
      <c r="AV51" s="1">
        <f t="shared" ref="AV51" ca="1" si="119">SUM(AV48:AV50)</f>
        <v>0</v>
      </c>
      <c r="AW51" s="1">
        <f t="shared" ref="AW51" ca="1" si="120">SUM(AW48:AW50)</f>
        <v>0</v>
      </c>
      <c r="AX51" s="1">
        <f t="shared" ref="AX51" ca="1" si="121">SUM(AX48:AX50)</f>
        <v>0</v>
      </c>
      <c r="AY51" s="1">
        <f t="shared" ref="AY51" ca="1" si="122">SUM(AY48:AY50)</f>
        <v>0</v>
      </c>
      <c r="AZ51" s="1">
        <f t="shared" ref="AZ51" ca="1" si="123">SUM(AZ48:AZ50)</f>
        <v>0</v>
      </c>
      <c r="BA51" s="1">
        <f t="shared" ref="BA51" ca="1" si="124">SUM(BA48:BA50)</f>
        <v>0</v>
      </c>
      <c r="BB51" s="1">
        <f t="shared" ref="BB51" ca="1" si="125">SUM(BB48:BB50)</f>
        <v>0</v>
      </c>
      <c r="BC51" s="1">
        <f t="shared" ref="BC51" ca="1" si="126">SUM(BC48:BC50)</f>
        <v>0</v>
      </c>
      <c r="BD51" s="1">
        <f t="shared" ref="BD51" ca="1" si="127">SUM(BD48:BD50)</f>
        <v>0</v>
      </c>
      <c r="BE51" s="1">
        <f t="shared" ref="BE51" ca="1" si="128">SUM(BE48:BE50)</f>
        <v>0</v>
      </c>
      <c r="BF51" s="1">
        <f t="shared" ref="BF51" ca="1" si="129">SUM(BF48:BF50)</f>
        <v>0</v>
      </c>
      <c r="BG51" s="1">
        <f t="shared" ref="BG51" ca="1" si="130">SUM(BG48:BG50)</f>
        <v>0</v>
      </c>
      <c r="BH51" s="1">
        <f t="shared" ref="BH51" ca="1" si="131">SUM(BH48:BH50)</f>
        <v>0</v>
      </c>
      <c r="BI51" s="1">
        <f t="shared" ref="BI51" ca="1" si="132">SUM(BI48:BI50)</f>
        <v>0</v>
      </c>
      <c r="BJ51" s="1">
        <f t="shared" ref="BJ51" ca="1" si="133">SUM(BJ48:BJ50)</f>
        <v>159732.92912693677</v>
      </c>
      <c r="BK51" s="1">
        <f t="shared" ref="BK51" ca="1" si="134">SUM(BK48:BK50)</f>
        <v>0</v>
      </c>
    </row>
    <row r="52" spans="2:63" ht="13.5" customHeight="1">
      <c r="D52" s="367" t="s">
        <v>489</v>
      </c>
      <c r="E52" s="368"/>
      <c r="F52" s="95">
        <f ca="1">XIRR(I51:XFD51,$I$8:$XFD$8,1%)</f>
        <v>0.87129866600036632</v>
      </c>
    </row>
    <row r="62" spans="2:63" ht="13.5" customHeight="1">
      <c r="B62" s="1" t="s">
        <v>447</v>
      </c>
    </row>
    <row r="63" spans="2:63" ht="13.5" customHeight="1">
      <c r="C63" s="21" t="s">
        <v>55</v>
      </c>
      <c r="D63" s="56"/>
      <c r="E63" s="115" t="s">
        <v>70</v>
      </c>
      <c r="F63" s="55" t="s">
        <v>384</v>
      </c>
      <c r="G63" s="21"/>
      <c r="H63" s="21"/>
    </row>
    <row r="64" spans="2:63" ht="13.5" customHeight="1">
      <c r="C64" s="102" t="s">
        <v>448</v>
      </c>
      <c r="D64" s="169"/>
      <c r="E64" s="314">
        <f>'A&amp;R'!R31*50%</f>
        <v>5000</v>
      </c>
      <c r="F64" s="101"/>
      <c r="G64" s="102"/>
      <c r="H64" s="102"/>
    </row>
    <row r="65" spans="3:9" ht="13.5" customHeight="1">
      <c r="C65" s="22" t="s">
        <v>449</v>
      </c>
      <c r="D65" s="58"/>
      <c r="E65" s="116">
        <f>(E64&lt;=D71)*(E64*I71)+(E64&gt;C72)*(E64&lt;=D72)*(E72+(E64-G72)*I72)+(E64&gt;C73)*(E64&lt;=D73)*(E73+(E64-G73)*I73)+(E64&gt;C74)*(E74+(E64-G74)*I74)</f>
        <v>980</v>
      </c>
      <c r="F65" s="30"/>
      <c r="G65" s="22"/>
      <c r="H65" s="22"/>
    </row>
    <row r="66" spans="3:9" ht="13.5" customHeight="1">
      <c r="C66" s="24" t="s">
        <v>450</v>
      </c>
      <c r="D66" s="34"/>
      <c r="E66" s="54">
        <f>E65*G66</f>
        <v>98</v>
      </c>
      <c r="F66" s="33" t="s">
        <v>451</v>
      </c>
      <c r="G66" s="38">
        <v>0.1</v>
      </c>
      <c r="H66" s="24"/>
    </row>
    <row r="67" spans="3:9" ht="13.5" customHeight="1">
      <c r="C67" s="102" t="s">
        <v>454</v>
      </c>
      <c r="D67" s="169"/>
      <c r="E67" s="315">
        <f ca="1">(E65+E66)*('A&amp;R'!T49&gt;'A&amp;R'!T50)</f>
        <v>1078</v>
      </c>
      <c r="F67" s="101"/>
      <c r="G67" s="102"/>
      <c r="H67" s="102"/>
    </row>
    <row r="68" spans="3:9" ht="13.5" customHeight="1">
      <c r="C68" s="1" t="s">
        <v>452</v>
      </c>
    </row>
    <row r="69" spans="3:9" ht="13.5" customHeight="1">
      <c r="C69" s="55" t="s">
        <v>81</v>
      </c>
      <c r="D69" s="56"/>
      <c r="E69" s="64" t="s">
        <v>453</v>
      </c>
      <c r="F69" s="65"/>
      <c r="G69" s="65"/>
      <c r="H69" s="65"/>
      <c r="I69" s="66"/>
    </row>
    <row r="70" spans="3:9" ht="13.5" customHeight="1">
      <c r="C70" s="55" t="s">
        <v>82</v>
      </c>
      <c r="D70" s="56" t="s">
        <v>83</v>
      </c>
      <c r="E70" s="67"/>
      <c r="F70" s="68"/>
      <c r="G70" s="68" t="s">
        <v>85</v>
      </c>
      <c r="H70" s="68"/>
      <c r="I70" s="69"/>
    </row>
    <row r="71" spans="3:9" ht="13.5" customHeight="1">
      <c r="C71" s="30"/>
      <c r="D71" s="58">
        <v>200</v>
      </c>
      <c r="E71" s="57"/>
      <c r="F71" s="22"/>
      <c r="G71" s="22"/>
      <c r="H71" s="22"/>
      <c r="I71" s="311">
        <f>10/100</f>
        <v>0.1</v>
      </c>
    </row>
    <row r="72" spans="3:9" ht="13.5" customHeight="1">
      <c r="C72" s="31">
        <f>D71</f>
        <v>200</v>
      </c>
      <c r="D72" s="63">
        <v>20000</v>
      </c>
      <c r="E72" s="59">
        <v>20</v>
      </c>
      <c r="F72" s="32" t="s">
        <v>86</v>
      </c>
      <c r="G72" s="32">
        <f>C72</f>
        <v>200</v>
      </c>
      <c r="H72" s="32"/>
      <c r="I72" s="312">
        <f>20/100</f>
        <v>0.2</v>
      </c>
    </row>
    <row r="73" spans="3:9" ht="13.5" customHeight="1">
      <c r="C73" s="31">
        <f t="shared" ref="C73:C74" si="135">D72</f>
        <v>20000</v>
      </c>
      <c r="D73" s="63">
        <v>300000</v>
      </c>
      <c r="E73" s="59">
        <v>3980</v>
      </c>
      <c r="F73" s="32" t="s">
        <v>86</v>
      </c>
      <c r="G73" s="32">
        <f t="shared" ref="G73:G74" si="136">C73</f>
        <v>20000</v>
      </c>
      <c r="H73" s="32"/>
      <c r="I73" s="312">
        <f>22/100</f>
        <v>0.22</v>
      </c>
    </row>
    <row r="74" spans="3:9" ht="13.5" customHeight="1">
      <c r="C74" s="33">
        <f t="shared" si="135"/>
        <v>300000</v>
      </c>
      <c r="D74" s="34"/>
      <c r="E74" s="61">
        <v>65580</v>
      </c>
      <c r="F74" s="24" t="s">
        <v>86</v>
      </c>
      <c r="G74" s="24">
        <f t="shared" si="136"/>
        <v>300000</v>
      </c>
      <c r="H74" s="24"/>
      <c r="I74" s="313">
        <f>25/100</f>
        <v>0.25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24"/>
  <sheetViews>
    <sheetView showGridLines="0" workbookViewId="0">
      <selection activeCell="D28" sqref="D28"/>
    </sheetView>
  </sheetViews>
  <sheetFormatPr defaultColWidth="9" defaultRowHeight="13.5" customHeight="1" outlineLevelRow="1"/>
  <cols>
    <col min="1" max="1" width="3.3984375" style="1" customWidth="1"/>
    <col min="2" max="5" width="9" style="1"/>
    <col min="6" max="6" width="4.5" style="1" customWidth="1"/>
    <col min="7" max="16384" width="9" style="1"/>
  </cols>
  <sheetData>
    <row r="1" spans="1:41" ht="12.9" customHeight="1"/>
    <row r="2" spans="1:41" ht="12.9" customHeight="1">
      <c r="A2" s="2" t="s">
        <v>11</v>
      </c>
      <c r="AB2" s="3" t="s">
        <v>0</v>
      </c>
      <c r="AC2" s="4" t="s">
        <v>1</v>
      </c>
      <c r="AD2" s="5" t="s">
        <v>2</v>
      </c>
    </row>
    <row r="3" spans="1:41" ht="12.9" customHeight="1">
      <c r="AB3" s="6" t="s">
        <v>3</v>
      </c>
      <c r="AC3" s="7" t="s">
        <v>4</v>
      </c>
      <c r="AD3" s="8" t="s">
        <v>5</v>
      </c>
    </row>
    <row r="4" spans="1:41" ht="12.9" customHeight="1">
      <c r="AB4" s="9" t="s">
        <v>6</v>
      </c>
      <c r="AC4" s="10" t="s">
        <v>7</v>
      </c>
      <c r="AD4" s="11" t="s">
        <v>8</v>
      </c>
    </row>
    <row r="5" spans="1:41" s="12" customFormat="1" ht="12.9" customHeight="1" thickBot="1"/>
    <row r="6" spans="1:41" ht="12.9" customHeight="1" thickTop="1">
      <c r="A6" s="1" t="s">
        <v>9</v>
      </c>
      <c r="AD6" s="13">
        <v>44381</v>
      </c>
    </row>
    <row r="7" spans="1:41" ht="12.9" customHeight="1">
      <c r="A7" s="14" t="s">
        <v>20</v>
      </c>
      <c r="G7" s="367" t="s">
        <v>509</v>
      </c>
      <c r="H7" s="368"/>
      <c r="I7" s="393">
        <f>HLOOKUP(1,16:20,5,0)</f>
        <v>3</v>
      </c>
    </row>
    <row r="8" spans="1:41" ht="13.5" customHeight="1">
      <c r="G8" s="351" t="s">
        <v>514</v>
      </c>
      <c r="H8" s="352"/>
      <c r="I8" s="389">
        <v>3</v>
      </c>
    </row>
    <row r="9" spans="1:41" ht="13.5" customHeight="1">
      <c r="G9" s="355" t="s">
        <v>515</v>
      </c>
      <c r="H9" s="120"/>
      <c r="I9" s="390">
        <v>35</v>
      </c>
    </row>
    <row r="10" spans="1:41" ht="13.5" customHeight="1">
      <c r="B10" s="1" t="s">
        <v>506</v>
      </c>
    </row>
    <row r="11" spans="1:41" ht="13.5" customHeight="1">
      <c r="B11" s="55" t="s">
        <v>507</v>
      </c>
      <c r="C11" s="21"/>
      <c r="D11" s="21" t="s">
        <v>509</v>
      </c>
      <c r="E11" s="56" t="s">
        <v>510</v>
      </c>
      <c r="G11" s="115">
        <v>1</v>
      </c>
      <c r="H11" s="115">
        <v>2</v>
      </c>
      <c r="I11" s="115">
        <v>3</v>
      </c>
      <c r="J11" s="115">
        <v>4</v>
      </c>
      <c r="K11" s="115">
        <v>5</v>
      </c>
      <c r="L11" s="115">
        <v>6</v>
      </c>
      <c r="M11" s="115">
        <v>7</v>
      </c>
      <c r="N11" s="115">
        <v>8</v>
      </c>
      <c r="O11" s="115">
        <v>9</v>
      </c>
      <c r="P11" s="115">
        <v>10</v>
      </c>
      <c r="Q11" s="115">
        <v>11</v>
      </c>
      <c r="R11" s="115">
        <v>12</v>
      </c>
      <c r="S11" s="115">
        <v>13</v>
      </c>
      <c r="T11" s="115">
        <v>14</v>
      </c>
      <c r="U11" s="115">
        <v>15</v>
      </c>
      <c r="V11" s="115">
        <v>16</v>
      </c>
      <c r="W11" s="115">
        <v>17</v>
      </c>
      <c r="X11" s="115">
        <v>18</v>
      </c>
      <c r="Y11" s="115">
        <v>19</v>
      </c>
      <c r="Z11" s="115">
        <v>20</v>
      </c>
      <c r="AA11" s="115">
        <v>21</v>
      </c>
      <c r="AB11" s="115">
        <v>22</v>
      </c>
      <c r="AC11" s="115">
        <v>23</v>
      </c>
      <c r="AD11" s="115">
        <v>24</v>
      </c>
      <c r="AE11" s="115">
        <v>25</v>
      </c>
      <c r="AF11" s="115">
        <v>26</v>
      </c>
      <c r="AG11" s="115">
        <v>27</v>
      </c>
      <c r="AH11" s="115">
        <v>28</v>
      </c>
      <c r="AI11" s="115">
        <v>29</v>
      </c>
      <c r="AJ11" s="115">
        <v>30</v>
      </c>
      <c r="AK11" s="115">
        <v>31</v>
      </c>
      <c r="AL11" s="115">
        <v>32</v>
      </c>
      <c r="AM11" s="115">
        <v>33</v>
      </c>
      <c r="AN11" s="115">
        <v>34</v>
      </c>
      <c r="AO11" s="115">
        <v>35</v>
      </c>
    </row>
    <row r="12" spans="1:41" ht="13.5" customHeight="1">
      <c r="B12" s="101" t="s">
        <v>508</v>
      </c>
      <c r="C12" s="102"/>
      <c r="D12" s="189">
        <v>16</v>
      </c>
      <c r="E12" s="392">
        <f ca="1">OFFSET(F12,0,SS)</f>
        <v>16</v>
      </c>
      <c r="G12" s="383">
        <v>15</v>
      </c>
      <c r="H12" s="383">
        <v>15.5</v>
      </c>
      <c r="I12" s="383">
        <v>16</v>
      </c>
      <c r="J12" s="383">
        <v>16.5</v>
      </c>
      <c r="K12" s="383">
        <v>17</v>
      </c>
      <c r="L12" s="383">
        <v>15</v>
      </c>
      <c r="M12" s="383">
        <v>15.5</v>
      </c>
      <c r="N12" s="383">
        <v>16</v>
      </c>
      <c r="O12" s="383">
        <v>16.5</v>
      </c>
      <c r="P12" s="383">
        <v>17</v>
      </c>
      <c r="Q12" s="383">
        <v>15</v>
      </c>
      <c r="R12" s="383">
        <v>15.5</v>
      </c>
      <c r="S12" s="383">
        <v>16</v>
      </c>
      <c r="T12" s="383">
        <v>16.5</v>
      </c>
      <c r="U12" s="383">
        <v>17</v>
      </c>
      <c r="V12" s="383">
        <v>15</v>
      </c>
      <c r="W12" s="383">
        <v>15.5</v>
      </c>
      <c r="X12" s="383">
        <v>16</v>
      </c>
      <c r="Y12" s="383">
        <v>16.5</v>
      </c>
      <c r="Z12" s="383">
        <v>17</v>
      </c>
      <c r="AA12" s="383">
        <v>15</v>
      </c>
      <c r="AB12" s="383">
        <v>15.5</v>
      </c>
      <c r="AC12" s="383">
        <v>16</v>
      </c>
      <c r="AD12" s="383">
        <v>16.5</v>
      </c>
      <c r="AE12" s="383">
        <v>17</v>
      </c>
      <c r="AF12" s="383">
        <v>15</v>
      </c>
      <c r="AG12" s="383">
        <v>15.5</v>
      </c>
      <c r="AH12" s="383">
        <v>16</v>
      </c>
      <c r="AI12" s="383">
        <v>16.5</v>
      </c>
      <c r="AJ12" s="383">
        <v>17</v>
      </c>
      <c r="AK12" s="383">
        <v>15</v>
      </c>
      <c r="AL12" s="383">
        <v>15.5</v>
      </c>
      <c r="AM12" s="383">
        <v>16</v>
      </c>
      <c r="AN12" s="383">
        <v>16.5</v>
      </c>
      <c r="AO12" s="383">
        <v>17</v>
      </c>
    </row>
    <row r="13" spans="1:41" ht="13.5" customHeight="1">
      <c r="B13" s="101" t="s">
        <v>504</v>
      </c>
      <c r="C13" s="102"/>
      <c r="D13" s="177">
        <v>1</v>
      </c>
      <c r="E13" s="391">
        <f ca="1">OFFSET(F13,0,SS)</f>
        <v>1</v>
      </c>
      <c r="G13" s="382">
        <v>1</v>
      </c>
      <c r="H13" s="382">
        <v>1</v>
      </c>
      <c r="I13" s="382">
        <v>1</v>
      </c>
      <c r="J13" s="382">
        <v>1</v>
      </c>
      <c r="K13" s="382">
        <v>1</v>
      </c>
      <c r="L13" s="382">
        <v>0.95</v>
      </c>
      <c r="M13" s="382">
        <v>0.95</v>
      </c>
      <c r="N13" s="382">
        <v>0.95</v>
      </c>
      <c r="O13" s="382">
        <v>0.95</v>
      </c>
      <c r="P13" s="382">
        <v>0.95</v>
      </c>
      <c r="Q13" s="382">
        <v>0.9</v>
      </c>
      <c r="R13" s="382">
        <v>0.9</v>
      </c>
      <c r="S13" s="382">
        <v>0.9</v>
      </c>
      <c r="T13" s="382">
        <v>0.9</v>
      </c>
      <c r="U13" s="382">
        <v>0.9</v>
      </c>
      <c r="V13" s="382">
        <v>0.85</v>
      </c>
      <c r="W13" s="382">
        <v>0.85</v>
      </c>
      <c r="X13" s="382">
        <v>0.85</v>
      </c>
      <c r="Y13" s="382">
        <v>0.85</v>
      </c>
      <c r="Z13" s="382">
        <v>0.85</v>
      </c>
      <c r="AA13" s="382">
        <v>0.8</v>
      </c>
      <c r="AB13" s="382">
        <v>0.8</v>
      </c>
      <c r="AC13" s="382">
        <v>0.8</v>
      </c>
      <c r="AD13" s="382">
        <v>0.8</v>
      </c>
      <c r="AE13" s="382">
        <v>0.8</v>
      </c>
      <c r="AF13" s="382">
        <v>0.75</v>
      </c>
      <c r="AG13" s="382">
        <v>0.75</v>
      </c>
      <c r="AH13" s="382">
        <v>0.75</v>
      </c>
      <c r="AI13" s="382">
        <v>0.75</v>
      </c>
      <c r="AJ13" s="382">
        <v>0.75</v>
      </c>
      <c r="AK13" s="382">
        <v>0.7</v>
      </c>
      <c r="AL13" s="382">
        <v>0.7</v>
      </c>
      <c r="AM13" s="382">
        <v>0.7</v>
      </c>
      <c r="AN13" s="382">
        <v>0.7</v>
      </c>
      <c r="AO13" s="382">
        <v>0.7</v>
      </c>
    </row>
    <row r="14" spans="1:41" s="11" customFormat="1" ht="13.5" hidden="1" customHeight="1" outlineLevel="1">
      <c r="B14" s="11" t="s">
        <v>508</v>
      </c>
      <c r="G14" s="11">
        <f>(G12=$D12)*1</f>
        <v>0</v>
      </c>
      <c r="H14" s="11">
        <f t="shared" ref="H14:AO14" si="0">(H12=$D12)*1</f>
        <v>0</v>
      </c>
      <c r="I14" s="11">
        <f t="shared" si="0"/>
        <v>1</v>
      </c>
      <c r="J14" s="11">
        <f t="shared" si="0"/>
        <v>0</v>
      </c>
      <c r="K14" s="11">
        <f t="shared" si="0"/>
        <v>0</v>
      </c>
      <c r="L14" s="11">
        <f t="shared" si="0"/>
        <v>0</v>
      </c>
      <c r="M14" s="11">
        <f t="shared" si="0"/>
        <v>0</v>
      </c>
      <c r="N14" s="11">
        <f t="shared" si="0"/>
        <v>1</v>
      </c>
      <c r="O14" s="11">
        <f t="shared" si="0"/>
        <v>0</v>
      </c>
      <c r="P14" s="11">
        <f t="shared" si="0"/>
        <v>0</v>
      </c>
      <c r="Q14" s="11">
        <f t="shared" si="0"/>
        <v>0</v>
      </c>
      <c r="R14" s="11">
        <f t="shared" si="0"/>
        <v>0</v>
      </c>
      <c r="S14" s="11">
        <f t="shared" si="0"/>
        <v>1</v>
      </c>
      <c r="T14" s="11">
        <f t="shared" si="0"/>
        <v>0</v>
      </c>
      <c r="U14" s="11">
        <f t="shared" si="0"/>
        <v>0</v>
      </c>
      <c r="V14" s="11">
        <f t="shared" si="0"/>
        <v>0</v>
      </c>
      <c r="W14" s="11">
        <f t="shared" si="0"/>
        <v>0</v>
      </c>
      <c r="X14" s="11">
        <f t="shared" si="0"/>
        <v>1</v>
      </c>
      <c r="Y14" s="11">
        <f t="shared" si="0"/>
        <v>0</v>
      </c>
      <c r="Z14" s="11">
        <f t="shared" si="0"/>
        <v>0</v>
      </c>
      <c r="AA14" s="11">
        <f t="shared" si="0"/>
        <v>0</v>
      </c>
      <c r="AB14" s="11">
        <f t="shared" si="0"/>
        <v>0</v>
      </c>
      <c r="AC14" s="11">
        <f t="shared" si="0"/>
        <v>1</v>
      </c>
      <c r="AD14" s="11">
        <f t="shared" si="0"/>
        <v>0</v>
      </c>
      <c r="AE14" s="11">
        <f t="shared" si="0"/>
        <v>0</v>
      </c>
      <c r="AF14" s="11">
        <f t="shared" si="0"/>
        <v>0</v>
      </c>
      <c r="AG14" s="11">
        <f t="shared" si="0"/>
        <v>0</v>
      </c>
      <c r="AH14" s="11">
        <f t="shared" si="0"/>
        <v>1</v>
      </c>
      <c r="AI14" s="11">
        <f t="shared" si="0"/>
        <v>0</v>
      </c>
      <c r="AJ14" s="11">
        <f t="shared" si="0"/>
        <v>0</v>
      </c>
      <c r="AK14" s="11">
        <f t="shared" si="0"/>
        <v>0</v>
      </c>
      <c r="AL14" s="11">
        <f t="shared" si="0"/>
        <v>0</v>
      </c>
      <c r="AM14" s="11">
        <f t="shared" si="0"/>
        <v>1</v>
      </c>
      <c r="AN14" s="11">
        <f t="shared" si="0"/>
        <v>0</v>
      </c>
      <c r="AO14" s="11">
        <f t="shared" si="0"/>
        <v>0</v>
      </c>
    </row>
    <row r="15" spans="1:41" s="11" customFormat="1" ht="13.5" hidden="1" customHeight="1" outlineLevel="1">
      <c r="B15" s="397" t="s">
        <v>504</v>
      </c>
      <c r="C15" s="397"/>
      <c r="D15" s="397"/>
      <c r="E15" s="397"/>
      <c r="F15" s="397"/>
      <c r="G15" s="397">
        <f t="shared" ref="G15:AO15" si="1">(G13=$D13)*1</f>
        <v>1</v>
      </c>
      <c r="H15" s="397">
        <f t="shared" si="1"/>
        <v>1</v>
      </c>
      <c r="I15" s="397">
        <f t="shared" si="1"/>
        <v>1</v>
      </c>
      <c r="J15" s="397">
        <f t="shared" si="1"/>
        <v>1</v>
      </c>
      <c r="K15" s="397">
        <f t="shared" si="1"/>
        <v>1</v>
      </c>
      <c r="L15" s="397">
        <f t="shared" si="1"/>
        <v>0</v>
      </c>
      <c r="M15" s="397">
        <f t="shared" si="1"/>
        <v>0</v>
      </c>
      <c r="N15" s="397">
        <f t="shared" si="1"/>
        <v>0</v>
      </c>
      <c r="O15" s="397">
        <f t="shared" si="1"/>
        <v>0</v>
      </c>
      <c r="P15" s="397">
        <f t="shared" si="1"/>
        <v>0</v>
      </c>
      <c r="Q15" s="397">
        <f t="shared" si="1"/>
        <v>0</v>
      </c>
      <c r="R15" s="397">
        <f t="shared" si="1"/>
        <v>0</v>
      </c>
      <c r="S15" s="397">
        <f t="shared" si="1"/>
        <v>0</v>
      </c>
      <c r="T15" s="397">
        <f t="shared" si="1"/>
        <v>0</v>
      </c>
      <c r="U15" s="397">
        <f t="shared" si="1"/>
        <v>0</v>
      </c>
      <c r="V15" s="397">
        <f t="shared" si="1"/>
        <v>0</v>
      </c>
      <c r="W15" s="397">
        <f t="shared" si="1"/>
        <v>0</v>
      </c>
      <c r="X15" s="397">
        <f t="shared" si="1"/>
        <v>0</v>
      </c>
      <c r="Y15" s="397">
        <f t="shared" si="1"/>
        <v>0</v>
      </c>
      <c r="Z15" s="397">
        <f t="shared" si="1"/>
        <v>0</v>
      </c>
      <c r="AA15" s="397">
        <f t="shared" si="1"/>
        <v>0</v>
      </c>
      <c r="AB15" s="397">
        <f t="shared" si="1"/>
        <v>0</v>
      </c>
      <c r="AC15" s="397">
        <f t="shared" si="1"/>
        <v>0</v>
      </c>
      <c r="AD15" s="397">
        <f t="shared" si="1"/>
        <v>0</v>
      </c>
      <c r="AE15" s="397">
        <f t="shared" si="1"/>
        <v>0</v>
      </c>
      <c r="AF15" s="397">
        <f t="shared" si="1"/>
        <v>0</v>
      </c>
      <c r="AG15" s="397">
        <f t="shared" si="1"/>
        <v>0</v>
      </c>
      <c r="AH15" s="397">
        <f t="shared" si="1"/>
        <v>0</v>
      </c>
      <c r="AI15" s="397">
        <f t="shared" si="1"/>
        <v>0</v>
      </c>
      <c r="AJ15" s="397">
        <f t="shared" si="1"/>
        <v>0</v>
      </c>
      <c r="AK15" s="397">
        <f t="shared" si="1"/>
        <v>0</v>
      </c>
      <c r="AL15" s="397">
        <f t="shared" si="1"/>
        <v>0</v>
      </c>
      <c r="AM15" s="397">
        <f t="shared" si="1"/>
        <v>0</v>
      </c>
      <c r="AN15" s="397">
        <f t="shared" si="1"/>
        <v>0</v>
      </c>
      <c r="AO15" s="397">
        <f t="shared" si="1"/>
        <v>0</v>
      </c>
    </row>
    <row r="16" spans="1:41" s="11" customFormat="1" ht="13.5" hidden="1" customHeight="1" outlineLevel="1">
      <c r="B16" s="11" t="s">
        <v>516</v>
      </c>
      <c r="G16" s="11">
        <f>PRODUCT(G14,G15)</f>
        <v>0</v>
      </c>
      <c r="H16" s="11">
        <f t="shared" ref="H16:AO16" si="2">PRODUCT(H14,H15)</f>
        <v>0</v>
      </c>
      <c r="I16" s="11">
        <f t="shared" si="2"/>
        <v>1</v>
      </c>
      <c r="J16" s="11">
        <f t="shared" si="2"/>
        <v>0</v>
      </c>
      <c r="K16" s="11">
        <f t="shared" si="2"/>
        <v>0</v>
      </c>
      <c r="L16" s="11">
        <f t="shared" si="2"/>
        <v>0</v>
      </c>
      <c r="M16" s="11">
        <f t="shared" si="2"/>
        <v>0</v>
      </c>
      <c r="N16" s="11">
        <f t="shared" si="2"/>
        <v>0</v>
      </c>
      <c r="O16" s="11">
        <f t="shared" si="2"/>
        <v>0</v>
      </c>
      <c r="P16" s="11">
        <f t="shared" si="2"/>
        <v>0</v>
      </c>
      <c r="Q16" s="11">
        <f t="shared" si="2"/>
        <v>0</v>
      </c>
      <c r="R16" s="11">
        <f t="shared" si="2"/>
        <v>0</v>
      </c>
      <c r="S16" s="11">
        <f t="shared" si="2"/>
        <v>0</v>
      </c>
      <c r="T16" s="11">
        <f t="shared" si="2"/>
        <v>0</v>
      </c>
      <c r="U16" s="11">
        <f t="shared" si="2"/>
        <v>0</v>
      </c>
      <c r="V16" s="11">
        <f t="shared" si="2"/>
        <v>0</v>
      </c>
      <c r="W16" s="11">
        <f t="shared" si="2"/>
        <v>0</v>
      </c>
      <c r="X16" s="11">
        <f t="shared" si="2"/>
        <v>0</v>
      </c>
      <c r="Y16" s="11">
        <f t="shared" si="2"/>
        <v>0</v>
      </c>
      <c r="Z16" s="11">
        <f t="shared" si="2"/>
        <v>0</v>
      </c>
      <c r="AA16" s="11">
        <f t="shared" si="2"/>
        <v>0</v>
      </c>
      <c r="AB16" s="11">
        <f t="shared" si="2"/>
        <v>0</v>
      </c>
      <c r="AC16" s="11">
        <f t="shared" si="2"/>
        <v>0</v>
      </c>
      <c r="AD16" s="11">
        <f t="shared" si="2"/>
        <v>0</v>
      </c>
      <c r="AE16" s="11">
        <f t="shared" si="2"/>
        <v>0</v>
      </c>
      <c r="AF16" s="11">
        <f t="shared" si="2"/>
        <v>0</v>
      </c>
      <c r="AG16" s="11">
        <f t="shared" si="2"/>
        <v>0</v>
      </c>
      <c r="AH16" s="11">
        <f t="shared" si="2"/>
        <v>0</v>
      </c>
      <c r="AI16" s="11">
        <f t="shared" si="2"/>
        <v>0</v>
      </c>
      <c r="AJ16" s="11">
        <f t="shared" si="2"/>
        <v>0</v>
      </c>
      <c r="AK16" s="11">
        <f t="shared" si="2"/>
        <v>0</v>
      </c>
      <c r="AL16" s="11">
        <f t="shared" si="2"/>
        <v>0</v>
      </c>
      <c r="AM16" s="11">
        <f t="shared" si="2"/>
        <v>0</v>
      </c>
      <c r="AN16" s="11">
        <f t="shared" si="2"/>
        <v>0</v>
      </c>
      <c r="AO16" s="11">
        <f t="shared" si="2"/>
        <v>0</v>
      </c>
    </row>
    <row r="17" spans="2:41" s="11" customFormat="1" ht="13.5" hidden="1" customHeight="1" outlineLevel="1">
      <c r="E17" s="11" t="s">
        <v>517</v>
      </c>
      <c r="G17" s="11" t="str">
        <f>G12&amp;G13</f>
        <v>151</v>
      </c>
      <c r="H17" s="11" t="str">
        <f t="shared" ref="H17:AO17" si="3">H12&amp;H13</f>
        <v>15.51</v>
      </c>
      <c r="I17" s="11" t="str">
        <f t="shared" si="3"/>
        <v>161</v>
      </c>
      <c r="J17" s="11" t="str">
        <f t="shared" si="3"/>
        <v>16.51</v>
      </c>
      <c r="K17" s="11" t="str">
        <f t="shared" si="3"/>
        <v>171</v>
      </c>
      <c r="L17" s="11" t="str">
        <f t="shared" si="3"/>
        <v>150.95</v>
      </c>
      <c r="M17" s="11" t="str">
        <f t="shared" si="3"/>
        <v>15.50.95</v>
      </c>
      <c r="N17" s="11" t="str">
        <f t="shared" si="3"/>
        <v>160.95</v>
      </c>
      <c r="O17" s="11" t="str">
        <f t="shared" si="3"/>
        <v>16.50.95</v>
      </c>
      <c r="P17" s="11" t="str">
        <f t="shared" si="3"/>
        <v>170.95</v>
      </c>
      <c r="Q17" s="11" t="str">
        <f t="shared" si="3"/>
        <v>150.9</v>
      </c>
      <c r="R17" s="11" t="str">
        <f t="shared" si="3"/>
        <v>15.50.9</v>
      </c>
      <c r="S17" s="11" t="str">
        <f t="shared" si="3"/>
        <v>160.9</v>
      </c>
      <c r="T17" s="11" t="str">
        <f t="shared" si="3"/>
        <v>16.50.9</v>
      </c>
      <c r="U17" s="11" t="str">
        <f t="shared" si="3"/>
        <v>170.9</v>
      </c>
      <c r="V17" s="11" t="str">
        <f t="shared" si="3"/>
        <v>150.85</v>
      </c>
      <c r="W17" s="11" t="str">
        <f t="shared" si="3"/>
        <v>15.50.85</v>
      </c>
      <c r="X17" s="11" t="str">
        <f t="shared" si="3"/>
        <v>160.85</v>
      </c>
      <c r="Y17" s="11" t="str">
        <f t="shared" si="3"/>
        <v>16.50.85</v>
      </c>
      <c r="Z17" s="11" t="str">
        <f t="shared" si="3"/>
        <v>170.85</v>
      </c>
      <c r="AA17" s="11" t="str">
        <f t="shared" si="3"/>
        <v>150.8</v>
      </c>
      <c r="AB17" s="11" t="str">
        <f t="shared" si="3"/>
        <v>15.50.8</v>
      </c>
      <c r="AC17" s="11" t="str">
        <f t="shared" si="3"/>
        <v>160.8</v>
      </c>
      <c r="AD17" s="11" t="str">
        <f t="shared" si="3"/>
        <v>16.50.8</v>
      </c>
      <c r="AE17" s="11" t="str">
        <f t="shared" si="3"/>
        <v>170.8</v>
      </c>
      <c r="AF17" s="11" t="str">
        <f t="shared" si="3"/>
        <v>150.75</v>
      </c>
      <c r="AG17" s="11" t="str">
        <f t="shared" si="3"/>
        <v>15.50.75</v>
      </c>
      <c r="AH17" s="11" t="str">
        <f t="shared" si="3"/>
        <v>160.75</v>
      </c>
      <c r="AI17" s="11" t="str">
        <f t="shared" si="3"/>
        <v>16.50.75</v>
      </c>
      <c r="AJ17" s="11" t="str">
        <f t="shared" si="3"/>
        <v>170.75</v>
      </c>
      <c r="AK17" s="11" t="str">
        <f t="shared" si="3"/>
        <v>150.7</v>
      </c>
      <c r="AL17" s="11" t="str">
        <f t="shared" si="3"/>
        <v>15.50.7</v>
      </c>
      <c r="AM17" s="11" t="str">
        <f t="shared" si="3"/>
        <v>160.7</v>
      </c>
      <c r="AN17" s="11" t="str">
        <f t="shared" si="3"/>
        <v>16.50.7</v>
      </c>
      <c r="AO17" s="11" t="str">
        <f t="shared" si="3"/>
        <v>170.7</v>
      </c>
    </row>
    <row r="18" spans="2:41" s="11" customFormat="1" ht="13.5" customHeight="1" collapsed="1"/>
    <row r="19" spans="2:41" ht="13.5" customHeight="1">
      <c r="B19" s="1" t="s">
        <v>511</v>
      </c>
    </row>
    <row r="20" spans="2:41" ht="13.5" customHeight="1">
      <c r="B20" s="55" t="s">
        <v>512</v>
      </c>
      <c r="C20" s="21"/>
      <c r="D20" s="21"/>
      <c r="E20" s="56" t="s">
        <v>513</v>
      </c>
      <c r="G20" s="115">
        <f>G11</f>
        <v>1</v>
      </c>
      <c r="H20" s="115">
        <f t="shared" ref="H20:AO20" si="4">H11</f>
        <v>2</v>
      </c>
      <c r="I20" s="115">
        <f t="shared" si="4"/>
        <v>3</v>
      </c>
      <c r="J20" s="115">
        <f t="shared" si="4"/>
        <v>4</v>
      </c>
      <c r="K20" s="115">
        <f t="shared" si="4"/>
        <v>5</v>
      </c>
      <c r="L20" s="115">
        <f t="shared" si="4"/>
        <v>6</v>
      </c>
      <c r="M20" s="115">
        <f t="shared" si="4"/>
        <v>7</v>
      </c>
      <c r="N20" s="115">
        <f t="shared" si="4"/>
        <v>8</v>
      </c>
      <c r="O20" s="115">
        <f t="shared" si="4"/>
        <v>9</v>
      </c>
      <c r="P20" s="115">
        <f t="shared" si="4"/>
        <v>10</v>
      </c>
      <c r="Q20" s="115">
        <f t="shared" si="4"/>
        <v>11</v>
      </c>
      <c r="R20" s="115">
        <f t="shared" si="4"/>
        <v>12</v>
      </c>
      <c r="S20" s="115">
        <f t="shared" si="4"/>
        <v>13</v>
      </c>
      <c r="T20" s="115">
        <f t="shared" si="4"/>
        <v>14</v>
      </c>
      <c r="U20" s="115">
        <f t="shared" si="4"/>
        <v>15</v>
      </c>
      <c r="V20" s="115">
        <f t="shared" si="4"/>
        <v>16</v>
      </c>
      <c r="W20" s="115">
        <f t="shared" si="4"/>
        <v>17</v>
      </c>
      <c r="X20" s="115">
        <f t="shared" si="4"/>
        <v>18</v>
      </c>
      <c r="Y20" s="115">
        <f t="shared" si="4"/>
        <v>19</v>
      </c>
      <c r="Z20" s="115">
        <f t="shared" si="4"/>
        <v>20</v>
      </c>
      <c r="AA20" s="115">
        <f t="shared" si="4"/>
        <v>21</v>
      </c>
      <c r="AB20" s="115">
        <f t="shared" si="4"/>
        <v>22</v>
      </c>
      <c r="AC20" s="115">
        <f t="shared" si="4"/>
        <v>23</v>
      </c>
      <c r="AD20" s="115">
        <f t="shared" si="4"/>
        <v>24</v>
      </c>
      <c r="AE20" s="115">
        <f t="shared" si="4"/>
        <v>25</v>
      </c>
      <c r="AF20" s="115">
        <f t="shared" si="4"/>
        <v>26</v>
      </c>
      <c r="AG20" s="115">
        <f t="shared" si="4"/>
        <v>27</v>
      </c>
      <c r="AH20" s="115">
        <f t="shared" si="4"/>
        <v>28</v>
      </c>
      <c r="AI20" s="115">
        <f t="shared" si="4"/>
        <v>29</v>
      </c>
      <c r="AJ20" s="115">
        <f t="shared" si="4"/>
        <v>30</v>
      </c>
      <c r="AK20" s="115">
        <f t="shared" si="4"/>
        <v>31</v>
      </c>
      <c r="AL20" s="115">
        <f t="shared" si="4"/>
        <v>32</v>
      </c>
      <c r="AM20" s="115">
        <f t="shared" si="4"/>
        <v>33</v>
      </c>
      <c r="AN20" s="115">
        <f t="shared" si="4"/>
        <v>34</v>
      </c>
      <c r="AO20" s="115">
        <f t="shared" si="4"/>
        <v>35</v>
      </c>
    </row>
    <row r="21" spans="2:41" ht="13.5" customHeight="1">
      <c r="B21" s="101" t="str">
        <f>'A&amp;R'!Q58</f>
        <v>시행이익 민감도</v>
      </c>
      <c r="C21" s="102"/>
      <c r="D21" s="102"/>
      <c r="E21" s="169">
        <f ca="1">'A&amp;R'!R60</f>
        <v>149732.94312492432</v>
      </c>
      <c r="G21" s="170">
        <v>109903.91437388374</v>
      </c>
      <c r="H21" s="170">
        <v>130239.70798266691</v>
      </c>
      <c r="I21" s="170">
        <v>150534.56293710344</v>
      </c>
      <c r="J21" s="170">
        <v>170815.98438613326</v>
      </c>
      <c r="K21" s="170">
        <v>191097.40582628013</v>
      </c>
      <c r="L21" s="170">
        <v>79400.224022131064</v>
      </c>
      <c r="M21" s="170">
        <v>98719.227985322708</v>
      </c>
      <c r="N21" s="170">
        <v>118038.23185686162</v>
      </c>
      <c r="O21" s="170">
        <v>137351.63896771101</v>
      </c>
      <c r="P21" s="170">
        <v>156618.98936915922</v>
      </c>
      <c r="Q21" s="170">
        <v>48896.533726777066</v>
      </c>
      <c r="R21" s="170">
        <v>67198.747981010354</v>
      </c>
      <c r="S21" s="170">
        <v>85500.962175099645</v>
      </c>
      <c r="T21" s="170">
        <v>103803.17636918928</v>
      </c>
      <c r="U21" s="170">
        <v>122105.39056327892</v>
      </c>
      <c r="V21" s="170">
        <v>18392.843420447432</v>
      </c>
      <c r="W21" s="170">
        <v>35678.267976697651</v>
      </c>
      <c r="X21" s="170">
        <v>52963.692493337789</v>
      </c>
      <c r="Y21" s="170">
        <v>70249.11700997781</v>
      </c>
      <c r="Z21" s="170">
        <v>87534.541526618064</v>
      </c>
      <c r="AA21" s="170">
        <v>-10987.427450188436</v>
      </c>
      <c r="AB21" s="170">
        <v>4205.3308016080409</v>
      </c>
      <c r="AC21" s="170">
        <v>20473.965640799608</v>
      </c>
      <c r="AD21" s="170">
        <v>36742.600479990244</v>
      </c>
      <c r="AE21" s="170">
        <v>53011.235319180996</v>
      </c>
      <c r="AF21" s="170">
        <v>-41562.680355574354</v>
      </c>
      <c r="AG21" s="170">
        <v>-26274.871263830457</v>
      </c>
      <c r="AH21" s="170">
        <v>-10986.97158274916</v>
      </c>
      <c r="AI21" s="170">
        <v>3188.995953302714</v>
      </c>
      <c r="AJ21" s="170">
        <v>18440.841115044896</v>
      </c>
      <c r="AK21" s="170">
        <v>-72194.218563987582</v>
      </c>
      <c r="AL21" s="170">
        <v>-57870.095232197724</v>
      </c>
      <c r="AM21" s="170">
        <v>-43601.15972091048</v>
      </c>
      <c r="AN21" s="170">
        <v>-29332.450168362237</v>
      </c>
      <c r="AO21" s="170">
        <v>-15063.742909001769</v>
      </c>
    </row>
    <row r="22" spans="2:41" s="378" customFormat="1" ht="13.5" customHeight="1">
      <c r="B22" s="183" t="str">
        <f>'A&amp;R'!Y58</f>
        <v>매출액 대비 시행이익률 민감도</v>
      </c>
      <c r="C22" s="384"/>
      <c r="D22" s="384"/>
      <c r="E22" s="385">
        <f ca="1">'A&amp;R'!Z60</f>
        <v>0.2037524166431573</v>
      </c>
      <c r="G22" s="171">
        <v>0.15904771509622842</v>
      </c>
      <c r="H22" s="171">
        <v>0.18267859242546311</v>
      </c>
      <c r="I22" s="171">
        <v>0.204843238546152</v>
      </c>
      <c r="J22" s="171">
        <v>0.22570547120713449</v>
      </c>
      <c r="K22" s="171">
        <v>0.24539258348909956</v>
      </c>
      <c r="L22" s="171">
        <v>0.12064818391558631</v>
      </c>
      <c r="M22" s="171">
        <v>0.14539997137976379</v>
      </c>
      <c r="N22" s="171">
        <v>0.16867781677438043</v>
      </c>
      <c r="O22" s="171">
        <v>0.19060180442128949</v>
      </c>
      <c r="P22" s="171">
        <v>0.21123150066497332</v>
      </c>
      <c r="Q22" s="171">
        <v>7.8207525086653074E-2</v>
      </c>
      <c r="R22" s="171">
        <v>0.10419148635818107</v>
      </c>
      <c r="S22" s="171">
        <v>0.12863217928372667</v>
      </c>
      <c r="T22" s="171">
        <v>0.15166312800543411</v>
      </c>
      <c r="U22" s="171">
        <v>0.17340288496295289</v>
      </c>
      <c r="V22" s="171">
        <v>3.105238047147495E-2</v>
      </c>
      <c r="W22" s="171">
        <v>5.8397138328850698E-2</v>
      </c>
      <c r="X22" s="171">
        <v>8.4122541135476306E-2</v>
      </c>
      <c r="Y22" s="171">
        <v>0.10836829930248315</v>
      </c>
      <c r="Z22" s="171">
        <v>0.13125850103897027</v>
      </c>
      <c r="AA22" s="171">
        <v>-1.9640811933965011E-2</v>
      </c>
      <c r="AB22" s="171">
        <v>7.2887222864123045E-3</v>
      </c>
      <c r="AC22" s="171">
        <v>3.4438391346770146E-2</v>
      </c>
      <c r="AD22" s="171">
        <v>6.0031455351660969E-2</v>
      </c>
      <c r="AE22" s="171">
        <v>8.4198053682551732E-2</v>
      </c>
      <c r="AF22" s="171">
        <v>-7.8938512191848137E-2</v>
      </c>
      <c r="AG22" s="171">
        <v>-4.8391113249451827E-2</v>
      </c>
      <c r="AH22" s="171">
        <v>-1.9639997038332503E-2</v>
      </c>
      <c r="AI22" s="171">
        <v>5.5377257253899758E-3</v>
      </c>
      <c r="AJ22" s="171">
        <v>3.1133414308403998E-2</v>
      </c>
      <c r="AK22" s="171">
        <v>-0.1462542982501335</v>
      </c>
      <c r="AL22" s="171">
        <v>-0.11369955368094561</v>
      </c>
      <c r="AM22" s="171">
        <v>-8.3156514136654702E-2</v>
      </c>
      <c r="AN22" s="171">
        <v>-5.4351652636429111E-2</v>
      </c>
      <c r="AO22" s="171">
        <v>-2.7140327873590785E-2</v>
      </c>
    </row>
    <row r="23" spans="2:41" s="378" customFormat="1" ht="13.5" customHeight="1">
      <c r="B23" s="183" t="str">
        <f>'A&amp;R'!Q69</f>
        <v>Equity IRR</v>
      </c>
      <c r="C23" s="384"/>
      <c r="D23" s="384"/>
      <c r="E23" s="385">
        <f ca="1">'A&amp;R'!R71</f>
        <v>0.87129866600036632</v>
      </c>
      <c r="G23" s="171">
        <v>0.75377585411071757</v>
      </c>
      <c r="H23" s="171">
        <v>0.81702349662780782</v>
      </c>
      <c r="I23" s="171">
        <v>0.87341835975646975</v>
      </c>
      <c r="J23" s="171">
        <v>0.92450638771057103</v>
      </c>
      <c r="K23" s="171">
        <v>0.97133505821228017</v>
      </c>
      <c r="L23" s="171">
        <v>0.64112486839294447</v>
      </c>
      <c r="M23" s="171">
        <v>0.71536587715148925</v>
      </c>
      <c r="N23" s="171">
        <v>0.78000277519226091</v>
      </c>
      <c r="O23" s="171">
        <v>0.83746493339538586</v>
      </c>
      <c r="P23" s="171">
        <v>0.8892454242706298</v>
      </c>
      <c r="Q23" s="171">
        <v>0.49331999778747559</v>
      </c>
      <c r="R23" s="171">
        <v>0.58755837440490732</v>
      </c>
      <c r="S23" s="171">
        <v>0.66580840110778805</v>
      </c>
      <c r="T23" s="171">
        <v>0.73318659782409679</v>
      </c>
      <c r="U23" s="171">
        <v>0.79263529777526842</v>
      </c>
      <c r="V23" s="171">
        <v>0.2661684083938598</v>
      </c>
      <c r="W23" s="171">
        <v>0.40990820407867434</v>
      </c>
      <c r="X23" s="171">
        <v>0.51604197502136229</v>
      </c>
      <c r="Y23" s="171">
        <v>0.60153246879577638</v>
      </c>
      <c r="Z23" s="171">
        <v>0.67376484870910636</v>
      </c>
      <c r="AA23" s="171">
        <v>-0.99196262368466692</v>
      </c>
      <c r="AB23" s="171">
        <v>8.2620625495910621E-2</v>
      </c>
      <c r="AC23" s="171">
        <v>0.2865856599807739</v>
      </c>
      <c r="AD23" s="171">
        <v>0.41727143764495855</v>
      </c>
      <c r="AE23" s="171">
        <v>0.51630078315734873</v>
      </c>
      <c r="AF23" s="171" t="e">
        <v>#NUM!</v>
      </c>
      <c r="AG23" s="171">
        <v>-0.99555514606909123</v>
      </c>
      <c r="AH23" s="171">
        <v>-0.99552630224556182</v>
      </c>
      <c r="AI23" s="171">
        <v>6.4597468376159678E-2</v>
      </c>
      <c r="AJ23" s="171">
        <v>0.2666521501541137</v>
      </c>
      <c r="AK23" s="171" t="e">
        <v>#NUM!</v>
      </c>
      <c r="AL23" s="171">
        <v>-0.99319336527085389</v>
      </c>
      <c r="AM23" s="171">
        <v>-0.9955206952762089</v>
      </c>
      <c r="AN23" s="171">
        <v>-0.99559387037530533</v>
      </c>
      <c r="AO23" s="171">
        <v>-0.99559508518024797</v>
      </c>
    </row>
    <row r="24" spans="2:41" s="380" customFormat="1" ht="13.5" customHeight="1">
      <c r="B24" s="386" t="str">
        <f>'A&amp;R'!Y69</f>
        <v>Equity Multiple</v>
      </c>
      <c r="C24" s="387"/>
      <c r="D24" s="387"/>
      <c r="E24" s="388">
        <f ca="1">'A&amp;R'!Z71</f>
        <v>15.973292885442282</v>
      </c>
      <c r="G24" s="360">
        <v>11.990391434085581</v>
      </c>
      <c r="H24" s="360">
        <v>14.023970811096934</v>
      </c>
      <c r="I24" s="360">
        <v>16.053456308933033</v>
      </c>
      <c r="J24" s="360">
        <v>18.081598454031152</v>
      </c>
      <c r="K24" s="360">
        <v>20.109740598045825</v>
      </c>
      <c r="L24" s="360">
        <v>8.9400223364674662</v>
      </c>
      <c r="M24" s="360">
        <v>10.871922811767668</v>
      </c>
      <c r="N24" s="360">
        <v>12.80382319892156</v>
      </c>
      <c r="O24" s="360">
        <v>14.735163910719566</v>
      </c>
      <c r="P24" s="360">
        <v>16.661898951562844</v>
      </c>
      <c r="Q24" s="360">
        <v>5.8896533666839472</v>
      </c>
      <c r="R24" s="360">
        <v>7.7198748106398272</v>
      </c>
      <c r="S24" s="360">
        <v>9.5500962300487693</v>
      </c>
      <c r="T24" s="360">
        <v>11.380317649457719</v>
      </c>
      <c r="U24" s="360">
        <v>13.210539068866696</v>
      </c>
      <c r="V24" s="360">
        <v>2.8392843368440168</v>
      </c>
      <c r="W24" s="360">
        <v>4.5678268095119625</v>
      </c>
      <c r="X24" s="360">
        <v>6.2963692611759763</v>
      </c>
      <c r="Y24" s="360">
        <v>8.0249117128399892</v>
      </c>
      <c r="Z24" s="360">
        <v>9.7534541645040154</v>
      </c>
      <c r="AA24" s="360">
        <v>4.8918009269982575E-10</v>
      </c>
      <c r="AB24" s="360">
        <v>1.4205330913063954</v>
      </c>
      <c r="AC24" s="360">
        <v>3.0473965752255525</v>
      </c>
      <c r="AD24" s="360">
        <v>4.6742600591446273</v>
      </c>
      <c r="AE24" s="360">
        <v>6.3011235430637029</v>
      </c>
      <c r="AF24" s="360">
        <v>1.6602862160652876E-10</v>
      </c>
      <c r="AG24" s="360">
        <v>6.9916131906211373E-11</v>
      </c>
      <c r="AH24" s="360">
        <v>7.1970862336456791E-11</v>
      </c>
      <c r="AI24" s="360">
        <v>1.3188996057792683</v>
      </c>
      <c r="AJ24" s="360">
        <v>2.8440841219534865</v>
      </c>
      <c r="AK24" s="360">
        <v>2.3605825845152142E-10</v>
      </c>
      <c r="AL24" s="360">
        <v>3.2669631764292715E-10</v>
      </c>
      <c r="AM24" s="360">
        <v>7.2340480983257288E-11</v>
      </c>
      <c r="AN24" s="360">
        <v>6.723857950419187E-11</v>
      </c>
      <c r="AO24" s="360">
        <v>6.719492375850678E-11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14</vt:i4>
      </vt:variant>
    </vt:vector>
  </HeadingPairs>
  <TitlesOfParts>
    <vt:vector size="24" baseType="lpstr">
      <vt:lpstr>A&amp;R</vt:lpstr>
      <vt:lpstr>총투자비</vt:lpstr>
      <vt:lpstr>표준공정률</vt:lpstr>
      <vt:lpstr>보유세</vt:lpstr>
      <vt:lpstr>취득원가 및 VAT</vt:lpstr>
      <vt:lpstr>분양매출</vt:lpstr>
      <vt:lpstr>현금흐름</vt:lpstr>
      <vt:lpstr>재원조달</vt:lpstr>
      <vt:lpstr>배당</vt:lpstr>
      <vt:lpstr>민감도분석</vt:lpstr>
      <vt:lpstr>Cir</vt:lpstr>
      <vt:lpstr>ES</vt:lpstr>
      <vt:lpstr>Est</vt:lpstr>
      <vt:lpstr>Exit</vt:lpstr>
      <vt:lpstr>Output</vt:lpstr>
      <vt:lpstr>py</vt:lpstr>
      <vt:lpstr>Ref</vt:lpstr>
      <vt:lpstr>Result</vt:lpstr>
      <vt:lpstr>SS</vt:lpstr>
      <vt:lpstr>unit</vt:lpstr>
      <vt:lpstr>조달필요액</vt:lpstr>
      <vt:lpstr>준공일</vt:lpstr>
      <vt:lpstr>차입액</vt:lpstr>
      <vt:lpstr>착공일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fc</dc:creator>
  <cp:lastModifiedBy>권 진오</cp:lastModifiedBy>
  <cp:lastPrinted>2021-07-24T05:03:21Z</cp:lastPrinted>
  <dcterms:created xsi:type="dcterms:W3CDTF">2021-07-24T04:56:11Z</dcterms:created>
  <dcterms:modified xsi:type="dcterms:W3CDTF">2023-09-12T01:16:44Z</dcterms:modified>
</cp:coreProperties>
</file>