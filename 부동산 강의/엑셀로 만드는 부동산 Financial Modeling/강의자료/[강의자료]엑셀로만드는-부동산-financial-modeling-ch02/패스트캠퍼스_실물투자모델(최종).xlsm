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fc\Desktop\강의자료\권진오_부동산 financial modeling_강의자료\"/>
    </mc:Choice>
  </mc:AlternateContent>
  <xr:revisionPtr revIDLastSave="0" documentId="13_ncr:1_{1FF81783-849D-4874-BED5-7D375F40CF69}" xr6:coauthVersionLast="47" xr6:coauthVersionMax="47" xr10:uidLastSave="{00000000-0000-0000-0000-000000000000}"/>
  <bookViews>
    <workbookView xWindow="-120" yWindow="-16320" windowWidth="29040" windowHeight="15840" xr2:uid="{CFF423E1-281B-4747-B5F0-FFE22A23FC76}"/>
  </bookViews>
  <sheets>
    <sheet name="A&amp;R" sheetId="1" r:id="rId1"/>
    <sheet name="운영수입" sheetId="3" r:id="rId2"/>
    <sheet name="운영비용" sheetId="4" r:id="rId3"/>
    <sheet name="보유세" sheetId="5" r:id="rId4"/>
    <sheet name="펀드비용" sheetId="6" r:id="rId5"/>
    <sheet name="현금흐름" sheetId="7" r:id="rId6"/>
    <sheet name="배당" sheetId="9" r:id="rId7"/>
    <sheet name="민감도분석" sheetId="10" r:id="rId8"/>
  </sheets>
  <definedNames>
    <definedName name="acq">'A&amp;R'!$D$13</definedName>
    <definedName name="Cir">'A&amp;R'!$I$9</definedName>
    <definedName name="ES">민감도분석!$H$9</definedName>
    <definedName name="exit">'A&amp;R'!$D$16</definedName>
    <definedName name="Output">민감도분석!$E$27:$E$35</definedName>
    <definedName name="period">'A&amp;R'!$D$17</definedName>
    <definedName name="py">'A&amp;R'!$D$11</definedName>
    <definedName name="Ref">'A&amp;R'!$I$10</definedName>
    <definedName name="Result">민감도분석!$G$27:$FD$35</definedName>
    <definedName name="SS">민감도분석!$H$8</definedName>
    <definedName name="start">'A&amp;R'!$D$14</definedName>
    <definedName name="unit">'A&amp;R'!$D$10</definedName>
  </definedNames>
  <calcPr calcId="191029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C168" i="1" l="1"/>
  <c r="AB168" i="1"/>
  <c r="AA168" i="1"/>
  <c r="Z168" i="1"/>
  <c r="Y168" i="1"/>
  <c r="X168" i="1"/>
  <c r="W168" i="1"/>
  <c r="V168" i="1"/>
  <c r="U168" i="1"/>
  <c r="T168" i="1"/>
  <c r="S168" i="1"/>
  <c r="AC167" i="1"/>
  <c r="AB167" i="1"/>
  <c r="AA167" i="1"/>
  <c r="Z167" i="1"/>
  <c r="Y167" i="1"/>
  <c r="X167" i="1"/>
  <c r="W167" i="1"/>
  <c r="V167" i="1"/>
  <c r="U167" i="1"/>
  <c r="T167" i="1"/>
  <c r="S167" i="1"/>
  <c r="AC166" i="1"/>
  <c r="AB166" i="1"/>
  <c r="AA166" i="1"/>
  <c r="Z166" i="1"/>
  <c r="Y166" i="1"/>
  <c r="X166" i="1"/>
  <c r="W166" i="1"/>
  <c r="V166" i="1"/>
  <c r="U166" i="1"/>
  <c r="T166" i="1"/>
  <c r="S166" i="1"/>
  <c r="AC165" i="1"/>
  <c r="AB165" i="1"/>
  <c r="AA165" i="1"/>
  <c r="Z165" i="1"/>
  <c r="Y165" i="1"/>
  <c r="X165" i="1"/>
  <c r="W165" i="1"/>
  <c r="V165" i="1"/>
  <c r="U165" i="1"/>
  <c r="T165" i="1"/>
  <c r="S165" i="1"/>
  <c r="AC164" i="1"/>
  <c r="AB164" i="1"/>
  <c r="AA164" i="1"/>
  <c r="Z164" i="1"/>
  <c r="Y164" i="1"/>
  <c r="X164" i="1"/>
  <c r="W164" i="1"/>
  <c r="V164" i="1"/>
  <c r="U164" i="1"/>
  <c r="T164" i="1"/>
  <c r="S164" i="1"/>
  <c r="AC163" i="1"/>
  <c r="AB163" i="1"/>
  <c r="AA163" i="1"/>
  <c r="Z163" i="1"/>
  <c r="Y163" i="1"/>
  <c r="X163" i="1"/>
  <c r="W163" i="1"/>
  <c r="V163" i="1"/>
  <c r="U163" i="1"/>
  <c r="T163" i="1"/>
  <c r="S163" i="1"/>
  <c r="AC162" i="1"/>
  <c r="AB162" i="1"/>
  <c r="AA162" i="1"/>
  <c r="Z162" i="1"/>
  <c r="Y162" i="1"/>
  <c r="X162" i="1"/>
  <c r="W162" i="1"/>
  <c r="V162" i="1"/>
  <c r="U162" i="1"/>
  <c r="T162" i="1"/>
  <c r="S162" i="1"/>
  <c r="AC161" i="1"/>
  <c r="AB161" i="1"/>
  <c r="AA161" i="1"/>
  <c r="Z161" i="1"/>
  <c r="Y161" i="1"/>
  <c r="X161" i="1"/>
  <c r="W161" i="1"/>
  <c r="V161" i="1"/>
  <c r="U161" i="1"/>
  <c r="T161" i="1"/>
  <c r="S161" i="1"/>
  <c r="AC160" i="1"/>
  <c r="AB160" i="1"/>
  <c r="AA160" i="1"/>
  <c r="Z160" i="1"/>
  <c r="Y160" i="1"/>
  <c r="X160" i="1"/>
  <c r="W160" i="1"/>
  <c r="V160" i="1"/>
  <c r="U160" i="1"/>
  <c r="T160" i="1"/>
  <c r="S160" i="1"/>
  <c r="AC159" i="1"/>
  <c r="AB159" i="1"/>
  <c r="AA159" i="1"/>
  <c r="Z159" i="1"/>
  <c r="Y159" i="1"/>
  <c r="X159" i="1"/>
  <c r="W159" i="1"/>
  <c r="V159" i="1"/>
  <c r="U159" i="1"/>
  <c r="T159" i="1"/>
  <c r="S159" i="1"/>
  <c r="AC158" i="1"/>
  <c r="AB158" i="1"/>
  <c r="AA158" i="1"/>
  <c r="Z158" i="1"/>
  <c r="Y158" i="1"/>
  <c r="X158" i="1"/>
  <c r="W158" i="1"/>
  <c r="V158" i="1"/>
  <c r="U158" i="1"/>
  <c r="T158" i="1"/>
  <c r="S158" i="1"/>
  <c r="AC155" i="1"/>
  <c r="AB155" i="1"/>
  <c r="AA155" i="1"/>
  <c r="Z155" i="1"/>
  <c r="Y155" i="1"/>
  <c r="X155" i="1"/>
  <c r="W155" i="1"/>
  <c r="V155" i="1"/>
  <c r="U155" i="1"/>
  <c r="T155" i="1"/>
  <c r="S155" i="1"/>
  <c r="AC154" i="1"/>
  <c r="AB154" i="1"/>
  <c r="AA154" i="1"/>
  <c r="Z154" i="1"/>
  <c r="Y154" i="1"/>
  <c r="X154" i="1"/>
  <c r="W154" i="1"/>
  <c r="V154" i="1"/>
  <c r="U154" i="1"/>
  <c r="T154" i="1"/>
  <c r="S154" i="1"/>
  <c r="AC153" i="1"/>
  <c r="AB153" i="1"/>
  <c r="AA153" i="1"/>
  <c r="Z153" i="1"/>
  <c r="Y153" i="1"/>
  <c r="X153" i="1"/>
  <c r="W153" i="1"/>
  <c r="V153" i="1"/>
  <c r="U153" i="1"/>
  <c r="T153" i="1"/>
  <c r="S153" i="1"/>
  <c r="AC152" i="1"/>
  <c r="AB152" i="1"/>
  <c r="AA152" i="1"/>
  <c r="Z152" i="1"/>
  <c r="Y152" i="1"/>
  <c r="X152" i="1"/>
  <c r="W152" i="1"/>
  <c r="V152" i="1"/>
  <c r="U152" i="1"/>
  <c r="T152" i="1"/>
  <c r="S152" i="1"/>
  <c r="AC151" i="1"/>
  <c r="AB151" i="1"/>
  <c r="AA151" i="1"/>
  <c r="Z151" i="1"/>
  <c r="Y151" i="1"/>
  <c r="X151" i="1"/>
  <c r="W151" i="1"/>
  <c r="V151" i="1"/>
  <c r="U151" i="1"/>
  <c r="T151" i="1"/>
  <c r="S151" i="1"/>
  <c r="AC150" i="1"/>
  <c r="AB150" i="1"/>
  <c r="AA150" i="1"/>
  <c r="Z150" i="1"/>
  <c r="Y150" i="1"/>
  <c r="X150" i="1"/>
  <c r="W150" i="1"/>
  <c r="V150" i="1"/>
  <c r="U150" i="1"/>
  <c r="T150" i="1"/>
  <c r="S150" i="1"/>
  <c r="AC149" i="1"/>
  <c r="AB149" i="1"/>
  <c r="AA149" i="1"/>
  <c r="Z149" i="1"/>
  <c r="Y149" i="1"/>
  <c r="X149" i="1"/>
  <c r="W149" i="1"/>
  <c r="V149" i="1"/>
  <c r="U149" i="1"/>
  <c r="T149" i="1"/>
  <c r="S149" i="1"/>
  <c r="AC148" i="1"/>
  <c r="AB148" i="1"/>
  <c r="AA148" i="1"/>
  <c r="Z148" i="1"/>
  <c r="Y148" i="1"/>
  <c r="X148" i="1"/>
  <c r="W148" i="1"/>
  <c r="V148" i="1"/>
  <c r="U148" i="1"/>
  <c r="T148" i="1"/>
  <c r="S148" i="1"/>
  <c r="AC147" i="1"/>
  <c r="AB147" i="1"/>
  <c r="AA147" i="1"/>
  <c r="Z147" i="1"/>
  <c r="Y147" i="1"/>
  <c r="X147" i="1"/>
  <c r="W147" i="1"/>
  <c r="V147" i="1"/>
  <c r="U147" i="1"/>
  <c r="T147" i="1"/>
  <c r="S147" i="1"/>
  <c r="AC146" i="1"/>
  <c r="AB146" i="1"/>
  <c r="AA146" i="1"/>
  <c r="Z146" i="1"/>
  <c r="Y146" i="1"/>
  <c r="X146" i="1"/>
  <c r="W146" i="1"/>
  <c r="V146" i="1"/>
  <c r="U146" i="1"/>
  <c r="T146" i="1"/>
  <c r="S146" i="1"/>
  <c r="AC145" i="1"/>
  <c r="AB145" i="1"/>
  <c r="AA145" i="1"/>
  <c r="Z145" i="1"/>
  <c r="Y145" i="1"/>
  <c r="X145" i="1"/>
  <c r="W145" i="1"/>
  <c r="V145" i="1"/>
  <c r="U145" i="1"/>
  <c r="T145" i="1"/>
  <c r="S145" i="1"/>
  <c r="AC140" i="1"/>
  <c r="AB140" i="1"/>
  <c r="AA140" i="1"/>
  <c r="Z140" i="1"/>
  <c r="Y140" i="1"/>
  <c r="X140" i="1"/>
  <c r="W140" i="1"/>
  <c r="V140" i="1"/>
  <c r="U140" i="1"/>
  <c r="T140" i="1"/>
  <c r="S140" i="1"/>
  <c r="AC139" i="1"/>
  <c r="AB139" i="1"/>
  <c r="AA139" i="1"/>
  <c r="Z139" i="1"/>
  <c r="Y139" i="1"/>
  <c r="X139" i="1"/>
  <c r="W139" i="1"/>
  <c r="V139" i="1"/>
  <c r="U139" i="1"/>
  <c r="T139" i="1"/>
  <c r="S139" i="1"/>
  <c r="AC138" i="1"/>
  <c r="AB138" i="1"/>
  <c r="AA138" i="1"/>
  <c r="Z138" i="1"/>
  <c r="Y138" i="1"/>
  <c r="X138" i="1"/>
  <c r="W138" i="1"/>
  <c r="V138" i="1"/>
  <c r="U138" i="1"/>
  <c r="T138" i="1"/>
  <c r="S138" i="1"/>
  <c r="AC137" i="1"/>
  <c r="AB137" i="1"/>
  <c r="AA137" i="1"/>
  <c r="Z137" i="1"/>
  <c r="Y137" i="1"/>
  <c r="X137" i="1"/>
  <c r="W137" i="1"/>
  <c r="V137" i="1"/>
  <c r="U137" i="1"/>
  <c r="T137" i="1"/>
  <c r="S137" i="1"/>
  <c r="AC136" i="1"/>
  <c r="AB136" i="1"/>
  <c r="AA136" i="1"/>
  <c r="Z136" i="1"/>
  <c r="Y136" i="1"/>
  <c r="X136" i="1"/>
  <c r="W136" i="1"/>
  <c r="V136" i="1"/>
  <c r="U136" i="1"/>
  <c r="T136" i="1"/>
  <c r="S136" i="1"/>
  <c r="AC135" i="1"/>
  <c r="AB135" i="1"/>
  <c r="AA135" i="1"/>
  <c r="Z135" i="1"/>
  <c r="Y135" i="1"/>
  <c r="X135" i="1"/>
  <c r="W135" i="1"/>
  <c r="V135" i="1"/>
  <c r="U135" i="1"/>
  <c r="T135" i="1"/>
  <c r="S135" i="1"/>
  <c r="AC134" i="1"/>
  <c r="AB134" i="1"/>
  <c r="AA134" i="1"/>
  <c r="Z134" i="1"/>
  <c r="Y134" i="1"/>
  <c r="X134" i="1"/>
  <c r="W134" i="1"/>
  <c r="V134" i="1"/>
  <c r="U134" i="1"/>
  <c r="T134" i="1"/>
  <c r="S134" i="1"/>
  <c r="AC133" i="1"/>
  <c r="AB133" i="1"/>
  <c r="AA133" i="1"/>
  <c r="Z133" i="1"/>
  <c r="Y133" i="1"/>
  <c r="X133" i="1"/>
  <c r="W133" i="1"/>
  <c r="V133" i="1"/>
  <c r="U133" i="1"/>
  <c r="T133" i="1"/>
  <c r="S133" i="1"/>
  <c r="AC132" i="1"/>
  <c r="AB132" i="1"/>
  <c r="AA132" i="1"/>
  <c r="Z132" i="1"/>
  <c r="Y132" i="1"/>
  <c r="X132" i="1"/>
  <c r="W132" i="1"/>
  <c r="V132" i="1"/>
  <c r="U132" i="1"/>
  <c r="T132" i="1"/>
  <c r="S132" i="1"/>
  <c r="AC131" i="1"/>
  <c r="AB131" i="1"/>
  <c r="AA131" i="1"/>
  <c r="Z131" i="1"/>
  <c r="Y131" i="1"/>
  <c r="X131" i="1"/>
  <c r="W131" i="1"/>
  <c r="V131" i="1"/>
  <c r="U131" i="1"/>
  <c r="T131" i="1"/>
  <c r="S131" i="1"/>
  <c r="AC130" i="1"/>
  <c r="AB130" i="1"/>
  <c r="AA130" i="1"/>
  <c r="Z130" i="1"/>
  <c r="Y130" i="1"/>
  <c r="X130" i="1"/>
  <c r="W130" i="1"/>
  <c r="V130" i="1"/>
  <c r="U130" i="1"/>
  <c r="T130" i="1"/>
  <c r="S130" i="1"/>
  <c r="AC127" i="1"/>
  <c r="AB127" i="1"/>
  <c r="AA127" i="1"/>
  <c r="Z127" i="1"/>
  <c r="Y127" i="1"/>
  <c r="X127" i="1"/>
  <c r="W127" i="1"/>
  <c r="V127" i="1"/>
  <c r="U127" i="1"/>
  <c r="T127" i="1"/>
  <c r="S127" i="1"/>
  <c r="AC126" i="1"/>
  <c r="AB126" i="1"/>
  <c r="AA126" i="1"/>
  <c r="Z126" i="1"/>
  <c r="Y126" i="1"/>
  <c r="X126" i="1"/>
  <c r="W126" i="1"/>
  <c r="V126" i="1"/>
  <c r="U126" i="1"/>
  <c r="T126" i="1"/>
  <c r="S126" i="1"/>
  <c r="AC125" i="1"/>
  <c r="AB125" i="1"/>
  <c r="AA125" i="1"/>
  <c r="Z125" i="1"/>
  <c r="Y125" i="1"/>
  <c r="X125" i="1"/>
  <c r="W125" i="1"/>
  <c r="V125" i="1"/>
  <c r="U125" i="1"/>
  <c r="T125" i="1"/>
  <c r="S125" i="1"/>
  <c r="AC124" i="1"/>
  <c r="AB124" i="1"/>
  <c r="AA124" i="1"/>
  <c r="Z124" i="1"/>
  <c r="Y124" i="1"/>
  <c r="X124" i="1"/>
  <c r="W124" i="1"/>
  <c r="V124" i="1"/>
  <c r="U124" i="1"/>
  <c r="T124" i="1"/>
  <c r="S124" i="1"/>
  <c r="AC123" i="1"/>
  <c r="AB123" i="1"/>
  <c r="AA123" i="1"/>
  <c r="Z123" i="1"/>
  <c r="Y123" i="1"/>
  <c r="X123" i="1"/>
  <c r="W123" i="1"/>
  <c r="V123" i="1"/>
  <c r="U123" i="1"/>
  <c r="T123" i="1"/>
  <c r="S123" i="1"/>
  <c r="AC122" i="1"/>
  <c r="AB122" i="1"/>
  <c r="AA122" i="1"/>
  <c r="Z122" i="1"/>
  <c r="Y122" i="1"/>
  <c r="X122" i="1"/>
  <c r="W122" i="1"/>
  <c r="V122" i="1"/>
  <c r="U122" i="1"/>
  <c r="T122" i="1"/>
  <c r="S122" i="1"/>
  <c r="AC121" i="1"/>
  <c r="AB121" i="1"/>
  <c r="AA121" i="1"/>
  <c r="Z121" i="1"/>
  <c r="Y121" i="1"/>
  <c r="X121" i="1"/>
  <c r="W121" i="1"/>
  <c r="V121" i="1"/>
  <c r="U121" i="1"/>
  <c r="T121" i="1"/>
  <c r="S121" i="1"/>
  <c r="AC120" i="1"/>
  <c r="AB120" i="1"/>
  <c r="AA120" i="1"/>
  <c r="Z120" i="1"/>
  <c r="Y120" i="1"/>
  <c r="X120" i="1"/>
  <c r="W120" i="1"/>
  <c r="V120" i="1"/>
  <c r="U120" i="1"/>
  <c r="T120" i="1"/>
  <c r="S120" i="1"/>
  <c r="AC119" i="1"/>
  <c r="AB119" i="1"/>
  <c r="AA119" i="1"/>
  <c r="Z119" i="1"/>
  <c r="Y119" i="1"/>
  <c r="X119" i="1"/>
  <c r="W119" i="1"/>
  <c r="V119" i="1"/>
  <c r="U119" i="1"/>
  <c r="T119" i="1"/>
  <c r="S119" i="1"/>
  <c r="AC118" i="1"/>
  <c r="AB118" i="1"/>
  <c r="AA118" i="1"/>
  <c r="Z118" i="1"/>
  <c r="Y118" i="1"/>
  <c r="X118" i="1"/>
  <c r="W118" i="1"/>
  <c r="V118" i="1"/>
  <c r="U118" i="1"/>
  <c r="T118" i="1"/>
  <c r="S118" i="1"/>
  <c r="AC117" i="1"/>
  <c r="AB117" i="1"/>
  <c r="AA117" i="1"/>
  <c r="Z117" i="1"/>
  <c r="Y117" i="1"/>
  <c r="X117" i="1"/>
  <c r="W117" i="1"/>
  <c r="V117" i="1"/>
  <c r="U117" i="1"/>
  <c r="T117" i="1"/>
  <c r="S117" i="1"/>
  <c r="AC114" i="1"/>
  <c r="AB114" i="1"/>
  <c r="AA114" i="1"/>
  <c r="Z114" i="1"/>
  <c r="Y114" i="1"/>
  <c r="X114" i="1"/>
  <c r="W114" i="1"/>
  <c r="V114" i="1"/>
  <c r="U114" i="1"/>
  <c r="T114" i="1"/>
  <c r="S114" i="1"/>
  <c r="AC113" i="1"/>
  <c r="AB113" i="1"/>
  <c r="AA113" i="1"/>
  <c r="Z113" i="1"/>
  <c r="Y113" i="1"/>
  <c r="X113" i="1"/>
  <c r="W113" i="1"/>
  <c r="V113" i="1"/>
  <c r="U113" i="1"/>
  <c r="T113" i="1"/>
  <c r="S113" i="1"/>
  <c r="AC112" i="1"/>
  <c r="AB112" i="1"/>
  <c r="AA112" i="1"/>
  <c r="Z112" i="1"/>
  <c r="Y112" i="1"/>
  <c r="X112" i="1"/>
  <c r="W112" i="1"/>
  <c r="V112" i="1"/>
  <c r="U112" i="1"/>
  <c r="T112" i="1"/>
  <c r="S112" i="1"/>
  <c r="AC111" i="1"/>
  <c r="AB111" i="1"/>
  <c r="AA111" i="1"/>
  <c r="Z111" i="1"/>
  <c r="Y111" i="1"/>
  <c r="X111" i="1"/>
  <c r="W111" i="1"/>
  <c r="V111" i="1"/>
  <c r="U111" i="1"/>
  <c r="T111" i="1"/>
  <c r="S111" i="1"/>
  <c r="AC110" i="1"/>
  <c r="AB110" i="1"/>
  <c r="AA110" i="1"/>
  <c r="Z110" i="1"/>
  <c r="Y110" i="1"/>
  <c r="X110" i="1"/>
  <c r="W110" i="1"/>
  <c r="V110" i="1"/>
  <c r="U110" i="1"/>
  <c r="T110" i="1"/>
  <c r="S110" i="1"/>
  <c r="AC109" i="1"/>
  <c r="AB109" i="1"/>
  <c r="AA109" i="1"/>
  <c r="Z109" i="1"/>
  <c r="Y109" i="1"/>
  <c r="X109" i="1"/>
  <c r="W109" i="1"/>
  <c r="V109" i="1"/>
  <c r="U109" i="1"/>
  <c r="T109" i="1"/>
  <c r="S109" i="1"/>
  <c r="AC108" i="1"/>
  <c r="AB108" i="1"/>
  <c r="AA108" i="1"/>
  <c r="Z108" i="1"/>
  <c r="Y108" i="1"/>
  <c r="X108" i="1"/>
  <c r="W108" i="1"/>
  <c r="V108" i="1"/>
  <c r="U108" i="1"/>
  <c r="T108" i="1"/>
  <c r="S108" i="1"/>
  <c r="AC107" i="1"/>
  <c r="AB107" i="1"/>
  <c r="AA107" i="1"/>
  <c r="Z107" i="1"/>
  <c r="Y107" i="1"/>
  <c r="X107" i="1"/>
  <c r="W107" i="1"/>
  <c r="V107" i="1"/>
  <c r="U107" i="1"/>
  <c r="T107" i="1"/>
  <c r="S107" i="1"/>
  <c r="AC106" i="1"/>
  <c r="AB106" i="1"/>
  <c r="AA106" i="1"/>
  <c r="Z106" i="1"/>
  <c r="Y106" i="1"/>
  <c r="X106" i="1"/>
  <c r="W106" i="1"/>
  <c r="V106" i="1"/>
  <c r="U106" i="1"/>
  <c r="T106" i="1"/>
  <c r="S106" i="1"/>
  <c r="AC105" i="1"/>
  <c r="AB105" i="1"/>
  <c r="AA105" i="1"/>
  <c r="Z105" i="1"/>
  <c r="Y105" i="1"/>
  <c r="X105" i="1"/>
  <c r="W105" i="1"/>
  <c r="V105" i="1"/>
  <c r="U105" i="1"/>
  <c r="T105" i="1"/>
  <c r="S105" i="1"/>
  <c r="AC104" i="1"/>
  <c r="AB104" i="1"/>
  <c r="AA104" i="1"/>
  <c r="Z104" i="1"/>
  <c r="Y104" i="1"/>
  <c r="X104" i="1"/>
  <c r="W104" i="1"/>
  <c r="V104" i="1"/>
  <c r="U104" i="1"/>
  <c r="T104" i="1"/>
  <c r="S104" i="1"/>
  <c r="FD21" i="10"/>
  <c r="FC21" i="10"/>
  <c r="FB21" i="10"/>
  <c r="FA21" i="10"/>
  <c r="EZ21" i="10"/>
  <c r="EY21" i="10"/>
  <c r="EX21" i="10"/>
  <c r="EW21" i="10"/>
  <c r="EV21" i="10"/>
  <c r="EU21" i="10"/>
  <c r="ET21" i="10"/>
  <c r="ES21" i="10"/>
  <c r="ER21" i="10"/>
  <c r="EQ21" i="10"/>
  <c r="EP21" i="10"/>
  <c r="EO21" i="10"/>
  <c r="EN21" i="10"/>
  <c r="EM21" i="10"/>
  <c r="EL21" i="10"/>
  <c r="EK21" i="10"/>
  <c r="EJ21" i="10"/>
  <c r="EI21" i="10"/>
  <c r="EH21" i="10"/>
  <c r="EG21" i="10"/>
  <c r="EF21" i="10"/>
  <c r="EE21" i="10"/>
  <c r="ED21" i="10"/>
  <c r="EC21" i="10"/>
  <c r="EB21" i="10"/>
  <c r="EA21" i="10"/>
  <c r="DZ21" i="10"/>
  <c r="DY21" i="10"/>
  <c r="DX21" i="10"/>
  <c r="DW21" i="10"/>
  <c r="DV21" i="10"/>
  <c r="DU21" i="10"/>
  <c r="DT21" i="10"/>
  <c r="DS21" i="10"/>
  <c r="DR21" i="10"/>
  <c r="DQ21" i="10"/>
  <c r="DP21" i="10"/>
  <c r="DO21" i="10"/>
  <c r="DN21" i="10"/>
  <c r="DM21" i="10"/>
  <c r="DL21" i="10"/>
  <c r="DK21" i="10"/>
  <c r="DJ21" i="10"/>
  <c r="DI21" i="10"/>
  <c r="DH21" i="10"/>
  <c r="DG21" i="10"/>
  <c r="DF21" i="10"/>
  <c r="DE21" i="10"/>
  <c r="DD21" i="10"/>
  <c r="DC21" i="10"/>
  <c r="DB21" i="10"/>
  <c r="DA21" i="10"/>
  <c r="CZ21" i="10"/>
  <c r="CY21" i="10"/>
  <c r="CX21" i="10"/>
  <c r="CW21" i="10"/>
  <c r="CV21" i="10"/>
  <c r="CU21" i="10"/>
  <c r="CT21" i="10"/>
  <c r="CS21" i="10"/>
  <c r="CR21" i="10"/>
  <c r="CQ21" i="10"/>
  <c r="CP21" i="10"/>
  <c r="CO21" i="10"/>
  <c r="CN21" i="10"/>
  <c r="CM21" i="10"/>
  <c r="CL21" i="10"/>
  <c r="CK21" i="10"/>
  <c r="CJ21" i="10"/>
  <c r="CI21" i="10"/>
  <c r="CH21" i="10"/>
  <c r="CG21" i="10"/>
  <c r="CF21" i="10"/>
  <c r="CE21" i="10"/>
  <c r="CD21" i="10"/>
  <c r="CC21" i="10"/>
  <c r="CB21" i="10"/>
  <c r="CA21" i="10"/>
  <c r="BZ21" i="10"/>
  <c r="BY21" i="10"/>
  <c r="BX21" i="10"/>
  <c r="BW21" i="10"/>
  <c r="BV21" i="10"/>
  <c r="BU21" i="10"/>
  <c r="BT21" i="10"/>
  <c r="BS21" i="10"/>
  <c r="BR21" i="10"/>
  <c r="BQ21" i="10"/>
  <c r="BP21" i="10"/>
  <c r="BO21" i="10"/>
  <c r="BN21" i="10"/>
  <c r="BM21" i="10"/>
  <c r="BL21" i="10"/>
  <c r="BK21" i="10"/>
  <c r="BJ21" i="10"/>
  <c r="BI21" i="10"/>
  <c r="BH21" i="10"/>
  <c r="BG21" i="10"/>
  <c r="BF21" i="10"/>
  <c r="BE21" i="10"/>
  <c r="BD21" i="10"/>
  <c r="BC21" i="10"/>
  <c r="BB21" i="10"/>
  <c r="BA21" i="10"/>
  <c r="AZ21" i="10"/>
  <c r="AY21" i="10"/>
  <c r="AX21" i="10"/>
  <c r="AW21" i="10"/>
  <c r="AV21" i="10"/>
  <c r="AU21" i="10"/>
  <c r="AT21" i="10"/>
  <c r="AS21" i="10"/>
  <c r="AR21" i="10"/>
  <c r="AQ21" i="10"/>
  <c r="AP21" i="10"/>
  <c r="AO21" i="10"/>
  <c r="AN21" i="10"/>
  <c r="AM21" i="10"/>
  <c r="AL21" i="10"/>
  <c r="AK21" i="10"/>
  <c r="AJ21" i="10"/>
  <c r="AI21" i="10"/>
  <c r="AH21" i="10"/>
  <c r="AG21" i="10"/>
  <c r="AF21" i="10"/>
  <c r="AE21" i="10"/>
  <c r="AD21" i="10"/>
  <c r="AC21" i="10"/>
  <c r="AB21" i="10"/>
  <c r="AA21" i="10"/>
  <c r="Z21" i="10"/>
  <c r="Y21" i="10"/>
  <c r="X21" i="10"/>
  <c r="W21" i="10"/>
  <c r="V21" i="10"/>
  <c r="U21" i="10"/>
  <c r="T21" i="10"/>
  <c r="S21" i="10"/>
  <c r="R21" i="10"/>
  <c r="Q21" i="10"/>
  <c r="P21" i="10"/>
  <c r="O21" i="10"/>
  <c r="N21" i="10"/>
  <c r="M21" i="10"/>
  <c r="L21" i="10"/>
  <c r="K21" i="10"/>
  <c r="J21" i="10"/>
  <c r="I21" i="10"/>
  <c r="H21" i="10"/>
  <c r="G21" i="10"/>
  <c r="AC99" i="1"/>
  <c r="AB99" i="1"/>
  <c r="AA99" i="1"/>
  <c r="Z99" i="1"/>
  <c r="Y99" i="1"/>
  <c r="X99" i="1"/>
  <c r="W99" i="1"/>
  <c r="V99" i="1"/>
  <c r="U99" i="1"/>
  <c r="T99" i="1"/>
  <c r="S99" i="1"/>
  <c r="AC98" i="1"/>
  <c r="AB98" i="1"/>
  <c r="AA98" i="1"/>
  <c r="Z98" i="1"/>
  <c r="Y98" i="1"/>
  <c r="X98" i="1"/>
  <c r="W98" i="1"/>
  <c r="V98" i="1"/>
  <c r="U98" i="1"/>
  <c r="T98" i="1"/>
  <c r="S98" i="1"/>
  <c r="AC97" i="1"/>
  <c r="AB97" i="1"/>
  <c r="AA97" i="1"/>
  <c r="Z97" i="1"/>
  <c r="Y97" i="1"/>
  <c r="X97" i="1"/>
  <c r="W97" i="1"/>
  <c r="V97" i="1"/>
  <c r="U97" i="1"/>
  <c r="T97" i="1"/>
  <c r="S97" i="1"/>
  <c r="AC94" i="1"/>
  <c r="AB94" i="1"/>
  <c r="AA94" i="1"/>
  <c r="Z94" i="1"/>
  <c r="Y94" i="1"/>
  <c r="X94" i="1"/>
  <c r="W94" i="1"/>
  <c r="V94" i="1"/>
  <c r="U94" i="1"/>
  <c r="T94" i="1"/>
  <c r="S94" i="1"/>
  <c r="AC93" i="1"/>
  <c r="AB93" i="1"/>
  <c r="AA93" i="1"/>
  <c r="Z93" i="1"/>
  <c r="Y93" i="1"/>
  <c r="X93" i="1"/>
  <c r="W93" i="1"/>
  <c r="V93" i="1"/>
  <c r="U93" i="1"/>
  <c r="T93" i="1"/>
  <c r="S93" i="1"/>
  <c r="AC92" i="1"/>
  <c r="AB92" i="1"/>
  <c r="AA92" i="1"/>
  <c r="Z92" i="1"/>
  <c r="Y92" i="1"/>
  <c r="X92" i="1"/>
  <c r="W92" i="1"/>
  <c r="V92" i="1"/>
  <c r="U92" i="1"/>
  <c r="T92" i="1"/>
  <c r="S92" i="1"/>
  <c r="FD20" i="10"/>
  <c r="FC20" i="10"/>
  <c r="FB20" i="10"/>
  <c r="FA20" i="10"/>
  <c r="EZ20" i="10"/>
  <c r="EY20" i="10"/>
  <c r="EX20" i="10"/>
  <c r="EW20" i="10"/>
  <c r="EV20" i="10"/>
  <c r="EU20" i="10"/>
  <c r="ET20" i="10"/>
  <c r="ES20" i="10"/>
  <c r="ER20" i="10"/>
  <c r="EQ20" i="10"/>
  <c r="EP20" i="10"/>
  <c r="EO20" i="10"/>
  <c r="EN20" i="10"/>
  <c r="EM20" i="10"/>
  <c r="EL20" i="10"/>
  <c r="EK20" i="10"/>
  <c r="EJ20" i="10"/>
  <c r="EI20" i="10"/>
  <c r="EH20" i="10"/>
  <c r="EG20" i="10"/>
  <c r="EF20" i="10"/>
  <c r="EE20" i="10"/>
  <c r="ED20" i="10"/>
  <c r="EC20" i="10"/>
  <c r="EB20" i="10"/>
  <c r="EA20" i="10"/>
  <c r="DZ20" i="10"/>
  <c r="DY20" i="10"/>
  <c r="DX20" i="10"/>
  <c r="DW20" i="10"/>
  <c r="DV20" i="10"/>
  <c r="DU20" i="10"/>
  <c r="DT20" i="10"/>
  <c r="DS20" i="10"/>
  <c r="DR20" i="10"/>
  <c r="DQ20" i="10"/>
  <c r="DP20" i="10"/>
  <c r="DO20" i="10"/>
  <c r="DN20" i="10"/>
  <c r="DM20" i="10"/>
  <c r="DL20" i="10"/>
  <c r="DK20" i="10"/>
  <c r="DJ20" i="10"/>
  <c r="DI20" i="10"/>
  <c r="DH20" i="10"/>
  <c r="DG20" i="10"/>
  <c r="DF20" i="10"/>
  <c r="DE20" i="10"/>
  <c r="DD20" i="10"/>
  <c r="DC20" i="10"/>
  <c r="DB20" i="10"/>
  <c r="DA20" i="10"/>
  <c r="CZ20" i="10"/>
  <c r="CY20" i="10"/>
  <c r="CX20" i="10"/>
  <c r="CW20" i="10"/>
  <c r="CV20" i="10"/>
  <c r="CU20" i="10"/>
  <c r="CT20" i="10"/>
  <c r="CS20" i="10"/>
  <c r="CR20" i="10"/>
  <c r="CQ20" i="10"/>
  <c r="CP20" i="10"/>
  <c r="CO20" i="10"/>
  <c r="CN20" i="10"/>
  <c r="CM20" i="10"/>
  <c r="CL20" i="10"/>
  <c r="CK20" i="10"/>
  <c r="CJ20" i="10"/>
  <c r="CI20" i="10"/>
  <c r="CH20" i="10"/>
  <c r="CG20" i="10"/>
  <c r="CF20" i="10"/>
  <c r="CE20" i="10"/>
  <c r="CD20" i="10"/>
  <c r="CC20" i="10"/>
  <c r="CB20" i="10"/>
  <c r="CA20" i="10"/>
  <c r="BZ20" i="10"/>
  <c r="BY20" i="10"/>
  <c r="BX20" i="10"/>
  <c r="BW20" i="10"/>
  <c r="BV20" i="10"/>
  <c r="BU20" i="10"/>
  <c r="BT20" i="10"/>
  <c r="BS20" i="10"/>
  <c r="BR20" i="10"/>
  <c r="BQ20" i="10"/>
  <c r="BP20" i="10"/>
  <c r="BO20" i="10"/>
  <c r="BN20" i="10"/>
  <c r="BM20" i="10"/>
  <c r="BL20" i="10"/>
  <c r="BK20" i="10"/>
  <c r="BJ20" i="10"/>
  <c r="BI20" i="10"/>
  <c r="BH20" i="10"/>
  <c r="BG20" i="10"/>
  <c r="BF20" i="10"/>
  <c r="BE20" i="10"/>
  <c r="BD20" i="10"/>
  <c r="BC20" i="10"/>
  <c r="BB20" i="10"/>
  <c r="BA20" i="10"/>
  <c r="AZ20" i="10"/>
  <c r="AY20" i="10"/>
  <c r="AX20" i="10"/>
  <c r="AW20" i="10"/>
  <c r="AV20" i="10"/>
  <c r="AU20" i="10"/>
  <c r="AT20" i="10"/>
  <c r="AS20" i="10"/>
  <c r="AR20" i="10"/>
  <c r="AQ20" i="10"/>
  <c r="AP20" i="10"/>
  <c r="AO20" i="10"/>
  <c r="AN20" i="10"/>
  <c r="AM20" i="10"/>
  <c r="AL20" i="10"/>
  <c r="AK20" i="10"/>
  <c r="AJ20" i="10"/>
  <c r="AI20" i="10"/>
  <c r="AH20" i="10"/>
  <c r="AG20" i="10"/>
  <c r="AF20" i="10"/>
  <c r="AE20" i="10"/>
  <c r="AD20" i="10"/>
  <c r="AC20" i="10"/>
  <c r="AB20" i="10"/>
  <c r="AA20" i="10"/>
  <c r="Z20" i="10"/>
  <c r="Y20" i="10"/>
  <c r="X20" i="10"/>
  <c r="W20" i="10"/>
  <c r="V20" i="10"/>
  <c r="U20" i="10"/>
  <c r="T20" i="10"/>
  <c r="S20" i="10"/>
  <c r="R20" i="10"/>
  <c r="Q20" i="10"/>
  <c r="P20" i="10"/>
  <c r="O20" i="10"/>
  <c r="N20" i="10"/>
  <c r="M20" i="10"/>
  <c r="L20" i="10"/>
  <c r="K20" i="10"/>
  <c r="J20" i="10"/>
  <c r="I20" i="10"/>
  <c r="H20" i="10"/>
  <c r="G20" i="10"/>
  <c r="H7" i="10"/>
  <c r="EW18" i="10"/>
  <c r="EO18" i="10"/>
  <c r="EG18" i="10"/>
  <c r="DY18" i="10"/>
  <c r="DQ18" i="10"/>
  <c r="DI18" i="10"/>
  <c r="DA18" i="10"/>
  <c r="CS18" i="10"/>
  <c r="CK18" i="10"/>
  <c r="CC18" i="10"/>
  <c r="BU18" i="10"/>
  <c r="BM18" i="10"/>
  <c r="BE18" i="10"/>
  <c r="AW18" i="10"/>
  <c r="AO18" i="10"/>
  <c r="AG18" i="10"/>
  <c r="Y18" i="10"/>
  <c r="Q18" i="10"/>
  <c r="I18" i="10"/>
  <c r="FD17" i="10"/>
  <c r="FC17" i="10"/>
  <c r="FB17" i="10"/>
  <c r="FA17" i="10"/>
  <c r="EZ17" i="10"/>
  <c r="EY17" i="10"/>
  <c r="EX17" i="10"/>
  <c r="EW17" i="10"/>
  <c r="EV17" i="10"/>
  <c r="EU17" i="10"/>
  <c r="ET17" i="10"/>
  <c r="ES17" i="10"/>
  <c r="ER17" i="10"/>
  <c r="EQ17" i="10"/>
  <c r="EP17" i="10"/>
  <c r="EO17" i="10"/>
  <c r="EN17" i="10"/>
  <c r="EM17" i="10"/>
  <c r="EL17" i="10"/>
  <c r="EK17" i="10"/>
  <c r="EJ17" i="10"/>
  <c r="EI17" i="10"/>
  <c r="EH17" i="10"/>
  <c r="EG17" i="10"/>
  <c r="EF17" i="10"/>
  <c r="EE17" i="10"/>
  <c r="ED17" i="10"/>
  <c r="EC17" i="10"/>
  <c r="EB17" i="10"/>
  <c r="EA17" i="10"/>
  <c r="DZ17" i="10"/>
  <c r="DY17" i="10"/>
  <c r="DX17" i="10"/>
  <c r="DW17" i="10"/>
  <c r="DV17" i="10"/>
  <c r="DU17" i="10"/>
  <c r="DT17" i="10"/>
  <c r="DS17" i="10"/>
  <c r="DR17" i="10"/>
  <c r="DQ17" i="10"/>
  <c r="DP17" i="10"/>
  <c r="DO17" i="10"/>
  <c r="DN17" i="10"/>
  <c r="DM17" i="10"/>
  <c r="DL17" i="10"/>
  <c r="DK17" i="10"/>
  <c r="DJ17" i="10"/>
  <c r="DI17" i="10"/>
  <c r="DH17" i="10"/>
  <c r="DG17" i="10"/>
  <c r="DF17" i="10"/>
  <c r="DE17" i="10"/>
  <c r="DD17" i="10"/>
  <c r="DC17" i="10"/>
  <c r="DB17" i="10"/>
  <c r="DA17" i="10"/>
  <c r="CZ17" i="10"/>
  <c r="CY17" i="10"/>
  <c r="CX17" i="10"/>
  <c r="CW17" i="10"/>
  <c r="CV17" i="10"/>
  <c r="CU17" i="10"/>
  <c r="CT17" i="10"/>
  <c r="CS17" i="10"/>
  <c r="CR17" i="10"/>
  <c r="CQ17" i="10"/>
  <c r="CP17" i="10"/>
  <c r="CO17" i="10"/>
  <c r="CN17" i="10"/>
  <c r="CM17" i="10"/>
  <c r="CL17" i="10"/>
  <c r="CK17" i="10"/>
  <c r="CJ17" i="10"/>
  <c r="CI17" i="10"/>
  <c r="CH17" i="10"/>
  <c r="CG17" i="10"/>
  <c r="CF17" i="10"/>
  <c r="CE17" i="10"/>
  <c r="CD17" i="10"/>
  <c r="CC17" i="10"/>
  <c r="CB17" i="10"/>
  <c r="CA17" i="10"/>
  <c r="BZ17" i="10"/>
  <c r="BY17" i="10"/>
  <c r="BX17" i="10"/>
  <c r="BW17" i="10"/>
  <c r="BV17" i="10"/>
  <c r="BU17" i="10"/>
  <c r="BT17" i="10"/>
  <c r="BS17" i="10"/>
  <c r="BR17" i="10"/>
  <c r="BQ17" i="10"/>
  <c r="BP17" i="10"/>
  <c r="BO17" i="10"/>
  <c r="BN17" i="10"/>
  <c r="BM17" i="10"/>
  <c r="BL17" i="10"/>
  <c r="BK17" i="10"/>
  <c r="BJ17" i="10"/>
  <c r="BI17" i="10"/>
  <c r="BH17" i="10"/>
  <c r="BG17" i="10"/>
  <c r="BF17" i="10"/>
  <c r="BE17" i="10"/>
  <c r="BD17" i="10"/>
  <c r="BC17" i="10"/>
  <c r="BB17" i="10"/>
  <c r="BA17" i="10"/>
  <c r="AZ17" i="10"/>
  <c r="AY17" i="10"/>
  <c r="AX17" i="10"/>
  <c r="AW17" i="10"/>
  <c r="AV17" i="10"/>
  <c r="AU17" i="10"/>
  <c r="AT17" i="10"/>
  <c r="AS17" i="10"/>
  <c r="AR17" i="10"/>
  <c r="AQ17" i="10"/>
  <c r="AP17" i="10"/>
  <c r="AO17" i="10"/>
  <c r="AN17" i="10"/>
  <c r="AM17" i="10"/>
  <c r="AL17" i="10"/>
  <c r="AK17" i="10"/>
  <c r="AJ17" i="10"/>
  <c r="AI17" i="10"/>
  <c r="AH17" i="10"/>
  <c r="AG17" i="10"/>
  <c r="AF17" i="10"/>
  <c r="AE17" i="10"/>
  <c r="AD17" i="10"/>
  <c r="AC17" i="10"/>
  <c r="AB17" i="10"/>
  <c r="AA17" i="10"/>
  <c r="Z17" i="10"/>
  <c r="Y17" i="10"/>
  <c r="X17" i="10"/>
  <c r="W17" i="10"/>
  <c r="V17" i="10"/>
  <c r="U17" i="10"/>
  <c r="T17" i="10"/>
  <c r="S17" i="10"/>
  <c r="R17" i="10"/>
  <c r="Q17" i="10"/>
  <c r="P17" i="10"/>
  <c r="O17" i="10"/>
  <c r="N17" i="10"/>
  <c r="M17" i="10"/>
  <c r="L17" i="10"/>
  <c r="K17" i="10"/>
  <c r="J17" i="10"/>
  <c r="I17" i="10"/>
  <c r="H17" i="10"/>
  <c r="FD16" i="10"/>
  <c r="FC16" i="10"/>
  <c r="FB16" i="10"/>
  <c r="FA16" i="10"/>
  <c r="EZ16" i="10"/>
  <c r="EY16" i="10"/>
  <c r="EY18" i="10" s="1"/>
  <c r="EX16" i="10"/>
  <c r="EW16" i="10"/>
  <c r="EV16" i="10"/>
  <c r="EU16" i="10"/>
  <c r="ET16" i="10"/>
  <c r="ES16" i="10"/>
  <c r="ER16" i="10"/>
  <c r="EQ16" i="10"/>
  <c r="EQ18" i="10" s="1"/>
  <c r="EP16" i="10"/>
  <c r="EO16" i="10"/>
  <c r="EN16" i="10"/>
  <c r="EM16" i="10"/>
  <c r="EL16" i="10"/>
  <c r="EK16" i="10"/>
  <c r="EJ16" i="10"/>
  <c r="EI16" i="10"/>
  <c r="EI18" i="10" s="1"/>
  <c r="EH16" i="10"/>
  <c r="EG16" i="10"/>
  <c r="EF16" i="10"/>
  <c r="EE16" i="10"/>
  <c r="ED16" i="10"/>
  <c r="EC16" i="10"/>
  <c r="EB16" i="10"/>
  <c r="EA16" i="10"/>
  <c r="EA18" i="10" s="1"/>
  <c r="DZ16" i="10"/>
  <c r="DY16" i="10"/>
  <c r="DX16" i="10"/>
  <c r="DW16" i="10"/>
  <c r="DV16" i="10"/>
  <c r="DU16" i="10"/>
  <c r="DT16" i="10"/>
  <c r="DS16" i="10"/>
  <c r="DS18" i="10" s="1"/>
  <c r="DR16" i="10"/>
  <c r="DQ16" i="10"/>
  <c r="DP16" i="10"/>
  <c r="DO16" i="10"/>
  <c r="DN16" i="10"/>
  <c r="DM16" i="10"/>
  <c r="DL16" i="10"/>
  <c r="DK16" i="10"/>
  <c r="DK18" i="10" s="1"/>
  <c r="DJ16" i="10"/>
  <c r="DI16" i="10"/>
  <c r="DH16" i="10"/>
  <c r="DG16" i="10"/>
  <c r="DF16" i="10"/>
  <c r="DE16" i="10"/>
  <c r="DD16" i="10"/>
  <c r="DC16" i="10"/>
  <c r="DC18" i="10" s="1"/>
  <c r="DB16" i="10"/>
  <c r="DA16" i="10"/>
  <c r="CZ16" i="10"/>
  <c r="CY16" i="10"/>
  <c r="CX16" i="10"/>
  <c r="CW16" i="10"/>
  <c r="CV16" i="10"/>
  <c r="CU16" i="10"/>
  <c r="CU18" i="10" s="1"/>
  <c r="CT16" i="10"/>
  <c r="CS16" i="10"/>
  <c r="CR16" i="10"/>
  <c r="CQ16" i="10"/>
  <c r="CP16" i="10"/>
  <c r="CO16" i="10"/>
  <c r="CN16" i="10"/>
  <c r="CM16" i="10"/>
  <c r="CM18" i="10" s="1"/>
  <c r="CL16" i="10"/>
  <c r="CK16" i="10"/>
  <c r="CJ16" i="10"/>
  <c r="CI16" i="10"/>
  <c r="CH16" i="10"/>
  <c r="CG16" i="10"/>
  <c r="CF16" i="10"/>
  <c r="CE16" i="10"/>
  <c r="CE18" i="10" s="1"/>
  <c r="CD16" i="10"/>
  <c r="CC16" i="10"/>
  <c r="CB16" i="10"/>
  <c r="CA16" i="10"/>
  <c r="BZ16" i="10"/>
  <c r="BY16" i="10"/>
  <c r="BX16" i="10"/>
  <c r="BW16" i="10"/>
  <c r="BW18" i="10" s="1"/>
  <c r="BV16" i="10"/>
  <c r="BU16" i="10"/>
  <c r="BT16" i="10"/>
  <c r="BS16" i="10"/>
  <c r="BR16" i="10"/>
  <c r="BQ16" i="10"/>
  <c r="BP16" i="10"/>
  <c r="BO16" i="10"/>
  <c r="BO18" i="10" s="1"/>
  <c r="BN16" i="10"/>
  <c r="BM16" i="10"/>
  <c r="BL16" i="10"/>
  <c r="BK16" i="10"/>
  <c r="BJ16" i="10"/>
  <c r="BI16" i="10"/>
  <c r="BH16" i="10"/>
  <c r="BG16" i="10"/>
  <c r="BG18" i="10" s="1"/>
  <c r="BF16" i="10"/>
  <c r="BE16" i="10"/>
  <c r="BD16" i="10"/>
  <c r="BC16" i="10"/>
  <c r="BB16" i="10"/>
  <c r="BA16" i="10"/>
  <c r="AZ16" i="10"/>
  <c r="AY16" i="10"/>
  <c r="AY18" i="10" s="1"/>
  <c r="AX16" i="10"/>
  <c r="AW16" i="10"/>
  <c r="AV16" i="10"/>
  <c r="AU16" i="10"/>
  <c r="AT16" i="10"/>
  <c r="AS16" i="10"/>
  <c r="AR16" i="10"/>
  <c r="AQ16" i="10"/>
  <c r="AQ18" i="10" s="1"/>
  <c r="AP16" i="10"/>
  <c r="AO16" i="10"/>
  <c r="AN16" i="10"/>
  <c r="AM16" i="10"/>
  <c r="AL16" i="10"/>
  <c r="AK16" i="10"/>
  <c r="AJ16" i="10"/>
  <c r="AI16" i="10"/>
  <c r="AI18" i="10" s="1"/>
  <c r="AH16" i="10"/>
  <c r="AG16" i="10"/>
  <c r="AF16" i="10"/>
  <c r="AE16" i="10"/>
  <c r="AD16" i="10"/>
  <c r="AC16" i="10"/>
  <c r="AB16" i="10"/>
  <c r="AA16" i="10"/>
  <c r="AA18" i="10" s="1"/>
  <c r="Z16" i="10"/>
  <c r="Y16" i="10"/>
  <c r="X16" i="10"/>
  <c r="W16" i="10"/>
  <c r="V16" i="10"/>
  <c r="U16" i="10"/>
  <c r="T16" i="10"/>
  <c r="S16" i="10"/>
  <c r="S18" i="10" s="1"/>
  <c r="R16" i="10"/>
  <c r="Q16" i="10"/>
  <c r="P16" i="10"/>
  <c r="O16" i="10"/>
  <c r="N16" i="10"/>
  <c r="M16" i="10"/>
  <c r="L16" i="10"/>
  <c r="K16" i="10"/>
  <c r="K18" i="10" s="1"/>
  <c r="J16" i="10"/>
  <c r="I16" i="10"/>
  <c r="H16" i="10"/>
  <c r="FD15" i="10"/>
  <c r="FD18" i="10" s="1"/>
  <c r="FC15" i="10"/>
  <c r="FC18" i="10" s="1"/>
  <c r="FB15" i="10"/>
  <c r="FB18" i="10" s="1"/>
  <c r="FA15" i="10"/>
  <c r="FA18" i="10" s="1"/>
  <c r="EZ15" i="10"/>
  <c r="EZ18" i="10" s="1"/>
  <c r="EY15" i="10"/>
  <c r="EX15" i="10"/>
  <c r="EX18" i="10" s="1"/>
  <c r="EW15" i="10"/>
  <c r="EV15" i="10"/>
  <c r="EV18" i="10" s="1"/>
  <c r="EU15" i="10"/>
  <c r="EU18" i="10" s="1"/>
  <c r="ET15" i="10"/>
  <c r="ET18" i="10" s="1"/>
  <c r="ES15" i="10"/>
  <c r="ES18" i="10" s="1"/>
  <c r="ER15" i="10"/>
  <c r="ER18" i="10" s="1"/>
  <c r="EQ15" i="10"/>
  <c r="EP15" i="10"/>
  <c r="EP18" i="10" s="1"/>
  <c r="EO15" i="10"/>
  <c r="EN15" i="10"/>
  <c r="EN18" i="10" s="1"/>
  <c r="EM15" i="10"/>
  <c r="EM18" i="10" s="1"/>
  <c r="EL15" i="10"/>
  <c r="EL18" i="10" s="1"/>
  <c r="EK15" i="10"/>
  <c r="EK18" i="10" s="1"/>
  <c r="EJ15" i="10"/>
  <c r="EJ18" i="10" s="1"/>
  <c r="EI15" i="10"/>
  <c r="EH15" i="10"/>
  <c r="EH18" i="10" s="1"/>
  <c r="EG15" i="10"/>
  <c r="EF15" i="10"/>
  <c r="EF18" i="10" s="1"/>
  <c r="EE15" i="10"/>
  <c r="EE18" i="10" s="1"/>
  <c r="ED15" i="10"/>
  <c r="ED18" i="10" s="1"/>
  <c r="EC15" i="10"/>
  <c r="EC18" i="10" s="1"/>
  <c r="EB15" i="10"/>
  <c r="EB18" i="10" s="1"/>
  <c r="EA15" i="10"/>
  <c r="DZ15" i="10"/>
  <c r="DZ18" i="10" s="1"/>
  <c r="DY15" i="10"/>
  <c r="DX15" i="10"/>
  <c r="DX18" i="10" s="1"/>
  <c r="DW15" i="10"/>
  <c r="DW18" i="10" s="1"/>
  <c r="DV15" i="10"/>
  <c r="DV18" i="10" s="1"/>
  <c r="DU15" i="10"/>
  <c r="DU18" i="10" s="1"/>
  <c r="DT15" i="10"/>
  <c r="DT18" i="10" s="1"/>
  <c r="DS15" i="10"/>
  <c r="DR15" i="10"/>
  <c r="DR18" i="10" s="1"/>
  <c r="DQ15" i="10"/>
  <c r="DP15" i="10"/>
  <c r="DP18" i="10" s="1"/>
  <c r="DO15" i="10"/>
  <c r="DO18" i="10" s="1"/>
  <c r="DN15" i="10"/>
  <c r="DN18" i="10" s="1"/>
  <c r="DM15" i="10"/>
  <c r="DM18" i="10" s="1"/>
  <c r="DL15" i="10"/>
  <c r="DL18" i="10" s="1"/>
  <c r="DK15" i="10"/>
  <c r="DJ15" i="10"/>
  <c r="DJ18" i="10" s="1"/>
  <c r="DI15" i="10"/>
  <c r="DH15" i="10"/>
  <c r="DH18" i="10" s="1"/>
  <c r="DG15" i="10"/>
  <c r="DG18" i="10" s="1"/>
  <c r="DF15" i="10"/>
  <c r="DF18" i="10" s="1"/>
  <c r="DE15" i="10"/>
  <c r="DE18" i="10" s="1"/>
  <c r="DD15" i="10"/>
  <c r="DD18" i="10" s="1"/>
  <c r="DC15" i="10"/>
  <c r="DB15" i="10"/>
  <c r="DB18" i="10" s="1"/>
  <c r="DA15" i="10"/>
  <c r="CZ15" i="10"/>
  <c r="CZ18" i="10" s="1"/>
  <c r="CY15" i="10"/>
  <c r="CY18" i="10" s="1"/>
  <c r="CX15" i="10"/>
  <c r="CX18" i="10" s="1"/>
  <c r="CW15" i="10"/>
  <c r="CW18" i="10" s="1"/>
  <c r="CV15" i="10"/>
  <c r="CV18" i="10" s="1"/>
  <c r="CU15" i="10"/>
  <c r="CT15" i="10"/>
  <c r="CT18" i="10" s="1"/>
  <c r="CS15" i="10"/>
  <c r="CR15" i="10"/>
  <c r="CR18" i="10" s="1"/>
  <c r="CQ15" i="10"/>
  <c r="CQ18" i="10" s="1"/>
  <c r="CP15" i="10"/>
  <c r="CP18" i="10" s="1"/>
  <c r="CO15" i="10"/>
  <c r="CO18" i="10" s="1"/>
  <c r="CN15" i="10"/>
  <c r="CN18" i="10" s="1"/>
  <c r="CM15" i="10"/>
  <c r="CL15" i="10"/>
  <c r="CL18" i="10" s="1"/>
  <c r="CK15" i="10"/>
  <c r="CJ15" i="10"/>
  <c r="CJ18" i="10" s="1"/>
  <c r="CI15" i="10"/>
  <c r="CI18" i="10" s="1"/>
  <c r="CH15" i="10"/>
  <c r="CH18" i="10" s="1"/>
  <c r="CG15" i="10"/>
  <c r="CG18" i="10" s="1"/>
  <c r="CF15" i="10"/>
  <c r="CF18" i="10" s="1"/>
  <c r="CE15" i="10"/>
  <c r="CD15" i="10"/>
  <c r="CD18" i="10" s="1"/>
  <c r="CC15" i="10"/>
  <c r="CB15" i="10"/>
  <c r="CB18" i="10" s="1"/>
  <c r="CA15" i="10"/>
  <c r="CA18" i="10" s="1"/>
  <c r="BZ15" i="10"/>
  <c r="BZ18" i="10" s="1"/>
  <c r="BY15" i="10"/>
  <c r="BY18" i="10" s="1"/>
  <c r="BX15" i="10"/>
  <c r="BX18" i="10" s="1"/>
  <c r="BW15" i="10"/>
  <c r="BV15" i="10"/>
  <c r="BV18" i="10" s="1"/>
  <c r="BU15" i="10"/>
  <c r="BT15" i="10"/>
  <c r="BT18" i="10" s="1"/>
  <c r="BS15" i="10"/>
  <c r="BS18" i="10" s="1"/>
  <c r="BR15" i="10"/>
  <c r="BR18" i="10" s="1"/>
  <c r="BQ15" i="10"/>
  <c r="BQ18" i="10" s="1"/>
  <c r="BP15" i="10"/>
  <c r="BP18" i="10" s="1"/>
  <c r="BO15" i="10"/>
  <c r="BN15" i="10"/>
  <c r="BN18" i="10" s="1"/>
  <c r="BM15" i="10"/>
  <c r="BL15" i="10"/>
  <c r="BL18" i="10" s="1"/>
  <c r="BK15" i="10"/>
  <c r="BK18" i="10" s="1"/>
  <c r="BJ15" i="10"/>
  <c r="BJ18" i="10" s="1"/>
  <c r="BI15" i="10"/>
  <c r="BI18" i="10" s="1"/>
  <c r="BH15" i="10"/>
  <c r="BH18" i="10" s="1"/>
  <c r="BG15" i="10"/>
  <c r="BF15" i="10"/>
  <c r="BF18" i="10" s="1"/>
  <c r="BE15" i="10"/>
  <c r="BD15" i="10"/>
  <c r="BD18" i="10" s="1"/>
  <c r="BC15" i="10"/>
  <c r="BC18" i="10" s="1"/>
  <c r="BB15" i="10"/>
  <c r="BB18" i="10" s="1"/>
  <c r="BA15" i="10"/>
  <c r="BA18" i="10" s="1"/>
  <c r="AZ15" i="10"/>
  <c r="AZ18" i="10" s="1"/>
  <c r="AY15" i="10"/>
  <c r="AX15" i="10"/>
  <c r="AX18" i="10" s="1"/>
  <c r="AW15" i="10"/>
  <c r="AV15" i="10"/>
  <c r="AV18" i="10" s="1"/>
  <c r="AU15" i="10"/>
  <c r="AU18" i="10" s="1"/>
  <c r="AT15" i="10"/>
  <c r="AT18" i="10" s="1"/>
  <c r="AS15" i="10"/>
  <c r="AS18" i="10" s="1"/>
  <c r="AR15" i="10"/>
  <c r="AR18" i="10" s="1"/>
  <c r="AQ15" i="10"/>
  <c r="AP15" i="10"/>
  <c r="AP18" i="10" s="1"/>
  <c r="AO15" i="10"/>
  <c r="AN15" i="10"/>
  <c r="AN18" i="10" s="1"/>
  <c r="AM15" i="10"/>
  <c r="AM18" i="10" s="1"/>
  <c r="AL15" i="10"/>
  <c r="AL18" i="10" s="1"/>
  <c r="AK15" i="10"/>
  <c r="AK18" i="10" s="1"/>
  <c r="AJ15" i="10"/>
  <c r="AJ18" i="10" s="1"/>
  <c r="AI15" i="10"/>
  <c r="AH15" i="10"/>
  <c r="AH18" i="10" s="1"/>
  <c r="AG15" i="10"/>
  <c r="AF15" i="10"/>
  <c r="AF18" i="10" s="1"/>
  <c r="AE15" i="10"/>
  <c r="AE18" i="10" s="1"/>
  <c r="AD15" i="10"/>
  <c r="AD18" i="10" s="1"/>
  <c r="AC15" i="10"/>
  <c r="AC18" i="10" s="1"/>
  <c r="AB15" i="10"/>
  <c r="AB18" i="10" s="1"/>
  <c r="AA15" i="10"/>
  <c r="Z15" i="10"/>
  <c r="Z18" i="10" s="1"/>
  <c r="Y15" i="10"/>
  <c r="X15" i="10"/>
  <c r="X18" i="10" s="1"/>
  <c r="W15" i="10"/>
  <c r="W18" i="10" s="1"/>
  <c r="V15" i="10"/>
  <c r="V18" i="10" s="1"/>
  <c r="U15" i="10"/>
  <c r="U18" i="10" s="1"/>
  <c r="T15" i="10"/>
  <c r="T18" i="10" s="1"/>
  <c r="S15" i="10"/>
  <c r="R15" i="10"/>
  <c r="R18" i="10" s="1"/>
  <c r="Q15" i="10"/>
  <c r="P15" i="10"/>
  <c r="P18" i="10" s="1"/>
  <c r="O15" i="10"/>
  <c r="O18" i="10" s="1"/>
  <c r="N15" i="10"/>
  <c r="N18" i="10" s="1"/>
  <c r="M15" i="10"/>
  <c r="M18" i="10" s="1"/>
  <c r="L15" i="10"/>
  <c r="L18" i="10" s="1"/>
  <c r="K15" i="10"/>
  <c r="J15" i="10"/>
  <c r="J18" i="10" s="1"/>
  <c r="I15" i="10"/>
  <c r="H15" i="10"/>
  <c r="H18" i="10" s="1"/>
  <c r="G18" i="10"/>
  <c r="G17" i="10"/>
  <c r="G16" i="10"/>
  <c r="G15" i="10"/>
  <c r="C17" i="10"/>
  <c r="C16" i="10"/>
  <c r="C15" i="10"/>
  <c r="FD25" i="10"/>
  <c r="FC25" i="10"/>
  <c r="FB25" i="10"/>
  <c r="FA25" i="10"/>
  <c r="EZ25" i="10"/>
  <c r="EY25" i="10"/>
  <c r="EX25" i="10"/>
  <c r="EW25" i="10"/>
  <c r="EV25" i="10"/>
  <c r="EU25" i="10"/>
  <c r="ET25" i="10"/>
  <c r="ES25" i="10"/>
  <c r="ER25" i="10"/>
  <c r="EQ25" i="10"/>
  <c r="EP25" i="10"/>
  <c r="EO25" i="10"/>
  <c r="EN25" i="10"/>
  <c r="EM25" i="10"/>
  <c r="EL25" i="10"/>
  <c r="EK25" i="10"/>
  <c r="EJ25" i="10"/>
  <c r="EI25" i="10"/>
  <c r="EH25" i="10"/>
  <c r="EG25" i="10"/>
  <c r="EF25" i="10"/>
  <c r="EE25" i="10"/>
  <c r="ED25" i="10"/>
  <c r="EC25" i="10"/>
  <c r="EB25" i="10"/>
  <c r="EA25" i="10"/>
  <c r="DZ25" i="10"/>
  <c r="DY25" i="10"/>
  <c r="DX25" i="10"/>
  <c r="DW25" i="10"/>
  <c r="DV25" i="10"/>
  <c r="DU25" i="10"/>
  <c r="DT25" i="10"/>
  <c r="DS25" i="10"/>
  <c r="DR25" i="10"/>
  <c r="DQ25" i="10"/>
  <c r="DP25" i="10"/>
  <c r="DO25" i="10"/>
  <c r="DN25" i="10"/>
  <c r="DM25" i="10"/>
  <c r="DL25" i="10"/>
  <c r="DK25" i="10"/>
  <c r="DJ25" i="10"/>
  <c r="DI25" i="10"/>
  <c r="DH25" i="10"/>
  <c r="DG25" i="10"/>
  <c r="DF25" i="10"/>
  <c r="DE25" i="10"/>
  <c r="DD25" i="10"/>
  <c r="DC25" i="10"/>
  <c r="DB25" i="10"/>
  <c r="DA25" i="10"/>
  <c r="CZ25" i="10"/>
  <c r="CY25" i="10"/>
  <c r="CX25" i="10"/>
  <c r="CW25" i="10"/>
  <c r="CV25" i="10"/>
  <c r="CU25" i="10"/>
  <c r="CT25" i="10"/>
  <c r="CS25" i="10"/>
  <c r="CR25" i="10"/>
  <c r="CQ25" i="10"/>
  <c r="CP25" i="10"/>
  <c r="CO25" i="10"/>
  <c r="CN25" i="10"/>
  <c r="CM25" i="10"/>
  <c r="CL25" i="10"/>
  <c r="CK25" i="10"/>
  <c r="CJ25" i="10"/>
  <c r="CI25" i="10"/>
  <c r="CH25" i="10"/>
  <c r="CG25" i="10"/>
  <c r="CF25" i="10"/>
  <c r="CE25" i="10"/>
  <c r="CD25" i="10"/>
  <c r="CC25" i="10"/>
  <c r="CB25" i="10"/>
  <c r="CA25" i="10"/>
  <c r="BZ25" i="10"/>
  <c r="BY25" i="10"/>
  <c r="BX25" i="10"/>
  <c r="BW25" i="10"/>
  <c r="BV25" i="10"/>
  <c r="BU25" i="10"/>
  <c r="BT25" i="10"/>
  <c r="BS25" i="10"/>
  <c r="BR25" i="10"/>
  <c r="BQ25" i="10"/>
  <c r="BP25" i="10"/>
  <c r="BO25" i="10"/>
  <c r="BN25" i="10"/>
  <c r="BM25" i="10"/>
  <c r="BL25" i="10"/>
  <c r="BK25" i="10"/>
  <c r="BJ25" i="10"/>
  <c r="BI25" i="10"/>
  <c r="BH25" i="10"/>
  <c r="BG25" i="10"/>
  <c r="BF25" i="10"/>
  <c r="BE25" i="10"/>
  <c r="BD25" i="10"/>
  <c r="BC25" i="10"/>
  <c r="BB25" i="10"/>
  <c r="BA25" i="10"/>
  <c r="AZ25" i="10"/>
  <c r="AY25" i="10"/>
  <c r="AX25" i="10"/>
  <c r="AW25" i="10"/>
  <c r="AV25" i="10"/>
  <c r="AU25" i="10"/>
  <c r="AT25" i="10"/>
  <c r="AS25" i="10"/>
  <c r="AR25" i="10"/>
  <c r="AQ25" i="10"/>
  <c r="AP25" i="10"/>
  <c r="AO25" i="10"/>
  <c r="AN25" i="10"/>
  <c r="AM25" i="10"/>
  <c r="AL25" i="10"/>
  <c r="AK25" i="10"/>
  <c r="AJ25" i="10"/>
  <c r="AI25" i="10"/>
  <c r="AH25" i="10"/>
  <c r="AG25" i="10"/>
  <c r="AF25" i="10"/>
  <c r="AE25" i="10"/>
  <c r="AD25" i="10"/>
  <c r="AC25" i="10"/>
  <c r="AB25" i="10"/>
  <c r="AA25" i="10"/>
  <c r="Z25" i="10"/>
  <c r="Y25" i="10"/>
  <c r="X25" i="10"/>
  <c r="W25" i="10"/>
  <c r="V25" i="10"/>
  <c r="U25" i="10"/>
  <c r="T25" i="10"/>
  <c r="S25" i="10"/>
  <c r="R25" i="10"/>
  <c r="Q25" i="10"/>
  <c r="P25" i="10"/>
  <c r="O25" i="10"/>
  <c r="N25" i="10"/>
  <c r="M25" i="10"/>
  <c r="L25" i="10"/>
  <c r="K25" i="10"/>
  <c r="J25" i="10"/>
  <c r="I25" i="10"/>
  <c r="H25" i="10"/>
  <c r="G25" i="10"/>
  <c r="C35" i="10"/>
  <c r="C34" i="10"/>
  <c r="C32" i="10"/>
  <c r="C31" i="10"/>
  <c r="C30" i="10"/>
  <c r="C28" i="10"/>
  <c r="C27" i="10"/>
  <c r="E14" i="10"/>
  <c r="S74" i="1" s="1"/>
  <c r="E13" i="10"/>
  <c r="AD14" i="1" s="1"/>
  <c r="E12" i="10"/>
  <c r="AD11" i="1" s="1"/>
  <c r="S16" i="1" s="1"/>
  <c r="AC16" i="1" s="1"/>
  <c r="H9" i="10"/>
  <c r="R159" i="1"/>
  <c r="R160" i="1" s="1"/>
  <c r="R161" i="1" s="1"/>
  <c r="R162" i="1" s="1"/>
  <c r="R163" i="1" s="1"/>
  <c r="R164" i="1" s="1"/>
  <c r="R165" i="1" s="1"/>
  <c r="R166" i="1" s="1"/>
  <c r="R167" i="1" s="1"/>
  <c r="R168" i="1" s="1"/>
  <c r="U157" i="1"/>
  <c r="V157" i="1" s="1"/>
  <c r="W157" i="1" s="1"/>
  <c r="X157" i="1" s="1"/>
  <c r="Y157" i="1" s="1"/>
  <c r="Z157" i="1" s="1"/>
  <c r="AA157" i="1" s="1"/>
  <c r="AB157" i="1" s="1"/>
  <c r="AC157" i="1" s="1"/>
  <c r="T157" i="1"/>
  <c r="R146" i="1"/>
  <c r="R147" i="1" s="1"/>
  <c r="R148" i="1" s="1"/>
  <c r="R149" i="1" s="1"/>
  <c r="R150" i="1" s="1"/>
  <c r="R151" i="1" s="1"/>
  <c r="R152" i="1" s="1"/>
  <c r="R153" i="1" s="1"/>
  <c r="R154" i="1" s="1"/>
  <c r="R155" i="1" s="1"/>
  <c r="T144" i="1"/>
  <c r="U144" i="1" s="1"/>
  <c r="V144" i="1" s="1"/>
  <c r="W144" i="1" s="1"/>
  <c r="X144" i="1" s="1"/>
  <c r="Y144" i="1" s="1"/>
  <c r="Z144" i="1" s="1"/>
  <c r="AA144" i="1" s="1"/>
  <c r="AB144" i="1" s="1"/>
  <c r="AC144" i="1" s="1"/>
  <c r="R132" i="1"/>
  <c r="R133" i="1" s="1"/>
  <c r="R134" i="1" s="1"/>
  <c r="R135" i="1" s="1"/>
  <c r="R136" i="1" s="1"/>
  <c r="R137" i="1" s="1"/>
  <c r="R138" i="1" s="1"/>
  <c r="R139" i="1" s="1"/>
  <c r="R140" i="1" s="1"/>
  <c r="R131" i="1"/>
  <c r="T129" i="1"/>
  <c r="U129" i="1" s="1"/>
  <c r="V129" i="1" s="1"/>
  <c r="W129" i="1" s="1"/>
  <c r="X129" i="1" s="1"/>
  <c r="Y129" i="1" s="1"/>
  <c r="Z129" i="1" s="1"/>
  <c r="AA129" i="1" s="1"/>
  <c r="AB129" i="1" s="1"/>
  <c r="AC129" i="1" s="1"/>
  <c r="R118" i="1"/>
  <c r="R119" i="1" s="1"/>
  <c r="R120" i="1" s="1"/>
  <c r="R121" i="1" s="1"/>
  <c r="R122" i="1" s="1"/>
  <c r="R123" i="1" s="1"/>
  <c r="R124" i="1" s="1"/>
  <c r="R125" i="1" s="1"/>
  <c r="R126" i="1" s="1"/>
  <c r="R127" i="1" s="1"/>
  <c r="T116" i="1"/>
  <c r="U116" i="1" s="1"/>
  <c r="V116" i="1" s="1"/>
  <c r="W116" i="1" s="1"/>
  <c r="X116" i="1" s="1"/>
  <c r="Y116" i="1" s="1"/>
  <c r="Z116" i="1" s="1"/>
  <c r="AA116" i="1" s="1"/>
  <c r="AB116" i="1" s="1"/>
  <c r="AC116" i="1" s="1"/>
  <c r="R114" i="1"/>
  <c r="R106" i="1"/>
  <c r="R107" i="1" s="1"/>
  <c r="R108" i="1" s="1"/>
  <c r="R109" i="1" s="1"/>
  <c r="R110" i="1" s="1"/>
  <c r="R111" i="1" s="1"/>
  <c r="R112" i="1" s="1"/>
  <c r="R113" i="1" s="1"/>
  <c r="R105" i="1"/>
  <c r="U103" i="1"/>
  <c r="V103" i="1" s="1"/>
  <c r="W103" i="1" s="1"/>
  <c r="X103" i="1" s="1"/>
  <c r="Y103" i="1" s="1"/>
  <c r="Z103" i="1" s="1"/>
  <c r="AA103" i="1" s="1"/>
  <c r="AB103" i="1" s="1"/>
  <c r="AC103" i="1" s="1"/>
  <c r="T103" i="1"/>
  <c r="T96" i="1"/>
  <c r="U96" i="1" s="1"/>
  <c r="V96" i="1" s="1"/>
  <c r="W96" i="1" s="1"/>
  <c r="X96" i="1" s="1"/>
  <c r="Y96" i="1" s="1"/>
  <c r="Z96" i="1" s="1"/>
  <c r="AA96" i="1" s="1"/>
  <c r="AB96" i="1" s="1"/>
  <c r="AC96" i="1" s="1"/>
  <c r="U91" i="1"/>
  <c r="V91" i="1" s="1"/>
  <c r="W91" i="1" s="1"/>
  <c r="X91" i="1" s="1"/>
  <c r="Y91" i="1" s="1"/>
  <c r="Z91" i="1" s="1"/>
  <c r="AA91" i="1" s="1"/>
  <c r="AB91" i="1" s="1"/>
  <c r="AC91" i="1" s="1"/>
  <c r="T91" i="1"/>
  <c r="D14" i="1"/>
  <c r="I9" i="6" s="1"/>
  <c r="I10" i="6" s="1"/>
  <c r="J9" i="6" s="1"/>
  <c r="G81" i="1"/>
  <c r="F78" i="7" s="1"/>
  <c r="O40" i="1"/>
  <c r="O39" i="1"/>
  <c r="O38" i="1"/>
  <c r="O37" i="1"/>
  <c r="O36" i="1"/>
  <c r="E162" i="1"/>
  <c r="N161" i="1"/>
  <c r="H161" i="1"/>
  <c r="F161" i="1"/>
  <c r="E91" i="1"/>
  <c r="E139" i="1" s="1"/>
  <c r="C132" i="1"/>
  <c r="C131" i="1"/>
  <c r="B130" i="1"/>
  <c r="B128" i="1"/>
  <c r="B125" i="1"/>
  <c r="B122" i="1"/>
  <c r="B121" i="1"/>
  <c r="B117" i="1"/>
  <c r="B114" i="1"/>
  <c r="B110" i="1"/>
  <c r="B107" i="1"/>
  <c r="B104" i="1"/>
  <c r="B103" i="1"/>
  <c r="B102" i="1"/>
  <c r="B101" i="1"/>
  <c r="B100" i="1"/>
  <c r="B97" i="1"/>
  <c r="B96" i="1"/>
  <c r="B95" i="1"/>
  <c r="B94" i="1"/>
  <c r="B93" i="1"/>
  <c r="B106" i="1"/>
  <c r="B99" i="1"/>
  <c r="B92" i="1"/>
  <c r="O89" i="1"/>
  <c r="O161" i="1" s="1"/>
  <c r="N89" i="1"/>
  <c r="M89" i="1"/>
  <c r="M161" i="1" s="1"/>
  <c r="L89" i="1"/>
  <c r="L161" i="1" s="1"/>
  <c r="K89" i="1"/>
  <c r="K161" i="1" s="1"/>
  <c r="J89" i="1"/>
  <c r="J161" i="1" s="1"/>
  <c r="I89" i="1"/>
  <c r="I161" i="1" s="1"/>
  <c r="H89" i="1"/>
  <c r="G89" i="1"/>
  <c r="G161" i="1" s="1"/>
  <c r="F89" i="1"/>
  <c r="R46" i="1"/>
  <c r="R47" i="1"/>
  <c r="R48" i="1"/>
  <c r="R49" i="1"/>
  <c r="R50" i="1"/>
  <c r="Q70" i="1" s="1"/>
  <c r="R51" i="1"/>
  <c r="Q71" i="1" s="1"/>
  <c r="U55" i="1"/>
  <c r="R66" i="1" s="1"/>
  <c r="R59" i="1"/>
  <c r="U59" i="1"/>
  <c r="V59" i="1"/>
  <c r="W59" i="1"/>
  <c r="X59" i="1"/>
  <c r="R60" i="1"/>
  <c r="T60" i="1"/>
  <c r="U60" i="1"/>
  <c r="V60" i="1"/>
  <c r="W60" i="1"/>
  <c r="X60" i="1"/>
  <c r="R61" i="1"/>
  <c r="U61" i="1"/>
  <c r="V61" i="1"/>
  <c r="W61" i="1"/>
  <c r="X61" i="1"/>
  <c r="R62" i="1"/>
  <c r="U62" i="1"/>
  <c r="V62" i="1"/>
  <c r="W62" i="1"/>
  <c r="X62" i="1"/>
  <c r="R63" i="1"/>
  <c r="U63" i="1"/>
  <c r="V63" i="1"/>
  <c r="W63" i="1"/>
  <c r="X63" i="1"/>
  <c r="Q67" i="1"/>
  <c r="Q68" i="1"/>
  <c r="Q69" i="1"/>
  <c r="AB85" i="1"/>
  <c r="R16" i="1"/>
  <c r="R15" i="1"/>
  <c r="R14" i="1"/>
  <c r="R13" i="1"/>
  <c r="R12" i="1"/>
  <c r="E48" i="1"/>
  <c r="E49" i="1"/>
  <c r="L49" i="1" s="1"/>
  <c r="L50" i="1"/>
  <c r="L51" i="1"/>
  <c r="L52" i="1"/>
  <c r="L53" i="1"/>
  <c r="L54" i="1"/>
  <c r="L55" i="1"/>
  <c r="L56" i="1"/>
  <c r="L58" i="1"/>
  <c r="E63" i="1"/>
  <c r="L63" i="1" s="1"/>
  <c r="L65" i="1"/>
  <c r="F76" i="1"/>
  <c r="H76" i="1"/>
  <c r="J76" i="1"/>
  <c r="F77" i="1"/>
  <c r="J77" i="1"/>
  <c r="E78" i="1"/>
  <c r="F80" i="1"/>
  <c r="F62" i="7" s="1"/>
  <c r="F81" i="1"/>
  <c r="F82" i="1"/>
  <c r="F77" i="9"/>
  <c r="H54" i="9"/>
  <c r="G54" i="9"/>
  <c r="E110" i="7"/>
  <c r="D110" i="7"/>
  <c r="D109" i="7"/>
  <c r="D108" i="7"/>
  <c r="D30" i="9"/>
  <c r="D29" i="9"/>
  <c r="D28" i="9"/>
  <c r="E22" i="9"/>
  <c r="E26" i="9"/>
  <c r="E25" i="9"/>
  <c r="E24" i="9"/>
  <c r="E23" i="9"/>
  <c r="D27" i="9"/>
  <c r="D21" i="9"/>
  <c r="D20" i="9"/>
  <c r="D19" i="9"/>
  <c r="D18" i="9"/>
  <c r="D17" i="9"/>
  <c r="E103" i="7"/>
  <c r="H96" i="7"/>
  <c r="E88" i="7"/>
  <c r="F79" i="7"/>
  <c r="E73" i="7"/>
  <c r="F64" i="7"/>
  <c r="D45" i="7"/>
  <c r="C120" i="1" s="1"/>
  <c r="D44" i="7"/>
  <c r="C119" i="1" s="1"/>
  <c r="D43" i="7"/>
  <c r="C118" i="1" s="1"/>
  <c r="D38" i="7"/>
  <c r="C113" i="1" s="1"/>
  <c r="D37" i="7"/>
  <c r="C112" i="1" s="1"/>
  <c r="D36" i="7"/>
  <c r="C111" i="1" s="1"/>
  <c r="D34" i="7"/>
  <c r="D41" i="7" s="1"/>
  <c r="D49" i="7" s="1"/>
  <c r="D52" i="7" s="1"/>
  <c r="C127" i="1" s="1"/>
  <c r="D33" i="7"/>
  <c r="D40" i="7" s="1"/>
  <c r="D48" i="7" s="1"/>
  <c r="D51" i="7" s="1"/>
  <c r="C126" i="1" s="1"/>
  <c r="H14" i="7"/>
  <c r="I9" i="7"/>
  <c r="B26" i="6"/>
  <c r="B22" i="6"/>
  <c r="B18" i="6"/>
  <c r="H15" i="6"/>
  <c r="D74" i="4"/>
  <c r="B72" i="4"/>
  <c r="C67" i="4"/>
  <c r="C61" i="4"/>
  <c r="E59" i="4"/>
  <c r="C57" i="4"/>
  <c r="T147" i="5"/>
  <c r="S147" i="5"/>
  <c r="R147" i="5"/>
  <c r="Q147" i="5"/>
  <c r="P147" i="5"/>
  <c r="O147" i="5"/>
  <c r="N147" i="5"/>
  <c r="M147" i="5"/>
  <c r="L147" i="5"/>
  <c r="K147" i="5"/>
  <c r="J133" i="5"/>
  <c r="J132" i="5"/>
  <c r="J131" i="5"/>
  <c r="E55" i="4"/>
  <c r="C53" i="4"/>
  <c r="E51" i="4"/>
  <c r="C49" i="4"/>
  <c r="B48" i="4"/>
  <c r="K113" i="5"/>
  <c r="J107" i="5"/>
  <c r="H107" i="5"/>
  <c r="J106" i="5"/>
  <c r="H106" i="5"/>
  <c r="J105" i="5"/>
  <c r="H105" i="5"/>
  <c r="J104" i="5"/>
  <c r="H104" i="5"/>
  <c r="J103" i="5"/>
  <c r="H103" i="5"/>
  <c r="J102" i="5"/>
  <c r="K71" i="5"/>
  <c r="L71" i="5" s="1"/>
  <c r="M71" i="5" s="1"/>
  <c r="I67" i="5"/>
  <c r="K67" i="5" s="1"/>
  <c r="K76" i="5" s="1"/>
  <c r="F69" i="5"/>
  <c r="G63" i="5"/>
  <c r="K62" i="5"/>
  <c r="J48" i="5"/>
  <c r="J47" i="5"/>
  <c r="J46" i="5"/>
  <c r="T27" i="5"/>
  <c r="T53" i="5" s="1"/>
  <c r="S27" i="5"/>
  <c r="S53" i="5" s="1"/>
  <c r="R27" i="5"/>
  <c r="R53" i="5" s="1"/>
  <c r="Q27" i="5"/>
  <c r="Q53" i="5" s="1"/>
  <c r="P27" i="5"/>
  <c r="P53" i="5" s="1"/>
  <c r="O27" i="5"/>
  <c r="O53" i="5" s="1"/>
  <c r="N27" i="5"/>
  <c r="N53" i="5" s="1"/>
  <c r="M27" i="5"/>
  <c r="M53" i="5" s="1"/>
  <c r="L27" i="5"/>
  <c r="L53" i="5" s="1"/>
  <c r="K27" i="5"/>
  <c r="K53" i="5" s="1"/>
  <c r="T22" i="5"/>
  <c r="S22" i="5"/>
  <c r="R22" i="5"/>
  <c r="Q22" i="5"/>
  <c r="P22" i="5"/>
  <c r="O22" i="5"/>
  <c r="N22" i="5"/>
  <c r="M22" i="5"/>
  <c r="L22" i="5"/>
  <c r="K22" i="5"/>
  <c r="G14" i="5"/>
  <c r="K14" i="5" s="1"/>
  <c r="L14" i="5" s="1"/>
  <c r="M14" i="5" s="1"/>
  <c r="N14" i="5" s="1"/>
  <c r="O14" i="5" s="1"/>
  <c r="P14" i="5" s="1"/>
  <c r="Q14" i="5" s="1"/>
  <c r="R14" i="5" s="1"/>
  <c r="G13" i="5"/>
  <c r="L8" i="5"/>
  <c r="M8" i="5" s="1"/>
  <c r="N8" i="5" s="1"/>
  <c r="O8" i="5" s="1"/>
  <c r="P8" i="5" s="1"/>
  <c r="Q8" i="5" s="1"/>
  <c r="R8" i="5" s="1"/>
  <c r="S8" i="5" s="1"/>
  <c r="T8" i="5" s="1"/>
  <c r="C45" i="4"/>
  <c r="E43" i="4"/>
  <c r="C41" i="4"/>
  <c r="E39" i="4"/>
  <c r="C37" i="4"/>
  <c r="B36" i="4"/>
  <c r="F33" i="4"/>
  <c r="S63" i="1" s="1"/>
  <c r="F32" i="4"/>
  <c r="S62" i="1" s="1"/>
  <c r="F31" i="4"/>
  <c r="S61" i="1" s="1"/>
  <c r="F30" i="4"/>
  <c r="S60" i="1" s="1"/>
  <c r="F29" i="4"/>
  <c r="S59" i="1" s="1"/>
  <c r="B27" i="4"/>
  <c r="E24" i="4"/>
  <c r="B22" i="4"/>
  <c r="E19" i="4"/>
  <c r="B17" i="4"/>
  <c r="H14" i="4"/>
  <c r="H59" i="4" s="1"/>
  <c r="I9" i="4"/>
  <c r="I10" i="4" s="1"/>
  <c r="J9" i="4" s="1"/>
  <c r="J10" i="4" s="1"/>
  <c r="K9" i="4" s="1"/>
  <c r="K10" i="4" s="1"/>
  <c r="L9" i="4" s="1"/>
  <c r="L10" i="4" s="1"/>
  <c r="M9" i="4" s="1"/>
  <c r="M10" i="4" s="1"/>
  <c r="N9" i="4" s="1"/>
  <c r="N10" i="4" s="1"/>
  <c r="O9" i="4" s="1"/>
  <c r="O10" i="4" s="1"/>
  <c r="P9" i="4" s="1"/>
  <c r="P10" i="4" s="1"/>
  <c r="Q9" i="4" s="1"/>
  <c r="Q10" i="4" s="1"/>
  <c r="R9" i="4" s="1"/>
  <c r="R10" i="4" s="1"/>
  <c r="I9" i="3"/>
  <c r="F90" i="1" s="1"/>
  <c r="H14" i="3"/>
  <c r="M40" i="1"/>
  <c r="M39" i="1"/>
  <c r="M38" i="1"/>
  <c r="M37" i="1"/>
  <c r="M36" i="1"/>
  <c r="K40" i="1"/>
  <c r="K39" i="1"/>
  <c r="K38" i="1"/>
  <c r="K37" i="1"/>
  <c r="K36" i="1"/>
  <c r="I41" i="1"/>
  <c r="F41" i="1"/>
  <c r="C41" i="1"/>
  <c r="Q17" i="1" s="1"/>
  <c r="Q64" i="1" s="1"/>
  <c r="C40" i="1"/>
  <c r="B265" i="3" s="1"/>
  <c r="C39" i="1"/>
  <c r="B203" i="3" s="1"/>
  <c r="C38" i="1"/>
  <c r="B141" i="3" s="1"/>
  <c r="C37" i="1"/>
  <c r="B79" i="3" s="1"/>
  <c r="F84" i="3" s="1"/>
  <c r="C36" i="1"/>
  <c r="Q12" i="1" s="1"/>
  <c r="Q59" i="1" s="1"/>
  <c r="N31" i="1"/>
  <c r="M31" i="1"/>
  <c r="L31" i="1"/>
  <c r="K31" i="1"/>
  <c r="J31" i="1"/>
  <c r="N30" i="1"/>
  <c r="M30" i="1"/>
  <c r="L30" i="1"/>
  <c r="K30" i="1"/>
  <c r="J30" i="1"/>
  <c r="N29" i="1"/>
  <c r="M29" i="1"/>
  <c r="L29" i="1"/>
  <c r="K29" i="1"/>
  <c r="J29" i="1"/>
  <c r="N28" i="1"/>
  <c r="M28" i="1"/>
  <c r="L28" i="1"/>
  <c r="K28" i="1"/>
  <c r="J28" i="1"/>
  <c r="N27" i="1"/>
  <c r="M27" i="1"/>
  <c r="L27" i="1"/>
  <c r="K27" i="1"/>
  <c r="J27" i="1"/>
  <c r="I31" i="1"/>
  <c r="O31" i="1" s="1"/>
  <c r="I30" i="1"/>
  <c r="O30" i="1" s="1"/>
  <c r="I29" i="1"/>
  <c r="O29" i="1" s="1"/>
  <c r="I28" i="1"/>
  <c r="O28" i="1" s="1"/>
  <c r="I27" i="1"/>
  <c r="O27" i="1" s="1"/>
  <c r="H32" i="1"/>
  <c r="N32" i="1" s="1"/>
  <c r="G32" i="1"/>
  <c r="M32" i="1" s="1"/>
  <c r="F32" i="1"/>
  <c r="L32" i="1" s="1"/>
  <c r="E32" i="1"/>
  <c r="K32" i="1" s="1"/>
  <c r="D32" i="1"/>
  <c r="J32" i="1" s="1"/>
  <c r="M20" i="1"/>
  <c r="E18" i="4" s="1"/>
  <c r="E38" i="4" s="1"/>
  <c r="G23" i="1"/>
  <c r="E45" i="1" s="1"/>
  <c r="F22" i="1"/>
  <c r="D16" i="1"/>
  <c r="T55" i="1" s="1"/>
  <c r="Y63" i="1" s="1"/>
  <c r="W15" i="1" l="1"/>
  <c r="T62" i="1" s="1"/>
  <c r="W14" i="1"/>
  <c r="T61" i="1" s="1"/>
  <c r="W12" i="1"/>
  <c r="T59" i="1" s="1"/>
  <c r="W16" i="1"/>
  <c r="T63" i="1" s="1"/>
  <c r="S12" i="1"/>
  <c r="AC12" i="1" s="1"/>
  <c r="S14" i="1"/>
  <c r="AC14" i="1" s="1"/>
  <c r="S15" i="1"/>
  <c r="AC15" i="1" s="1"/>
  <c r="S13" i="1"/>
  <c r="AC13" i="1" s="1"/>
  <c r="H51" i="4"/>
  <c r="H55" i="4"/>
  <c r="Y59" i="1"/>
  <c r="AA59" i="1" s="1"/>
  <c r="AC59" i="1" s="1"/>
  <c r="Y60" i="1"/>
  <c r="Z60" i="1" s="1"/>
  <c r="AB60" i="1" s="1"/>
  <c r="Y61" i="1"/>
  <c r="AA61" i="1" s="1"/>
  <c r="AC61" i="1" s="1"/>
  <c r="Y62" i="1"/>
  <c r="AA62" i="1" s="1"/>
  <c r="AC62" i="1" s="1"/>
  <c r="O41" i="1"/>
  <c r="H44" i="1"/>
  <c r="M24" i="1" s="1"/>
  <c r="C115" i="1"/>
  <c r="C116" i="1"/>
  <c r="C108" i="1"/>
  <c r="C109" i="1"/>
  <c r="C123" i="1"/>
  <c r="C124" i="1"/>
  <c r="B149" i="1" s="1"/>
  <c r="E163" i="1" s="1"/>
  <c r="J78" i="1"/>
  <c r="E60" i="1" s="1"/>
  <c r="L60" i="1" s="1"/>
  <c r="R64" i="1"/>
  <c r="AA63" i="1"/>
  <c r="AC63" i="1" s="1"/>
  <c r="Q16" i="1"/>
  <c r="Q63" i="1" s="1"/>
  <c r="E47" i="1"/>
  <c r="L47" i="1" s="1"/>
  <c r="N47" i="1" s="1"/>
  <c r="Q14" i="1"/>
  <c r="Q61" i="1" s="1"/>
  <c r="Q15" i="1"/>
  <c r="Q62" i="1" s="1"/>
  <c r="Q13" i="1"/>
  <c r="Q60" i="1" s="1"/>
  <c r="X32" i="1"/>
  <c r="H81" i="1"/>
  <c r="L81" i="1" s="1"/>
  <c r="E109" i="7" s="1"/>
  <c r="T67" i="5"/>
  <c r="T76" i="5" s="1"/>
  <c r="K41" i="1"/>
  <c r="F268" i="3"/>
  <c r="H267" i="3" s="1"/>
  <c r="B17" i="3"/>
  <c r="D75" i="3" s="1"/>
  <c r="F77" i="7"/>
  <c r="H80" i="7" s="1"/>
  <c r="L48" i="1"/>
  <c r="C29" i="4"/>
  <c r="F149" i="3"/>
  <c r="H160" i="3" s="1"/>
  <c r="F144" i="3"/>
  <c r="H143" i="3" s="1"/>
  <c r="I10" i="3"/>
  <c r="J9" i="9"/>
  <c r="E23" i="4"/>
  <c r="G80" i="1"/>
  <c r="F63" i="7" s="1"/>
  <c r="H65" i="7" s="1"/>
  <c r="H66" i="7" s="1"/>
  <c r="G82" i="1"/>
  <c r="E82" i="1"/>
  <c r="H38" i="7" s="1"/>
  <c r="H331" i="3"/>
  <c r="H11" i="3"/>
  <c r="H12" i="3" s="1"/>
  <c r="H13" i="3" s="1"/>
  <c r="L45" i="1"/>
  <c r="E46" i="1"/>
  <c r="I32" i="1"/>
  <c r="O32" i="1" s="1"/>
  <c r="I14" i="7"/>
  <c r="H64" i="4"/>
  <c r="H69" i="4"/>
  <c r="D13" i="6"/>
  <c r="I15" i="6"/>
  <c r="I11" i="6" s="1"/>
  <c r="E64" i="1"/>
  <c r="L64" i="1" s="1"/>
  <c r="H34" i="7"/>
  <c r="H11" i="7"/>
  <c r="H12" i="7" s="1"/>
  <c r="H13" i="7" s="1"/>
  <c r="H16" i="7" s="1"/>
  <c r="H33" i="7"/>
  <c r="I10" i="7"/>
  <c r="J9" i="7" s="1"/>
  <c r="J10" i="7" s="1"/>
  <c r="K9" i="7" s="1"/>
  <c r="K10" i="7" s="1"/>
  <c r="L9" i="7" s="1"/>
  <c r="L10" i="7" s="1"/>
  <c r="M9" i="7" s="1"/>
  <c r="M10" i="7" s="1"/>
  <c r="N9" i="7" s="1"/>
  <c r="N10" i="7" s="1"/>
  <c r="O9" i="7" s="1"/>
  <c r="O10" i="7" s="1"/>
  <c r="P9" i="7" s="1"/>
  <c r="P10" i="7" s="1"/>
  <c r="Q9" i="7" s="1"/>
  <c r="Q10" i="7" s="1"/>
  <c r="R9" i="7" s="1"/>
  <c r="R10" i="7" s="1"/>
  <c r="H11" i="6"/>
  <c r="H12" i="6" s="1"/>
  <c r="H14" i="6" s="1"/>
  <c r="H17" i="6" s="1"/>
  <c r="J10" i="6"/>
  <c r="I14" i="4"/>
  <c r="E42" i="4"/>
  <c r="M113" i="5"/>
  <c r="Q113" i="5"/>
  <c r="R113" i="5"/>
  <c r="P113" i="5"/>
  <c r="S113" i="5"/>
  <c r="L113" i="5"/>
  <c r="T113" i="5"/>
  <c r="N113" i="5"/>
  <c r="O113" i="5"/>
  <c r="M85" i="5"/>
  <c r="R85" i="5"/>
  <c r="L85" i="5"/>
  <c r="T85" i="5"/>
  <c r="N71" i="5"/>
  <c r="R62" i="5"/>
  <c r="L62" i="5"/>
  <c r="T62" i="5"/>
  <c r="N67" i="5"/>
  <c r="N76" i="5" s="1"/>
  <c r="O85" i="5"/>
  <c r="S62" i="5"/>
  <c r="M62" i="5"/>
  <c r="O67" i="5"/>
  <c r="O76" i="5" s="1"/>
  <c r="P85" i="5"/>
  <c r="L67" i="5"/>
  <c r="L76" i="5" s="1"/>
  <c r="L77" i="5" s="1"/>
  <c r="N62" i="5"/>
  <c r="P67" i="5"/>
  <c r="P76" i="5" s="1"/>
  <c r="Q85" i="5"/>
  <c r="M67" i="5"/>
  <c r="M76" i="5" s="1"/>
  <c r="M77" i="5" s="1"/>
  <c r="N85" i="5"/>
  <c r="O62" i="5"/>
  <c r="Q67" i="5"/>
  <c r="Q76" i="5" s="1"/>
  <c r="P62" i="5"/>
  <c r="R67" i="5"/>
  <c r="R76" i="5" s="1"/>
  <c r="K77" i="5"/>
  <c r="K85" i="5"/>
  <c r="S85" i="5"/>
  <c r="Q62" i="5"/>
  <c r="S67" i="5"/>
  <c r="S76" i="5" s="1"/>
  <c r="S14" i="5"/>
  <c r="R16" i="5"/>
  <c r="R120" i="5" s="1"/>
  <c r="R123" i="5" s="1"/>
  <c r="Q16" i="5"/>
  <c r="Q120" i="5" s="1"/>
  <c r="Q123" i="5" s="1"/>
  <c r="K16" i="5"/>
  <c r="K120" i="5" s="1"/>
  <c r="K123" i="5" s="1"/>
  <c r="L16" i="5"/>
  <c r="L120" i="5" s="1"/>
  <c r="L123" i="5" s="1"/>
  <c r="M16" i="5"/>
  <c r="M120" i="5" s="1"/>
  <c r="M123" i="5" s="1"/>
  <c r="N16" i="5"/>
  <c r="N120" i="5" s="1"/>
  <c r="N123" i="5" s="1"/>
  <c r="O16" i="5"/>
  <c r="O120" i="5" s="1"/>
  <c r="O123" i="5" s="1"/>
  <c r="P16" i="5"/>
  <c r="P120" i="5" s="1"/>
  <c r="P123" i="5" s="1"/>
  <c r="H11" i="4"/>
  <c r="H80" i="4" s="1"/>
  <c r="H15" i="4"/>
  <c r="D323" i="3"/>
  <c r="D325" i="3"/>
  <c r="F269" i="3"/>
  <c r="F270" i="3"/>
  <c r="F271" i="3"/>
  <c r="F272" i="3"/>
  <c r="F273" i="3"/>
  <c r="H284" i="3" s="1"/>
  <c r="D324" i="3"/>
  <c r="F208" i="3"/>
  <c r="F243" i="3"/>
  <c r="D261" i="3"/>
  <c r="D263" i="3"/>
  <c r="F206" i="3"/>
  <c r="D262" i="3"/>
  <c r="F211" i="3"/>
  <c r="H222" i="3" s="1"/>
  <c r="F210" i="3"/>
  <c r="F209" i="3"/>
  <c r="F207" i="3"/>
  <c r="F147" i="3"/>
  <c r="D199" i="3"/>
  <c r="D200" i="3"/>
  <c r="F145" i="3"/>
  <c r="F146" i="3"/>
  <c r="F148" i="3"/>
  <c r="D201" i="3"/>
  <c r="F85" i="3"/>
  <c r="F86" i="3"/>
  <c r="F87" i="3"/>
  <c r="H98" i="3" s="1"/>
  <c r="F116" i="3"/>
  <c r="D137" i="3"/>
  <c r="D138" i="3"/>
  <c r="D139" i="3"/>
  <c r="F83" i="3"/>
  <c r="F82" i="3"/>
  <c r="F111" i="3" s="1"/>
  <c r="I14" i="3"/>
  <c r="M41" i="1"/>
  <c r="AB16" i="1" l="1"/>
  <c r="AA16" i="1" s="1"/>
  <c r="F304" i="3" s="1"/>
  <c r="H319" i="3" s="1"/>
  <c r="AB14" i="1"/>
  <c r="AA14" i="1" s="1"/>
  <c r="F180" i="3" s="1"/>
  <c r="AC17" i="1"/>
  <c r="AB13" i="1"/>
  <c r="AA13" i="1" s="1"/>
  <c r="F118" i="3" s="1"/>
  <c r="I132" i="3" s="1"/>
  <c r="AB15" i="1"/>
  <c r="AA15" i="1" s="1"/>
  <c r="F242" i="3" s="1"/>
  <c r="AB12" i="1"/>
  <c r="D29" i="4" s="1"/>
  <c r="S17" i="1"/>
  <c r="J14" i="4"/>
  <c r="I55" i="4"/>
  <c r="I51" i="4"/>
  <c r="I59" i="4"/>
  <c r="I34" i="7"/>
  <c r="J10" i="9"/>
  <c r="F91" i="1"/>
  <c r="F139" i="1" s="1"/>
  <c r="AA60" i="1"/>
  <c r="AC60" i="1" s="1"/>
  <c r="AD60" i="1" s="1"/>
  <c r="H58" i="4"/>
  <c r="Z59" i="1"/>
  <c r="AB59" i="1" s="1"/>
  <c r="AD59" i="1" s="1"/>
  <c r="F23" i="3"/>
  <c r="F117" i="3"/>
  <c r="C30" i="4"/>
  <c r="F112" i="3"/>
  <c r="F119" i="3"/>
  <c r="Z61" i="1"/>
  <c r="AB61" i="1" s="1"/>
  <c r="AD61" i="1" s="1"/>
  <c r="I65" i="7"/>
  <c r="I67" i="7" s="1"/>
  <c r="F120" i="3"/>
  <c r="D77" i="3"/>
  <c r="F115" i="3"/>
  <c r="F113" i="3"/>
  <c r="F114" i="3" s="1"/>
  <c r="I110" i="3" s="1"/>
  <c r="F178" i="3"/>
  <c r="F174" i="3"/>
  <c r="Z63" i="1"/>
  <c r="AB63" i="1" s="1"/>
  <c r="AD63" i="1" s="1"/>
  <c r="Z62" i="1"/>
  <c r="AB62" i="1" s="1"/>
  <c r="AD62" i="1" s="1"/>
  <c r="J14" i="7"/>
  <c r="H80" i="1"/>
  <c r="L80" i="1" s="1"/>
  <c r="E108" i="7" s="1"/>
  <c r="H162" i="3"/>
  <c r="H163" i="3" s="1"/>
  <c r="I160" i="3" s="1"/>
  <c r="J15" i="6"/>
  <c r="K15" i="6" s="1"/>
  <c r="I15" i="4"/>
  <c r="F24" i="3"/>
  <c r="F50" i="3"/>
  <c r="D76" i="3"/>
  <c r="F22" i="3"/>
  <c r="F58" i="3"/>
  <c r="F25" i="3"/>
  <c r="H36" i="3" s="1"/>
  <c r="F21" i="3"/>
  <c r="F20" i="3"/>
  <c r="F49" i="3" s="1"/>
  <c r="F57" i="3"/>
  <c r="F237" i="3"/>
  <c r="F54" i="3"/>
  <c r="F55" i="3"/>
  <c r="J9" i="3"/>
  <c r="F53" i="3"/>
  <c r="F51" i="3"/>
  <c r="I33" i="7"/>
  <c r="F297" i="3"/>
  <c r="I38" i="7"/>
  <c r="I11" i="7"/>
  <c r="I12" i="7" s="1"/>
  <c r="I13" i="7" s="1"/>
  <c r="I16" i="7" s="1"/>
  <c r="I80" i="7"/>
  <c r="C31" i="4"/>
  <c r="F179" i="3"/>
  <c r="F236" i="3"/>
  <c r="F299" i="3"/>
  <c r="F305" i="3"/>
  <c r="N126" i="5"/>
  <c r="N125" i="5"/>
  <c r="N124" i="5"/>
  <c r="N135" i="5"/>
  <c r="I64" i="4"/>
  <c r="I69" i="4"/>
  <c r="C33" i="4"/>
  <c r="G46" i="1"/>
  <c r="M64" i="1" s="1"/>
  <c r="N64" i="1" s="1"/>
  <c r="L46" i="1"/>
  <c r="F173" i="3"/>
  <c r="F298" i="3"/>
  <c r="F306" i="3"/>
  <c r="I267" i="3"/>
  <c r="I280" i="3" s="1"/>
  <c r="I281" i="3" s="1"/>
  <c r="M126" i="5"/>
  <c r="M125" i="5"/>
  <c r="M124" i="5"/>
  <c r="M135" i="5"/>
  <c r="C32" i="4"/>
  <c r="N45" i="1"/>
  <c r="F181" i="3"/>
  <c r="L135" i="5"/>
  <c r="L125" i="5"/>
  <c r="L126" i="5"/>
  <c r="L124" i="5"/>
  <c r="F175" i="3"/>
  <c r="F182" i="3"/>
  <c r="F239" i="3"/>
  <c r="H27" i="7"/>
  <c r="K135" i="5"/>
  <c r="K126" i="5"/>
  <c r="K125" i="5"/>
  <c r="K124" i="5"/>
  <c r="K9" i="6"/>
  <c r="K10" i="6" s="1"/>
  <c r="L9" i="6" s="1"/>
  <c r="L10" i="6" s="1"/>
  <c r="M9" i="6" s="1"/>
  <c r="M10" i="6" s="1"/>
  <c r="N9" i="6" s="1"/>
  <c r="N10" i="6" s="1"/>
  <c r="O9" i="6" s="1"/>
  <c r="O10" i="6" s="1"/>
  <c r="P9" i="6" s="1"/>
  <c r="P10" i="6" s="1"/>
  <c r="Q9" i="6" s="1"/>
  <c r="Q10" i="6" s="1"/>
  <c r="R9" i="6" s="1"/>
  <c r="R10" i="6" s="1"/>
  <c r="E13" i="6"/>
  <c r="H13" i="6" s="1"/>
  <c r="F244" i="3"/>
  <c r="O125" i="5"/>
  <c r="O135" i="5"/>
  <c r="O126" i="5"/>
  <c r="O124" i="5"/>
  <c r="F240" i="3"/>
  <c r="F301" i="3"/>
  <c r="Q124" i="5"/>
  <c r="Q125" i="5"/>
  <c r="Q126" i="5"/>
  <c r="Q135" i="5"/>
  <c r="E62" i="1"/>
  <c r="F241" i="3"/>
  <c r="F302" i="3"/>
  <c r="J64" i="4"/>
  <c r="J69" i="4"/>
  <c r="R124" i="5"/>
  <c r="R135" i="5"/>
  <c r="R126" i="5"/>
  <c r="R125" i="5"/>
  <c r="F177" i="3"/>
  <c r="I162" i="3"/>
  <c r="I143" i="3"/>
  <c r="I151" i="3" s="1"/>
  <c r="I152" i="3" s="1"/>
  <c r="I153" i="3" s="1"/>
  <c r="F235" i="3"/>
  <c r="I228" i="3" s="1"/>
  <c r="F303" i="3"/>
  <c r="P135" i="5"/>
  <c r="P126" i="5"/>
  <c r="P124" i="5"/>
  <c r="P125" i="5"/>
  <c r="H74" i="4"/>
  <c r="J33" i="7"/>
  <c r="H15" i="7"/>
  <c r="I15" i="7"/>
  <c r="I12" i="6"/>
  <c r="I14" i="6" s="1"/>
  <c r="I17" i="6" s="1"/>
  <c r="H42" i="4"/>
  <c r="H45" i="4"/>
  <c r="H68" i="4"/>
  <c r="H23" i="4"/>
  <c r="I11" i="4"/>
  <c r="I74" i="4" s="1"/>
  <c r="H38" i="4"/>
  <c r="H18" i="4"/>
  <c r="H50" i="4"/>
  <c r="H54" i="4"/>
  <c r="M90" i="5"/>
  <c r="M79" i="5"/>
  <c r="L90" i="5"/>
  <c r="L79" i="5"/>
  <c r="O71" i="5"/>
  <c r="N77" i="5"/>
  <c r="K90" i="5"/>
  <c r="K79" i="5"/>
  <c r="M21" i="5"/>
  <c r="M39" i="5"/>
  <c r="L21" i="5"/>
  <c r="L39" i="5"/>
  <c r="K39" i="5"/>
  <c r="K21" i="5"/>
  <c r="P21" i="5"/>
  <c r="P39" i="5"/>
  <c r="O21" i="5"/>
  <c r="O39" i="5"/>
  <c r="Q21" i="5"/>
  <c r="Q39" i="5"/>
  <c r="R21" i="5"/>
  <c r="R39" i="5"/>
  <c r="N21" i="5"/>
  <c r="N39" i="5"/>
  <c r="T14" i="5"/>
  <c r="T16" i="5" s="1"/>
  <c r="T120" i="5" s="1"/>
  <c r="T123" i="5" s="1"/>
  <c r="S16" i="5"/>
  <c r="S120" i="5" s="1"/>
  <c r="S123" i="5" s="1"/>
  <c r="H12" i="4"/>
  <c r="H13" i="4" s="1"/>
  <c r="H16" i="4" s="1"/>
  <c r="K14" i="4"/>
  <c r="J15" i="4"/>
  <c r="J11" i="4"/>
  <c r="J80" i="4" s="1"/>
  <c r="J27" i="7" s="1"/>
  <c r="H286" i="3"/>
  <c r="H275" i="3"/>
  <c r="H276" i="3" s="1"/>
  <c r="H277" i="3" s="1"/>
  <c r="H280" i="3"/>
  <c r="H281" i="3" s="1"/>
  <c r="I286" i="3"/>
  <c r="I224" i="3"/>
  <c r="H224" i="3"/>
  <c r="I205" i="3"/>
  <c r="I213" i="3" s="1"/>
  <c r="I214" i="3" s="1"/>
  <c r="I215" i="3" s="1"/>
  <c r="H205" i="3"/>
  <c r="H218" i="3" s="1"/>
  <c r="H219" i="3" s="1"/>
  <c r="H151" i="3"/>
  <c r="H152" i="3" s="1"/>
  <c r="H153" i="3" s="1"/>
  <c r="H156" i="3"/>
  <c r="H157" i="3" s="1"/>
  <c r="I100" i="3"/>
  <c r="H100" i="3"/>
  <c r="H81" i="3"/>
  <c r="H89" i="3" s="1"/>
  <c r="H90" i="3" s="1"/>
  <c r="H91" i="3" s="1"/>
  <c r="I81" i="3"/>
  <c r="I94" i="3" s="1"/>
  <c r="I95" i="3" s="1"/>
  <c r="I104" i="3"/>
  <c r="H104" i="3"/>
  <c r="I11" i="3"/>
  <c r="J14" i="3"/>
  <c r="J286" i="3" s="1"/>
  <c r="H16" i="3"/>
  <c r="D33" i="4" l="1"/>
  <c r="E33" i="4" s="1"/>
  <c r="H33" i="4" s="1"/>
  <c r="AA12" i="1"/>
  <c r="AA17" i="1" s="1"/>
  <c r="S75" i="1" s="1"/>
  <c r="D30" i="4"/>
  <c r="E30" i="4" s="1"/>
  <c r="H30" i="4" s="1"/>
  <c r="D31" i="4"/>
  <c r="E31" i="4" s="1"/>
  <c r="I31" i="4" s="1"/>
  <c r="D32" i="4"/>
  <c r="E32" i="4" s="1"/>
  <c r="K32" i="4" s="1"/>
  <c r="AB17" i="1"/>
  <c r="E29" i="4"/>
  <c r="H29" i="4" s="1"/>
  <c r="K51" i="4"/>
  <c r="K59" i="4"/>
  <c r="K55" i="4"/>
  <c r="J51" i="4"/>
  <c r="J55" i="4"/>
  <c r="J59" i="4"/>
  <c r="J66" i="9"/>
  <c r="J77" i="9" s="1"/>
  <c r="J65" i="7"/>
  <c r="J66" i="7" s="1"/>
  <c r="J80" i="7"/>
  <c r="J11" i="7"/>
  <c r="I163" i="3"/>
  <c r="J160" i="3" s="1"/>
  <c r="I66" i="7"/>
  <c r="K14" i="7"/>
  <c r="K80" i="7" s="1"/>
  <c r="J15" i="7"/>
  <c r="J11" i="9"/>
  <c r="J54" i="9" s="1"/>
  <c r="K9" i="9"/>
  <c r="G90" i="1"/>
  <c r="J38" i="7"/>
  <c r="H19" i="3"/>
  <c r="H27" i="3" s="1"/>
  <c r="H28" i="3" s="1"/>
  <c r="H29" i="3" s="1"/>
  <c r="J34" i="7"/>
  <c r="I319" i="3"/>
  <c r="H133" i="3"/>
  <c r="H132" i="3"/>
  <c r="I156" i="3"/>
  <c r="I157" i="3" s="1"/>
  <c r="J11" i="6"/>
  <c r="J12" i="6" s="1"/>
  <c r="J14" i="6" s="1"/>
  <c r="J17" i="6" s="1"/>
  <c r="AD64" i="1"/>
  <c r="I318" i="3"/>
  <c r="H38" i="3"/>
  <c r="H39" i="3" s="1"/>
  <c r="I36" i="3" s="1"/>
  <c r="I133" i="3"/>
  <c r="I139" i="3" s="1"/>
  <c r="H290" i="3"/>
  <c r="H291" i="3" s="1"/>
  <c r="H292" i="3" s="1"/>
  <c r="F300" i="3"/>
  <c r="H296" i="3" s="1"/>
  <c r="H194" i="3"/>
  <c r="I290" i="3"/>
  <c r="I13" i="6"/>
  <c r="L127" i="5"/>
  <c r="H318" i="3"/>
  <c r="H325" i="3" s="1"/>
  <c r="H110" i="3"/>
  <c r="I38" i="3"/>
  <c r="I19" i="3"/>
  <c r="I32" i="3" s="1"/>
  <c r="I33" i="3" s="1"/>
  <c r="J10" i="3"/>
  <c r="H16" i="6"/>
  <c r="I16" i="6"/>
  <c r="J110" i="3"/>
  <c r="J16" i="6"/>
  <c r="J54" i="4"/>
  <c r="J100" i="3"/>
  <c r="I275" i="3"/>
  <c r="I276" i="3" s="1"/>
  <c r="I277" i="3" s="1"/>
  <c r="J132" i="3"/>
  <c r="H94" i="3"/>
  <c r="H95" i="3" s="1"/>
  <c r="J133" i="3"/>
  <c r="I218" i="3"/>
  <c r="I219" i="3" s="1"/>
  <c r="J81" i="3"/>
  <c r="J89" i="3" s="1"/>
  <c r="J90" i="3" s="1"/>
  <c r="J91" i="3" s="1"/>
  <c r="J319" i="3"/>
  <c r="J74" i="4"/>
  <c r="N127" i="5"/>
  <c r="I257" i="3"/>
  <c r="I256" i="3"/>
  <c r="H256" i="3"/>
  <c r="H257" i="3"/>
  <c r="I194" i="3"/>
  <c r="I195" i="3"/>
  <c r="H195" i="3"/>
  <c r="F176" i="3"/>
  <c r="H172" i="3" s="1"/>
  <c r="I80" i="4"/>
  <c r="I50" i="4"/>
  <c r="I12" i="4"/>
  <c r="I13" i="4" s="1"/>
  <c r="I16" i="4" s="1"/>
  <c r="I42" i="4"/>
  <c r="M138" i="5"/>
  <c r="M137" i="5"/>
  <c r="M136" i="5"/>
  <c r="J162" i="3"/>
  <c r="J143" i="3"/>
  <c r="J267" i="3"/>
  <c r="J224" i="3"/>
  <c r="J256" i="3"/>
  <c r="J205" i="3"/>
  <c r="J257" i="3"/>
  <c r="J290" i="3"/>
  <c r="J228" i="3"/>
  <c r="J318" i="3"/>
  <c r="J104" i="3"/>
  <c r="J105" i="3" s="1"/>
  <c r="J106" i="3" s="1"/>
  <c r="J194" i="3"/>
  <c r="J195" i="3"/>
  <c r="I166" i="3"/>
  <c r="F238" i="3"/>
  <c r="I234" i="3" s="1"/>
  <c r="H228" i="3"/>
  <c r="H229" i="3" s="1"/>
  <c r="H230" i="3" s="1"/>
  <c r="J166" i="3"/>
  <c r="H166" i="3"/>
  <c r="H167" i="3" s="1"/>
  <c r="H168" i="3" s="1"/>
  <c r="S135" i="5"/>
  <c r="S126" i="5"/>
  <c r="S125" i="5"/>
  <c r="S124" i="5"/>
  <c r="Q136" i="5"/>
  <c r="Q138" i="5"/>
  <c r="Q137" i="5"/>
  <c r="R136" i="5"/>
  <c r="R138" i="5"/>
  <c r="R137" i="5"/>
  <c r="M56" i="1"/>
  <c r="N56" i="1" s="1"/>
  <c r="M58" i="1"/>
  <c r="N58" i="1" s="1"/>
  <c r="M51" i="1"/>
  <c r="N51" i="1" s="1"/>
  <c r="M55" i="1"/>
  <c r="N55" i="1" s="1"/>
  <c r="M65" i="1"/>
  <c r="N65" i="1" s="1"/>
  <c r="M50" i="1"/>
  <c r="N50" i="1" s="1"/>
  <c r="M48" i="1"/>
  <c r="N48" i="1" s="1"/>
  <c r="M53" i="1"/>
  <c r="N53" i="1" s="1"/>
  <c r="M60" i="1"/>
  <c r="N60" i="1" s="1"/>
  <c r="M54" i="1"/>
  <c r="N54" i="1" s="1"/>
  <c r="M49" i="1"/>
  <c r="N49" i="1" s="1"/>
  <c r="M52" i="1"/>
  <c r="N52" i="1" s="1"/>
  <c r="M63" i="1"/>
  <c r="N63" i="1" s="1"/>
  <c r="K64" i="4"/>
  <c r="K69" i="4"/>
  <c r="R127" i="5"/>
  <c r="K138" i="5"/>
  <c r="K137" i="5"/>
  <c r="K136" i="5"/>
  <c r="T135" i="5"/>
  <c r="T125" i="5"/>
  <c r="T126" i="5"/>
  <c r="T124" i="5"/>
  <c r="P127" i="5"/>
  <c r="M127" i="5"/>
  <c r="Q127" i="5"/>
  <c r="O127" i="5"/>
  <c r="K127" i="5"/>
  <c r="L137" i="5"/>
  <c r="L138" i="5"/>
  <c r="L136" i="5"/>
  <c r="N138" i="5"/>
  <c r="N137" i="5"/>
  <c r="N136" i="5"/>
  <c r="J58" i="4"/>
  <c r="P137" i="5"/>
  <c r="P136" i="5"/>
  <c r="P138" i="5"/>
  <c r="L62" i="1"/>
  <c r="O137" i="5"/>
  <c r="O136" i="5"/>
  <c r="O138" i="5"/>
  <c r="M46" i="1"/>
  <c r="N46" i="1" s="1"/>
  <c r="J12" i="7"/>
  <c r="J13" i="7" s="1"/>
  <c r="J16" i="7" s="1"/>
  <c r="L14" i="7"/>
  <c r="L15" i="6"/>
  <c r="K16" i="6"/>
  <c r="K11" i="6"/>
  <c r="K13" i="6" s="1"/>
  <c r="J45" i="4"/>
  <c r="J68" i="4"/>
  <c r="J18" i="4"/>
  <c r="J23" i="4"/>
  <c r="J38" i="4"/>
  <c r="J50" i="4"/>
  <c r="I45" i="4"/>
  <c r="I68" i="4"/>
  <c r="I38" i="4"/>
  <c r="I18" i="4"/>
  <c r="I23" i="4"/>
  <c r="I58" i="4"/>
  <c r="H73" i="4"/>
  <c r="H24" i="4"/>
  <c r="H25" i="4" s="1"/>
  <c r="H19" i="4"/>
  <c r="H20" i="4" s="1"/>
  <c r="H39" i="4"/>
  <c r="H40" i="4" s="1"/>
  <c r="H43" i="4"/>
  <c r="H44" i="4" s="1"/>
  <c r="I54" i="4"/>
  <c r="J42" i="4"/>
  <c r="K93" i="5"/>
  <c r="K92" i="5"/>
  <c r="K91" i="5"/>
  <c r="L93" i="5"/>
  <c r="L92" i="5"/>
  <c r="L91" i="5"/>
  <c r="M92" i="5"/>
  <c r="M91" i="5"/>
  <c r="M93" i="5"/>
  <c r="Q40" i="5"/>
  <c r="Q42" i="5"/>
  <c r="Q54" i="5"/>
  <c r="Q41" i="5"/>
  <c r="O40" i="5"/>
  <c r="O41" i="5"/>
  <c r="O42" i="5"/>
  <c r="O54" i="5"/>
  <c r="M54" i="5"/>
  <c r="M41" i="5"/>
  <c r="M40" i="5"/>
  <c r="M42" i="5"/>
  <c r="N79" i="5"/>
  <c r="N90" i="5"/>
  <c r="P71" i="5"/>
  <c r="O77" i="5"/>
  <c r="N41" i="5"/>
  <c r="N40" i="5"/>
  <c r="N42" i="5"/>
  <c r="N54" i="5"/>
  <c r="P40" i="5"/>
  <c r="P41" i="5"/>
  <c r="P42" i="5"/>
  <c r="P54" i="5"/>
  <c r="L86" i="5"/>
  <c r="L81" i="5"/>
  <c r="L42" i="5"/>
  <c r="L54" i="5"/>
  <c r="L41" i="5"/>
  <c r="L40" i="5"/>
  <c r="R40" i="5"/>
  <c r="R42" i="5"/>
  <c r="R54" i="5"/>
  <c r="R41" i="5"/>
  <c r="M81" i="5"/>
  <c r="M86" i="5"/>
  <c r="K86" i="5"/>
  <c r="K88" i="5" s="1"/>
  <c r="L87" i="5" s="1"/>
  <c r="K81" i="5"/>
  <c r="K83" i="5" s="1"/>
  <c r="K42" i="5"/>
  <c r="K54" i="5"/>
  <c r="K56" i="5" s="1"/>
  <c r="K41" i="5"/>
  <c r="K40" i="5"/>
  <c r="O23" i="5"/>
  <c r="O28" i="5"/>
  <c r="P23" i="5"/>
  <c r="P28" i="5"/>
  <c r="Q23" i="5"/>
  <c r="Q28" i="5"/>
  <c r="S21" i="5"/>
  <c r="S39" i="5"/>
  <c r="K23" i="5"/>
  <c r="K25" i="5" s="1"/>
  <c r="K28" i="5"/>
  <c r="K30" i="5" s="1"/>
  <c r="L29" i="5" s="1"/>
  <c r="T39" i="5"/>
  <c r="T21" i="5"/>
  <c r="N28" i="5"/>
  <c r="N23" i="5"/>
  <c r="L23" i="5"/>
  <c r="L28" i="5"/>
  <c r="R23" i="5"/>
  <c r="R28" i="5"/>
  <c r="M23" i="5"/>
  <c r="M28" i="5"/>
  <c r="J12" i="4"/>
  <c r="J13" i="4" s="1"/>
  <c r="K15" i="4"/>
  <c r="K11" i="4"/>
  <c r="K80" i="4" s="1"/>
  <c r="K27" i="7" s="1"/>
  <c r="L14" i="4"/>
  <c r="H287" i="3"/>
  <c r="I284" i="3" s="1"/>
  <c r="I287" i="3" s="1"/>
  <c r="J284" i="3" s="1"/>
  <c r="J287" i="3" s="1"/>
  <c r="K284" i="3" s="1"/>
  <c r="H213" i="3"/>
  <c r="H214" i="3" s="1"/>
  <c r="H215" i="3" s="1"/>
  <c r="H225" i="3"/>
  <c r="I222" i="3" s="1"/>
  <c r="I225" i="3" s="1"/>
  <c r="J222" i="3" s="1"/>
  <c r="H101" i="3"/>
  <c r="I98" i="3" s="1"/>
  <c r="I101" i="3" s="1"/>
  <c r="J98" i="3" s="1"/>
  <c r="I105" i="3"/>
  <c r="I106" i="3" s="1"/>
  <c r="I89" i="3"/>
  <c r="I90" i="3" s="1"/>
  <c r="I91" i="3" s="1"/>
  <c r="H105" i="3"/>
  <c r="H106" i="3" s="1"/>
  <c r="F52" i="3"/>
  <c r="I48" i="3" s="1"/>
  <c r="J42" i="3"/>
  <c r="I42" i="3"/>
  <c r="H42" i="3"/>
  <c r="J19" i="3"/>
  <c r="J38" i="3"/>
  <c r="K14" i="3"/>
  <c r="J11" i="3"/>
  <c r="I12" i="3"/>
  <c r="I13" i="3" s="1"/>
  <c r="F56" i="3" l="1"/>
  <c r="I71" i="3" s="1"/>
  <c r="J32" i="4"/>
  <c r="I32" i="4"/>
  <c r="H32" i="4"/>
  <c r="I29" i="4"/>
  <c r="I30" i="4"/>
  <c r="I33" i="4"/>
  <c r="K30" i="4"/>
  <c r="J30" i="4"/>
  <c r="K29" i="4"/>
  <c r="K33" i="4"/>
  <c r="J33" i="4"/>
  <c r="H31" i="4"/>
  <c r="J31" i="4"/>
  <c r="K31" i="4"/>
  <c r="J29" i="4"/>
  <c r="K11" i="7"/>
  <c r="J67" i="7"/>
  <c r="J163" i="3"/>
  <c r="K160" i="3" s="1"/>
  <c r="L59" i="4"/>
  <c r="L51" i="4"/>
  <c r="H32" i="3"/>
  <c r="H33" i="3" s="1"/>
  <c r="K15" i="7"/>
  <c r="K33" i="7"/>
  <c r="K38" i="7"/>
  <c r="K34" i="7"/>
  <c r="K65" i="7"/>
  <c r="K66" i="7" s="1"/>
  <c r="H134" i="3"/>
  <c r="I131" i="3" s="1"/>
  <c r="I134" i="3" s="1"/>
  <c r="J131" i="3" s="1"/>
  <c r="J134" i="3" s="1"/>
  <c r="K131" i="3" s="1"/>
  <c r="K10" i="9"/>
  <c r="G91" i="1"/>
  <c r="G139" i="1" s="1"/>
  <c r="H139" i="3"/>
  <c r="I27" i="3"/>
  <c r="I28" i="3" s="1"/>
  <c r="I29" i="3" s="1"/>
  <c r="I325" i="3"/>
  <c r="J13" i="6"/>
  <c r="I291" i="3"/>
  <c r="I292" i="3" s="1"/>
  <c r="I263" i="3"/>
  <c r="I39" i="3"/>
  <c r="J36" i="3" s="1"/>
  <c r="J39" i="3" s="1"/>
  <c r="K36" i="3" s="1"/>
  <c r="J325" i="3"/>
  <c r="J296" i="3"/>
  <c r="H320" i="3"/>
  <c r="I317" i="3" s="1"/>
  <c r="I320" i="3" s="1"/>
  <c r="J317" i="3" s="1"/>
  <c r="J320" i="3" s="1"/>
  <c r="K317" i="3" s="1"/>
  <c r="I296" i="3"/>
  <c r="I229" i="3"/>
  <c r="I230" i="3" s="1"/>
  <c r="I231" i="3" s="1"/>
  <c r="J291" i="3"/>
  <c r="J292" i="3" s="1"/>
  <c r="K9" i="3"/>
  <c r="H201" i="3"/>
  <c r="H258" i="3"/>
  <c r="I255" i="3" s="1"/>
  <c r="I258" i="3" s="1"/>
  <c r="J255" i="3" s="1"/>
  <c r="J258" i="3" s="1"/>
  <c r="K255" i="3" s="1"/>
  <c r="I167" i="3"/>
  <c r="I168" i="3" s="1"/>
  <c r="I169" i="3" s="1"/>
  <c r="J94" i="3"/>
  <c r="J95" i="3" s="1"/>
  <c r="J139" i="3"/>
  <c r="J229" i="3"/>
  <c r="J230" i="3" s="1"/>
  <c r="H263" i="3"/>
  <c r="J16" i="4"/>
  <c r="R134" i="5"/>
  <c r="R139" i="5" s="1"/>
  <c r="K234" i="3"/>
  <c r="J167" i="3"/>
  <c r="J168" i="3" s="1"/>
  <c r="H196" i="3"/>
  <c r="I193" i="3" s="1"/>
  <c r="I196" i="3" s="1"/>
  <c r="J193" i="3" s="1"/>
  <c r="J196" i="3" s="1"/>
  <c r="K193" i="3" s="1"/>
  <c r="J101" i="3"/>
  <c r="K98" i="3" s="1"/>
  <c r="J201" i="3"/>
  <c r="J225" i="3"/>
  <c r="K222" i="3" s="1"/>
  <c r="I172" i="3"/>
  <c r="K74" i="4"/>
  <c r="J172" i="3"/>
  <c r="S127" i="5"/>
  <c r="N134" i="5"/>
  <c r="N139" i="5" s="1"/>
  <c r="K134" i="5"/>
  <c r="K139" i="5" s="1"/>
  <c r="K141" i="5" s="1"/>
  <c r="L64" i="4"/>
  <c r="L69" i="4"/>
  <c r="P134" i="5"/>
  <c r="P139" i="5" s="1"/>
  <c r="H234" i="3"/>
  <c r="M62" i="1"/>
  <c r="N62" i="1" s="1"/>
  <c r="Q134" i="5"/>
  <c r="Q139" i="5" s="1"/>
  <c r="J275" i="3"/>
  <c r="J276" i="3" s="1"/>
  <c r="J277" i="3" s="1"/>
  <c r="J280" i="3"/>
  <c r="J281" i="3" s="1"/>
  <c r="J234" i="3"/>
  <c r="J151" i="3"/>
  <c r="J152" i="3" s="1"/>
  <c r="J153" i="3" s="1"/>
  <c r="J156" i="3"/>
  <c r="J157" i="3" s="1"/>
  <c r="M134" i="5"/>
  <c r="M139" i="5" s="1"/>
  <c r="L134" i="5"/>
  <c r="L139" i="5" s="1"/>
  <c r="L141" i="5" s="1"/>
  <c r="T127" i="5"/>
  <c r="S138" i="5"/>
  <c r="S137" i="5"/>
  <c r="S136" i="5"/>
  <c r="J213" i="3"/>
  <c r="J214" i="3" s="1"/>
  <c r="J215" i="3" s="1"/>
  <c r="J218" i="3"/>
  <c r="J219" i="3" s="1"/>
  <c r="O134" i="5"/>
  <c r="O139" i="5" s="1"/>
  <c r="K42" i="3"/>
  <c r="K43" i="3" s="1"/>
  <c r="K44" i="3" s="1"/>
  <c r="K267" i="3"/>
  <c r="K162" i="3"/>
  <c r="K163" i="3" s="1"/>
  <c r="L160" i="3" s="1"/>
  <c r="K143" i="3"/>
  <c r="K318" i="3"/>
  <c r="K296" i="3"/>
  <c r="K257" i="3"/>
  <c r="K228" i="3"/>
  <c r="K229" i="3" s="1"/>
  <c r="K230" i="3" s="1"/>
  <c r="K319" i="3"/>
  <c r="K290" i="3"/>
  <c r="K291" i="3" s="1"/>
  <c r="K292" i="3" s="1"/>
  <c r="K104" i="3"/>
  <c r="K105" i="3" s="1"/>
  <c r="K106" i="3" s="1"/>
  <c r="K286" i="3"/>
  <c r="K133" i="3"/>
  <c r="K100" i="3"/>
  <c r="K195" i="3"/>
  <c r="K224" i="3"/>
  <c r="K205" i="3"/>
  <c r="K256" i="3"/>
  <c r="K110" i="3"/>
  <c r="K172" i="3"/>
  <c r="K194" i="3"/>
  <c r="K132" i="3"/>
  <c r="K81" i="3"/>
  <c r="K166" i="3"/>
  <c r="K167" i="3" s="1"/>
  <c r="K168" i="3" s="1"/>
  <c r="T137" i="5"/>
  <c r="T136" i="5"/>
  <c r="T138" i="5"/>
  <c r="J263" i="3"/>
  <c r="I27" i="7"/>
  <c r="I201" i="3"/>
  <c r="L80" i="7"/>
  <c r="L65" i="7"/>
  <c r="L34" i="7"/>
  <c r="L38" i="7"/>
  <c r="L33" i="7"/>
  <c r="M14" i="7"/>
  <c r="L15" i="7"/>
  <c r="L11" i="7"/>
  <c r="K12" i="7"/>
  <c r="K13" i="7" s="1"/>
  <c r="K16" i="7" s="1"/>
  <c r="K12" i="6"/>
  <c r="K14" i="6" s="1"/>
  <c r="K17" i="6" s="1"/>
  <c r="L16" i="6"/>
  <c r="L11" i="6"/>
  <c r="L13" i="6" s="1"/>
  <c r="M15" i="6"/>
  <c r="H46" i="4"/>
  <c r="I39" i="4"/>
  <c r="I40" i="4" s="1"/>
  <c r="I24" i="4"/>
  <c r="I25" i="4" s="1"/>
  <c r="I43" i="4"/>
  <c r="I44" i="4" s="1"/>
  <c r="I19" i="4"/>
  <c r="I20" i="4" s="1"/>
  <c r="I73" i="4"/>
  <c r="K45" i="4"/>
  <c r="K68" i="4"/>
  <c r="K18" i="4"/>
  <c r="K38" i="4"/>
  <c r="K23" i="4"/>
  <c r="K42" i="4"/>
  <c r="L32" i="4"/>
  <c r="L29" i="4"/>
  <c r="L33" i="4"/>
  <c r="L31" i="4"/>
  <c r="L30" i="4"/>
  <c r="K94" i="5"/>
  <c r="K96" i="5" s="1"/>
  <c r="K98" i="5" s="1"/>
  <c r="L82" i="5"/>
  <c r="L83" i="5" s="1"/>
  <c r="K110" i="5"/>
  <c r="L94" i="5"/>
  <c r="N49" i="5"/>
  <c r="M94" i="5"/>
  <c r="N92" i="5"/>
  <c r="N91" i="5"/>
  <c r="N93" i="5"/>
  <c r="O79" i="5"/>
  <c r="O90" i="5"/>
  <c r="Q71" i="5"/>
  <c r="P77" i="5"/>
  <c r="L49" i="5"/>
  <c r="T42" i="5"/>
  <c r="T54" i="5"/>
  <c r="T41" i="5"/>
  <c r="T40" i="5"/>
  <c r="S42" i="5"/>
  <c r="S54" i="5"/>
  <c r="S41" i="5"/>
  <c r="S40" i="5"/>
  <c r="P49" i="5"/>
  <c r="N81" i="5"/>
  <c r="N86" i="5"/>
  <c r="O49" i="5"/>
  <c r="R49" i="5"/>
  <c r="L55" i="5"/>
  <c r="L56" i="5" s="1"/>
  <c r="M55" i="5" s="1"/>
  <c r="M56" i="5" s="1"/>
  <c r="N55" i="5" s="1"/>
  <c r="N56" i="5" s="1"/>
  <c r="O55" i="5" s="1"/>
  <c r="O56" i="5" s="1"/>
  <c r="P55" i="5" s="1"/>
  <c r="P56" i="5" s="1"/>
  <c r="M49" i="5"/>
  <c r="K49" i="5"/>
  <c r="K51" i="5" s="1"/>
  <c r="L88" i="5"/>
  <c r="M87" i="5" s="1"/>
  <c r="M88" i="5" s="1"/>
  <c r="N87" i="5" s="1"/>
  <c r="Q49" i="5"/>
  <c r="L24" i="5"/>
  <c r="L25" i="5" s="1"/>
  <c r="K33" i="5"/>
  <c r="K34" i="5" s="1"/>
  <c r="S23" i="5"/>
  <c r="S28" i="5"/>
  <c r="L30" i="5"/>
  <c r="T23" i="5"/>
  <c r="T28" i="5"/>
  <c r="L15" i="4"/>
  <c r="L11" i="4"/>
  <c r="L54" i="4" s="1"/>
  <c r="M14" i="4"/>
  <c r="K12" i="4"/>
  <c r="K13" i="4" s="1"/>
  <c r="K16" i="4" s="1"/>
  <c r="H293" i="3"/>
  <c r="H294" i="3" s="1"/>
  <c r="H308" i="3" s="1"/>
  <c r="H309" i="3" s="1"/>
  <c r="H310" i="3" s="1"/>
  <c r="H323" i="3" s="1"/>
  <c r="H231" i="3"/>
  <c r="H169" i="3"/>
  <c r="I107" i="3"/>
  <c r="J107" i="3"/>
  <c r="H107" i="3"/>
  <c r="J48" i="3"/>
  <c r="H48" i="3"/>
  <c r="I43" i="3"/>
  <c r="I44" i="3" s="1"/>
  <c r="H43" i="3"/>
  <c r="H44" i="3" s="1"/>
  <c r="J43" i="3"/>
  <c r="J44" i="3" s="1"/>
  <c r="K48" i="3"/>
  <c r="K19" i="3"/>
  <c r="K38" i="3"/>
  <c r="J27" i="3"/>
  <c r="J28" i="3" s="1"/>
  <c r="J29" i="3" s="1"/>
  <c r="J32" i="3"/>
  <c r="J33" i="3" s="1"/>
  <c r="I16" i="3"/>
  <c r="L14" i="3"/>
  <c r="K11" i="3"/>
  <c r="J12" i="3"/>
  <c r="J13" i="3" s="1"/>
  <c r="J71" i="3" l="1"/>
  <c r="J70" i="3"/>
  <c r="H71" i="3"/>
  <c r="K71" i="3"/>
  <c r="I70" i="3"/>
  <c r="I77" i="3" s="1"/>
  <c r="I330" i="3" s="1"/>
  <c r="I45" i="7" s="1"/>
  <c r="K70" i="3"/>
  <c r="H70" i="3"/>
  <c r="H34" i="4"/>
  <c r="I34" i="4"/>
  <c r="J34" i="4"/>
  <c r="K34" i="4"/>
  <c r="M51" i="4"/>
  <c r="M59" i="4"/>
  <c r="M55" i="4"/>
  <c r="K67" i="7"/>
  <c r="K11" i="9"/>
  <c r="L66" i="7"/>
  <c r="K66" i="9"/>
  <c r="L9" i="9"/>
  <c r="H90" i="1"/>
  <c r="J231" i="3"/>
  <c r="J233" i="3" s="1"/>
  <c r="J251" i="3" s="1"/>
  <c r="J252" i="3" s="1"/>
  <c r="J262" i="3" s="1"/>
  <c r="J293" i="3"/>
  <c r="J295" i="3" s="1"/>
  <c r="J313" i="3" s="1"/>
  <c r="J314" i="3" s="1"/>
  <c r="J324" i="3" s="1"/>
  <c r="I293" i="3"/>
  <c r="I295" i="3" s="1"/>
  <c r="I313" i="3" s="1"/>
  <c r="I314" i="3" s="1"/>
  <c r="I324" i="3" s="1"/>
  <c r="K10" i="3"/>
  <c r="K231" i="3"/>
  <c r="K233" i="3" s="1"/>
  <c r="K251" i="3" s="1"/>
  <c r="K252" i="3" s="1"/>
  <c r="J19" i="4"/>
  <c r="J20" i="4" s="1"/>
  <c r="J24" i="4"/>
  <c r="J25" i="4" s="1"/>
  <c r="J39" i="4"/>
  <c r="J40" i="4" s="1"/>
  <c r="J169" i="3"/>
  <c r="J170" i="3" s="1"/>
  <c r="J184" i="3" s="1"/>
  <c r="J185" i="3" s="1"/>
  <c r="J186" i="3" s="1"/>
  <c r="J199" i="3" s="1"/>
  <c r="K169" i="3"/>
  <c r="K170" i="3" s="1"/>
  <c r="K184" i="3" s="1"/>
  <c r="K185" i="3" s="1"/>
  <c r="K186" i="3" s="1"/>
  <c r="J73" i="4"/>
  <c r="J43" i="4"/>
  <c r="J44" i="4" s="1"/>
  <c r="K101" i="3"/>
  <c r="L98" i="3" s="1"/>
  <c r="K225" i="3"/>
  <c r="L222" i="3" s="1"/>
  <c r="S134" i="5"/>
  <c r="S139" i="5" s="1"/>
  <c r="K134" i="3"/>
  <c r="L131" i="3" s="1"/>
  <c r="K258" i="3"/>
  <c r="L255" i="3" s="1"/>
  <c r="K196" i="3"/>
  <c r="L193" i="3" s="1"/>
  <c r="K320" i="3"/>
  <c r="L317" i="3" s="1"/>
  <c r="K325" i="3"/>
  <c r="K151" i="3"/>
  <c r="K152" i="3" s="1"/>
  <c r="K153" i="3" s="1"/>
  <c r="K156" i="3"/>
  <c r="K157" i="3" s="1"/>
  <c r="K213" i="3"/>
  <c r="K214" i="3" s="1"/>
  <c r="K215" i="3" s="1"/>
  <c r="K218" i="3"/>
  <c r="K219" i="3" s="1"/>
  <c r="K287" i="3"/>
  <c r="L284" i="3" s="1"/>
  <c r="L42" i="3"/>
  <c r="L43" i="3" s="1"/>
  <c r="L44" i="3" s="1"/>
  <c r="L45" i="3" s="1"/>
  <c r="L70" i="3"/>
  <c r="L71" i="3"/>
  <c r="L162" i="3"/>
  <c r="L163" i="3" s="1"/>
  <c r="M160" i="3" s="1"/>
  <c r="L267" i="3"/>
  <c r="L143" i="3"/>
  <c r="L286" i="3"/>
  <c r="L290" i="3"/>
  <c r="L319" i="3"/>
  <c r="L318" i="3"/>
  <c r="L195" i="3"/>
  <c r="L228" i="3"/>
  <c r="L256" i="3"/>
  <c r="L224" i="3"/>
  <c r="L296" i="3"/>
  <c r="L166" i="3"/>
  <c r="L194" i="3"/>
  <c r="L100" i="3"/>
  <c r="L205" i="3"/>
  <c r="L257" i="3"/>
  <c r="L110" i="3"/>
  <c r="L133" i="3"/>
  <c r="L104" i="3"/>
  <c r="L132" i="3"/>
  <c r="L81" i="3"/>
  <c r="L172" i="3"/>
  <c r="L234" i="3"/>
  <c r="K275" i="3"/>
  <c r="K276" i="3" s="1"/>
  <c r="K277" i="3" s="1"/>
  <c r="K280" i="3"/>
  <c r="K281" i="3" s="1"/>
  <c r="K263" i="3"/>
  <c r="K107" i="3"/>
  <c r="K108" i="3" s="1"/>
  <c r="K122" i="3" s="1"/>
  <c r="K123" i="3" s="1"/>
  <c r="K124" i="3" s="1"/>
  <c r="M140" i="5"/>
  <c r="M141" i="5" s="1"/>
  <c r="L144" i="5"/>
  <c r="L145" i="5" s="1"/>
  <c r="L148" i="5" s="1"/>
  <c r="K39" i="3"/>
  <c r="L36" i="3" s="1"/>
  <c r="M64" i="4"/>
  <c r="K94" i="3"/>
  <c r="K95" i="3" s="1"/>
  <c r="K89" i="3"/>
  <c r="K90" i="3" s="1"/>
  <c r="K91" i="3" s="1"/>
  <c r="T134" i="5"/>
  <c r="T139" i="5" s="1"/>
  <c r="K293" i="3"/>
  <c r="K294" i="3" s="1"/>
  <c r="K308" i="3" s="1"/>
  <c r="K309" i="3" s="1"/>
  <c r="K310" i="3" s="1"/>
  <c r="L50" i="4"/>
  <c r="L80" i="4"/>
  <c r="K139" i="3"/>
  <c r="K144" i="5"/>
  <c r="K145" i="5" s="1"/>
  <c r="K148" i="5" s="1"/>
  <c r="K58" i="4" s="1"/>
  <c r="L140" i="5"/>
  <c r="K201" i="3"/>
  <c r="L74" i="4"/>
  <c r="M80" i="7"/>
  <c r="M65" i="7"/>
  <c r="M66" i="7" s="1"/>
  <c r="L67" i="7"/>
  <c r="M38" i="7"/>
  <c r="M33" i="7"/>
  <c r="M34" i="7"/>
  <c r="L12" i="7"/>
  <c r="L13" i="7" s="1"/>
  <c r="L16" i="7" s="1"/>
  <c r="N14" i="7"/>
  <c r="M15" i="7"/>
  <c r="M11" i="7"/>
  <c r="M16" i="6"/>
  <c r="M11" i="6"/>
  <c r="M13" i="6" s="1"/>
  <c r="N15" i="6"/>
  <c r="L12" i="6"/>
  <c r="L14" i="6" s="1"/>
  <c r="L17" i="6" s="1"/>
  <c r="I46" i="4"/>
  <c r="K19" i="4"/>
  <c r="K20" i="4" s="1"/>
  <c r="K24" i="4"/>
  <c r="K25" i="4" s="1"/>
  <c r="K39" i="4"/>
  <c r="K40" i="4" s="1"/>
  <c r="K73" i="4"/>
  <c r="K43" i="4"/>
  <c r="K44" i="4" s="1"/>
  <c r="M32" i="4"/>
  <c r="M33" i="4"/>
  <c r="M30" i="4"/>
  <c r="M31" i="4"/>
  <c r="M29" i="4"/>
  <c r="L68" i="4"/>
  <c r="L45" i="4"/>
  <c r="L18" i="4"/>
  <c r="L23" i="4"/>
  <c r="L38" i="4"/>
  <c r="L42" i="4"/>
  <c r="L34" i="4"/>
  <c r="L58" i="4"/>
  <c r="L95" i="5"/>
  <c r="L96" i="5" s="1"/>
  <c r="M95" i="5" s="1"/>
  <c r="M96" i="5" s="1"/>
  <c r="K111" i="5"/>
  <c r="K114" i="5" s="1"/>
  <c r="K54" i="4" s="1"/>
  <c r="L55" i="4" s="1"/>
  <c r="N94" i="5"/>
  <c r="M82" i="5"/>
  <c r="M83" i="5" s="1"/>
  <c r="L110" i="5"/>
  <c r="O91" i="5"/>
  <c r="O93" i="5"/>
  <c r="O92" i="5"/>
  <c r="S49" i="5"/>
  <c r="K59" i="5"/>
  <c r="K60" i="5" s="1"/>
  <c r="K63" i="5" s="1"/>
  <c r="K50" i="4" s="1"/>
  <c r="L50" i="5"/>
  <c r="L51" i="5" s="1"/>
  <c r="P79" i="5"/>
  <c r="P90" i="5"/>
  <c r="R71" i="5"/>
  <c r="Q77" i="5"/>
  <c r="T49" i="5"/>
  <c r="N88" i="5"/>
  <c r="O87" i="5" s="1"/>
  <c r="O81" i="5"/>
  <c r="O86" i="5"/>
  <c r="Q55" i="5"/>
  <c r="Q56" i="5" s="1"/>
  <c r="M24" i="5"/>
  <c r="M25" i="5" s="1"/>
  <c r="L33" i="5"/>
  <c r="L34" i="5" s="1"/>
  <c r="M29" i="5"/>
  <c r="M30" i="5" s="1"/>
  <c r="M15" i="4"/>
  <c r="M11" i="4"/>
  <c r="N14" i="4"/>
  <c r="L12" i="4"/>
  <c r="L13" i="4" s="1"/>
  <c r="L16" i="4" s="1"/>
  <c r="H295" i="3"/>
  <c r="H313" i="3" s="1"/>
  <c r="H314" i="3" s="1"/>
  <c r="H324" i="3" s="1"/>
  <c r="I233" i="3"/>
  <c r="I251" i="3" s="1"/>
  <c r="I252" i="3" s="1"/>
  <c r="I262" i="3" s="1"/>
  <c r="I232" i="3"/>
  <c r="I246" i="3" s="1"/>
  <c r="I247" i="3" s="1"/>
  <c r="I248" i="3" s="1"/>
  <c r="I261" i="3" s="1"/>
  <c r="H233" i="3"/>
  <c r="H251" i="3" s="1"/>
  <c r="H252" i="3" s="1"/>
  <c r="H262" i="3" s="1"/>
  <c r="H232" i="3"/>
  <c r="H246" i="3" s="1"/>
  <c r="H247" i="3" s="1"/>
  <c r="H248" i="3" s="1"/>
  <c r="H261" i="3" s="1"/>
  <c r="H170" i="3"/>
  <c r="H184" i="3" s="1"/>
  <c r="H185" i="3" s="1"/>
  <c r="H186" i="3" s="1"/>
  <c r="H199" i="3" s="1"/>
  <c r="H171" i="3"/>
  <c r="H189" i="3" s="1"/>
  <c r="H190" i="3" s="1"/>
  <c r="H200" i="3" s="1"/>
  <c r="I171" i="3"/>
  <c r="I189" i="3" s="1"/>
  <c r="I190" i="3" s="1"/>
  <c r="I200" i="3" s="1"/>
  <c r="I170" i="3"/>
  <c r="I184" i="3" s="1"/>
  <c r="I185" i="3" s="1"/>
  <c r="I186" i="3" s="1"/>
  <c r="I199" i="3" s="1"/>
  <c r="H109" i="3"/>
  <c r="H127" i="3" s="1"/>
  <c r="H128" i="3" s="1"/>
  <c r="H138" i="3" s="1"/>
  <c r="H108" i="3"/>
  <c r="H122" i="3" s="1"/>
  <c r="H123" i="3" s="1"/>
  <c r="H124" i="3" s="1"/>
  <c r="H137" i="3" s="1"/>
  <c r="I108" i="3"/>
  <c r="I122" i="3" s="1"/>
  <c r="I123" i="3" s="1"/>
  <c r="I124" i="3" s="1"/>
  <c r="I137" i="3" s="1"/>
  <c r="I109" i="3"/>
  <c r="I127" i="3" s="1"/>
  <c r="I128" i="3" s="1"/>
  <c r="I138" i="3" s="1"/>
  <c r="J108" i="3"/>
  <c r="J122" i="3" s="1"/>
  <c r="J123" i="3" s="1"/>
  <c r="J124" i="3" s="1"/>
  <c r="J137" i="3" s="1"/>
  <c r="J109" i="3"/>
  <c r="J127" i="3" s="1"/>
  <c r="J128" i="3" s="1"/>
  <c r="J138" i="3" s="1"/>
  <c r="L48" i="3"/>
  <c r="K45" i="3"/>
  <c r="H45" i="3"/>
  <c r="J45" i="3"/>
  <c r="I45" i="3"/>
  <c r="L38" i="3"/>
  <c r="L19" i="3"/>
  <c r="K32" i="3"/>
  <c r="K33" i="3" s="1"/>
  <c r="K27" i="3"/>
  <c r="K28" i="3" s="1"/>
  <c r="K29" i="3" s="1"/>
  <c r="M14" i="3"/>
  <c r="L11" i="3"/>
  <c r="J16" i="3"/>
  <c r="K12" i="3"/>
  <c r="K13" i="3" s="1"/>
  <c r="K77" i="3" l="1"/>
  <c r="K330" i="3" s="1"/>
  <c r="K45" i="7" s="1"/>
  <c r="H77" i="3"/>
  <c r="H330" i="3" s="1"/>
  <c r="H45" i="7" s="1"/>
  <c r="H72" i="3"/>
  <c r="I69" i="3" s="1"/>
  <c r="I72" i="3" s="1"/>
  <c r="J69" i="3" s="1"/>
  <c r="J72" i="3" s="1"/>
  <c r="K69" i="3" s="1"/>
  <c r="K72" i="3" s="1"/>
  <c r="L69" i="3" s="1"/>
  <c r="L72" i="3" s="1"/>
  <c r="M69" i="3" s="1"/>
  <c r="J77" i="3"/>
  <c r="J330" i="3" s="1"/>
  <c r="J45" i="7" s="1"/>
  <c r="N59" i="4"/>
  <c r="N55" i="4"/>
  <c r="K77" i="9"/>
  <c r="L10" i="9"/>
  <c r="H91" i="1"/>
  <c r="H139" i="1" s="1"/>
  <c r="K232" i="3"/>
  <c r="K246" i="3" s="1"/>
  <c r="K247" i="3" s="1"/>
  <c r="K248" i="3" s="1"/>
  <c r="K261" i="3" s="1"/>
  <c r="L9" i="3"/>
  <c r="L10" i="3" s="1"/>
  <c r="J294" i="3"/>
  <c r="J308" i="3" s="1"/>
  <c r="J309" i="3" s="1"/>
  <c r="J310" i="3" s="1"/>
  <c r="J323" i="3" s="1"/>
  <c r="I294" i="3"/>
  <c r="I308" i="3" s="1"/>
  <c r="I309" i="3" s="1"/>
  <c r="I310" i="3" s="1"/>
  <c r="I323" i="3" s="1"/>
  <c r="J232" i="3"/>
  <c r="J246" i="3" s="1"/>
  <c r="J247" i="3" s="1"/>
  <c r="J248" i="3" s="1"/>
  <c r="J261" i="3" s="1"/>
  <c r="L258" i="3"/>
  <c r="M255" i="3" s="1"/>
  <c r="K171" i="3"/>
  <c r="K189" i="3" s="1"/>
  <c r="K190" i="3" s="1"/>
  <c r="K200" i="3" s="1"/>
  <c r="K262" i="3"/>
  <c r="J46" i="4"/>
  <c r="J171" i="3"/>
  <c r="J189" i="3" s="1"/>
  <c r="J190" i="3" s="1"/>
  <c r="J200" i="3" s="1"/>
  <c r="L101" i="3"/>
  <c r="M98" i="3" s="1"/>
  <c r="K199" i="3"/>
  <c r="K295" i="3"/>
  <c r="K313" i="3" s="1"/>
  <c r="K314" i="3" s="1"/>
  <c r="K324" i="3" s="1"/>
  <c r="K137" i="3"/>
  <c r="L225" i="3"/>
  <c r="M222" i="3" s="1"/>
  <c r="K109" i="3"/>
  <c r="K127" i="3" s="1"/>
  <c r="K128" i="3" s="1"/>
  <c r="K138" i="3" s="1"/>
  <c r="K323" i="3"/>
  <c r="L134" i="3"/>
  <c r="M131" i="3" s="1"/>
  <c r="L320" i="3"/>
  <c r="M317" i="3" s="1"/>
  <c r="L201" i="3"/>
  <c r="L287" i="3"/>
  <c r="M284" i="3" s="1"/>
  <c r="L98" i="5"/>
  <c r="L111" i="5" s="1"/>
  <c r="L114" i="5" s="1"/>
  <c r="N140" i="5"/>
  <c r="N141" i="5" s="1"/>
  <c r="M144" i="5"/>
  <c r="M145" i="5" s="1"/>
  <c r="M148" i="5" s="1"/>
  <c r="L39" i="3"/>
  <c r="M36" i="3" s="1"/>
  <c r="L77" i="3"/>
  <c r="L105" i="3"/>
  <c r="L106" i="3" s="1"/>
  <c r="L107" i="3" s="1"/>
  <c r="L325" i="3"/>
  <c r="L291" i="3"/>
  <c r="L292" i="3" s="1"/>
  <c r="L293" i="3" s="1"/>
  <c r="L263" i="3"/>
  <c r="L151" i="3"/>
  <c r="L152" i="3" s="1"/>
  <c r="L153" i="3" s="1"/>
  <c r="L156" i="3"/>
  <c r="L157" i="3" s="1"/>
  <c r="L196" i="3"/>
  <c r="M193" i="3" s="1"/>
  <c r="L167" i="3"/>
  <c r="L168" i="3" s="1"/>
  <c r="L169" i="3" s="1"/>
  <c r="N69" i="4"/>
  <c r="N64" i="4"/>
  <c r="L280" i="3"/>
  <c r="L281" i="3" s="1"/>
  <c r="L275" i="3"/>
  <c r="L276" i="3" s="1"/>
  <c r="L277" i="3" s="1"/>
  <c r="M54" i="4"/>
  <c r="M80" i="4"/>
  <c r="M27" i="7" s="1"/>
  <c r="L229" i="3"/>
  <c r="L230" i="3" s="1"/>
  <c r="L231" i="3" s="1"/>
  <c r="M71" i="3"/>
  <c r="M70" i="3"/>
  <c r="M162" i="3"/>
  <c r="M163" i="3" s="1"/>
  <c r="N160" i="3" s="1"/>
  <c r="M143" i="3"/>
  <c r="M267" i="3"/>
  <c r="M290" i="3"/>
  <c r="M318" i="3"/>
  <c r="M224" i="3"/>
  <c r="M205" i="3"/>
  <c r="M319" i="3"/>
  <c r="M296" i="3"/>
  <c r="M256" i="3"/>
  <c r="M257" i="3"/>
  <c r="M132" i="3"/>
  <c r="M228" i="3"/>
  <c r="M194" i="3"/>
  <c r="M166" i="3"/>
  <c r="M286" i="3"/>
  <c r="M195" i="3"/>
  <c r="M104" i="3"/>
  <c r="M110" i="3"/>
  <c r="M100" i="3"/>
  <c r="M81" i="3"/>
  <c r="M133" i="3"/>
  <c r="M172" i="3"/>
  <c r="M234" i="3"/>
  <c r="L27" i="7"/>
  <c r="L213" i="3"/>
  <c r="L214" i="3" s="1"/>
  <c r="L215" i="3" s="1"/>
  <c r="L218" i="3"/>
  <c r="L219" i="3" s="1"/>
  <c r="M74" i="4"/>
  <c r="L139" i="3"/>
  <c r="L89" i="3"/>
  <c r="L90" i="3" s="1"/>
  <c r="L91" i="3" s="1"/>
  <c r="L94" i="3"/>
  <c r="L95" i="3" s="1"/>
  <c r="N80" i="7"/>
  <c r="N65" i="7"/>
  <c r="N66" i="7" s="1"/>
  <c r="M67" i="7"/>
  <c r="N38" i="7"/>
  <c r="N33" i="7"/>
  <c r="N34" i="7"/>
  <c r="M12" i="7"/>
  <c r="M13" i="7" s="1"/>
  <c r="M16" i="7" s="1"/>
  <c r="O14" i="7"/>
  <c r="N15" i="7"/>
  <c r="N11" i="7"/>
  <c r="N11" i="6"/>
  <c r="N13" i="6" s="1"/>
  <c r="O15" i="6"/>
  <c r="N16" i="6"/>
  <c r="M12" i="6"/>
  <c r="M14" i="6" s="1"/>
  <c r="M17" i="6" s="1"/>
  <c r="L19" i="4"/>
  <c r="L20" i="4" s="1"/>
  <c r="L24" i="4"/>
  <c r="L25" i="4" s="1"/>
  <c r="L39" i="4"/>
  <c r="L40" i="4" s="1"/>
  <c r="L73" i="4"/>
  <c r="L43" i="4"/>
  <c r="L44" i="4" s="1"/>
  <c r="M58" i="4"/>
  <c r="K46" i="4"/>
  <c r="M50" i="4"/>
  <c r="M34" i="4"/>
  <c r="M68" i="4"/>
  <c r="M69" i="4" s="1"/>
  <c r="M45" i="4"/>
  <c r="M18" i="4"/>
  <c r="M38" i="4"/>
  <c r="M23" i="4"/>
  <c r="M42" i="4"/>
  <c r="N32" i="4"/>
  <c r="N33" i="4"/>
  <c r="N30" i="4"/>
  <c r="N31" i="4"/>
  <c r="N29" i="4"/>
  <c r="N95" i="5"/>
  <c r="N96" i="5" s="1"/>
  <c r="M98" i="5"/>
  <c r="N82" i="5"/>
  <c r="N83" i="5" s="1"/>
  <c r="M110" i="5"/>
  <c r="O94" i="5"/>
  <c r="P91" i="5"/>
  <c r="P93" i="5"/>
  <c r="P92" i="5"/>
  <c r="S71" i="5"/>
  <c r="R77" i="5"/>
  <c r="L59" i="5"/>
  <c r="L60" i="5" s="1"/>
  <c r="L63" i="5" s="1"/>
  <c r="M50" i="5"/>
  <c r="M51" i="5" s="1"/>
  <c r="O88" i="5"/>
  <c r="P87" i="5" s="1"/>
  <c r="P81" i="5"/>
  <c r="P86" i="5"/>
  <c r="Q79" i="5"/>
  <c r="Q90" i="5"/>
  <c r="R55" i="5"/>
  <c r="R56" i="5" s="1"/>
  <c r="N29" i="5"/>
  <c r="N30" i="5" s="1"/>
  <c r="N24" i="5"/>
  <c r="N25" i="5" s="1"/>
  <c r="M33" i="5"/>
  <c r="M34" i="5" s="1"/>
  <c r="M12" i="4"/>
  <c r="M13" i="4" s="1"/>
  <c r="M16" i="4" s="1"/>
  <c r="N15" i="4"/>
  <c r="N11" i="4"/>
  <c r="N80" i="4" s="1"/>
  <c r="N27" i="7" s="1"/>
  <c r="O14" i="4"/>
  <c r="M42" i="3"/>
  <c r="M48" i="3"/>
  <c r="H46" i="3"/>
  <c r="H60" i="3" s="1"/>
  <c r="H61" i="3" s="1"/>
  <c r="H62" i="3" s="1"/>
  <c r="H75" i="3" s="1"/>
  <c r="H328" i="3" s="1"/>
  <c r="H47" i="3"/>
  <c r="H65" i="3" s="1"/>
  <c r="H66" i="3" s="1"/>
  <c r="H76" i="3" s="1"/>
  <c r="H329" i="3" s="1"/>
  <c r="I46" i="3"/>
  <c r="I60" i="3" s="1"/>
  <c r="I61" i="3" s="1"/>
  <c r="I62" i="3" s="1"/>
  <c r="I75" i="3" s="1"/>
  <c r="I47" i="3"/>
  <c r="I65" i="3" s="1"/>
  <c r="I66" i="3" s="1"/>
  <c r="I76" i="3" s="1"/>
  <c r="I329" i="3" s="1"/>
  <c r="L46" i="3"/>
  <c r="L60" i="3" s="1"/>
  <c r="L61" i="3" s="1"/>
  <c r="L62" i="3" s="1"/>
  <c r="L47" i="3"/>
  <c r="L65" i="3" s="1"/>
  <c r="L66" i="3" s="1"/>
  <c r="J47" i="3"/>
  <c r="J65" i="3" s="1"/>
  <c r="J66" i="3" s="1"/>
  <c r="J76" i="3" s="1"/>
  <c r="J46" i="3"/>
  <c r="J60" i="3" s="1"/>
  <c r="J61" i="3" s="1"/>
  <c r="J62" i="3" s="1"/>
  <c r="J75" i="3" s="1"/>
  <c r="K47" i="3"/>
  <c r="K65" i="3" s="1"/>
  <c r="K66" i="3" s="1"/>
  <c r="K76" i="3" s="1"/>
  <c r="K46" i="3"/>
  <c r="K60" i="3" s="1"/>
  <c r="K61" i="3" s="1"/>
  <c r="K62" i="3" s="1"/>
  <c r="K75" i="3" s="1"/>
  <c r="M38" i="3"/>
  <c r="M19" i="3"/>
  <c r="L32" i="3"/>
  <c r="L33" i="3" s="1"/>
  <c r="L27" i="3"/>
  <c r="L28" i="3" s="1"/>
  <c r="L29" i="3" s="1"/>
  <c r="K16" i="3"/>
  <c r="L12" i="3"/>
  <c r="L13" i="3" s="1"/>
  <c r="L16" i="3" s="1"/>
  <c r="N14" i="3"/>
  <c r="M11" i="3"/>
  <c r="M12" i="3" s="1"/>
  <c r="M13" i="3" s="1"/>
  <c r="H332" i="3" l="1"/>
  <c r="I331" i="3" s="1"/>
  <c r="I332" i="3" s="1"/>
  <c r="J331" i="3" s="1"/>
  <c r="J329" i="3"/>
  <c r="O59" i="4"/>
  <c r="O55" i="4"/>
  <c r="O51" i="4"/>
  <c r="L11" i="9"/>
  <c r="L66" i="9"/>
  <c r="M10" i="9"/>
  <c r="M66" i="9" s="1"/>
  <c r="I91" i="1"/>
  <c r="I139" i="1" s="1"/>
  <c r="M9" i="9"/>
  <c r="I90" i="1"/>
  <c r="J328" i="3"/>
  <c r="I328" i="3"/>
  <c r="I18" i="7" s="1"/>
  <c r="M225" i="3"/>
  <c r="N222" i="3" s="1"/>
  <c r="K328" i="3"/>
  <c r="K329" i="3"/>
  <c r="M139" i="3"/>
  <c r="M320" i="3"/>
  <c r="N317" i="3" s="1"/>
  <c r="M134" i="3"/>
  <c r="N131" i="3" s="1"/>
  <c r="M258" i="3"/>
  <c r="N255" i="3" s="1"/>
  <c r="H18" i="7"/>
  <c r="N67" i="7"/>
  <c r="M325" i="3"/>
  <c r="M72" i="3"/>
  <c r="N69" i="3" s="1"/>
  <c r="L108" i="3"/>
  <c r="L122" i="3" s="1"/>
  <c r="L123" i="3" s="1"/>
  <c r="L124" i="3" s="1"/>
  <c r="L137" i="3" s="1"/>
  <c r="L109" i="3"/>
  <c r="L127" i="3" s="1"/>
  <c r="L128" i="3" s="1"/>
  <c r="L138" i="3" s="1"/>
  <c r="L171" i="3"/>
  <c r="L189" i="3" s="1"/>
  <c r="L190" i="3" s="1"/>
  <c r="L200" i="3" s="1"/>
  <c r="L170" i="3"/>
  <c r="L184" i="3" s="1"/>
  <c r="L185" i="3" s="1"/>
  <c r="L186" i="3" s="1"/>
  <c r="L199" i="3" s="1"/>
  <c r="L294" i="3"/>
  <c r="L308" i="3" s="1"/>
  <c r="L309" i="3" s="1"/>
  <c r="L310" i="3" s="1"/>
  <c r="L323" i="3" s="1"/>
  <c r="L295" i="3"/>
  <c r="L313" i="3" s="1"/>
  <c r="L314" i="3" s="1"/>
  <c r="L324" i="3" s="1"/>
  <c r="L76" i="3"/>
  <c r="M89" i="3"/>
  <c r="M90" i="3" s="1"/>
  <c r="M91" i="3" s="1"/>
  <c r="M94" i="3"/>
  <c r="M95" i="3" s="1"/>
  <c r="M229" i="3"/>
  <c r="M230" i="3" s="1"/>
  <c r="M231" i="3" s="1"/>
  <c r="N58" i="4"/>
  <c r="M291" i="3"/>
  <c r="M292" i="3" s="1"/>
  <c r="M293" i="3" s="1"/>
  <c r="N50" i="4"/>
  <c r="N51" i="4" s="1"/>
  <c r="M105" i="3"/>
  <c r="M106" i="3" s="1"/>
  <c r="M107" i="3" s="1"/>
  <c r="M151" i="3"/>
  <c r="M152" i="3" s="1"/>
  <c r="M153" i="3" s="1"/>
  <c r="M156" i="3"/>
  <c r="M157" i="3" s="1"/>
  <c r="L330" i="3"/>
  <c r="L45" i="7" s="1"/>
  <c r="M39" i="3"/>
  <c r="N36" i="3" s="1"/>
  <c r="M77" i="3"/>
  <c r="N71" i="3"/>
  <c r="N70" i="3"/>
  <c r="N267" i="3"/>
  <c r="N143" i="3"/>
  <c r="N162" i="3"/>
  <c r="N163" i="3" s="1"/>
  <c r="O160" i="3" s="1"/>
  <c r="N296" i="3"/>
  <c r="N286" i="3"/>
  <c r="N257" i="3"/>
  <c r="N228" i="3"/>
  <c r="N224" i="3"/>
  <c r="N205" i="3"/>
  <c r="N256" i="3"/>
  <c r="N318" i="3"/>
  <c r="N104" i="3"/>
  <c r="N319" i="3"/>
  <c r="N195" i="3"/>
  <c r="N194" i="3"/>
  <c r="N133" i="3"/>
  <c r="N290" i="3"/>
  <c r="N81" i="3"/>
  <c r="N132" i="3"/>
  <c r="N110" i="3"/>
  <c r="N166" i="3"/>
  <c r="N100" i="3"/>
  <c r="N172" i="3"/>
  <c r="N234" i="3"/>
  <c r="M111" i="5"/>
  <c r="M114" i="5" s="1"/>
  <c r="O140" i="5"/>
  <c r="O141" i="5" s="1"/>
  <c r="N144" i="5"/>
  <c r="N145" i="5" s="1"/>
  <c r="N148" i="5" s="1"/>
  <c r="M196" i="3"/>
  <c r="N193" i="3" s="1"/>
  <c r="M280" i="3"/>
  <c r="M281" i="3" s="1"/>
  <c r="M275" i="3"/>
  <c r="M276" i="3" s="1"/>
  <c r="M277" i="3" s="1"/>
  <c r="M167" i="3"/>
  <c r="M168" i="3" s="1"/>
  <c r="M169" i="3" s="1"/>
  <c r="M218" i="3"/>
  <c r="M219" i="3" s="1"/>
  <c r="M213" i="3"/>
  <c r="M214" i="3" s="1"/>
  <c r="M215" i="3" s="1"/>
  <c r="L233" i="3"/>
  <c r="L251" i="3" s="1"/>
  <c r="L252" i="3" s="1"/>
  <c r="L262" i="3" s="1"/>
  <c r="L232" i="3"/>
  <c r="L246" i="3" s="1"/>
  <c r="L247" i="3" s="1"/>
  <c r="L248" i="3" s="1"/>
  <c r="L261" i="3" s="1"/>
  <c r="L75" i="3"/>
  <c r="O64" i="4"/>
  <c r="O69" i="4"/>
  <c r="M201" i="3"/>
  <c r="M263" i="3"/>
  <c r="M101" i="3"/>
  <c r="N98" i="3" s="1"/>
  <c r="M287" i="3"/>
  <c r="N284" i="3" s="1"/>
  <c r="N74" i="4"/>
  <c r="O80" i="7"/>
  <c r="O65" i="7"/>
  <c r="O66" i="7" s="1"/>
  <c r="O38" i="7"/>
  <c r="O33" i="7"/>
  <c r="O34" i="7"/>
  <c r="N12" i="7"/>
  <c r="N13" i="7" s="1"/>
  <c r="N16" i="7" s="1"/>
  <c r="P14" i="7"/>
  <c r="O15" i="7"/>
  <c r="O11" i="7"/>
  <c r="O11" i="6"/>
  <c r="O13" i="6" s="1"/>
  <c r="P15" i="6"/>
  <c r="O16" i="6"/>
  <c r="N12" i="6"/>
  <c r="N14" i="6" s="1"/>
  <c r="N17" i="6" s="1"/>
  <c r="L46" i="4"/>
  <c r="N34" i="4"/>
  <c r="M43" i="4"/>
  <c r="M44" i="4" s="1"/>
  <c r="M24" i="4"/>
  <c r="M25" i="4" s="1"/>
  <c r="M19" i="4"/>
  <c r="M20" i="4" s="1"/>
  <c r="M39" i="4"/>
  <c r="M40" i="4" s="1"/>
  <c r="M73" i="4"/>
  <c r="O33" i="4"/>
  <c r="O30" i="4"/>
  <c r="O31" i="4"/>
  <c r="O29" i="4"/>
  <c r="O32" i="4"/>
  <c r="N45" i="4"/>
  <c r="N68" i="4"/>
  <c r="N38" i="4"/>
  <c r="N23" i="4"/>
  <c r="N18" i="4"/>
  <c r="N42" i="4"/>
  <c r="N54" i="4"/>
  <c r="O95" i="5"/>
  <c r="O96" i="5" s="1"/>
  <c r="N98" i="5"/>
  <c r="P94" i="5"/>
  <c r="O82" i="5"/>
  <c r="O83" i="5" s="1"/>
  <c r="N110" i="5"/>
  <c r="Q93" i="5"/>
  <c r="Q91" i="5"/>
  <c r="Q92" i="5"/>
  <c r="P88" i="5"/>
  <c r="Q87" i="5" s="1"/>
  <c r="M59" i="5"/>
  <c r="M60" i="5" s="1"/>
  <c r="M63" i="5" s="1"/>
  <c r="N50" i="5"/>
  <c r="N51" i="5" s="1"/>
  <c r="R79" i="5"/>
  <c r="R90" i="5"/>
  <c r="Q81" i="5"/>
  <c r="Q86" i="5"/>
  <c r="T71" i="5"/>
  <c r="T77" i="5" s="1"/>
  <c r="S77" i="5"/>
  <c r="S55" i="5"/>
  <c r="S56" i="5" s="1"/>
  <c r="O29" i="5"/>
  <c r="O30" i="5" s="1"/>
  <c r="O24" i="5"/>
  <c r="O25" i="5" s="1"/>
  <c r="N33" i="5"/>
  <c r="N34" i="5" s="1"/>
  <c r="N12" i="4"/>
  <c r="N13" i="4" s="1"/>
  <c r="N16" i="4" s="1"/>
  <c r="O15" i="4"/>
  <c r="O11" i="4"/>
  <c r="O80" i="4" s="1"/>
  <c r="O27" i="7" s="1"/>
  <c r="P14" i="4"/>
  <c r="M43" i="3"/>
  <c r="M44" i="3" s="1"/>
  <c r="N42" i="3"/>
  <c r="N48" i="3"/>
  <c r="N38" i="3"/>
  <c r="N19" i="3"/>
  <c r="M16" i="3"/>
  <c r="M32" i="3"/>
  <c r="M33" i="3" s="1"/>
  <c r="M27" i="3"/>
  <c r="M28" i="3" s="1"/>
  <c r="M29" i="3" s="1"/>
  <c r="O14" i="3"/>
  <c r="N11" i="3"/>
  <c r="M9" i="3"/>
  <c r="H333" i="3" l="1"/>
  <c r="H63" i="4" s="1"/>
  <c r="H62" i="4" s="1"/>
  <c r="H65" i="4" s="1"/>
  <c r="H70" i="4" s="1"/>
  <c r="J18" i="7"/>
  <c r="P59" i="4"/>
  <c r="P55" i="4"/>
  <c r="P51" i="4"/>
  <c r="L77" i="9"/>
  <c r="M11" i="9"/>
  <c r="N9" i="9"/>
  <c r="J90" i="1"/>
  <c r="N225" i="3"/>
  <c r="O222" i="3" s="1"/>
  <c r="N101" i="3"/>
  <c r="O98" i="3" s="1"/>
  <c r="N134" i="3"/>
  <c r="O131" i="3" s="1"/>
  <c r="K18" i="7"/>
  <c r="M330" i="3"/>
  <c r="M45" i="7" s="1"/>
  <c r="N320" i="3"/>
  <c r="O317" i="3" s="1"/>
  <c r="N258" i="3"/>
  <c r="O255" i="3" s="1"/>
  <c r="N201" i="3"/>
  <c r="I333" i="3"/>
  <c r="I63" i="4" s="1"/>
  <c r="I62" i="4" s="1"/>
  <c r="N263" i="3"/>
  <c r="N72" i="3"/>
  <c r="O69" i="3" s="1"/>
  <c r="N287" i="3"/>
  <c r="O284" i="3" s="1"/>
  <c r="L328" i="3"/>
  <c r="M170" i="3"/>
  <c r="M184" i="3" s="1"/>
  <c r="M185" i="3" s="1"/>
  <c r="M186" i="3" s="1"/>
  <c r="M199" i="3" s="1"/>
  <c r="M171" i="3"/>
  <c r="M189" i="3" s="1"/>
  <c r="M190" i="3" s="1"/>
  <c r="M200" i="3" s="1"/>
  <c r="N196" i="3"/>
  <c r="O193" i="3" s="1"/>
  <c r="N139" i="3"/>
  <c r="N229" i="3"/>
  <c r="N230" i="3" s="1"/>
  <c r="N231" i="3" s="1"/>
  <c r="N167" i="3"/>
  <c r="N168" i="3" s="1"/>
  <c r="N325" i="3"/>
  <c r="M109" i="3"/>
  <c r="M127" i="3" s="1"/>
  <c r="M128" i="3" s="1"/>
  <c r="M138" i="3" s="1"/>
  <c r="M108" i="3"/>
  <c r="M122" i="3" s="1"/>
  <c r="M123" i="3" s="1"/>
  <c r="M124" i="3" s="1"/>
  <c r="M137" i="3" s="1"/>
  <c r="O58" i="4"/>
  <c r="M77" i="9"/>
  <c r="N105" i="3"/>
  <c r="N106" i="3" s="1"/>
  <c r="N107" i="3" s="1"/>
  <c r="O50" i="4"/>
  <c r="N89" i="3"/>
  <c r="N90" i="3" s="1"/>
  <c r="N91" i="3" s="1"/>
  <c r="N94" i="3"/>
  <c r="N95" i="3" s="1"/>
  <c r="N156" i="3"/>
  <c r="N157" i="3" s="1"/>
  <c r="N151" i="3"/>
  <c r="N152" i="3" s="1"/>
  <c r="N153" i="3" s="1"/>
  <c r="M295" i="3"/>
  <c r="M313" i="3" s="1"/>
  <c r="M314" i="3" s="1"/>
  <c r="M324" i="3" s="1"/>
  <c r="M294" i="3"/>
  <c r="M308" i="3" s="1"/>
  <c r="M309" i="3" s="1"/>
  <c r="M310" i="3" s="1"/>
  <c r="M323" i="3" s="1"/>
  <c r="M233" i="3"/>
  <c r="M251" i="3" s="1"/>
  <c r="M252" i="3" s="1"/>
  <c r="M262" i="3" s="1"/>
  <c r="M232" i="3"/>
  <c r="M246" i="3" s="1"/>
  <c r="M247" i="3" s="1"/>
  <c r="M248" i="3" s="1"/>
  <c r="M261" i="3" s="1"/>
  <c r="O74" i="4"/>
  <c r="N39" i="3"/>
  <c r="O36" i="3" s="1"/>
  <c r="N77" i="3"/>
  <c r="O71" i="3"/>
  <c r="O70" i="3"/>
  <c r="O267" i="3"/>
  <c r="O143" i="3"/>
  <c r="O162" i="3"/>
  <c r="O319" i="3"/>
  <c r="O228" i="3"/>
  <c r="O318" i="3"/>
  <c r="O290" i="3"/>
  <c r="O205" i="3"/>
  <c r="O286" i="3"/>
  <c r="O104" i="3"/>
  <c r="O224" i="3"/>
  <c r="O194" i="3"/>
  <c r="O296" i="3"/>
  <c r="O257" i="3"/>
  <c r="O195" i="3"/>
  <c r="O133" i="3"/>
  <c r="O110" i="3"/>
  <c r="O132" i="3"/>
  <c r="O100" i="3"/>
  <c r="O81" i="3"/>
  <c r="O256" i="3"/>
  <c r="O166" i="3"/>
  <c r="O234" i="3"/>
  <c r="O172" i="3"/>
  <c r="P140" i="5"/>
  <c r="P141" i="5" s="1"/>
  <c r="O144" i="5"/>
  <c r="O145" i="5" s="1"/>
  <c r="O148" i="5" s="1"/>
  <c r="N291" i="3"/>
  <c r="N292" i="3" s="1"/>
  <c r="N293" i="3" s="1"/>
  <c r="N213" i="3"/>
  <c r="N214" i="3" s="1"/>
  <c r="N215" i="3" s="1"/>
  <c r="N218" i="3"/>
  <c r="N219" i="3" s="1"/>
  <c r="N275" i="3"/>
  <c r="N276" i="3" s="1"/>
  <c r="N277" i="3" s="1"/>
  <c r="N280" i="3"/>
  <c r="N281" i="3" s="1"/>
  <c r="J332" i="3"/>
  <c r="K331" i="3" s="1"/>
  <c r="P69" i="4"/>
  <c r="P64" i="4"/>
  <c r="L329" i="3"/>
  <c r="O67" i="7"/>
  <c r="P80" i="7"/>
  <c r="P65" i="7"/>
  <c r="P66" i="7" s="1"/>
  <c r="P38" i="7"/>
  <c r="P33" i="7"/>
  <c r="P34" i="7"/>
  <c r="O12" i="7"/>
  <c r="O13" i="7" s="1"/>
  <c r="O16" i="7" s="1"/>
  <c r="Q14" i="7"/>
  <c r="P15" i="7"/>
  <c r="P11" i="7"/>
  <c r="P11" i="6"/>
  <c r="P13" i="6" s="1"/>
  <c r="Q15" i="6"/>
  <c r="P16" i="6"/>
  <c r="O12" i="6"/>
  <c r="O14" i="6" s="1"/>
  <c r="O17" i="6" s="1"/>
  <c r="M46" i="4"/>
  <c r="O68" i="4"/>
  <c r="O45" i="4"/>
  <c r="O38" i="4"/>
  <c r="O18" i="4"/>
  <c r="O23" i="4"/>
  <c r="O42" i="4"/>
  <c r="P33" i="4"/>
  <c r="P31" i="4"/>
  <c r="P29" i="4"/>
  <c r="P30" i="4"/>
  <c r="P32" i="4"/>
  <c r="N39" i="4"/>
  <c r="N40" i="4" s="1"/>
  <c r="N43" i="4"/>
  <c r="N44" i="4" s="1"/>
  <c r="N24" i="4"/>
  <c r="N25" i="4" s="1"/>
  <c r="N19" i="4"/>
  <c r="N20" i="4" s="1"/>
  <c r="N73" i="4"/>
  <c r="O54" i="4"/>
  <c r="O34" i="4"/>
  <c r="P95" i="5"/>
  <c r="P96" i="5" s="1"/>
  <c r="O98" i="5"/>
  <c r="N111" i="5"/>
  <c r="N114" i="5" s="1"/>
  <c r="P82" i="5"/>
  <c r="P83" i="5" s="1"/>
  <c r="O110" i="5"/>
  <c r="Q94" i="5"/>
  <c r="R93" i="5"/>
  <c r="R92" i="5"/>
  <c r="R91" i="5"/>
  <c r="Q88" i="5"/>
  <c r="R87" i="5" s="1"/>
  <c r="R86" i="5"/>
  <c r="R81" i="5"/>
  <c r="N59" i="5"/>
  <c r="N60" i="5" s="1"/>
  <c r="N63" i="5" s="1"/>
  <c r="O50" i="5"/>
  <c r="O51" i="5" s="1"/>
  <c r="S90" i="5"/>
  <c r="S79" i="5"/>
  <c r="T90" i="5"/>
  <c r="T79" i="5"/>
  <c r="T55" i="5"/>
  <c r="T56" i="5" s="1"/>
  <c r="P29" i="5"/>
  <c r="P30" i="5" s="1"/>
  <c r="P24" i="5"/>
  <c r="P25" i="5" s="1"/>
  <c r="O33" i="5"/>
  <c r="O34" i="5" s="1"/>
  <c r="P11" i="4"/>
  <c r="P80" i="4" s="1"/>
  <c r="P27" i="7" s="1"/>
  <c r="Q14" i="4"/>
  <c r="P15" i="4"/>
  <c r="O12" i="4"/>
  <c r="O13" i="4" s="1"/>
  <c r="O16" i="4" s="1"/>
  <c r="O42" i="3"/>
  <c r="O48" i="3"/>
  <c r="M45" i="3"/>
  <c r="N43" i="3"/>
  <c r="N44" i="3" s="1"/>
  <c r="N45" i="3" s="1"/>
  <c r="O38" i="3"/>
  <c r="O19" i="3"/>
  <c r="N27" i="3"/>
  <c r="N28" i="3" s="1"/>
  <c r="N29" i="3" s="1"/>
  <c r="N32" i="3"/>
  <c r="N33" i="3" s="1"/>
  <c r="N12" i="3"/>
  <c r="N13" i="3" s="1"/>
  <c r="P14" i="3"/>
  <c r="O11" i="3"/>
  <c r="O12" i="3" s="1"/>
  <c r="O13" i="3" s="1"/>
  <c r="M10" i="3"/>
  <c r="I65" i="4" l="1"/>
  <c r="I70" i="4" s="1"/>
  <c r="Q55" i="4"/>
  <c r="Q51" i="4"/>
  <c r="N10" i="9"/>
  <c r="J91" i="1"/>
  <c r="J139" i="1" s="1"/>
  <c r="O320" i="3"/>
  <c r="P317" i="3" s="1"/>
  <c r="O287" i="3"/>
  <c r="P284" i="3" s="1"/>
  <c r="O134" i="3"/>
  <c r="P131" i="3" s="1"/>
  <c r="O72" i="3"/>
  <c r="P69" i="3" s="1"/>
  <c r="O258" i="3"/>
  <c r="P255" i="3" s="1"/>
  <c r="O139" i="3"/>
  <c r="O201" i="3"/>
  <c r="O263" i="3"/>
  <c r="N232" i="3"/>
  <c r="N246" i="3" s="1"/>
  <c r="N247" i="3" s="1"/>
  <c r="N248" i="3" s="1"/>
  <c r="N261" i="3" s="1"/>
  <c r="N233" i="3"/>
  <c r="N251" i="3" s="1"/>
  <c r="N252" i="3" s="1"/>
  <c r="N262" i="3" s="1"/>
  <c r="L18" i="7"/>
  <c r="P50" i="4"/>
  <c r="O229" i="3"/>
  <c r="O230" i="3" s="1"/>
  <c r="O231" i="3" s="1"/>
  <c r="P71" i="3"/>
  <c r="P70" i="3"/>
  <c r="P162" i="3"/>
  <c r="P267" i="3"/>
  <c r="P143" i="3"/>
  <c r="P205" i="3"/>
  <c r="P286" i="3"/>
  <c r="P296" i="3"/>
  <c r="P256" i="3"/>
  <c r="P224" i="3"/>
  <c r="P290" i="3"/>
  <c r="P257" i="3"/>
  <c r="P319" i="3"/>
  <c r="P132" i="3"/>
  <c r="P100" i="3"/>
  <c r="P104" i="3"/>
  <c r="P318" i="3"/>
  <c r="P195" i="3"/>
  <c r="P81" i="3"/>
  <c r="P228" i="3"/>
  <c r="P194" i="3"/>
  <c r="P166" i="3"/>
  <c r="P133" i="3"/>
  <c r="P110" i="3"/>
  <c r="P172" i="3"/>
  <c r="P234" i="3"/>
  <c r="O89" i="3"/>
  <c r="O90" i="3" s="1"/>
  <c r="O91" i="3" s="1"/>
  <c r="O94" i="3"/>
  <c r="O95" i="3" s="1"/>
  <c r="Q140" i="5"/>
  <c r="Q141" i="5" s="1"/>
  <c r="P144" i="5"/>
  <c r="P145" i="5" s="1"/>
  <c r="P148" i="5" s="1"/>
  <c r="O105" i="3"/>
  <c r="O106" i="3" s="1"/>
  <c r="O107" i="3" s="1"/>
  <c r="O151" i="3"/>
  <c r="O152" i="3" s="1"/>
  <c r="O153" i="3" s="1"/>
  <c r="O156" i="3"/>
  <c r="O157" i="3" s="1"/>
  <c r="N295" i="3"/>
  <c r="N313" i="3" s="1"/>
  <c r="N314" i="3" s="1"/>
  <c r="N324" i="3" s="1"/>
  <c r="N294" i="3"/>
  <c r="N308" i="3" s="1"/>
  <c r="N309" i="3" s="1"/>
  <c r="N310" i="3" s="1"/>
  <c r="N323" i="3" s="1"/>
  <c r="O225" i="3"/>
  <c r="P222" i="3" s="1"/>
  <c r="O325" i="3"/>
  <c r="O280" i="3"/>
  <c r="O281" i="3" s="1"/>
  <c r="O275" i="3"/>
  <c r="O276" i="3" s="1"/>
  <c r="O277" i="3" s="1"/>
  <c r="N109" i="3"/>
  <c r="N127" i="3" s="1"/>
  <c r="N128" i="3" s="1"/>
  <c r="N138" i="3" s="1"/>
  <c r="N108" i="3"/>
  <c r="N122" i="3" s="1"/>
  <c r="N123" i="3" s="1"/>
  <c r="N124" i="3" s="1"/>
  <c r="N137" i="3" s="1"/>
  <c r="O163" i="3"/>
  <c r="P160" i="3" s="1"/>
  <c r="P74" i="4"/>
  <c r="J333" i="3"/>
  <c r="J63" i="4" s="1"/>
  <c r="J62" i="4" s="1"/>
  <c r="O213" i="3"/>
  <c r="O214" i="3" s="1"/>
  <c r="O215" i="3" s="1"/>
  <c r="O218" i="3"/>
  <c r="O219" i="3" s="1"/>
  <c r="N330" i="3"/>
  <c r="N45" i="7" s="1"/>
  <c r="O196" i="3"/>
  <c r="P193" i="3" s="1"/>
  <c r="O39" i="3"/>
  <c r="P36" i="3" s="1"/>
  <c r="O77" i="3"/>
  <c r="Q64" i="4"/>
  <c r="Q69" i="4"/>
  <c r="K332" i="3"/>
  <c r="L331" i="3" s="1"/>
  <c r="O291" i="3"/>
  <c r="O292" i="3" s="1"/>
  <c r="O293" i="3" s="1"/>
  <c r="O101" i="3"/>
  <c r="P98" i="3" s="1"/>
  <c r="N66" i="9"/>
  <c r="O167" i="3"/>
  <c r="O168" i="3" s="1"/>
  <c r="O169" i="3" s="1"/>
  <c r="N169" i="3"/>
  <c r="P67" i="7"/>
  <c r="Q65" i="7"/>
  <c r="Q66" i="7" s="1"/>
  <c r="Q80" i="7"/>
  <c r="Q34" i="7"/>
  <c r="Q38" i="7"/>
  <c r="Q33" i="7"/>
  <c r="Q15" i="7"/>
  <c r="Q11" i="7"/>
  <c r="R14" i="7"/>
  <c r="P12" i="7"/>
  <c r="P13" i="7" s="1"/>
  <c r="P16" i="7" s="1"/>
  <c r="Q11" i="6"/>
  <c r="Q13" i="6" s="1"/>
  <c r="R15" i="6"/>
  <c r="Q16" i="6"/>
  <c r="P12" i="6"/>
  <c r="P14" i="6" s="1"/>
  <c r="P17" i="6" s="1"/>
  <c r="P45" i="4"/>
  <c r="P68" i="4"/>
  <c r="P18" i="4"/>
  <c r="P38" i="4"/>
  <c r="P23" i="4"/>
  <c r="P42" i="4"/>
  <c r="P34" i="4"/>
  <c r="N46" i="4"/>
  <c r="O43" i="4"/>
  <c r="O44" i="4" s="1"/>
  <c r="O19" i="4"/>
  <c r="O20" i="4" s="1"/>
  <c r="O24" i="4"/>
  <c r="O25" i="4" s="1"/>
  <c r="O39" i="4"/>
  <c r="O40" i="4" s="1"/>
  <c r="O73" i="4"/>
  <c r="Q33" i="4"/>
  <c r="Q31" i="4"/>
  <c r="Q32" i="4"/>
  <c r="Q30" i="4"/>
  <c r="Q29" i="4"/>
  <c r="P54" i="4"/>
  <c r="P58" i="4"/>
  <c r="R88" i="5"/>
  <c r="S87" i="5" s="1"/>
  <c r="Q95" i="5"/>
  <c r="Q96" i="5" s="1"/>
  <c r="P98" i="5"/>
  <c r="O111" i="5"/>
  <c r="O114" i="5" s="1"/>
  <c r="Q82" i="5"/>
  <c r="Q83" i="5" s="1"/>
  <c r="P110" i="5"/>
  <c r="R94" i="5"/>
  <c r="T93" i="5"/>
  <c r="T92" i="5"/>
  <c r="T91" i="5"/>
  <c r="S93" i="5"/>
  <c r="S92" i="5"/>
  <c r="S91" i="5"/>
  <c r="O59" i="5"/>
  <c r="O60" i="5" s="1"/>
  <c r="O63" i="5" s="1"/>
  <c r="P50" i="5"/>
  <c r="P51" i="5" s="1"/>
  <c r="T81" i="5"/>
  <c r="T86" i="5"/>
  <c r="S86" i="5"/>
  <c r="S81" i="5"/>
  <c r="Q24" i="5"/>
  <c r="Q25" i="5" s="1"/>
  <c r="P33" i="5"/>
  <c r="P34" i="5" s="1"/>
  <c r="Q29" i="5"/>
  <c r="Q30" i="5" s="1"/>
  <c r="Q11" i="4"/>
  <c r="Q80" i="4" s="1"/>
  <c r="Q27" i="7" s="1"/>
  <c r="R14" i="4"/>
  <c r="Q15" i="4"/>
  <c r="P12" i="4"/>
  <c r="P13" i="4" s="1"/>
  <c r="P16" i="4" s="1"/>
  <c r="N47" i="3"/>
  <c r="N65" i="3" s="1"/>
  <c r="N66" i="3" s="1"/>
  <c r="N76" i="3" s="1"/>
  <c r="N46" i="3"/>
  <c r="N60" i="3" s="1"/>
  <c r="N61" i="3" s="1"/>
  <c r="N62" i="3" s="1"/>
  <c r="N75" i="3" s="1"/>
  <c r="O43" i="3"/>
  <c r="O44" i="3" s="1"/>
  <c r="P42" i="3"/>
  <c r="P48" i="3"/>
  <c r="M46" i="3"/>
  <c r="M60" i="3" s="1"/>
  <c r="M61" i="3" s="1"/>
  <c r="M62" i="3" s="1"/>
  <c r="M75" i="3" s="1"/>
  <c r="M328" i="3" s="1"/>
  <c r="M47" i="3"/>
  <c r="M65" i="3" s="1"/>
  <c r="M66" i="3" s="1"/>
  <c r="M76" i="3" s="1"/>
  <c r="M329" i="3" s="1"/>
  <c r="O32" i="3"/>
  <c r="O33" i="3" s="1"/>
  <c r="O27" i="3"/>
  <c r="O28" i="3" s="1"/>
  <c r="O29" i="3" s="1"/>
  <c r="P38" i="3"/>
  <c r="P19" i="3"/>
  <c r="N16" i="3"/>
  <c r="O16" i="3"/>
  <c r="Q14" i="3"/>
  <c r="P11" i="3"/>
  <c r="P12" i="3" s="1"/>
  <c r="P13" i="3" s="1"/>
  <c r="N9" i="3"/>
  <c r="R51" i="4" l="1"/>
  <c r="R55" i="4"/>
  <c r="R59" i="4"/>
  <c r="N11" i="9"/>
  <c r="S88" i="5"/>
  <c r="T87" i="5" s="1"/>
  <c r="O9" i="9"/>
  <c r="K90" i="1"/>
  <c r="P72" i="3"/>
  <c r="Q69" i="3" s="1"/>
  <c r="P163" i="3"/>
  <c r="Q160" i="3" s="1"/>
  <c r="P320" i="3"/>
  <c r="Q317" i="3" s="1"/>
  <c r="P258" i="3"/>
  <c r="Q255" i="3" s="1"/>
  <c r="P325" i="3"/>
  <c r="P196" i="3"/>
  <c r="Q193" i="3" s="1"/>
  <c r="P134" i="3"/>
  <c r="Q131" i="3" s="1"/>
  <c r="P201" i="3"/>
  <c r="O46" i="4"/>
  <c r="P225" i="3"/>
  <c r="Q222" i="3" s="1"/>
  <c r="O232" i="3"/>
  <c r="O246" i="3" s="1"/>
  <c r="O247" i="3" s="1"/>
  <c r="O248" i="3" s="1"/>
  <c r="O261" i="3" s="1"/>
  <c r="O233" i="3"/>
  <c r="O251" i="3" s="1"/>
  <c r="O252" i="3" s="1"/>
  <c r="O262" i="3" s="1"/>
  <c r="O109" i="3"/>
  <c r="O127" i="3" s="1"/>
  <c r="O128" i="3" s="1"/>
  <c r="O138" i="3" s="1"/>
  <c r="O108" i="3"/>
  <c r="O122" i="3" s="1"/>
  <c r="O123" i="3" s="1"/>
  <c r="O124" i="3" s="1"/>
  <c r="O137" i="3" s="1"/>
  <c r="O171" i="3"/>
  <c r="O189" i="3" s="1"/>
  <c r="O190" i="3" s="1"/>
  <c r="O200" i="3" s="1"/>
  <c r="O170" i="3"/>
  <c r="O184" i="3" s="1"/>
  <c r="O185" i="3" s="1"/>
  <c r="O186" i="3" s="1"/>
  <c r="O199" i="3" s="1"/>
  <c r="O295" i="3"/>
  <c r="O313" i="3" s="1"/>
  <c r="O314" i="3" s="1"/>
  <c r="O324" i="3" s="1"/>
  <c r="O294" i="3"/>
  <c r="O308" i="3" s="1"/>
  <c r="O309" i="3" s="1"/>
  <c r="O310" i="3" s="1"/>
  <c r="O323" i="3" s="1"/>
  <c r="M18" i="7"/>
  <c r="P139" i="3"/>
  <c r="N170" i="3"/>
  <c r="N184" i="3" s="1"/>
  <c r="N185" i="3" s="1"/>
  <c r="N186" i="3" s="1"/>
  <c r="N199" i="3" s="1"/>
  <c r="N328" i="3" s="1"/>
  <c r="N171" i="3"/>
  <c r="N189" i="3" s="1"/>
  <c r="N190" i="3" s="1"/>
  <c r="N200" i="3" s="1"/>
  <c r="N329" i="3" s="1"/>
  <c r="P287" i="3"/>
  <c r="Q284" i="3" s="1"/>
  <c r="Q70" i="3"/>
  <c r="Q71" i="3"/>
  <c r="Q162" i="3"/>
  <c r="Q267" i="3"/>
  <c r="Q143" i="3"/>
  <c r="Q319" i="3"/>
  <c r="Q318" i="3"/>
  <c r="Q290" i="3"/>
  <c r="Q256" i="3"/>
  <c r="Q228" i="3"/>
  <c r="Q286" i="3"/>
  <c r="Q257" i="3"/>
  <c r="Q133" i="3"/>
  <c r="Q296" i="3"/>
  <c r="Q205" i="3"/>
  <c r="Q100" i="3"/>
  <c r="Q81" i="3"/>
  <c r="Q110" i="3"/>
  <c r="Q132" i="3"/>
  <c r="Q224" i="3"/>
  <c r="Q195" i="3"/>
  <c r="Q104" i="3"/>
  <c r="Q166" i="3"/>
  <c r="Q194" i="3"/>
  <c r="Q234" i="3"/>
  <c r="Q172" i="3"/>
  <c r="R64" i="4"/>
  <c r="K333" i="3"/>
  <c r="K63" i="4" s="1"/>
  <c r="K62" i="4" s="1"/>
  <c r="J65" i="4"/>
  <c r="P105" i="3"/>
  <c r="P106" i="3" s="1"/>
  <c r="P107" i="3" s="1"/>
  <c r="L332" i="3"/>
  <c r="M331" i="3" s="1"/>
  <c r="N77" i="9"/>
  <c r="R140" i="5"/>
  <c r="R141" i="5" s="1"/>
  <c r="Q144" i="5"/>
  <c r="Q145" i="5" s="1"/>
  <c r="Q148" i="5" s="1"/>
  <c r="P167" i="3"/>
  <c r="P168" i="3" s="1"/>
  <c r="P169" i="3" s="1"/>
  <c r="P218" i="3"/>
  <c r="P219" i="3" s="1"/>
  <c r="P213" i="3"/>
  <c r="P214" i="3" s="1"/>
  <c r="P215" i="3" s="1"/>
  <c r="Q58" i="4"/>
  <c r="Q59" i="4" s="1"/>
  <c r="O330" i="3"/>
  <c r="O45" i="7" s="1"/>
  <c r="P151" i="3"/>
  <c r="P152" i="3" s="1"/>
  <c r="P153" i="3" s="1"/>
  <c r="P156" i="3"/>
  <c r="P157" i="3" s="1"/>
  <c r="P39" i="3"/>
  <c r="Q36" i="3" s="1"/>
  <c r="P77" i="3"/>
  <c r="P101" i="3"/>
  <c r="Q98" i="3" s="1"/>
  <c r="P229" i="3"/>
  <c r="P230" i="3" s="1"/>
  <c r="P231" i="3" s="1"/>
  <c r="P275" i="3"/>
  <c r="P276" i="3" s="1"/>
  <c r="P277" i="3" s="1"/>
  <c r="P280" i="3"/>
  <c r="P281" i="3" s="1"/>
  <c r="Q50" i="4"/>
  <c r="P89" i="3"/>
  <c r="P90" i="3" s="1"/>
  <c r="P91" i="3" s="1"/>
  <c r="P94" i="3"/>
  <c r="P95" i="3" s="1"/>
  <c r="P291" i="3"/>
  <c r="P292" i="3" s="1"/>
  <c r="P293" i="3" s="1"/>
  <c r="Q34" i="4"/>
  <c r="Q74" i="4"/>
  <c r="P263" i="3"/>
  <c r="R80" i="7"/>
  <c r="R65" i="7"/>
  <c r="R66" i="7" s="1"/>
  <c r="Q67" i="7"/>
  <c r="R34" i="7"/>
  <c r="R38" i="7"/>
  <c r="R33" i="7"/>
  <c r="Q12" i="7"/>
  <c r="Q13" i="7" s="1"/>
  <c r="Q16" i="7" s="1"/>
  <c r="R15" i="7"/>
  <c r="R11" i="7"/>
  <c r="S14" i="7"/>
  <c r="S15" i="6"/>
  <c r="R16" i="6"/>
  <c r="R11" i="6"/>
  <c r="R13" i="6" s="1"/>
  <c r="Q12" i="6"/>
  <c r="Q14" i="6" s="1"/>
  <c r="Q17" i="6" s="1"/>
  <c r="P39" i="4"/>
  <c r="P40" i="4" s="1"/>
  <c r="P73" i="4"/>
  <c r="P19" i="4"/>
  <c r="P20" i="4" s="1"/>
  <c r="P24" i="4"/>
  <c r="P25" i="4" s="1"/>
  <c r="P43" i="4"/>
  <c r="P44" i="4" s="1"/>
  <c r="R32" i="4"/>
  <c r="R31" i="4"/>
  <c r="R29" i="4"/>
  <c r="R33" i="4"/>
  <c r="R30" i="4"/>
  <c r="Q45" i="4"/>
  <c r="Q68" i="4"/>
  <c r="Q18" i="4"/>
  <c r="Q23" i="4"/>
  <c r="Q38" i="4"/>
  <c r="Q42" i="4"/>
  <c r="Q54" i="4"/>
  <c r="S94" i="5"/>
  <c r="R95" i="5"/>
  <c r="R96" i="5" s="1"/>
  <c r="Q98" i="5"/>
  <c r="P111" i="5"/>
  <c r="P114" i="5" s="1"/>
  <c r="T88" i="5"/>
  <c r="R82" i="5"/>
  <c r="R83" i="5" s="1"/>
  <c r="Q110" i="5"/>
  <c r="T94" i="5"/>
  <c r="P59" i="5"/>
  <c r="P60" i="5" s="1"/>
  <c r="P63" i="5" s="1"/>
  <c r="Q50" i="5"/>
  <c r="Q51" i="5" s="1"/>
  <c r="R29" i="5"/>
  <c r="R30" i="5" s="1"/>
  <c r="R24" i="5"/>
  <c r="R25" i="5" s="1"/>
  <c r="Q33" i="5"/>
  <c r="Q34" i="5" s="1"/>
  <c r="R11" i="4"/>
  <c r="R58" i="4" s="1"/>
  <c r="S14" i="4"/>
  <c r="R15" i="4"/>
  <c r="Q12" i="4"/>
  <c r="Q13" i="4" s="1"/>
  <c r="Q16" i="4" s="1"/>
  <c r="P43" i="3"/>
  <c r="P44" i="3" s="1"/>
  <c r="Q42" i="3"/>
  <c r="Q48" i="3"/>
  <c r="O45" i="3"/>
  <c r="Q38" i="3"/>
  <c r="Q19" i="3"/>
  <c r="P27" i="3"/>
  <c r="P28" i="3" s="1"/>
  <c r="P29" i="3" s="1"/>
  <c r="P32" i="3"/>
  <c r="P33" i="3" s="1"/>
  <c r="P16" i="3"/>
  <c r="R14" i="3"/>
  <c r="Q11" i="3"/>
  <c r="Q12" i="3" s="1"/>
  <c r="Q13" i="3" s="1"/>
  <c r="Q16" i="3" s="1"/>
  <c r="N10" i="3"/>
  <c r="K91" i="1" s="1"/>
  <c r="K139" i="1" s="1"/>
  <c r="S51" i="4" l="1"/>
  <c r="S59" i="4"/>
  <c r="S55" i="4"/>
  <c r="Q163" i="3"/>
  <c r="R160" i="3" s="1"/>
  <c r="Q196" i="3"/>
  <c r="R193" i="3" s="1"/>
  <c r="P330" i="3"/>
  <c r="P45" i="7" s="1"/>
  <c r="Q72" i="3"/>
  <c r="R69" i="3" s="1"/>
  <c r="Q101" i="3"/>
  <c r="R98" i="3" s="1"/>
  <c r="Q225" i="3"/>
  <c r="R222" i="3" s="1"/>
  <c r="Q263" i="3"/>
  <c r="Q134" i="3"/>
  <c r="R131" i="3" s="1"/>
  <c r="Q258" i="3"/>
  <c r="R255" i="3" s="1"/>
  <c r="Q201" i="3"/>
  <c r="Q139" i="3"/>
  <c r="Q320" i="3"/>
  <c r="R317" i="3" s="1"/>
  <c r="P294" i="3"/>
  <c r="P308" i="3" s="1"/>
  <c r="P309" i="3" s="1"/>
  <c r="P310" i="3" s="1"/>
  <c r="P323" i="3" s="1"/>
  <c r="P295" i="3"/>
  <c r="P313" i="3" s="1"/>
  <c r="P314" i="3" s="1"/>
  <c r="P324" i="3" s="1"/>
  <c r="P233" i="3"/>
  <c r="P251" i="3" s="1"/>
  <c r="P252" i="3" s="1"/>
  <c r="P262" i="3" s="1"/>
  <c r="P232" i="3"/>
  <c r="P246" i="3" s="1"/>
  <c r="P247" i="3" s="1"/>
  <c r="P248" i="3" s="1"/>
  <c r="P261" i="3" s="1"/>
  <c r="P108" i="3"/>
  <c r="P122" i="3" s="1"/>
  <c r="P123" i="3" s="1"/>
  <c r="P124" i="3" s="1"/>
  <c r="P137" i="3" s="1"/>
  <c r="P109" i="3"/>
  <c r="P127" i="3" s="1"/>
  <c r="P128" i="3" s="1"/>
  <c r="P138" i="3" s="1"/>
  <c r="P170" i="3"/>
  <c r="P184" i="3" s="1"/>
  <c r="P185" i="3" s="1"/>
  <c r="P186" i="3" s="1"/>
  <c r="P199" i="3" s="1"/>
  <c r="P171" i="3"/>
  <c r="P189" i="3" s="1"/>
  <c r="P190" i="3" s="1"/>
  <c r="P200" i="3" s="1"/>
  <c r="Q213" i="3"/>
  <c r="Q214" i="3" s="1"/>
  <c r="Q215" i="3" s="1"/>
  <c r="Q218" i="3"/>
  <c r="Q219" i="3" s="1"/>
  <c r="M332" i="3"/>
  <c r="N331" i="3" s="1"/>
  <c r="Q89" i="3"/>
  <c r="Q90" i="3" s="1"/>
  <c r="Q91" i="3" s="1"/>
  <c r="Q94" i="3"/>
  <c r="Q95" i="3" s="1"/>
  <c r="Q291" i="3"/>
  <c r="Q292" i="3" s="1"/>
  <c r="Q293" i="3" s="1"/>
  <c r="S64" i="4"/>
  <c r="S69" i="4"/>
  <c r="Q105" i="3"/>
  <c r="Q106" i="3" s="1"/>
  <c r="Q107" i="3" s="1"/>
  <c r="Q287" i="3"/>
  <c r="R284" i="3" s="1"/>
  <c r="Q151" i="3"/>
  <c r="Q152" i="3" s="1"/>
  <c r="Q153" i="3" s="1"/>
  <c r="Q156" i="3"/>
  <c r="Q157" i="3" s="1"/>
  <c r="Q167" i="3"/>
  <c r="Q168" i="3" s="1"/>
  <c r="Q169" i="3" s="1"/>
  <c r="R54" i="4"/>
  <c r="R80" i="4"/>
  <c r="R27" i="7" s="1"/>
  <c r="S140" i="5"/>
  <c r="S141" i="5" s="1"/>
  <c r="R144" i="5"/>
  <c r="R145" i="5" s="1"/>
  <c r="R148" i="5" s="1"/>
  <c r="K65" i="4"/>
  <c r="K70" i="4" s="1"/>
  <c r="J70" i="4"/>
  <c r="R74" i="4"/>
  <c r="Q280" i="3"/>
  <c r="Q281" i="3" s="1"/>
  <c r="Q275" i="3"/>
  <c r="Q276" i="3" s="1"/>
  <c r="Q277" i="3" s="1"/>
  <c r="Q39" i="3"/>
  <c r="R36" i="3" s="1"/>
  <c r="Q77" i="3"/>
  <c r="Q325" i="3"/>
  <c r="O9" i="3"/>
  <c r="L90" i="1" s="1"/>
  <c r="O10" i="9"/>
  <c r="R50" i="4"/>
  <c r="R71" i="3"/>
  <c r="R70" i="3"/>
  <c r="R162" i="3"/>
  <c r="R267" i="3"/>
  <c r="R143" i="3"/>
  <c r="R224" i="3"/>
  <c r="R205" i="3"/>
  <c r="R296" i="3"/>
  <c r="R319" i="3"/>
  <c r="R290" i="3"/>
  <c r="R228" i="3"/>
  <c r="R256" i="3"/>
  <c r="R195" i="3"/>
  <c r="R166" i="3"/>
  <c r="R194" i="3"/>
  <c r="R110" i="3"/>
  <c r="R132" i="3"/>
  <c r="R81" i="3"/>
  <c r="R286" i="3"/>
  <c r="R318" i="3"/>
  <c r="R257" i="3"/>
  <c r="R100" i="3"/>
  <c r="R104" i="3"/>
  <c r="R133" i="3"/>
  <c r="R234" i="3"/>
  <c r="R172" i="3"/>
  <c r="N18" i="7"/>
  <c r="L333" i="3"/>
  <c r="L63" i="4" s="1"/>
  <c r="L62" i="4" s="1"/>
  <c r="Q229" i="3"/>
  <c r="Q230" i="3" s="1"/>
  <c r="Q231" i="3" s="1"/>
  <c r="R67" i="7"/>
  <c r="S80" i="7"/>
  <c r="S65" i="7"/>
  <c r="S66" i="7" s="1"/>
  <c r="S34" i="7"/>
  <c r="S38" i="7"/>
  <c r="S33" i="7"/>
  <c r="R12" i="7"/>
  <c r="R13" i="7" s="1"/>
  <c r="R16" i="7" s="1"/>
  <c r="S15" i="7"/>
  <c r="S11" i="7"/>
  <c r="T14" i="7"/>
  <c r="R12" i="6"/>
  <c r="R14" i="6" s="1"/>
  <c r="R17" i="6" s="1"/>
  <c r="T15" i="6"/>
  <c r="S16" i="6"/>
  <c r="S11" i="6"/>
  <c r="S13" i="6" s="1"/>
  <c r="P46" i="4"/>
  <c r="S32" i="4"/>
  <c r="S29" i="4"/>
  <c r="S30" i="4"/>
  <c r="S33" i="4"/>
  <c r="S31" i="4"/>
  <c r="R34" i="4"/>
  <c r="R45" i="4"/>
  <c r="R68" i="4"/>
  <c r="R69" i="4" s="1"/>
  <c r="R23" i="4"/>
  <c r="R18" i="4"/>
  <c r="R38" i="4"/>
  <c r="R42" i="4"/>
  <c r="Q39" i="4"/>
  <c r="Q40" i="4" s="1"/>
  <c r="Q24" i="4"/>
  <c r="Q25" i="4" s="1"/>
  <c r="Q73" i="4"/>
  <c r="Q43" i="4"/>
  <c r="Q44" i="4" s="1"/>
  <c r="Q19" i="4"/>
  <c r="Q20" i="4" s="1"/>
  <c r="Q111" i="5"/>
  <c r="Q114" i="5" s="1"/>
  <c r="S82" i="5"/>
  <c r="S83" i="5" s="1"/>
  <c r="R110" i="5"/>
  <c r="S95" i="5"/>
  <c r="S96" i="5" s="1"/>
  <c r="R98" i="5"/>
  <c r="Q59" i="5"/>
  <c r="Q60" i="5" s="1"/>
  <c r="Q63" i="5" s="1"/>
  <c r="R50" i="5"/>
  <c r="R51" i="5" s="1"/>
  <c r="S24" i="5"/>
  <c r="S25" i="5" s="1"/>
  <c r="R33" i="5"/>
  <c r="R34" i="5" s="1"/>
  <c r="S29" i="5"/>
  <c r="S30" i="5" s="1"/>
  <c r="R12" i="4"/>
  <c r="R13" i="4" s="1"/>
  <c r="R16" i="4" s="1"/>
  <c r="T14" i="4"/>
  <c r="S15" i="4"/>
  <c r="S11" i="4"/>
  <c r="S74" i="4" s="1"/>
  <c r="Q43" i="3"/>
  <c r="Q44" i="3" s="1"/>
  <c r="Q45" i="3" s="1"/>
  <c r="R42" i="3"/>
  <c r="R48" i="3"/>
  <c r="O47" i="3"/>
  <c r="O65" i="3" s="1"/>
  <c r="O66" i="3" s="1"/>
  <c r="O76" i="3" s="1"/>
  <c r="O329" i="3" s="1"/>
  <c r="O46" i="3"/>
  <c r="O60" i="3" s="1"/>
  <c r="O61" i="3" s="1"/>
  <c r="O62" i="3" s="1"/>
  <c r="O75" i="3" s="1"/>
  <c r="O328" i="3" s="1"/>
  <c r="P45" i="3"/>
  <c r="R19" i="3"/>
  <c r="R38" i="3"/>
  <c r="Q27" i="3"/>
  <c r="Q28" i="3" s="1"/>
  <c r="Q29" i="3" s="1"/>
  <c r="Q32" i="3"/>
  <c r="Q33" i="3" s="1"/>
  <c r="S14" i="3"/>
  <c r="R11" i="3"/>
  <c r="R12" i="3" s="1"/>
  <c r="R13" i="3" s="1"/>
  <c r="R16" i="3" s="1"/>
  <c r="T59" i="4" l="1"/>
  <c r="T55" i="4"/>
  <c r="T51" i="4"/>
  <c r="R163" i="3"/>
  <c r="S160" i="3" s="1"/>
  <c r="R72" i="3"/>
  <c r="S69" i="3" s="1"/>
  <c r="M333" i="3"/>
  <c r="M63" i="4" s="1"/>
  <c r="M62" i="4" s="1"/>
  <c r="R196" i="3"/>
  <c r="S193" i="3" s="1"/>
  <c r="R258" i="3"/>
  <c r="S255" i="3" s="1"/>
  <c r="R134" i="3"/>
  <c r="S131" i="3" s="1"/>
  <c r="R139" i="3"/>
  <c r="R263" i="3"/>
  <c r="R320" i="3"/>
  <c r="S317" i="3" s="1"/>
  <c r="R325" i="3"/>
  <c r="Q295" i="3"/>
  <c r="Q313" i="3" s="1"/>
  <c r="Q314" i="3" s="1"/>
  <c r="Q324" i="3" s="1"/>
  <c r="Q294" i="3"/>
  <c r="Q308" i="3" s="1"/>
  <c r="Q309" i="3" s="1"/>
  <c r="Q310" i="3" s="1"/>
  <c r="Q323" i="3" s="1"/>
  <c r="L65" i="4"/>
  <c r="R89" i="3"/>
  <c r="R90" i="3" s="1"/>
  <c r="R91" i="3" s="1"/>
  <c r="R94" i="3"/>
  <c r="R95" i="3" s="1"/>
  <c r="R291" i="3"/>
  <c r="R292" i="3" s="1"/>
  <c r="R293" i="3" s="1"/>
  <c r="R225" i="3"/>
  <c r="S222" i="3" s="1"/>
  <c r="T64" i="4"/>
  <c r="T69" i="4"/>
  <c r="S70" i="3"/>
  <c r="S71" i="3"/>
  <c r="S267" i="3"/>
  <c r="S162" i="3"/>
  <c r="S163" i="3" s="1"/>
  <c r="T160" i="3" s="1"/>
  <c r="S143" i="3"/>
  <c r="S256" i="3"/>
  <c r="S228" i="3"/>
  <c r="S318" i="3"/>
  <c r="S286" i="3"/>
  <c r="S257" i="3"/>
  <c r="S224" i="3"/>
  <c r="S319" i="3"/>
  <c r="S296" i="3"/>
  <c r="S100" i="3"/>
  <c r="S132" i="3"/>
  <c r="S110" i="3"/>
  <c r="S205" i="3"/>
  <c r="S166" i="3"/>
  <c r="S133" i="3"/>
  <c r="S290" i="3"/>
  <c r="S195" i="3"/>
  <c r="S194" i="3"/>
  <c r="S81" i="3"/>
  <c r="S104" i="3"/>
  <c r="S234" i="3"/>
  <c r="S172" i="3"/>
  <c r="O18" i="7"/>
  <c r="R229" i="3"/>
  <c r="R230" i="3" s="1"/>
  <c r="R231" i="3" s="1"/>
  <c r="Q46" i="4"/>
  <c r="T140" i="5"/>
  <c r="T141" i="5" s="1"/>
  <c r="S144" i="5"/>
  <c r="S145" i="5" s="1"/>
  <c r="S148" i="5" s="1"/>
  <c r="R105" i="3"/>
  <c r="R106" i="3" s="1"/>
  <c r="R107" i="3" s="1"/>
  <c r="R201" i="3"/>
  <c r="R213" i="3"/>
  <c r="R214" i="3" s="1"/>
  <c r="R215" i="3" s="1"/>
  <c r="R218" i="3"/>
  <c r="R219" i="3" s="1"/>
  <c r="R101" i="3"/>
  <c r="S98" i="3" s="1"/>
  <c r="R39" i="3"/>
  <c r="S36" i="3" s="1"/>
  <c r="R77" i="3"/>
  <c r="R167" i="3"/>
  <c r="R168" i="3" s="1"/>
  <c r="R169" i="3" s="1"/>
  <c r="O66" i="9"/>
  <c r="O11" i="9"/>
  <c r="R287" i="3"/>
  <c r="S284" i="3" s="1"/>
  <c r="S50" i="4"/>
  <c r="S80" i="4"/>
  <c r="S27" i="7" s="1"/>
  <c r="Q233" i="3"/>
  <c r="Q251" i="3" s="1"/>
  <c r="Q252" i="3" s="1"/>
  <c r="Q262" i="3" s="1"/>
  <c r="Q232" i="3"/>
  <c r="Q246" i="3" s="1"/>
  <c r="Q247" i="3" s="1"/>
  <c r="Q248" i="3" s="1"/>
  <c r="Q261" i="3" s="1"/>
  <c r="R151" i="3"/>
  <c r="R152" i="3" s="1"/>
  <c r="R153" i="3" s="1"/>
  <c r="R156" i="3"/>
  <c r="R157" i="3" s="1"/>
  <c r="O10" i="3"/>
  <c r="L91" i="1" s="1"/>
  <c r="L139" i="1" s="1"/>
  <c r="P9" i="9"/>
  <c r="Q171" i="3"/>
  <c r="Q189" i="3" s="1"/>
  <c r="Q190" i="3" s="1"/>
  <c r="Q200" i="3" s="1"/>
  <c r="Q170" i="3"/>
  <c r="Q184" i="3" s="1"/>
  <c r="Q185" i="3" s="1"/>
  <c r="Q186" i="3" s="1"/>
  <c r="Q199" i="3" s="1"/>
  <c r="Q109" i="3"/>
  <c r="Q127" i="3" s="1"/>
  <c r="Q128" i="3" s="1"/>
  <c r="Q138" i="3" s="1"/>
  <c r="Q108" i="3"/>
  <c r="Q122" i="3" s="1"/>
  <c r="Q123" i="3" s="1"/>
  <c r="Q124" i="3" s="1"/>
  <c r="Q137" i="3" s="1"/>
  <c r="N332" i="3"/>
  <c r="O331" i="3" s="1"/>
  <c r="R275" i="3"/>
  <c r="R276" i="3" s="1"/>
  <c r="R277" i="3" s="1"/>
  <c r="R280" i="3"/>
  <c r="R281" i="3" s="1"/>
  <c r="Q330" i="3"/>
  <c r="Q45" i="7" s="1"/>
  <c r="S67" i="7"/>
  <c r="T80" i="7"/>
  <c r="T65" i="7"/>
  <c r="T66" i="7" s="1"/>
  <c r="T38" i="7"/>
  <c r="T33" i="7"/>
  <c r="T34" i="7"/>
  <c r="S12" i="7"/>
  <c r="S13" i="7" s="1"/>
  <c r="S16" i="7" s="1"/>
  <c r="U14" i="7"/>
  <c r="T15" i="7"/>
  <c r="T11" i="7"/>
  <c r="S12" i="6"/>
  <c r="S14" i="6" s="1"/>
  <c r="S17" i="6" s="1"/>
  <c r="T16" i="6"/>
  <c r="T11" i="6"/>
  <c r="T13" i="6" s="1"/>
  <c r="U15" i="6"/>
  <c r="R39" i="4"/>
  <c r="R40" i="4" s="1"/>
  <c r="R73" i="4"/>
  <c r="R24" i="4"/>
  <c r="R25" i="4" s="1"/>
  <c r="R43" i="4"/>
  <c r="R44" i="4" s="1"/>
  <c r="R19" i="4"/>
  <c r="R20" i="4" s="1"/>
  <c r="S34" i="4"/>
  <c r="T32" i="4"/>
  <c r="T29" i="4"/>
  <c r="T33" i="4"/>
  <c r="T30" i="4"/>
  <c r="T31" i="4"/>
  <c r="S54" i="4"/>
  <c r="S58" i="4"/>
  <c r="S45" i="4"/>
  <c r="S68" i="4"/>
  <c r="S18" i="4"/>
  <c r="S23" i="4"/>
  <c r="S38" i="4"/>
  <c r="S42" i="4"/>
  <c r="T95" i="5"/>
  <c r="T96" i="5" s="1"/>
  <c r="T98" i="5" s="1"/>
  <c r="S98" i="5"/>
  <c r="R111" i="5"/>
  <c r="R114" i="5" s="1"/>
  <c r="T82" i="5"/>
  <c r="T83" i="5" s="1"/>
  <c r="T110" i="5" s="1"/>
  <c r="S110" i="5"/>
  <c r="R59" i="5"/>
  <c r="R60" i="5" s="1"/>
  <c r="R63" i="5" s="1"/>
  <c r="S50" i="5"/>
  <c r="S51" i="5" s="1"/>
  <c r="T29" i="5"/>
  <c r="T30" i="5" s="1"/>
  <c r="T24" i="5"/>
  <c r="T25" i="5" s="1"/>
  <c r="T33" i="5" s="1"/>
  <c r="S33" i="5"/>
  <c r="S34" i="5" s="1"/>
  <c r="S12" i="4"/>
  <c r="S13" i="4" s="1"/>
  <c r="S16" i="4" s="1"/>
  <c r="U14" i="4"/>
  <c r="T15" i="4"/>
  <c r="T11" i="4"/>
  <c r="T58" i="4" s="1"/>
  <c r="S42" i="3"/>
  <c r="S48" i="3"/>
  <c r="Q47" i="3"/>
  <c r="Q65" i="3" s="1"/>
  <c r="Q66" i="3" s="1"/>
  <c r="Q76" i="3" s="1"/>
  <c r="Q46" i="3"/>
  <c r="Q60" i="3" s="1"/>
  <c r="Q61" i="3" s="1"/>
  <c r="Q62" i="3" s="1"/>
  <c r="Q75" i="3" s="1"/>
  <c r="P46" i="3"/>
  <c r="P60" i="3" s="1"/>
  <c r="P61" i="3" s="1"/>
  <c r="P62" i="3" s="1"/>
  <c r="P75" i="3" s="1"/>
  <c r="P328" i="3" s="1"/>
  <c r="P47" i="3"/>
  <c r="P65" i="3" s="1"/>
  <c r="P66" i="3" s="1"/>
  <c r="P76" i="3" s="1"/>
  <c r="P329" i="3" s="1"/>
  <c r="R43" i="3"/>
  <c r="R44" i="3" s="1"/>
  <c r="S19" i="3"/>
  <c r="S38" i="3"/>
  <c r="R27" i="3"/>
  <c r="R28" i="3" s="1"/>
  <c r="R29" i="3" s="1"/>
  <c r="R32" i="3"/>
  <c r="R33" i="3" s="1"/>
  <c r="T14" i="3"/>
  <c r="S11" i="3"/>
  <c r="S12" i="3" s="1"/>
  <c r="S13" i="3" s="1"/>
  <c r="S16" i="3" s="1"/>
  <c r="U55" i="4" l="1"/>
  <c r="U59" i="4"/>
  <c r="U51" i="4"/>
  <c r="S134" i="3"/>
  <c r="T131" i="3" s="1"/>
  <c r="S101" i="3"/>
  <c r="T98" i="3" s="1"/>
  <c r="S258" i="3"/>
  <c r="T255" i="3" s="1"/>
  <c r="S320" i="3"/>
  <c r="T317" i="3" s="1"/>
  <c r="P18" i="7"/>
  <c r="S287" i="3"/>
  <c r="T284" i="3" s="1"/>
  <c r="N333" i="3"/>
  <c r="N63" i="4" s="1"/>
  <c r="N62" i="4" s="1"/>
  <c r="R330" i="3"/>
  <c r="R45" i="7" s="1"/>
  <c r="S72" i="3"/>
  <c r="T69" i="3" s="1"/>
  <c r="R294" i="3"/>
  <c r="R308" i="3" s="1"/>
  <c r="R309" i="3" s="1"/>
  <c r="R310" i="3" s="1"/>
  <c r="R323" i="3" s="1"/>
  <c r="R295" i="3"/>
  <c r="R313" i="3" s="1"/>
  <c r="R314" i="3" s="1"/>
  <c r="R324" i="3" s="1"/>
  <c r="R232" i="3"/>
  <c r="R246" i="3" s="1"/>
  <c r="R247" i="3" s="1"/>
  <c r="R248" i="3" s="1"/>
  <c r="R261" i="3" s="1"/>
  <c r="R233" i="3"/>
  <c r="R251" i="3" s="1"/>
  <c r="R252" i="3" s="1"/>
  <c r="R262" i="3" s="1"/>
  <c r="R170" i="3"/>
  <c r="R184" i="3" s="1"/>
  <c r="R185" i="3" s="1"/>
  <c r="R186" i="3" s="1"/>
  <c r="R199" i="3" s="1"/>
  <c r="R171" i="3"/>
  <c r="R189" i="3" s="1"/>
  <c r="R190" i="3" s="1"/>
  <c r="R200" i="3" s="1"/>
  <c r="T144" i="5"/>
  <c r="T145" i="5" s="1"/>
  <c r="T148" i="5" s="1"/>
  <c r="T70" i="3"/>
  <c r="T71" i="3"/>
  <c r="T162" i="3"/>
  <c r="T163" i="3" s="1"/>
  <c r="U160" i="3" s="1"/>
  <c r="T267" i="3"/>
  <c r="T143" i="3"/>
  <c r="T319" i="3"/>
  <c r="T296" i="3"/>
  <c r="T286" i="3"/>
  <c r="T318" i="3"/>
  <c r="T205" i="3"/>
  <c r="T228" i="3"/>
  <c r="T290" i="3"/>
  <c r="T257" i="3"/>
  <c r="T224" i="3"/>
  <c r="T166" i="3"/>
  <c r="T100" i="3"/>
  <c r="T256" i="3"/>
  <c r="T195" i="3"/>
  <c r="T132" i="3"/>
  <c r="T104" i="3"/>
  <c r="T194" i="3"/>
  <c r="T81" i="3"/>
  <c r="T133" i="3"/>
  <c r="T110" i="3"/>
  <c r="T234" i="3"/>
  <c r="T172" i="3"/>
  <c r="O77" i="9"/>
  <c r="S218" i="3"/>
  <c r="S219" i="3" s="1"/>
  <c r="S213" i="3"/>
  <c r="S214" i="3" s="1"/>
  <c r="S215" i="3" s="1"/>
  <c r="S325" i="3"/>
  <c r="S105" i="3"/>
  <c r="S106" i="3" s="1"/>
  <c r="S107" i="3" s="1"/>
  <c r="P9" i="3"/>
  <c r="M90" i="1" s="1"/>
  <c r="P10" i="9"/>
  <c r="R108" i="3"/>
  <c r="R122" i="3" s="1"/>
  <c r="R123" i="3" s="1"/>
  <c r="R124" i="3" s="1"/>
  <c r="R137" i="3" s="1"/>
  <c r="R109" i="3"/>
  <c r="R127" i="3" s="1"/>
  <c r="R128" i="3" s="1"/>
  <c r="R138" i="3" s="1"/>
  <c r="S89" i="3"/>
  <c r="S90" i="3" s="1"/>
  <c r="S91" i="3" s="1"/>
  <c r="S94" i="3"/>
  <c r="S95" i="3" s="1"/>
  <c r="S229" i="3"/>
  <c r="S230" i="3" s="1"/>
  <c r="S231" i="3" s="1"/>
  <c r="T74" i="4"/>
  <c r="S167" i="3"/>
  <c r="S168" i="3" s="1"/>
  <c r="S169" i="3" s="1"/>
  <c r="R46" i="4"/>
  <c r="O332" i="3"/>
  <c r="P331" i="3" s="1"/>
  <c r="S201" i="3"/>
  <c r="S139" i="3"/>
  <c r="M65" i="4"/>
  <c r="M70" i="4" s="1"/>
  <c r="L70" i="4"/>
  <c r="S39" i="3"/>
  <c r="T36" i="3" s="1"/>
  <c r="S77" i="3"/>
  <c r="S151" i="3"/>
  <c r="S152" i="3" s="1"/>
  <c r="S153" i="3" s="1"/>
  <c r="S156" i="3"/>
  <c r="S157" i="3" s="1"/>
  <c r="Q328" i="3"/>
  <c r="S291" i="3"/>
  <c r="S292" i="3" s="1"/>
  <c r="S293" i="3" s="1"/>
  <c r="S225" i="3"/>
  <c r="T222" i="3" s="1"/>
  <c r="Q329" i="3"/>
  <c r="U64" i="4"/>
  <c r="U69" i="4"/>
  <c r="T54" i="4"/>
  <c r="T80" i="4"/>
  <c r="T27" i="7" s="1"/>
  <c r="S263" i="3"/>
  <c r="S275" i="3"/>
  <c r="S276" i="3" s="1"/>
  <c r="S277" i="3" s="1"/>
  <c r="S280" i="3"/>
  <c r="S281" i="3" s="1"/>
  <c r="S196" i="3"/>
  <c r="T193" i="3" s="1"/>
  <c r="T67" i="7"/>
  <c r="U80" i="7"/>
  <c r="U65" i="7"/>
  <c r="U66" i="7" s="1"/>
  <c r="U38" i="7"/>
  <c r="U33" i="7"/>
  <c r="U34" i="7"/>
  <c r="T12" i="7"/>
  <c r="T13" i="7" s="1"/>
  <c r="T16" i="7" s="1"/>
  <c r="V14" i="7"/>
  <c r="U15" i="7"/>
  <c r="U11" i="7"/>
  <c r="U16" i="6"/>
  <c r="U11" i="6"/>
  <c r="U13" i="6" s="1"/>
  <c r="V15" i="6"/>
  <c r="T12" i="6"/>
  <c r="T14" i="6" s="1"/>
  <c r="T17" i="6" s="1"/>
  <c r="T50" i="4"/>
  <c r="T34" i="4"/>
  <c r="T68" i="4"/>
  <c r="T45" i="4"/>
  <c r="T23" i="4"/>
  <c r="T18" i="4"/>
  <c r="T38" i="4"/>
  <c r="T42" i="4"/>
  <c r="U32" i="4"/>
  <c r="U33" i="4"/>
  <c r="U30" i="4"/>
  <c r="U31" i="4"/>
  <c r="U29" i="4"/>
  <c r="S19" i="4"/>
  <c r="S20" i="4" s="1"/>
  <c r="S24" i="4"/>
  <c r="S25" i="4" s="1"/>
  <c r="S39" i="4"/>
  <c r="S40" i="4" s="1"/>
  <c r="S73" i="4"/>
  <c r="S43" i="4"/>
  <c r="S44" i="4" s="1"/>
  <c r="S111" i="5"/>
  <c r="S114" i="5" s="1"/>
  <c r="T111" i="5"/>
  <c r="T114" i="5" s="1"/>
  <c r="T34" i="5"/>
  <c r="S59" i="5"/>
  <c r="S60" i="5" s="1"/>
  <c r="S63" i="5" s="1"/>
  <c r="T50" i="5"/>
  <c r="T51" i="5" s="1"/>
  <c r="T59" i="5" s="1"/>
  <c r="T60" i="5" s="1"/>
  <c r="T63" i="5" s="1"/>
  <c r="V14" i="4"/>
  <c r="U15" i="4"/>
  <c r="U11" i="4"/>
  <c r="U80" i="4" s="1"/>
  <c r="U27" i="7" s="1"/>
  <c r="T12" i="4"/>
  <c r="T13" i="4" s="1"/>
  <c r="T16" i="4" s="1"/>
  <c r="S43" i="3"/>
  <c r="S44" i="3" s="1"/>
  <c r="T42" i="3"/>
  <c r="T48" i="3"/>
  <c r="R45" i="3"/>
  <c r="T19" i="3"/>
  <c r="T38" i="3"/>
  <c r="S32" i="3"/>
  <c r="S33" i="3" s="1"/>
  <c r="S27" i="3"/>
  <c r="S28" i="3" s="1"/>
  <c r="S29" i="3" s="1"/>
  <c r="U14" i="3"/>
  <c r="T11" i="3"/>
  <c r="T12" i="3" s="1"/>
  <c r="T13" i="3" s="1"/>
  <c r="T16" i="3" s="1"/>
  <c r="V51" i="4" l="1"/>
  <c r="V59" i="4"/>
  <c r="V55" i="4"/>
  <c r="P11" i="9"/>
  <c r="T101" i="3"/>
  <c r="U98" i="3" s="1"/>
  <c r="T258" i="3"/>
  <c r="U255" i="3" s="1"/>
  <c r="T287" i="3"/>
  <c r="U284" i="3" s="1"/>
  <c r="T225" i="3"/>
  <c r="U222" i="3" s="1"/>
  <c r="T320" i="3"/>
  <c r="U317" i="3" s="1"/>
  <c r="T196" i="3"/>
  <c r="U193" i="3" s="1"/>
  <c r="T72" i="3"/>
  <c r="U69" i="3" s="1"/>
  <c r="Q18" i="7"/>
  <c r="T201" i="3"/>
  <c r="O333" i="3"/>
  <c r="O63" i="4" s="1"/>
  <c r="O62" i="4" s="1"/>
  <c r="T134" i="3"/>
  <c r="U131" i="3" s="1"/>
  <c r="S294" i="3"/>
  <c r="S308" i="3" s="1"/>
  <c r="S309" i="3" s="1"/>
  <c r="S310" i="3" s="1"/>
  <c r="S323" i="3" s="1"/>
  <c r="S295" i="3"/>
  <c r="S313" i="3" s="1"/>
  <c r="S314" i="3" s="1"/>
  <c r="S324" i="3" s="1"/>
  <c r="S108" i="3"/>
  <c r="S122" i="3" s="1"/>
  <c r="S123" i="3" s="1"/>
  <c r="S124" i="3" s="1"/>
  <c r="S137" i="3" s="1"/>
  <c r="S109" i="3"/>
  <c r="S127" i="3" s="1"/>
  <c r="S128" i="3" s="1"/>
  <c r="S138" i="3" s="1"/>
  <c r="S232" i="3"/>
  <c r="S246" i="3" s="1"/>
  <c r="S247" i="3" s="1"/>
  <c r="S248" i="3" s="1"/>
  <c r="S261" i="3" s="1"/>
  <c r="S233" i="3"/>
  <c r="S251" i="3" s="1"/>
  <c r="S252" i="3" s="1"/>
  <c r="S262" i="3" s="1"/>
  <c r="P332" i="3"/>
  <c r="Q331" i="3" s="1"/>
  <c r="T139" i="3"/>
  <c r="T325" i="3"/>
  <c r="T39" i="3"/>
  <c r="U36" i="3" s="1"/>
  <c r="T77" i="3"/>
  <c r="T167" i="3"/>
  <c r="T168" i="3" s="1"/>
  <c r="T169" i="3" s="1"/>
  <c r="S330" i="3"/>
  <c r="S45" i="7" s="1"/>
  <c r="T89" i="3"/>
  <c r="T90" i="3" s="1"/>
  <c r="T91" i="3" s="1"/>
  <c r="T94" i="3"/>
  <c r="T95" i="3" s="1"/>
  <c r="T263" i="3"/>
  <c r="U74" i="4"/>
  <c r="S170" i="3"/>
  <c r="S184" i="3" s="1"/>
  <c r="S185" i="3" s="1"/>
  <c r="S186" i="3" s="1"/>
  <c r="S199" i="3" s="1"/>
  <c r="S171" i="3"/>
  <c r="S189" i="3" s="1"/>
  <c r="S190" i="3" s="1"/>
  <c r="S200" i="3" s="1"/>
  <c r="T156" i="3"/>
  <c r="T157" i="3" s="1"/>
  <c r="T151" i="3"/>
  <c r="T152" i="3" s="1"/>
  <c r="T153" i="3" s="1"/>
  <c r="S46" i="4"/>
  <c r="P66" i="9"/>
  <c r="T105" i="3"/>
  <c r="T106" i="3" s="1"/>
  <c r="T107" i="3" s="1"/>
  <c r="T291" i="3"/>
  <c r="T292" i="3" s="1"/>
  <c r="T293" i="3" s="1"/>
  <c r="T280" i="3"/>
  <c r="T281" i="3" s="1"/>
  <c r="T275" i="3"/>
  <c r="T276" i="3" s="1"/>
  <c r="T277" i="3" s="1"/>
  <c r="V69" i="4"/>
  <c r="V64" i="4"/>
  <c r="H75" i="4"/>
  <c r="P10" i="3"/>
  <c r="M91" i="1" s="1"/>
  <c r="M139" i="1" s="1"/>
  <c r="Q9" i="9"/>
  <c r="T229" i="3"/>
  <c r="T230" i="3" s="1"/>
  <c r="T231" i="3" s="1"/>
  <c r="T43" i="3"/>
  <c r="T44" i="3" s="1"/>
  <c r="T45" i="3" s="1"/>
  <c r="U71" i="3"/>
  <c r="U70" i="3"/>
  <c r="U143" i="3"/>
  <c r="U162" i="3"/>
  <c r="U163" i="3" s="1"/>
  <c r="V160" i="3" s="1"/>
  <c r="U267" i="3"/>
  <c r="U256" i="3"/>
  <c r="U319" i="3"/>
  <c r="U318" i="3"/>
  <c r="U296" i="3"/>
  <c r="U205" i="3"/>
  <c r="U286" i="3"/>
  <c r="U257" i="3"/>
  <c r="U132" i="3"/>
  <c r="U110" i="3"/>
  <c r="U104" i="3"/>
  <c r="U133" i="3"/>
  <c r="U100" i="3"/>
  <c r="U228" i="3"/>
  <c r="U195" i="3"/>
  <c r="U224" i="3"/>
  <c r="U166" i="3"/>
  <c r="U81" i="3"/>
  <c r="U194" i="3"/>
  <c r="U290" i="3"/>
  <c r="U234" i="3"/>
  <c r="U172" i="3"/>
  <c r="N65" i="4"/>
  <c r="T218" i="3"/>
  <c r="T219" i="3" s="1"/>
  <c r="T213" i="3"/>
  <c r="T214" i="3" s="1"/>
  <c r="T215" i="3" s="1"/>
  <c r="V80" i="7"/>
  <c r="V65" i="7"/>
  <c r="V66" i="7" s="1"/>
  <c r="U67" i="7"/>
  <c r="V38" i="7"/>
  <c r="V33" i="7"/>
  <c r="V34" i="7"/>
  <c r="W14" i="7"/>
  <c r="V15" i="7"/>
  <c r="V11" i="7"/>
  <c r="U12" i="7"/>
  <c r="U13" i="7" s="1"/>
  <c r="U16" i="7" s="1"/>
  <c r="U12" i="6"/>
  <c r="U14" i="6" s="1"/>
  <c r="U17" i="6" s="1"/>
  <c r="W15" i="6"/>
  <c r="V11" i="6"/>
  <c r="V13" i="6" s="1"/>
  <c r="V16" i="6"/>
  <c r="U68" i="4"/>
  <c r="U45" i="4"/>
  <c r="U38" i="4"/>
  <c r="U18" i="4"/>
  <c r="U23" i="4"/>
  <c r="U42" i="4"/>
  <c r="T24" i="4"/>
  <c r="T25" i="4" s="1"/>
  <c r="T19" i="4"/>
  <c r="T20" i="4" s="1"/>
  <c r="T39" i="4"/>
  <c r="T40" i="4" s="1"/>
  <c r="T73" i="4"/>
  <c r="I75" i="4" s="1"/>
  <c r="I76" i="4" s="1"/>
  <c r="T43" i="4"/>
  <c r="T44" i="4" s="1"/>
  <c r="U58" i="4"/>
  <c r="U54" i="4"/>
  <c r="U50" i="4"/>
  <c r="V32" i="4"/>
  <c r="V33" i="4"/>
  <c r="V30" i="4"/>
  <c r="V31" i="4"/>
  <c r="V29" i="4"/>
  <c r="U34" i="4"/>
  <c r="U12" i="4"/>
  <c r="U13" i="4" s="1"/>
  <c r="U16" i="4" s="1"/>
  <c r="W14" i="4"/>
  <c r="V15" i="4"/>
  <c r="V11" i="4"/>
  <c r="V74" i="4" s="1"/>
  <c r="S45" i="3"/>
  <c r="R46" i="3"/>
  <c r="R60" i="3" s="1"/>
  <c r="R61" i="3" s="1"/>
  <c r="R62" i="3" s="1"/>
  <c r="R75" i="3" s="1"/>
  <c r="R328" i="3" s="1"/>
  <c r="R47" i="3"/>
  <c r="R65" i="3" s="1"/>
  <c r="R66" i="3" s="1"/>
  <c r="R76" i="3" s="1"/>
  <c r="R329" i="3" s="1"/>
  <c r="U42" i="3"/>
  <c r="U48" i="3"/>
  <c r="T32" i="3"/>
  <c r="T33" i="3" s="1"/>
  <c r="T27" i="3"/>
  <c r="T28" i="3" s="1"/>
  <c r="T29" i="3" s="1"/>
  <c r="U38" i="3"/>
  <c r="U19" i="3"/>
  <c r="V14" i="3"/>
  <c r="U11" i="3"/>
  <c r="U12" i="3" s="1"/>
  <c r="U13" i="3" s="1"/>
  <c r="U16" i="3" s="1"/>
  <c r="W59" i="4" l="1"/>
  <c r="W55" i="4"/>
  <c r="W51" i="4"/>
  <c r="U287" i="3"/>
  <c r="V284" i="3" s="1"/>
  <c r="U139" i="3"/>
  <c r="U196" i="3"/>
  <c r="V193" i="3" s="1"/>
  <c r="U258" i="3"/>
  <c r="V255" i="3" s="1"/>
  <c r="U134" i="3"/>
  <c r="V131" i="3" s="1"/>
  <c r="U263" i="3"/>
  <c r="U325" i="3"/>
  <c r="U72" i="3"/>
  <c r="V69" i="3" s="1"/>
  <c r="U320" i="3"/>
  <c r="V317" i="3" s="1"/>
  <c r="R18" i="7"/>
  <c r="T170" i="3"/>
  <c r="T184" i="3" s="1"/>
  <c r="T185" i="3" s="1"/>
  <c r="T186" i="3" s="1"/>
  <c r="T199" i="3" s="1"/>
  <c r="T171" i="3"/>
  <c r="T189" i="3" s="1"/>
  <c r="T190" i="3" s="1"/>
  <c r="T200" i="3" s="1"/>
  <c r="T233" i="3"/>
  <c r="T251" i="3" s="1"/>
  <c r="T252" i="3" s="1"/>
  <c r="T262" i="3" s="1"/>
  <c r="T232" i="3"/>
  <c r="T246" i="3" s="1"/>
  <c r="T247" i="3" s="1"/>
  <c r="T248" i="3" s="1"/>
  <c r="T261" i="3" s="1"/>
  <c r="T294" i="3"/>
  <c r="T308" i="3" s="1"/>
  <c r="T309" i="3" s="1"/>
  <c r="T310" i="3" s="1"/>
  <c r="T323" i="3" s="1"/>
  <c r="T295" i="3"/>
  <c r="T313" i="3" s="1"/>
  <c r="T314" i="3" s="1"/>
  <c r="T324" i="3" s="1"/>
  <c r="U229" i="3"/>
  <c r="U230" i="3" s="1"/>
  <c r="U231" i="3" s="1"/>
  <c r="U213" i="3"/>
  <c r="U214" i="3" s="1"/>
  <c r="U215" i="3" s="1"/>
  <c r="U218" i="3"/>
  <c r="U219" i="3" s="1"/>
  <c r="T330" i="3"/>
  <c r="T45" i="7" s="1"/>
  <c r="V71" i="3"/>
  <c r="V70" i="3"/>
  <c r="V143" i="3"/>
  <c r="V267" i="3"/>
  <c r="V162" i="3"/>
  <c r="V163" i="3" s="1"/>
  <c r="W160" i="3" s="1"/>
  <c r="V256" i="3"/>
  <c r="V257" i="3"/>
  <c r="V224" i="3"/>
  <c r="V205" i="3"/>
  <c r="V318" i="3"/>
  <c r="V296" i="3"/>
  <c r="V286" i="3"/>
  <c r="V228" i="3"/>
  <c r="V195" i="3"/>
  <c r="V194" i="3"/>
  <c r="V104" i="3"/>
  <c r="V166" i="3"/>
  <c r="V81" i="3"/>
  <c r="V132" i="3"/>
  <c r="V319" i="3"/>
  <c r="V290" i="3"/>
  <c r="V133" i="3"/>
  <c r="V100" i="3"/>
  <c r="V110" i="3"/>
  <c r="V234" i="3"/>
  <c r="V172" i="3"/>
  <c r="P77" i="9"/>
  <c r="U151" i="3"/>
  <c r="U152" i="3" s="1"/>
  <c r="U153" i="3" s="1"/>
  <c r="U156" i="3"/>
  <c r="U157" i="3" s="1"/>
  <c r="U291" i="3"/>
  <c r="U292" i="3" s="1"/>
  <c r="U293" i="3" s="1"/>
  <c r="U225" i="3"/>
  <c r="V222" i="3" s="1"/>
  <c r="P333" i="3"/>
  <c r="P63" i="4" s="1"/>
  <c r="P62" i="4" s="1"/>
  <c r="U201" i="3"/>
  <c r="U105" i="3"/>
  <c r="U106" i="3" s="1"/>
  <c r="U107" i="3" s="1"/>
  <c r="Q9" i="3"/>
  <c r="N90" i="1" s="1"/>
  <c r="Q10" i="9"/>
  <c r="Q332" i="3"/>
  <c r="R331" i="3" s="1"/>
  <c r="V50" i="4"/>
  <c r="V80" i="4"/>
  <c r="V27" i="7" s="1"/>
  <c r="U89" i="3"/>
  <c r="U90" i="3" s="1"/>
  <c r="U91" i="3" s="1"/>
  <c r="U94" i="3"/>
  <c r="U95" i="3" s="1"/>
  <c r="U101" i="3"/>
  <c r="V98" i="3" s="1"/>
  <c r="U39" i="3"/>
  <c r="V36" i="3" s="1"/>
  <c r="U77" i="3"/>
  <c r="U167" i="3"/>
  <c r="U168" i="3" s="1"/>
  <c r="U169" i="3" s="1"/>
  <c r="U275" i="3"/>
  <c r="U276" i="3" s="1"/>
  <c r="U277" i="3" s="1"/>
  <c r="U280" i="3"/>
  <c r="U281" i="3" s="1"/>
  <c r="I78" i="4"/>
  <c r="I19" i="7" s="1"/>
  <c r="T109" i="3"/>
  <c r="T127" i="3" s="1"/>
  <c r="T128" i="3" s="1"/>
  <c r="T138" i="3" s="1"/>
  <c r="T108" i="3"/>
  <c r="T122" i="3" s="1"/>
  <c r="T123" i="3" s="1"/>
  <c r="T124" i="3" s="1"/>
  <c r="T137" i="3" s="1"/>
  <c r="W69" i="4"/>
  <c r="W64" i="4"/>
  <c r="O65" i="4"/>
  <c r="O70" i="4" s="1"/>
  <c r="N70" i="4"/>
  <c r="H76" i="4"/>
  <c r="W65" i="7"/>
  <c r="W66" i="7" s="1"/>
  <c r="W80" i="7"/>
  <c r="V67" i="7"/>
  <c r="W38" i="7"/>
  <c r="W33" i="7"/>
  <c r="W34" i="7"/>
  <c r="V12" i="7"/>
  <c r="V13" i="7" s="1"/>
  <c r="V16" i="7" s="1"/>
  <c r="X14" i="7"/>
  <c r="W15" i="7"/>
  <c r="W11" i="7"/>
  <c r="V12" i="6"/>
  <c r="V14" i="6" s="1"/>
  <c r="V17" i="6" s="1"/>
  <c r="W11" i="6"/>
  <c r="W13" i="6" s="1"/>
  <c r="X15" i="6"/>
  <c r="W16" i="6"/>
  <c r="V54" i="4"/>
  <c r="V34" i="4"/>
  <c r="T46" i="4"/>
  <c r="W33" i="4"/>
  <c r="W30" i="4"/>
  <c r="W32" i="4"/>
  <c r="W29" i="4"/>
  <c r="W31" i="4"/>
  <c r="U19" i="4"/>
  <c r="U20" i="4" s="1"/>
  <c r="U24" i="4"/>
  <c r="U25" i="4" s="1"/>
  <c r="U43" i="4"/>
  <c r="U44" i="4" s="1"/>
  <c r="U39" i="4"/>
  <c r="U40" i="4" s="1"/>
  <c r="U73" i="4"/>
  <c r="J75" i="4" s="1"/>
  <c r="J76" i="4" s="1"/>
  <c r="J78" i="4" s="1"/>
  <c r="J19" i="7" s="1"/>
  <c r="V45" i="4"/>
  <c r="V68" i="4"/>
  <c r="V23" i="4"/>
  <c r="V18" i="4"/>
  <c r="V38" i="4"/>
  <c r="V42" i="4"/>
  <c r="V58" i="4"/>
  <c r="V12" i="4"/>
  <c r="V13" i="4" s="1"/>
  <c r="V16" i="4" s="1"/>
  <c r="W15" i="4"/>
  <c r="W11" i="4"/>
  <c r="W74" i="4" s="1"/>
  <c r="X14" i="4"/>
  <c r="S47" i="3"/>
  <c r="S65" i="3" s="1"/>
  <c r="S66" i="3" s="1"/>
  <c r="S76" i="3" s="1"/>
  <c r="S329" i="3" s="1"/>
  <c r="S46" i="3"/>
  <c r="S60" i="3" s="1"/>
  <c r="S61" i="3" s="1"/>
  <c r="S62" i="3" s="1"/>
  <c r="S75" i="3" s="1"/>
  <c r="S328" i="3" s="1"/>
  <c r="T46" i="3"/>
  <c r="T60" i="3" s="1"/>
  <c r="T61" i="3" s="1"/>
  <c r="T62" i="3" s="1"/>
  <c r="T75" i="3" s="1"/>
  <c r="T47" i="3"/>
  <c r="T65" i="3" s="1"/>
  <c r="T66" i="3" s="1"/>
  <c r="T76" i="3" s="1"/>
  <c r="V48" i="3"/>
  <c r="V42" i="3"/>
  <c r="U43" i="3"/>
  <c r="U44" i="3" s="1"/>
  <c r="V38" i="3"/>
  <c r="V19" i="3"/>
  <c r="U32" i="3"/>
  <c r="U33" i="3" s="1"/>
  <c r="U27" i="3"/>
  <c r="U28" i="3" s="1"/>
  <c r="U29" i="3" s="1"/>
  <c r="W14" i="3"/>
  <c r="V11" i="3"/>
  <c r="V12" i="3" s="1"/>
  <c r="V13" i="3" s="1"/>
  <c r="V16" i="3" s="1"/>
  <c r="X51" i="4" l="1"/>
  <c r="X59" i="4"/>
  <c r="V101" i="3"/>
  <c r="W98" i="3" s="1"/>
  <c r="S18" i="7"/>
  <c r="V287" i="3"/>
  <c r="W284" i="3" s="1"/>
  <c r="Q333" i="3"/>
  <c r="Q63" i="4" s="1"/>
  <c r="Q62" i="4" s="1"/>
  <c r="V196" i="3"/>
  <c r="W193" i="3" s="1"/>
  <c r="V225" i="3"/>
  <c r="W222" i="3" s="1"/>
  <c r="V258" i="3"/>
  <c r="W255" i="3" s="1"/>
  <c r="U46" i="4"/>
  <c r="V134" i="3"/>
  <c r="W131" i="3" s="1"/>
  <c r="U330" i="3"/>
  <c r="U45" i="7" s="1"/>
  <c r="V320" i="3"/>
  <c r="W317" i="3" s="1"/>
  <c r="V72" i="3"/>
  <c r="W69" i="3" s="1"/>
  <c r="U294" i="3"/>
  <c r="U308" i="3" s="1"/>
  <c r="U309" i="3" s="1"/>
  <c r="U310" i="3" s="1"/>
  <c r="U323" i="3" s="1"/>
  <c r="U295" i="3"/>
  <c r="U313" i="3" s="1"/>
  <c r="U314" i="3" s="1"/>
  <c r="U324" i="3" s="1"/>
  <c r="U232" i="3"/>
  <c r="U246" i="3" s="1"/>
  <c r="U247" i="3" s="1"/>
  <c r="U248" i="3" s="1"/>
  <c r="U261" i="3" s="1"/>
  <c r="U233" i="3"/>
  <c r="U251" i="3" s="1"/>
  <c r="U252" i="3" s="1"/>
  <c r="U262" i="3" s="1"/>
  <c r="U108" i="3"/>
  <c r="U122" i="3" s="1"/>
  <c r="U123" i="3" s="1"/>
  <c r="U124" i="3" s="1"/>
  <c r="U137" i="3" s="1"/>
  <c r="U109" i="3"/>
  <c r="U127" i="3" s="1"/>
  <c r="U128" i="3" s="1"/>
  <c r="U138" i="3" s="1"/>
  <c r="U171" i="3"/>
  <c r="U189" i="3" s="1"/>
  <c r="U190" i="3" s="1"/>
  <c r="U200" i="3" s="1"/>
  <c r="U170" i="3"/>
  <c r="U184" i="3" s="1"/>
  <c r="U185" i="3" s="1"/>
  <c r="U186" i="3" s="1"/>
  <c r="U199" i="3" s="1"/>
  <c r="Q66" i="9"/>
  <c r="Q10" i="3"/>
  <c r="N91" i="1" s="1"/>
  <c r="N139" i="1" s="1"/>
  <c r="R9" i="9"/>
  <c r="Q11" i="9"/>
  <c r="V291" i="3"/>
  <c r="V292" i="3" s="1"/>
  <c r="V293" i="3" s="1"/>
  <c r="V229" i="3"/>
  <c r="V230" i="3" s="1"/>
  <c r="V231" i="3" s="1"/>
  <c r="V325" i="3"/>
  <c r="V280" i="3"/>
  <c r="V281" i="3" s="1"/>
  <c r="V275" i="3"/>
  <c r="V276" i="3" s="1"/>
  <c r="V277" i="3" s="1"/>
  <c r="V43" i="3"/>
  <c r="V44" i="3" s="1"/>
  <c r="V45" i="3" s="1"/>
  <c r="W34" i="4"/>
  <c r="V151" i="3"/>
  <c r="V152" i="3" s="1"/>
  <c r="V153" i="3" s="1"/>
  <c r="V156" i="3"/>
  <c r="V157" i="3" s="1"/>
  <c r="W50" i="4"/>
  <c r="W80" i="4"/>
  <c r="W27" i="7" s="1"/>
  <c r="W71" i="3"/>
  <c r="W70" i="3"/>
  <c r="W267" i="3"/>
  <c r="W143" i="3"/>
  <c r="W162" i="3"/>
  <c r="W163" i="3" s="1"/>
  <c r="X160" i="3" s="1"/>
  <c r="W256" i="3"/>
  <c r="W318" i="3"/>
  <c r="W296" i="3"/>
  <c r="W286" i="3"/>
  <c r="W257" i="3"/>
  <c r="W319" i="3"/>
  <c r="W290" i="3"/>
  <c r="W224" i="3"/>
  <c r="W205" i="3"/>
  <c r="W195" i="3"/>
  <c r="W133" i="3"/>
  <c r="W100" i="3"/>
  <c r="W132" i="3"/>
  <c r="W194" i="3"/>
  <c r="W166" i="3"/>
  <c r="W228" i="3"/>
  <c r="W81" i="3"/>
  <c r="W110" i="3"/>
  <c r="W104" i="3"/>
  <c r="W172" i="3"/>
  <c r="W234" i="3"/>
  <c r="V94" i="3"/>
  <c r="V95" i="3" s="1"/>
  <c r="V89" i="3"/>
  <c r="V90" i="3" s="1"/>
  <c r="V91" i="3" s="1"/>
  <c r="V167" i="3"/>
  <c r="V168" i="3" s="1"/>
  <c r="V169" i="3" s="1"/>
  <c r="V218" i="3"/>
  <c r="V219" i="3" s="1"/>
  <c r="V213" i="3"/>
  <c r="V214" i="3" s="1"/>
  <c r="V215" i="3" s="1"/>
  <c r="T329" i="3"/>
  <c r="P65" i="4"/>
  <c r="V105" i="3"/>
  <c r="V106" i="3" s="1"/>
  <c r="V107" i="3" s="1"/>
  <c r="V263" i="3"/>
  <c r="T328" i="3"/>
  <c r="V39" i="3"/>
  <c r="W36" i="3" s="1"/>
  <c r="V77" i="3"/>
  <c r="X69" i="4"/>
  <c r="X64" i="4"/>
  <c r="H78" i="4"/>
  <c r="H19" i="7" s="1"/>
  <c r="R332" i="3"/>
  <c r="S331" i="3" s="1"/>
  <c r="V139" i="3"/>
  <c r="V201" i="3"/>
  <c r="X80" i="7"/>
  <c r="X65" i="7"/>
  <c r="X66" i="7" s="1"/>
  <c r="W67" i="7"/>
  <c r="X38" i="7"/>
  <c r="X33" i="7"/>
  <c r="X34" i="7"/>
  <c r="W12" i="7"/>
  <c r="W13" i="7" s="1"/>
  <c r="W16" i="7" s="1"/>
  <c r="Y14" i="7"/>
  <c r="X11" i="7"/>
  <c r="X15" i="7"/>
  <c r="X11" i="6"/>
  <c r="X13" i="6" s="1"/>
  <c r="X16" i="6"/>
  <c r="Y15" i="6"/>
  <c r="W12" i="6"/>
  <c r="W14" i="6" s="1"/>
  <c r="W17" i="6" s="1"/>
  <c r="V39" i="4"/>
  <c r="V40" i="4" s="1"/>
  <c r="V24" i="4"/>
  <c r="V25" i="4" s="1"/>
  <c r="V19" i="4"/>
  <c r="V20" i="4" s="1"/>
  <c r="V73" i="4"/>
  <c r="V43" i="4"/>
  <c r="V44" i="4" s="1"/>
  <c r="X33" i="4"/>
  <c r="X31" i="4"/>
  <c r="X29" i="4"/>
  <c r="X32" i="4"/>
  <c r="X30" i="4"/>
  <c r="W68" i="4"/>
  <c r="W45" i="4"/>
  <c r="W38" i="4"/>
  <c r="W23" i="4"/>
  <c r="W18" i="4"/>
  <c r="W42" i="4"/>
  <c r="W54" i="4"/>
  <c r="W58" i="4"/>
  <c r="X15" i="4"/>
  <c r="X11" i="4"/>
  <c r="X80" i="4" s="1"/>
  <c r="X27" i="7" s="1"/>
  <c r="Y14" i="4"/>
  <c r="W12" i="4"/>
  <c r="W13" i="4" s="1"/>
  <c r="W16" i="4" s="1"/>
  <c r="U45" i="3"/>
  <c r="W42" i="3"/>
  <c r="W48" i="3"/>
  <c r="W19" i="3"/>
  <c r="W38" i="3"/>
  <c r="V27" i="3"/>
  <c r="V28" i="3" s="1"/>
  <c r="V29" i="3" s="1"/>
  <c r="V32" i="3"/>
  <c r="V33" i="3" s="1"/>
  <c r="X14" i="3"/>
  <c r="W11" i="3"/>
  <c r="W12" i="3" s="1"/>
  <c r="W13" i="3" s="1"/>
  <c r="W16" i="3" s="1"/>
  <c r="W287" i="3" l="1"/>
  <c r="X284" i="3" s="1"/>
  <c r="Y59" i="4"/>
  <c r="Y55" i="4"/>
  <c r="Y51" i="4"/>
  <c r="W225" i="3"/>
  <c r="X222" i="3" s="1"/>
  <c r="W139" i="3"/>
  <c r="W320" i="3"/>
  <c r="X317" i="3" s="1"/>
  <c r="W258" i="3"/>
  <c r="X255" i="3" s="1"/>
  <c r="W101" i="3"/>
  <c r="X98" i="3" s="1"/>
  <c r="W201" i="3"/>
  <c r="W134" i="3"/>
  <c r="X131" i="3" s="1"/>
  <c r="W72" i="3"/>
  <c r="X69" i="3" s="1"/>
  <c r="V171" i="3"/>
  <c r="V189" i="3" s="1"/>
  <c r="V190" i="3" s="1"/>
  <c r="V200" i="3" s="1"/>
  <c r="V170" i="3"/>
  <c r="V184" i="3" s="1"/>
  <c r="V185" i="3" s="1"/>
  <c r="V186" i="3" s="1"/>
  <c r="V199" i="3" s="1"/>
  <c r="V233" i="3"/>
  <c r="V251" i="3" s="1"/>
  <c r="V252" i="3" s="1"/>
  <c r="V262" i="3" s="1"/>
  <c r="V232" i="3"/>
  <c r="V246" i="3" s="1"/>
  <c r="V247" i="3" s="1"/>
  <c r="V248" i="3" s="1"/>
  <c r="V261" i="3" s="1"/>
  <c r="W196" i="3"/>
  <c r="X193" i="3" s="1"/>
  <c r="S332" i="3"/>
  <c r="T331" i="3" s="1"/>
  <c r="W325" i="3"/>
  <c r="Q77" i="9"/>
  <c r="X74" i="4"/>
  <c r="Q65" i="4"/>
  <c r="Q70" i="4" s="1"/>
  <c r="P70" i="4"/>
  <c r="W105" i="3"/>
  <c r="W106" i="3" s="1"/>
  <c r="W107" i="3" s="1"/>
  <c r="V295" i="3"/>
  <c r="V313" i="3" s="1"/>
  <c r="V314" i="3" s="1"/>
  <c r="V324" i="3" s="1"/>
  <c r="V294" i="3"/>
  <c r="V308" i="3" s="1"/>
  <c r="V309" i="3" s="1"/>
  <c r="V310" i="3" s="1"/>
  <c r="V323" i="3" s="1"/>
  <c r="W39" i="3"/>
  <c r="X36" i="3" s="1"/>
  <c r="W77" i="3"/>
  <c r="W43" i="3"/>
  <c r="W44" i="3" s="1"/>
  <c r="W45" i="3" s="1"/>
  <c r="W46" i="3" s="1"/>
  <c r="W60" i="3" s="1"/>
  <c r="W61" i="3" s="1"/>
  <c r="W62" i="3" s="1"/>
  <c r="T18" i="7"/>
  <c r="R9" i="3"/>
  <c r="R10" i="9"/>
  <c r="W280" i="3"/>
  <c r="W281" i="3" s="1"/>
  <c r="W275" i="3"/>
  <c r="W276" i="3" s="1"/>
  <c r="W277" i="3" s="1"/>
  <c r="W89" i="3"/>
  <c r="W90" i="3" s="1"/>
  <c r="W91" i="3" s="1"/>
  <c r="W94" i="3"/>
  <c r="W95" i="3" s="1"/>
  <c r="W218" i="3"/>
  <c r="W219" i="3" s="1"/>
  <c r="W213" i="3"/>
  <c r="W214" i="3" s="1"/>
  <c r="W215" i="3" s="1"/>
  <c r="X71" i="3"/>
  <c r="X70" i="3"/>
  <c r="X143" i="3"/>
  <c r="X162" i="3"/>
  <c r="X163" i="3" s="1"/>
  <c r="Y160" i="3" s="1"/>
  <c r="X267" i="3"/>
  <c r="X319" i="3"/>
  <c r="X318" i="3"/>
  <c r="X195" i="3"/>
  <c r="X256" i="3"/>
  <c r="X228" i="3"/>
  <c r="X286" i="3"/>
  <c r="X296" i="3"/>
  <c r="X290" i="3"/>
  <c r="X224" i="3"/>
  <c r="X225" i="3" s="1"/>
  <c r="Y222" i="3" s="1"/>
  <c r="X205" i="3"/>
  <c r="X257" i="3"/>
  <c r="X110" i="3"/>
  <c r="X133" i="3"/>
  <c r="X194" i="3"/>
  <c r="X81" i="3"/>
  <c r="X132" i="3"/>
  <c r="X104" i="3"/>
  <c r="X166" i="3"/>
  <c r="X100" i="3"/>
  <c r="X234" i="3"/>
  <c r="X172" i="3"/>
  <c r="K75" i="4"/>
  <c r="V108" i="3"/>
  <c r="V122" i="3" s="1"/>
  <c r="V123" i="3" s="1"/>
  <c r="V124" i="3" s="1"/>
  <c r="V137" i="3" s="1"/>
  <c r="V109" i="3"/>
  <c r="V127" i="3" s="1"/>
  <c r="V128" i="3" s="1"/>
  <c r="V138" i="3" s="1"/>
  <c r="W229" i="3"/>
  <c r="W230" i="3" s="1"/>
  <c r="W231" i="3" s="1"/>
  <c r="W263" i="3"/>
  <c r="Y64" i="4"/>
  <c r="R333" i="3"/>
  <c r="R63" i="4" s="1"/>
  <c r="R62" i="4" s="1"/>
  <c r="W167" i="3"/>
  <c r="W168" i="3" s="1"/>
  <c r="W169" i="3" s="1"/>
  <c r="W291" i="3"/>
  <c r="W292" i="3" s="1"/>
  <c r="W293" i="3" s="1"/>
  <c r="W151" i="3"/>
  <c r="W152" i="3" s="1"/>
  <c r="W153" i="3" s="1"/>
  <c r="W156" i="3"/>
  <c r="W157" i="3" s="1"/>
  <c r="V330" i="3"/>
  <c r="V45" i="7" s="1"/>
  <c r="X67" i="7"/>
  <c r="Y65" i="7"/>
  <c r="Y66" i="7" s="1"/>
  <c r="Y80" i="7"/>
  <c r="Y34" i="7"/>
  <c r="Y38" i="7"/>
  <c r="Y33" i="7"/>
  <c r="X12" i="7"/>
  <c r="X13" i="7" s="1"/>
  <c r="X16" i="7" s="1"/>
  <c r="Y15" i="7"/>
  <c r="Y11" i="7"/>
  <c r="Z14" i="7"/>
  <c r="Y11" i="6"/>
  <c r="Y13" i="6" s="1"/>
  <c r="Z15" i="6"/>
  <c r="Y16" i="6"/>
  <c r="X12" i="6"/>
  <c r="X14" i="6" s="1"/>
  <c r="X17" i="6" s="1"/>
  <c r="X34" i="4"/>
  <c r="Y33" i="4"/>
  <c r="Y31" i="4"/>
  <c r="Y32" i="4"/>
  <c r="Y29" i="4"/>
  <c r="Y30" i="4"/>
  <c r="X45" i="4"/>
  <c r="X68" i="4"/>
  <c r="X23" i="4"/>
  <c r="X18" i="4"/>
  <c r="X38" i="4"/>
  <c r="X42" i="4"/>
  <c r="V46" i="4"/>
  <c r="X54" i="4"/>
  <c r="X55" i="4" s="1"/>
  <c r="X58" i="4"/>
  <c r="W19" i="4"/>
  <c r="W20" i="4" s="1"/>
  <c r="W24" i="4"/>
  <c r="W25" i="4" s="1"/>
  <c r="W73" i="4"/>
  <c r="W43" i="4"/>
  <c r="W44" i="4" s="1"/>
  <c r="W39" i="4"/>
  <c r="W40" i="4" s="1"/>
  <c r="X50" i="4"/>
  <c r="Y15" i="4"/>
  <c r="Y11" i="4"/>
  <c r="Y80" i="4" s="1"/>
  <c r="Y27" i="7" s="1"/>
  <c r="Z14" i="4"/>
  <c r="X12" i="4"/>
  <c r="X13" i="4" s="1"/>
  <c r="X16" i="4" s="1"/>
  <c r="V46" i="3"/>
  <c r="V60" i="3" s="1"/>
  <c r="V61" i="3" s="1"/>
  <c r="V62" i="3" s="1"/>
  <c r="V75" i="3" s="1"/>
  <c r="V47" i="3"/>
  <c r="V65" i="3" s="1"/>
  <c r="V66" i="3" s="1"/>
  <c r="V76" i="3" s="1"/>
  <c r="U46" i="3"/>
  <c r="U60" i="3" s="1"/>
  <c r="U61" i="3" s="1"/>
  <c r="U62" i="3" s="1"/>
  <c r="U75" i="3" s="1"/>
  <c r="U328" i="3" s="1"/>
  <c r="U47" i="3"/>
  <c r="U65" i="3" s="1"/>
  <c r="U66" i="3" s="1"/>
  <c r="U76" i="3" s="1"/>
  <c r="U329" i="3" s="1"/>
  <c r="X42" i="3"/>
  <c r="X48" i="3"/>
  <c r="W32" i="3"/>
  <c r="W33" i="3" s="1"/>
  <c r="W27" i="3"/>
  <c r="W28" i="3" s="1"/>
  <c r="W29" i="3" s="1"/>
  <c r="X19" i="3"/>
  <c r="X38" i="3"/>
  <c r="Y14" i="3"/>
  <c r="X11" i="3"/>
  <c r="X12" i="3" s="1"/>
  <c r="X13" i="3" s="1"/>
  <c r="X16" i="3" s="1"/>
  <c r="Z55" i="4" l="1"/>
  <c r="Z59" i="4"/>
  <c r="X15" i="3"/>
  <c r="O90" i="1"/>
  <c r="X320" i="3"/>
  <c r="Y317" i="3" s="1"/>
  <c r="X258" i="3"/>
  <c r="Y255" i="3" s="1"/>
  <c r="Y54" i="4"/>
  <c r="U18" i="7"/>
  <c r="W47" i="3"/>
  <c r="W65" i="3" s="1"/>
  <c r="W66" i="3" s="1"/>
  <c r="W76" i="3" s="1"/>
  <c r="X139" i="3"/>
  <c r="X134" i="3"/>
  <c r="Y131" i="3" s="1"/>
  <c r="X325" i="3"/>
  <c r="X72" i="3"/>
  <c r="Y69" i="3" s="1"/>
  <c r="W171" i="3"/>
  <c r="W189" i="3" s="1"/>
  <c r="W190" i="3" s="1"/>
  <c r="W200" i="3" s="1"/>
  <c r="W170" i="3"/>
  <c r="W184" i="3" s="1"/>
  <c r="W185" i="3" s="1"/>
  <c r="W186" i="3" s="1"/>
  <c r="W199" i="3" s="1"/>
  <c r="W294" i="3"/>
  <c r="W308" i="3" s="1"/>
  <c r="W309" i="3" s="1"/>
  <c r="W310" i="3" s="1"/>
  <c r="W323" i="3" s="1"/>
  <c r="W295" i="3"/>
  <c r="W313" i="3" s="1"/>
  <c r="W314" i="3" s="1"/>
  <c r="W324" i="3" s="1"/>
  <c r="X105" i="3"/>
  <c r="X106" i="3" s="1"/>
  <c r="X107" i="3" s="1"/>
  <c r="X263" i="3"/>
  <c r="R66" i="9"/>
  <c r="V328" i="3"/>
  <c r="X287" i="3"/>
  <c r="Y284" i="3" s="1"/>
  <c r="Y70" i="3"/>
  <c r="Y71" i="3"/>
  <c r="Y162" i="3"/>
  <c r="Y163" i="3" s="1"/>
  <c r="Z160" i="3" s="1"/>
  <c r="Y267" i="3"/>
  <c r="Y143" i="3"/>
  <c r="Y205" i="3"/>
  <c r="Y319" i="3"/>
  <c r="Y296" i="3"/>
  <c r="Y286" i="3"/>
  <c r="Y228" i="3"/>
  <c r="Y224" i="3"/>
  <c r="Y318" i="3"/>
  <c r="Y256" i="3"/>
  <c r="Y257" i="3"/>
  <c r="Y290" i="3"/>
  <c r="Y194" i="3"/>
  <c r="Y195" i="3"/>
  <c r="Y104" i="3"/>
  <c r="Y81" i="3"/>
  <c r="Y110" i="3"/>
  <c r="Y166" i="3"/>
  <c r="Y133" i="3"/>
  <c r="Y132" i="3"/>
  <c r="Y100" i="3"/>
  <c r="Y234" i="3"/>
  <c r="Y172" i="3"/>
  <c r="X291" i="3"/>
  <c r="X292" i="3" s="1"/>
  <c r="X293" i="3" s="1"/>
  <c r="X275" i="3"/>
  <c r="X276" i="3" s="1"/>
  <c r="X277" i="3" s="1"/>
  <c r="X280" i="3"/>
  <c r="X281" i="3" s="1"/>
  <c r="I15" i="3"/>
  <c r="S9" i="9"/>
  <c r="R10" i="3"/>
  <c r="V15" i="3"/>
  <c r="P15" i="3"/>
  <c r="Q15" i="3"/>
  <c r="J15" i="3"/>
  <c r="M15" i="3"/>
  <c r="L15" i="3"/>
  <c r="K15" i="3"/>
  <c r="O15" i="3"/>
  <c r="N15" i="3"/>
  <c r="W15" i="3"/>
  <c r="S15" i="3"/>
  <c r="T15" i="3"/>
  <c r="U15" i="3"/>
  <c r="R15" i="3"/>
  <c r="H15" i="3"/>
  <c r="V329" i="3"/>
  <c r="S333" i="3"/>
  <c r="S63" i="4" s="1"/>
  <c r="S62" i="4" s="1"/>
  <c r="W233" i="3"/>
  <c r="W251" i="3" s="1"/>
  <c r="W252" i="3" s="1"/>
  <c r="W262" i="3" s="1"/>
  <c r="W232" i="3"/>
  <c r="W246" i="3" s="1"/>
  <c r="W247" i="3" s="1"/>
  <c r="W248" i="3" s="1"/>
  <c r="W261" i="3" s="1"/>
  <c r="X94" i="3"/>
  <c r="X95" i="3" s="1"/>
  <c r="X89" i="3"/>
  <c r="X90" i="3" s="1"/>
  <c r="X91" i="3" s="1"/>
  <c r="W109" i="3"/>
  <c r="W127" i="3" s="1"/>
  <c r="W128" i="3" s="1"/>
  <c r="W138" i="3" s="1"/>
  <c r="W108" i="3"/>
  <c r="W122" i="3" s="1"/>
  <c r="W123" i="3" s="1"/>
  <c r="W124" i="3" s="1"/>
  <c r="W137" i="3" s="1"/>
  <c r="R65" i="4"/>
  <c r="R70" i="4" s="1"/>
  <c r="X201" i="3"/>
  <c r="X151" i="3"/>
  <c r="X152" i="3" s="1"/>
  <c r="X153" i="3" s="1"/>
  <c r="X156" i="3"/>
  <c r="X157" i="3" s="1"/>
  <c r="X196" i="3"/>
  <c r="Y193" i="3" s="1"/>
  <c r="K76" i="4"/>
  <c r="W75" i="3"/>
  <c r="Y58" i="4"/>
  <c r="Y74" i="4"/>
  <c r="X101" i="3"/>
  <c r="Y98" i="3" s="1"/>
  <c r="X229" i="3"/>
  <c r="X230" i="3" s="1"/>
  <c r="X231" i="3" s="1"/>
  <c r="X39" i="3"/>
  <c r="Y36" i="3" s="1"/>
  <c r="X77" i="3"/>
  <c r="T332" i="3"/>
  <c r="U331" i="3" s="1"/>
  <c r="Y50" i="4"/>
  <c r="L75" i="4"/>
  <c r="L76" i="4" s="1"/>
  <c r="L78" i="4" s="1"/>
  <c r="L19" i="7" s="1"/>
  <c r="X43" i="3"/>
  <c r="X44" i="3" s="1"/>
  <c r="X45" i="3" s="1"/>
  <c r="X46" i="3" s="1"/>
  <c r="X60" i="3" s="1"/>
  <c r="X61" i="3" s="1"/>
  <c r="X62" i="3" s="1"/>
  <c r="Z64" i="4"/>
  <c r="Z69" i="4"/>
  <c r="Y225" i="3"/>
  <c r="Z222" i="3" s="1"/>
  <c r="X167" i="3"/>
  <c r="X168" i="3" s="1"/>
  <c r="X169" i="3" s="1"/>
  <c r="X218" i="3"/>
  <c r="X219" i="3" s="1"/>
  <c r="X213" i="3"/>
  <c r="X214" i="3" s="1"/>
  <c r="X215" i="3" s="1"/>
  <c r="R11" i="9"/>
  <c r="W330" i="3"/>
  <c r="W45" i="7" s="1"/>
  <c r="Y67" i="7"/>
  <c r="Z80" i="7"/>
  <c r="Z65" i="7"/>
  <c r="Z66" i="7" s="1"/>
  <c r="Z34" i="7"/>
  <c r="Z38" i="7"/>
  <c r="Z33" i="7"/>
  <c r="Z15" i="7"/>
  <c r="Z11" i="7"/>
  <c r="AA14" i="7"/>
  <c r="Y12" i="7"/>
  <c r="Y13" i="7" s="1"/>
  <c r="Y16" i="7" s="1"/>
  <c r="AA15" i="6"/>
  <c r="Z16" i="6"/>
  <c r="Z11" i="6"/>
  <c r="Z13" i="6" s="1"/>
  <c r="Y12" i="6"/>
  <c r="Y14" i="6" s="1"/>
  <c r="Y17" i="6" s="1"/>
  <c r="Y45" i="4"/>
  <c r="Y68" i="4"/>
  <c r="Y69" i="4" s="1"/>
  <c r="Y18" i="4"/>
  <c r="Y23" i="4"/>
  <c r="Y38" i="4"/>
  <c r="Y42" i="4"/>
  <c r="Y34" i="4"/>
  <c r="W46" i="4"/>
  <c r="X73" i="4"/>
  <c r="M75" i="4" s="1"/>
  <c r="M76" i="4" s="1"/>
  <c r="M78" i="4" s="1"/>
  <c r="M19" i="7" s="1"/>
  <c r="X24" i="4"/>
  <c r="X25" i="4" s="1"/>
  <c r="X39" i="4"/>
  <c r="X40" i="4" s="1"/>
  <c r="X19" i="4"/>
  <c r="X20" i="4" s="1"/>
  <c r="X43" i="4"/>
  <c r="X44" i="4" s="1"/>
  <c r="Z32" i="4"/>
  <c r="Z31" i="4"/>
  <c r="Z33" i="4"/>
  <c r="Z29" i="4"/>
  <c r="Z30" i="4"/>
  <c r="Z15" i="4"/>
  <c r="Z11" i="4"/>
  <c r="Z80" i="4" s="1"/>
  <c r="Z27" i="7" s="1"/>
  <c r="AA14" i="4"/>
  <c r="Y12" i="4"/>
  <c r="Y13" i="4" s="1"/>
  <c r="Y16" i="4" s="1"/>
  <c r="Y42" i="3"/>
  <c r="Y48" i="3"/>
  <c r="Y38" i="3"/>
  <c r="Y19" i="3"/>
  <c r="X32" i="3"/>
  <c r="X33" i="3" s="1"/>
  <c r="X27" i="3"/>
  <c r="X28" i="3" s="1"/>
  <c r="X29" i="3" s="1"/>
  <c r="Z14" i="3"/>
  <c r="Y11" i="3"/>
  <c r="Y12" i="3" s="1"/>
  <c r="Y13" i="3" s="1"/>
  <c r="Y16" i="3" s="1"/>
  <c r="Y15" i="3"/>
  <c r="AA51" i="4" l="1"/>
  <c r="AA55" i="4"/>
  <c r="AA59" i="4"/>
  <c r="S10" i="9"/>
  <c r="O91" i="1"/>
  <c r="O139" i="1" s="1"/>
  <c r="Y101" i="3"/>
  <c r="Z98" i="3" s="1"/>
  <c r="S65" i="4"/>
  <c r="S70" i="4" s="1"/>
  <c r="Y258" i="3"/>
  <c r="Z255" i="3" s="1"/>
  <c r="Y196" i="3"/>
  <c r="Z193" i="3" s="1"/>
  <c r="Y72" i="3"/>
  <c r="Z69" i="3" s="1"/>
  <c r="Y134" i="3"/>
  <c r="Z131" i="3" s="1"/>
  <c r="X47" i="3"/>
  <c r="X65" i="3" s="1"/>
  <c r="X66" i="3" s="1"/>
  <c r="X76" i="3" s="1"/>
  <c r="Y320" i="3"/>
  <c r="Z317" i="3" s="1"/>
  <c r="X330" i="3"/>
  <c r="X45" i="7" s="1"/>
  <c r="X233" i="3"/>
  <c r="X251" i="3" s="1"/>
  <c r="X252" i="3" s="1"/>
  <c r="X262" i="3" s="1"/>
  <c r="X232" i="3"/>
  <c r="X246" i="3" s="1"/>
  <c r="X247" i="3" s="1"/>
  <c r="X248" i="3" s="1"/>
  <c r="X261" i="3" s="1"/>
  <c r="X108" i="3"/>
  <c r="X122" i="3" s="1"/>
  <c r="X123" i="3" s="1"/>
  <c r="X124" i="3" s="1"/>
  <c r="X137" i="3" s="1"/>
  <c r="X109" i="3"/>
  <c r="X127" i="3" s="1"/>
  <c r="X128" i="3" s="1"/>
  <c r="X138" i="3" s="1"/>
  <c r="X75" i="3"/>
  <c r="U332" i="3"/>
  <c r="V331" i="3" s="1"/>
  <c r="X294" i="3"/>
  <c r="X308" i="3" s="1"/>
  <c r="X309" i="3" s="1"/>
  <c r="X310" i="3" s="1"/>
  <c r="X323" i="3" s="1"/>
  <c r="X295" i="3"/>
  <c r="X313" i="3" s="1"/>
  <c r="X314" i="3" s="1"/>
  <c r="X324" i="3" s="1"/>
  <c r="Y280" i="3"/>
  <c r="Y281" i="3" s="1"/>
  <c r="Y275" i="3"/>
  <c r="Y276" i="3" s="1"/>
  <c r="Y277" i="3" s="1"/>
  <c r="X170" i="3"/>
  <c r="X184" i="3" s="1"/>
  <c r="X185" i="3" s="1"/>
  <c r="X186" i="3" s="1"/>
  <c r="X199" i="3" s="1"/>
  <c r="X171" i="3"/>
  <c r="X189" i="3" s="1"/>
  <c r="X190" i="3" s="1"/>
  <c r="X200" i="3" s="1"/>
  <c r="Z34" i="4"/>
  <c r="AA64" i="4"/>
  <c r="Y89" i="3"/>
  <c r="Y90" i="3" s="1"/>
  <c r="Y91" i="3" s="1"/>
  <c r="Y94" i="3"/>
  <c r="Y95" i="3" s="1"/>
  <c r="Y263" i="3"/>
  <c r="R77" i="9"/>
  <c r="Y39" i="3"/>
  <c r="Z36" i="3" s="1"/>
  <c r="Y77" i="3"/>
  <c r="K78" i="4"/>
  <c r="K19" i="7" s="1"/>
  <c r="S66" i="9"/>
  <c r="V51" i="7" s="1"/>
  <c r="G36" i="9" a="1"/>
  <c r="Y325" i="3"/>
  <c r="Z58" i="4"/>
  <c r="S11" i="9"/>
  <c r="Y139" i="3"/>
  <c r="Y201" i="3"/>
  <c r="Y291" i="3"/>
  <c r="Y292" i="3" s="1"/>
  <c r="Y293" i="3" s="1"/>
  <c r="Y287" i="3"/>
  <c r="Z284" i="3" s="1"/>
  <c r="Y229" i="3"/>
  <c r="Y230" i="3" s="1"/>
  <c r="Y231" i="3" s="1"/>
  <c r="Z74" i="4"/>
  <c r="Y218" i="3"/>
  <c r="Y219" i="3" s="1"/>
  <c r="Y213" i="3"/>
  <c r="Y214" i="3" s="1"/>
  <c r="Y215" i="3" s="1"/>
  <c r="V18" i="7"/>
  <c r="W329" i="3"/>
  <c r="Y105" i="3"/>
  <c r="Y106" i="3" s="1"/>
  <c r="Y107" i="3" s="1"/>
  <c r="Y43" i="3"/>
  <c r="Y44" i="3" s="1"/>
  <c r="Y45" i="3" s="1"/>
  <c r="Y46" i="3" s="1"/>
  <c r="Y60" i="3" s="1"/>
  <c r="Y61" i="3" s="1"/>
  <c r="Y62" i="3" s="1"/>
  <c r="Z50" i="4"/>
  <c r="Z51" i="4" s="1"/>
  <c r="Z71" i="3"/>
  <c r="Z70" i="3"/>
  <c r="Z143" i="3"/>
  <c r="Z267" i="3"/>
  <c r="Z162" i="3"/>
  <c r="Z163" i="3" s="1"/>
  <c r="AA160" i="3" s="1"/>
  <c r="Z257" i="3"/>
  <c r="Z296" i="3"/>
  <c r="Z256" i="3"/>
  <c r="Z205" i="3"/>
  <c r="Z318" i="3"/>
  <c r="Z195" i="3"/>
  <c r="Z104" i="3"/>
  <c r="Z319" i="3"/>
  <c r="Z194" i="3"/>
  <c r="Z290" i="3"/>
  <c r="Z166" i="3"/>
  <c r="Z133" i="3"/>
  <c r="Z81" i="3"/>
  <c r="Z132" i="3"/>
  <c r="Z228" i="3"/>
  <c r="Z100" i="3"/>
  <c r="Z224" i="3"/>
  <c r="Z225" i="3" s="1"/>
  <c r="AA222" i="3" s="1"/>
  <c r="Z286" i="3"/>
  <c r="Z110" i="3"/>
  <c r="Z234" i="3"/>
  <c r="Z172" i="3"/>
  <c r="X46" i="4"/>
  <c r="T333" i="3"/>
  <c r="T63" i="4" s="1"/>
  <c r="T62" i="4" s="1"/>
  <c r="Y167" i="3"/>
  <c r="Y168" i="3" s="1"/>
  <c r="Y169" i="3" s="1"/>
  <c r="Y151" i="3"/>
  <c r="Y152" i="3" s="1"/>
  <c r="Y153" i="3" s="1"/>
  <c r="Y156" i="3"/>
  <c r="Y157" i="3" s="1"/>
  <c r="W328" i="3"/>
  <c r="Z67" i="7"/>
  <c r="AA80" i="7"/>
  <c r="AA65" i="7"/>
  <c r="AA66" i="7" s="1"/>
  <c r="AA34" i="7"/>
  <c r="AA38" i="7"/>
  <c r="AA33" i="7"/>
  <c r="Z12" i="7"/>
  <c r="Z13" i="7" s="1"/>
  <c r="Z16" i="7" s="1"/>
  <c r="AA15" i="7"/>
  <c r="AA11" i="7"/>
  <c r="AB14" i="7"/>
  <c r="Z12" i="6"/>
  <c r="Z14" i="6" s="1"/>
  <c r="Z17" i="6" s="1"/>
  <c r="AB15" i="6"/>
  <c r="AA16" i="6"/>
  <c r="AA11" i="6"/>
  <c r="AA13" i="6" s="1"/>
  <c r="Z45" i="4"/>
  <c r="Z68" i="4"/>
  <c r="Z18" i="4"/>
  <c r="Z23" i="4"/>
  <c r="Z38" i="4"/>
  <c r="Z42" i="4"/>
  <c r="Y39" i="4"/>
  <c r="Y40" i="4" s="1"/>
  <c r="Y19" i="4"/>
  <c r="Y20" i="4" s="1"/>
  <c r="Y24" i="4"/>
  <c r="Y25" i="4" s="1"/>
  <c r="Y43" i="4"/>
  <c r="Y44" i="4" s="1"/>
  <c r="Y73" i="4"/>
  <c r="AA32" i="4"/>
  <c r="AA33" i="4"/>
  <c r="AA29" i="4"/>
  <c r="AA30" i="4"/>
  <c r="AA31" i="4"/>
  <c r="Z54" i="4"/>
  <c r="AA15" i="4"/>
  <c r="AA11" i="4"/>
  <c r="AA80" i="4" s="1"/>
  <c r="AA27" i="7" s="1"/>
  <c r="AB14" i="4"/>
  <c r="Z12" i="4"/>
  <c r="Z13" i="4" s="1"/>
  <c r="Z16" i="4" s="1"/>
  <c r="Z42" i="3"/>
  <c r="Z48" i="3"/>
  <c r="Z38" i="3"/>
  <c r="Z19" i="3"/>
  <c r="Y32" i="3"/>
  <c r="Y33" i="3" s="1"/>
  <c r="Y27" i="3"/>
  <c r="Y28" i="3" s="1"/>
  <c r="Y29" i="3" s="1"/>
  <c r="AA14" i="3"/>
  <c r="Z11" i="3"/>
  <c r="Z12" i="3" s="1"/>
  <c r="Z13" i="3" s="1"/>
  <c r="Z16" i="3" s="1"/>
  <c r="Z15" i="3"/>
  <c r="AB51" i="4" l="1"/>
  <c r="AB59" i="4"/>
  <c r="AB55" i="4"/>
  <c r="Y41" i="7"/>
  <c r="V52" i="7"/>
  <c r="R41" i="7"/>
  <c r="X52" i="7"/>
  <c r="S51" i="7"/>
  <c r="S40" i="7"/>
  <c r="S52" i="7"/>
  <c r="W41" i="7"/>
  <c r="P40" i="7"/>
  <c r="Q40" i="7"/>
  <c r="Y52" i="7"/>
  <c r="X41" i="7"/>
  <c r="Q52" i="7"/>
  <c r="Y51" i="7"/>
  <c r="P52" i="7"/>
  <c r="V41" i="7"/>
  <c r="Y40" i="7"/>
  <c r="S41" i="7"/>
  <c r="Q51" i="7"/>
  <c r="P51" i="7"/>
  <c r="V40" i="7"/>
  <c r="P41" i="7"/>
  <c r="W40" i="7"/>
  <c r="H52" i="7"/>
  <c r="M41" i="7"/>
  <c r="J40" i="7"/>
  <c r="H41" i="7"/>
  <c r="H40" i="7"/>
  <c r="H51" i="7"/>
  <c r="J52" i="7"/>
  <c r="J51" i="7"/>
  <c r="K51" i="7"/>
  <c r="L41" i="7"/>
  <c r="M51" i="7"/>
  <c r="K40" i="7"/>
  <c r="K52" i="7"/>
  <c r="L52" i="7"/>
  <c r="K41" i="7"/>
  <c r="L40" i="7"/>
  <c r="J41" i="7"/>
  <c r="L51" i="7"/>
  <c r="M52" i="7"/>
  <c r="M40" i="7"/>
  <c r="Q41" i="7"/>
  <c r="W52" i="7"/>
  <c r="W51" i="7"/>
  <c r="X51" i="7"/>
  <c r="H48" i="7"/>
  <c r="J48" i="7"/>
  <c r="H49" i="7"/>
  <c r="L48" i="7"/>
  <c r="M49" i="7"/>
  <c r="M95" i="7" s="1"/>
  <c r="K49" i="7"/>
  <c r="K95" i="7" s="1"/>
  <c r="L49" i="7"/>
  <c r="K48" i="7"/>
  <c r="J49" i="7"/>
  <c r="M48" i="7"/>
  <c r="Y48" i="7"/>
  <c r="Q48" i="7"/>
  <c r="Q95" i="7" s="1"/>
  <c r="W49" i="7"/>
  <c r="S49" i="7"/>
  <c r="S95" i="7" s="1"/>
  <c r="Q49" i="7"/>
  <c r="W48" i="7"/>
  <c r="P48" i="7"/>
  <c r="R48" i="7"/>
  <c r="X48" i="7"/>
  <c r="X49" i="7"/>
  <c r="X95" i="7" s="1"/>
  <c r="V48" i="7"/>
  <c r="V95" i="7" s="1"/>
  <c r="V49" i="7"/>
  <c r="R49" i="7"/>
  <c r="P49" i="7"/>
  <c r="S48" i="7"/>
  <c r="Y49" i="7"/>
  <c r="R51" i="7"/>
  <c r="R52" i="7"/>
  <c r="R40" i="7"/>
  <c r="X40" i="7"/>
  <c r="T65" i="4"/>
  <c r="T70" i="4" s="1"/>
  <c r="AB51" i="7"/>
  <c r="AB48" i="7"/>
  <c r="AB40" i="7"/>
  <c r="AB52" i="7"/>
  <c r="AB41" i="7"/>
  <c r="AB49" i="7"/>
  <c r="Z258" i="3"/>
  <c r="AA255" i="3" s="1"/>
  <c r="Y47" i="3"/>
  <c r="Y65" i="3" s="1"/>
  <c r="Y66" i="3" s="1"/>
  <c r="Y76" i="3" s="1"/>
  <c r="Y95" i="7"/>
  <c r="Z72" i="3"/>
  <c r="AA69" i="3" s="1"/>
  <c r="H95" i="7"/>
  <c r="AA54" i="4"/>
  <c r="J95" i="7"/>
  <c r="Z134" i="3"/>
  <c r="AA131" i="3" s="1"/>
  <c r="R95" i="7"/>
  <c r="Z320" i="3"/>
  <c r="AA317" i="3" s="1"/>
  <c r="Z287" i="3"/>
  <c r="AA284" i="3" s="1"/>
  <c r="X329" i="3"/>
  <c r="AA67" i="7"/>
  <c r="Z196" i="3"/>
  <c r="AA193" i="3" s="1"/>
  <c r="Y295" i="3"/>
  <c r="Y313" i="3" s="1"/>
  <c r="Y314" i="3" s="1"/>
  <c r="Y324" i="3" s="1"/>
  <c r="Y294" i="3"/>
  <c r="Y308" i="3" s="1"/>
  <c r="Y309" i="3" s="1"/>
  <c r="Y310" i="3" s="1"/>
  <c r="Y323" i="3" s="1"/>
  <c r="Y170" i="3"/>
  <c r="Y184" i="3" s="1"/>
  <c r="Y185" i="3" s="1"/>
  <c r="Y186" i="3" s="1"/>
  <c r="Y199" i="3" s="1"/>
  <c r="Y171" i="3"/>
  <c r="Y189" i="3" s="1"/>
  <c r="Y190" i="3" s="1"/>
  <c r="Y200" i="3" s="1"/>
  <c r="Y232" i="3"/>
  <c r="Y246" i="3" s="1"/>
  <c r="Y247" i="3" s="1"/>
  <c r="Y248" i="3" s="1"/>
  <c r="Y261" i="3" s="1"/>
  <c r="Y233" i="3"/>
  <c r="Y251" i="3" s="1"/>
  <c r="Y252" i="3" s="1"/>
  <c r="Y262" i="3" s="1"/>
  <c r="Z167" i="3"/>
  <c r="Z168" i="3" s="1"/>
  <c r="W18" i="7"/>
  <c r="Z139" i="3"/>
  <c r="Y109" i="3"/>
  <c r="Y127" i="3" s="1"/>
  <c r="Y128" i="3" s="1"/>
  <c r="Y138" i="3" s="1"/>
  <c r="Y108" i="3"/>
  <c r="Y122" i="3" s="1"/>
  <c r="Y123" i="3" s="1"/>
  <c r="Y124" i="3" s="1"/>
  <c r="Y137" i="3" s="1"/>
  <c r="Z101" i="3"/>
  <c r="AA98" i="3" s="1"/>
  <c r="N75" i="4"/>
  <c r="AA70" i="3"/>
  <c r="AA71" i="3"/>
  <c r="AA143" i="3"/>
  <c r="AA267" i="3"/>
  <c r="AA162" i="3"/>
  <c r="AA163" i="3" s="1"/>
  <c r="AB160" i="3" s="1"/>
  <c r="AA318" i="3"/>
  <c r="AA257" i="3"/>
  <c r="AA290" i="3"/>
  <c r="AA228" i="3"/>
  <c r="AA205" i="3"/>
  <c r="AA256" i="3"/>
  <c r="AA319" i="3"/>
  <c r="AA296" i="3"/>
  <c r="AA224" i="3"/>
  <c r="AA195" i="3"/>
  <c r="AA133" i="3"/>
  <c r="AA110" i="3"/>
  <c r="AA286" i="3"/>
  <c r="AA194" i="3"/>
  <c r="AA166" i="3"/>
  <c r="AA81" i="3"/>
  <c r="AA132" i="3"/>
  <c r="AA100" i="3"/>
  <c r="AA104" i="3"/>
  <c r="AA172" i="3"/>
  <c r="AA234" i="3"/>
  <c r="Z43" i="3"/>
  <c r="Z44" i="3" s="1"/>
  <c r="Z45" i="3" s="1"/>
  <c r="Z46" i="3" s="1"/>
  <c r="Z60" i="3" s="1"/>
  <c r="Z61" i="3" s="1"/>
  <c r="Z62" i="3" s="1"/>
  <c r="AA58" i="4"/>
  <c r="Z229" i="3"/>
  <c r="Z230" i="3" s="1"/>
  <c r="Z231" i="3" s="1"/>
  <c r="Z105" i="3"/>
  <c r="Z106" i="3" s="1"/>
  <c r="Z107" i="3" s="1"/>
  <c r="Z280" i="3"/>
  <c r="Z281" i="3" s="1"/>
  <c r="Z275" i="3"/>
  <c r="Z276" i="3" s="1"/>
  <c r="Z277" i="3" s="1"/>
  <c r="L95" i="7"/>
  <c r="Z156" i="3"/>
  <c r="Z157" i="3" s="1"/>
  <c r="Z151" i="3"/>
  <c r="Z152" i="3" s="1"/>
  <c r="Z153" i="3" s="1"/>
  <c r="AB64" i="4"/>
  <c r="AB69" i="4"/>
  <c r="AA50" i="4"/>
  <c r="Z89" i="3"/>
  <c r="Z90" i="3" s="1"/>
  <c r="Z91" i="3" s="1"/>
  <c r="Z94" i="3"/>
  <c r="Z95" i="3" s="1"/>
  <c r="X328" i="3"/>
  <c r="Y75" i="3"/>
  <c r="Z218" i="3"/>
  <c r="Z219" i="3" s="1"/>
  <c r="Z213" i="3"/>
  <c r="Z214" i="3" s="1"/>
  <c r="Z215" i="3" s="1"/>
  <c r="P95" i="7"/>
  <c r="U333" i="3"/>
  <c r="U63" i="4" s="1"/>
  <c r="U62" i="4" s="1"/>
  <c r="Z39" i="3"/>
  <c r="AA36" i="3" s="1"/>
  <c r="Z77" i="3"/>
  <c r="G37" i="9"/>
  <c r="G36" i="9"/>
  <c r="G40" i="9"/>
  <c r="G43" i="9"/>
  <c r="G44" i="9"/>
  <c r="G38" i="9"/>
  <c r="G45" i="9"/>
  <c r="G39" i="9"/>
  <c r="G42" i="9"/>
  <c r="G41" i="9"/>
  <c r="AA74" i="4"/>
  <c r="V332" i="3"/>
  <c r="W331" i="3" s="1"/>
  <c r="AA34" i="4"/>
  <c r="Z325" i="3"/>
  <c r="Z291" i="3"/>
  <c r="Z292" i="3" s="1"/>
  <c r="Z293" i="3" s="1"/>
  <c r="Y330" i="3"/>
  <c r="Y45" i="7" s="1"/>
  <c r="S77" i="9"/>
  <c r="Z263" i="3"/>
  <c r="Z201" i="3"/>
  <c r="AB80" i="7"/>
  <c r="AB65" i="7"/>
  <c r="AB66" i="7" s="1"/>
  <c r="AB34" i="7"/>
  <c r="AB38" i="7"/>
  <c r="AB33" i="7"/>
  <c r="AC14" i="7"/>
  <c r="AB11" i="7"/>
  <c r="AB15" i="7"/>
  <c r="AA12" i="7"/>
  <c r="AA13" i="7" s="1"/>
  <c r="AA16" i="7" s="1"/>
  <c r="AA12" i="6"/>
  <c r="AA14" i="6" s="1"/>
  <c r="AA17" i="6" s="1"/>
  <c r="AB16" i="6"/>
  <c r="AB11" i="6"/>
  <c r="AB13" i="6" s="1"/>
  <c r="AC15" i="6"/>
  <c r="Y46" i="4"/>
  <c r="Z73" i="4"/>
  <c r="O75" i="4" s="1"/>
  <c r="O76" i="4" s="1"/>
  <c r="O78" i="4" s="1"/>
  <c r="O19" i="7" s="1"/>
  <c r="Z39" i="4"/>
  <c r="Z40" i="4" s="1"/>
  <c r="Z43" i="4"/>
  <c r="Z44" i="4" s="1"/>
  <c r="Z24" i="4"/>
  <c r="Z25" i="4" s="1"/>
  <c r="Z19" i="4"/>
  <c r="Z20" i="4" s="1"/>
  <c r="AB32" i="4"/>
  <c r="AB29" i="4"/>
  <c r="AB31" i="4"/>
  <c r="AB30" i="4"/>
  <c r="AB33" i="4"/>
  <c r="AA45" i="4"/>
  <c r="AA68" i="4"/>
  <c r="AA69" i="4" s="1"/>
  <c r="AA18" i="4"/>
  <c r="AA38" i="4"/>
  <c r="AA23" i="4"/>
  <c r="AA42" i="4"/>
  <c r="AB11" i="4"/>
  <c r="AB80" i="4" s="1"/>
  <c r="AB27" i="7" s="1"/>
  <c r="AC14" i="4"/>
  <c r="AB15" i="4"/>
  <c r="AA12" i="4"/>
  <c r="AA13" i="4" s="1"/>
  <c r="AA16" i="4" s="1"/>
  <c r="AA42" i="3"/>
  <c r="AA48" i="3"/>
  <c r="AA38" i="3"/>
  <c r="AA19" i="3"/>
  <c r="Z27" i="3"/>
  <c r="Z28" i="3" s="1"/>
  <c r="Z29" i="3" s="1"/>
  <c r="Z32" i="3"/>
  <c r="Z33" i="3" s="1"/>
  <c r="AB14" i="3"/>
  <c r="AA11" i="3"/>
  <c r="AA12" i="3" s="1"/>
  <c r="AA13" i="3" s="1"/>
  <c r="AA16" i="3" s="1"/>
  <c r="AA15" i="3"/>
  <c r="U65" i="4" l="1"/>
  <c r="U70" i="4" s="1"/>
  <c r="AC55" i="4"/>
  <c r="AC51" i="4"/>
  <c r="W95" i="7"/>
  <c r="AC51" i="7"/>
  <c r="AC48" i="7"/>
  <c r="AC40" i="7"/>
  <c r="AC52" i="7"/>
  <c r="AC49" i="7"/>
  <c r="AC41" i="7"/>
  <c r="X18" i="7"/>
  <c r="Y93" i="7"/>
  <c r="Z47" i="3"/>
  <c r="Z65" i="3" s="1"/>
  <c r="Z66" i="3" s="1"/>
  <c r="Z76" i="3" s="1"/>
  <c r="X93" i="7"/>
  <c r="AA72" i="3"/>
  <c r="AB69" i="3" s="1"/>
  <c r="AA320" i="3"/>
  <c r="AB317" i="3" s="1"/>
  <c r="AA258" i="3"/>
  <c r="AB255" i="3" s="1"/>
  <c r="J93" i="7"/>
  <c r="AB58" i="4"/>
  <c r="H93" i="7"/>
  <c r="V333" i="3"/>
  <c r="V63" i="4" s="1"/>
  <c r="V62" i="4" s="1"/>
  <c r="AA134" i="3"/>
  <c r="AB131" i="3" s="1"/>
  <c r="AA196" i="3"/>
  <c r="AB193" i="3" s="1"/>
  <c r="W93" i="7"/>
  <c r="R93" i="7"/>
  <c r="Q93" i="7"/>
  <c r="AA101" i="3"/>
  <c r="AB98" i="3" s="1"/>
  <c r="AB74" i="4"/>
  <c r="AB54" i="4"/>
  <c r="K93" i="7"/>
  <c r="M93" i="7"/>
  <c r="AA139" i="3"/>
  <c r="AB70" i="3"/>
  <c r="AB71" i="3"/>
  <c r="AB162" i="3"/>
  <c r="AB163" i="3" s="1"/>
  <c r="AC160" i="3" s="1"/>
  <c r="AB267" i="3"/>
  <c r="AB143" i="3"/>
  <c r="AB296" i="3"/>
  <c r="AB256" i="3"/>
  <c r="AB224" i="3"/>
  <c r="AB290" i="3"/>
  <c r="AB257" i="3"/>
  <c r="AB228" i="3"/>
  <c r="AB319" i="3"/>
  <c r="AB286" i="3"/>
  <c r="AB205" i="3"/>
  <c r="AB100" i="3"/>
  <c r="AB318" i="3"/>
  <c r="AB195" i="3"/>
  <c r="AB81" i="3"/>
  <c r="AB133" i="3"/>
  <c r="AB194" i="3"/>
  <c r="AB110" i="3"/>
  <c r="AB166" i="3"/>
  <c r="AB104" i="3"/>
  <c r="AB132" i="3"/>
  <c r="AB172" i="3"/>
  <c r="AB234" i="3"/>
  <c r="AA43" i="3"/>
  <c r="AA44" i="3" s="1"/>
  <c r="AA45" i="3" s="1"/>
  <c r="AA47" i="3" s="1"/>
  <c r="AA65" i="3" s="1"/>
  <c r="AA66" i="3" s="1"/>
  <c r="W332" i="3"/>
  <c r="X331" i="3" s="1"/>
  <c r="AA105" i="3"/>
  <c r="AA106" i="3" s="1"/>
  <c r="AA107" i="3" s="1"/>
  <c r="AA291" i="3"/>
  <c r="AA292" i="3" s="1"/>
  <c r="AA293" i="3" s="1"/>
  <c r="N76" i="4"/>
  <c r="L93" i="7"/>
  <c r="AA263" i="3"/>
  <c r="Y328" i="3"/>
  <c r="Z233" i="3"/>
  <c r="Z251" i="3" s="1"/>
  <c r="Z252" i="3" s="1"/>
  <c r="Z262" i="3" s="1"/>
  <c r="Z232" i="3"/>
  <c r="Z246" i="3" s="1"/>
  <c r="Z247" i="3" s="1"/>
  <c r="Z248" i="3" s="1"/>
  <c r="Z261" i="3" s="1"/>
  <c r="AC64" i="4"/>
  <c r="AC69" i="4"/>
  <c r="Z46" i="4"/>
  <c r="Z294" i="3"/>
  <c r="Z308" i="3" s="1"/>
  <c r="Z309" i="3" s="1"/>
  <c r="Z310" i="3" s="1"/>
  <c r="Z323" i="3" s="1"/>
  <c r="Z295" i="3"/>
  <c r="Z313" i="3" s="1"/>
  <c r="Z314" i="3" s="1"/>
  <c r="Z324" i="3" s="1"/>
  <c r="AA89" i="3"/>
  <c r="AA90" i="3" s="1"/>
  <c r="AA91" i="3" s="1"/>
  <c r="AA94" i="3"/>
  <c r="AA95" i="3" s="1"/>
  <c r="V93" i="7"/>
  <c r="Y329" i="3"/>
  <c r="AA39" i="3"/>
  <c r="AB36" i="3" s="1"/>
  <c r="AA77" i="3"/>
  <c r="P93" i="7"/>
  <c r="AA167" i="3"/>
  <c r="AA168" i="3" s="1"/>
  <c r="AA169" i="3" s="1"/>
  <c r="AA275" i="3"/>
  <c r="AA276" i="3" s="1"/>
  <c r="AA277" i="3" s="1"/>
  <c r="AA280" i="3"/>
  <c r="AA281" i="3" s="1"/>
  <c r="AA229" i="3"/>
  <c r="AA230" i="3" s="1"/>
  <c r="AA231" i="3" s="1"/>
  <c r="Z330" i="3"/>
  <c r="Z45" i="7" s="1"/>
  <c r="Z108" i="3"/>
  <c r="Z122" i="3" s="1"/>
  <c r="Z123" i="3" s="1"/>
  <c r="Z124" i="3" s="1"/>
  <c r="Z137" i="3" s="1"/>
  <c r="Z109" i="3"/>
  <c r="Z127" i="3" s="1"/>
  <c r="Z128" i="3" s="1"/>
  <c r="Z138" i="3" s="1"/>
  <c r="AA201" i="3"/>
  <c r="AA156" i="3"/>
  <c r="AA157" i="3" s="1"/>
  <c r="AA151" i="3"/>
  <c r="AA152" i="3" s="1"/>
  <c r="AA153" i="3" s="1"/>
  <c r="Z75" i="3"/>
  <c r="S93" i="7"/>
  <c r="AA325" i="3"/>
  <c r="AA218" i="3"/>
  <c r="AA219" i="3" s="1"/>
  <c r="AA213" i="3"/>
  <c r="AA214" i="3" s="1"/>
  <c r="AA215" i="3" s="1"/>
  <c r="AA287" i="3"/>
  <c r="AB284" i="3" s="1"/>
  <c r="Z169" i="3"/>
  <c r="AA225" i="3"/>
  <c r="AB222" i="3" s="1"/>
  <c r="AB95" i="7"/>
  <c r="AB93" i="7"/>
  <c r="AC80" i="7"/>
  <c r="AC65" i="7"/>
  <c r="AC66" i="7" s="1"/>
  <c r="AB67" i="7"/>
  <c r="AC38" i="7"/>
  <c r="AC33" i="7"/>
  <c r="AC34" i="7"/>
  <c r="AB12" i="7"/>
  <c r="AB13" i="7" s="1"/>
  <c r="AB16" i="7" s="1"/>
  <c r="AD14" i="7"/>
  <c r="AC15" i="7"/>
  <c r="AC11" i="7"/>
  <c r="AC16" i="6"/>
  <c r="AC11" i="6"/>
  <c r="AC13" i="6" s="1"/>
  <c r="AD15" i="6"/>
  <c r="AB12" i="6"/>
  <c r="AB14" i="6" s="1"/>
  <c r="AB17" i="6" s="1"/>
  <c r="AC32" i="4"/>
  <c r="AC33" i="4"/>
  <c r="AC30" i="4"/>
  <c r="AC31" i="4"/>
  <c r="AC29" i="4"/>
  <c r="AB68" i="4"/>
  <c r="AB45" i="4"/>
  <c r="AB38" i="4"/>
  <c r="AB23" i="4"/>
  <c r="AB18" i="4"/>
  <c r="AB42" i="4"/>
  <c r="AB34" i="4"/>
  <c r="AA19" i="4"/>
  <c r="AA20" i="4" s="1"/>
  <c r="AA43" i="4"/>
  <c r="AA44" i="4" s="1"/>
  <c r="AA73" i="4"/>
  <c r="P75" i="4" s="1"/>
  <c r="P76" i="4" s="1"/>
  <c r="P78" i="4" s="1"/>
  <c r="P19" i="7" s="1"/>
  <c r="AA24" i="4"/>
  <c r="AA25" i="4" s="1"/>
  <c r="AA39" i="4"/>
  <c r="AA40" i="4" s="1"/>
  <c r="AB50" i="4"/>
  <c r="AB12" i="4"/>
  <c r="AB13" i="4" s="1"/>
  <c r="AB16" i="4" s="1"/>
  <c r="AC11" i="4"/>
  <c r="AC80" i="4" s="1"/>
  <c r="AC27" i="7" s="1"/>
  <c r="AD14" i="4"/>
  <c r="AC15" i="4"/>
  <c r="AB42" i="3"/>
  <c r="AB48" i="3"/>
  <c r="AA32" i="3"/>
  <c r="AA33" i="3" s="1"/>
  <c r="AA27" i="3"/>
  <c r="AA28" i="3" s="1"/>
  <c r="AA29" i="3" s="1"/>
  <c r="AB38" i="3"/>
  <c r="AB19" i="3"/>
  <c r="AC14" i="3"/>
  <c r="AB11" i="3"/>
  <c r="AB12" i="3" s="1"/>
  <c r="AB13" i="3" s="1"/>
  <c r="AB16" i="3" s="1"/>
  <c r="AB15" i="3"/>
  <c r="V65" i="4" l="1"/>
  <c r="V70" i="4" s="1"/>
  <c r="AB225" i="3"/>
  <c r="AC222" i="3" s="1"/>
  <c r="AD59" i="4"/>
  <c r="AD51" i="4"/>
  <c r="AD55" i="4"/>
  <c r="AD51" i="7"/>
  <c r="AD40" i="7"/>
  <c r="AD52" i="7"/>
  <c r="AD49" i="7"/>
  <c r="AD41" i="7"/>
  <c r="AD48" i="7"/>
  <c r="AC95" i="7"/>
  <c r="AB101" i="3"/>
  <c r="AC98" i="3" s="1"/>
  <c r="AA46" i="3"/>
  <c r="AA60" i="3" s="1"/>
  <c r="AA61" i="3" s="1"/>
  <c r="AA62" i="3" s="1"/>
  <c r="AA75" i="3" s="1"/>
  <c r="AB134" i="3"/>
  <c r="AC131" i="3" s="1"/>
  <c r="AB320" i="3"/>
  <c r="AC317" i="3" s="1"/>
  <c r="AA330" i="3"/>
  <c r="AA45" i="7" s="1"/>
  <c r="W333" i="3"/>
  <c r="W63" i="4" s="1"/>
  <c r="W62" i="4" s="1"/>
  <c r="AB72" i="3"/>
  <c r="AC69" i="3" s="1"/>
  <c r="AB139" i="3"/>
  <c r="AB258" i="3"/>
  <c r="AC255" i="3" s="1"/>
  <c r="AB196" i="3"/>
  <c r="AC193" i="3" s="1"/>
  <c r="AB287" i="3"/>
  <c r="AC284" i="3" s="1"/>
  <c r="AA294" i="3"/>
  <c r="AA308" i="3" s="1"/>
  <c r="AA309" i="3" s="1"/>
  <c r="AA310" i="3" s="1"/>
  <c r="AA323" i="3" s="1"/>
  <c r="AA295" i="3"/>
  <c r="AA313" i="3" s="1"/>
  <c r="AA314" i="3" s="1"/>
  <c r="AA324" i="3" s="1"/>
  <c r="AA109" i="3"/>
  <c r="AA127" i="3" s="1"/>
  <c r="AA128" i="3" s="1"/>
  <c r="AA138" i="3" s="1"/>
  <c r="AA108" i="3"/>
  <c r="AA122" i="3" s="1"/>
  <c r="AA123" i="3" s="1"/>
  <c r="AA124" i="3" s="1"/>
  <c r="AA137" i="3" s="1"/>
  <c r="AA232" i="3"/>
  <c r="AA246" i="3" s="1"/>
  <c r="AA247" i="3" s="1"/>
  <c r="AA248" i="3" s="1"/>
  <c r="AA261" i="3" s="1"/>
  <c r="AA233" i="3"/>
  <c r="AA251" i="3" s="1"/>
  <c r="AA252" i="3" s="1"/>
  <c r="AA262" i="3" s="1"/>
  <c r="AC58" i="4"/>
  <c r="AC59" i="4" s="1"/>
  <c r="AA171" i="3"/>
  <c r="AA189" i="3" s="1"/>
  <c r="AA190" i="3" s="1"/>
  <c r="AA200" i="3" s="1"/>
  <c r="AA170" i="3"/>
  <c r="AA184" i="3" s="1"/>
  <c r="AA185" i="3" s="1"/>
  <c r="AA186" i="3" s="1"/>
  <c r="AA199" i="3" s="1"/>
  <c r="AB291" i="3"/>
  <c r="AB292" i="3" s="1"/>
  <c r="AB293" i="3" s="1"/>
  <c r="AB263" i="3"/>
  <c r="AB43" i="3"/>
  <c r="AB44" i="3" s="1"/>
  <c r="AB45" i="3" s="1"/>
  <c r="AB46" i="3" s="1"/>
  <c r="AB60" i="3" s="1"/>
  <c r="AB61" i="3" s="1"/>
  <c r="AB62" i="3" s="1"/>
  <c r="AC50" i="4"/>
  <c r="AB105" i="3"/>
  <c r="AB106" i="3" s="1"/>
  <c r="AB107" i="3" s="1"/>
  <c r="AB94" i="3"/>
  <c r="AB95" i="3" s="1"/>
  <c r="AB89" i="3"/>
  <c r="AB90" i="3" s="1"/>
  <c r="AB91" i="3" s="1"/>
  <c r="AC70" i="3"/>
  <c r="AC71" i="3"/>
  <c r="AC162" i="3"/>
  <c r="AC163" i="3" s="1"/>
  <c r="AD160" i="3" s="1"/>
  <c r="AC267" i="3"/>
  <c r="AC143" i="3"/>
  <c r="AC319" i="3"/>
  <c r="AC318" i="3"/>
  <c r="AC290" i="3"/>
  <c r="AC256" i="3"/>
  <c r="AC205" i="3"/>
  <c r="AC228" i="3"/>
  <c r="AC296" i="3"/>
  <c r="AC224" i="3"/>
  <c r="AC225" i="3" s="1"/>
  <c r="AD222" i="3" s="1"/>
  <c r="AC133" i="3"/>
  <c r="AC100" i="3"/>
  <c r="AC81" i="3"/>
  <c r="AC110" i="3"/>
  <c r="AC132" i="3"/>
  <c r="AC104" i="3"/>
  <c r="AC286" i="3"/>
  <c r="AC195" i="3"/>
  <c r="AC194" i="3"/>
  <c r="AC166" i="3"/>
  <c r="AC257" i="3"/>
  <c r="AC234" i="3"/>
  <c r="AC172" i="3"/>
  <c r="AC74" i="4"/>
  <c r="Y18" i="7"/>
  <c r="N78" i="4"/>
  <c r="N19" i="7" s="1"/>
  <c r="X332" i="3"/>
  <c r="Y331" i="3" s="1"/>
  <c r="AB167" i="3"/>
  <c r="AB168" i="3" s="1"/>
  <c r="AB169" i="3" s="1"/>
  <c r="AB213" i="3"/>
  <c r="AB214" i="3" s="1"/>
  <c r="AB215" i="3" s="1"/>
  <c r="AB218" i="3"/>
  <c r="AB219" i="3" s="1"/>
  <c r="AB39" i="3"/>
  <c r="AC36" i="3" s="1"/>
  <c r="AB77" i="3"/>
  <c r="AD64" i="4"/>
  <c r="AB325" i="3"/>
  <c r="AB156" i="3"/>
  <c r="AB157" i="3" s="1"/>
  <c r="AB151" i="3"/>
  <c r="AB152" i="3" s="1"/>
  <c r="AB153" i="3" s="1"/>
  <c r="AC67" i="7"/>
  <c r="AB201" i="3"/>
  <c r="AB275" i="3"/>
  <c r="AB276" i="3" s="1"/>
  <c r="AB277" i="3" s="1"/>
  <c r="AB280" i="3"/>
  <c r="AB281" i="3" s="1"/>
  <c r="AA76" i="3"/>
  <c r="Z170" i="3"/>
  <c r="Z184" i="3" s="1"/>
  <c r="Z185" i="3" s="1"/>
  <c r="Z186" i="3" s="1"/>
  <c r="Z199" i="3" s="1"/>
  <c r="Z328" i="3" s="1"/>
  <c r="Z171" i="3"/>
  <c r="Z189" i="3" s="1"/>
  <c r="Z190" i="3" s="1"/>
  <c r="Z200" i="3" s="1"/>
  <c r="Z329" i="3" s="1"/>
  <c r="AB229" i="3"/>
  <c r="AB230" i="3" s="1"/>
  <c r="AB231" i="3" s="1"/>
  <c r="AC93" i="7"/>
  <c r="AD80" i="7"/>
  <c r="AD65" i="7"/>
  <c r="AD66" i="7" s="1"/>
  <c r="AD38" i="7"/>
  <c r="AD33" i="7"/>
  <c r="AD34" i="7"/>
  <c r="AC12" i="7"/>
  <c r="AC13" i="7" s="1"/>
  <c r="AC16" i="7" s="1"/>
  <c r="AE14" i="7"/>
  <c r="AD15" i="7"/>
  <c r="AD11" i="7"/>
  <c r="AE15" i="6"/>
  <c r="AD11" i="6"/>
  <c r="AD13" i="6" s="1"/>
  <c r="AD16" i="6"/>
  <c r="AC12" i="6"/>
  <c r="AC14" i="6" s="1"/>
  <c r="AC17" i="6" s="1"/>
  <c r="AC68" i="4"/>
  <c r="AC45" i="4"/>
  <c r="AC18" i="4"/>
  <c r="AC23" i="4"/>
  <c r="AC38" i="4"/>
  <c r="AC42" i="4"/>
  <c r="AC54" i="4"/>
  <c r="AA46" i="4"/>
  <c r="AD32" i="4"/>
  <c r="AD33" i="4"/>
  <c r="AD30" i="4"/>
  <c r="AD31" i="4"/>
  <c r="AD29" i="4"/>
  <c r="AB19" i="4"/>
  <c r="AB20" i="4" s="1"/>
  <c r="AB24" i="4"/>
  <c r="AB25" i="4" s="1"/>
  <c r="AB43" i="4"/>
  <c r="AB44" i="4" s="1"/>
  <c r="AB39" i="4"/>
  <c r="AB40" i="4" s="1"/>
  <c r="AB73" i="4"/>
  <c r="AC34" i="4"/>
  <c r="AE14" i="4"/>
  <c r="AD15" i="4"/>
  <c r="AD11" i="4"/>
  <c r="AD80" i="4" s="1"/>
  <c r="AD27" i="7" s="1"/>
  <c r="AC12" i="4"/>
  <c r="AC13" i="4" s="1"/>
  <c r="AC16" i="4" s="1"/>
  <c r="AC42" i="3"/>
  <c r="AC48" i="3"/>
  <c r="AB27" i="3"/>
  <c r="AB28" i="3" s="1"/>
  <c r="AB29" i="3" s="1"/>
  <c r="AB32" i="3"/>
  <c r="AB33" i="3" s="1"/>
  <c r="AC38" i="3"/>
  <c r="AC19" i="3"/>
  <c r="AD14" i="3"/>
  <c r="AC11" i="3"/>
  <c r="AC12" i="3" s="1"/>
  <c r="AC13" i="3" s="1"/>
  <c r="AC16" i="3" s="1"/>
  <c r="AC15" i="3"/>
  <c r="W65" i="4" l="1"/>
  <c r="W70" i="4" s="1"/>
  <c r="AE59" i="4"/>
  <c r="AE51" i="4"/>
  <c r="AE55" i="4"/>
  <c r="AE51" i="7"/>
  <c r="AE48" i="7"/>
  <c r="AE40" i="7"/>
  <c r="AE52" i="7"/>
  <c r="AE49" i="7"/>
  <c r="AE41" i="7"/>
  <c r="AC101" i="3"/>
  <c r="AD98" i="3" s="1"/>
  <c r="X333" i="3"/>
  <c r="X63" i="4" s="1"/>
  <c r="X62" i="4" s="1"/>
  <c r="AC320" i="3"/>
  <c r="AD317" i="3" s="1"/>
  <c r="AC134" i="3"/>
  <c r="AD131" i="3" s="1"/>
  <c r="AC258" i="3"/>
  <c r="AD255" i="3" s="1"/>
  <c r="AC196" i="3"/>
  <c r="AD193" i="3" s="1"/>
  <c r="AC325" i="3"/>
  <c r="AB47" i="3"/>
  <c r="AB65" i="3" s="1"/>
  <c r="AB66" i="3" s="1"/>
  <c r="AB76" i="3" s="1"/>
  <c r="AC72" i="3"/>
  <c r="AD69" i="3" s="1"/>
  <c r="AD95" i="7"/>
  <c r="AD74" i="4"/>
  <c r="AB294" i="3"/>
  <c r="AB308" i="3" s="1"/>
  <c r="AB309" i="3" s="1"/>
  <c r="AB310" i="3" s="1"/>
  <c r="AB323" i="3" s="1"/>
  <c r="AB295" i="3"/>
  <c r="AB313" i="3" s="1"/>
  <c r="AB314" i="3" s="1"/>
  <c r="AB324" i="3" s="1"/>
  <c r="AB170" i="3"/>
  <c r="AB184" i="3" s="1"/>
  <c r="AB185" i="3" s="1"/>
  <c r="AB186" i="3" s="1"/>
  <c r="AB199" i="3" s="1"/>
  <c r="AB171" i="3"/>
  <c r="AB189" i="3" s="1"/>
  <c r="AB190" i="3" s="1"/>
  <c r="AB200" i="3" s="1"/>
  <c r="AB108" i="3"/>
  <c r="AB122" i="3" s="1"/>
  <c r="AB123" i="3" s="1"/>
  <c r="AB124" i="3" s="1"/>
  <c r="AB137" i="3" s="1"/>
  <c r="AB109" i="3"/>
  <c r="AB127" i="3" s="1"/>
  <c r="AB128" i="3" s="1"/>
  <c r="AB138" i="3" s="1"/>
  <c r="AB233" i="3"/>
  <c r="AB251" i="3" s="1"/>
  <c r="AB252" i="3" s="1"/>
  <c r="AB262" i="3" s="1"/>
  <c r="AB232" i="3"/>
  <c r="AB246" i="3" s="1"/>
  <c r="AB247" i="3" s="1"/>
  <c r="AB248" i="3" s="1"/>
  <c r="AB261" i="3" s="1"/>
  <c r="AC275" i="3"/>
  <c r="AC276" i="3" s="1"/>
  <c r="AC277" i="3" s="1"/>
  <c r="AC280" i="3"/>
  <c r="AC281" i="3" s="1"/>
  <c r="AC229" i="3"/>
  <c r="AC230" i="3" s="1"/>
  <c r="AC231" i="3" s="1"/>
  <c r="AB75" i="3"/>
  <c r="Z18" i="7"/>
  <c r="Y332" i="3"/>
  <c r="Z331" i="3" s="1"/>
  <c r="AC218" i="3"/>
  <c r="AC219" i="3" s="1"/>
  <c r="AC213" i="3"/>
  <c r="AC214" i="3" s="1"/>
  <c r="AC215" i="3" s="1"/>
  <c r="AC105" i="3"/>
  <c r="AC106" i="3" s="1"/>
  <c r="AC107" i="3" s="1"/>
  <c r="AD71" i="3"/>
  <c r="AD70" i="3"/>
  <c r="AD162" i="3"/>
  <c r="AD163" i="3" s="1"/>
  <c r="AE160" i="3" s="1"/>
  <c r="AD267" i="3"/>
  <c r="AD143" i="3"/>
  <c r="AD205" i="3"/>
  <c r="AD228" i="3"/>
  <c r="AD319" i="3"/>
  <c r="AD290" i="3"/>
  <c r="AD286" i="3"/>
  <c r="AD257" i="3"/>
  <c r="AD194" i="3"/>
  <c r="AD296" i="3"/>
  <c r="AD81" i="3"/>
  <c r="AD110" i="3"/>
  <c r="AD132" i="3"/>
  <c r="AD224" i="3"/>
  <c r="AD100" i="3"/>
  <c r="AD104" i="3"/>
  <c r="AD318" i="3"/>
  <c r="AD133" i="3"/>
  <c r="AD166" i="3"/>
  <c r="AD195" i="3"/>
  <c r="AD256" i="3"/>
  <c r="AD172" i="3"/>
  <c r="AD234" i="3"/>
  <c r="AC43" i="3"/>
  <c r="AC44" i="3" s="1"/>
  <c r="AC45" i="3" s="1"/>
  <c r="AC46" i="3" s="1"/>
  <c r="AC60" i="3" s="1"/>
  <c r="AC61" i="3" s="1"/>
  <c r="AC62" i="3" s="1"/>
  <c r="AC89" i="3"/>
  <c r="AC90" i="3" s="1"/>
  <c r="AC91" i="3" s="1"/>
  <c r="AC94" i="3"/>
  <c r="AC95" i="3" s="1"/>
  <c r="AC291" i="3"/>
  <c r="AC292" i="3" s="1"/>
  <c r="AC293" i="3" s="1"/>
  <c r="Q75" i="4"/>
  <c r="AB330" i="3"/>
  <c r="AB45" i="7" s="1"/>
  <c r="AC167" i="3"/>
  <c r="AC168" i="3" s="1"/>
  <c r="AC169" i="3" s="1"/>
  <c r="AC139" i="3"/>
  <c r="AA329" i="3"/>
  <c r="AE69" i="4"/>
  <c r="AE64" i="4"/>
  <c r="AC201" i="3"/>
  <c r="AA328" i="3"/>
  <c r="AC39" i="3"/>
  <c r="AD36" i="3" s="1"/>
  <c r="AC77" i="3"/>
  <c r="AC263" i="3"/>
  <c r="AC156" i="3"/>
  <c r="AC157" i="3" s="1"/>
  <c r="AC151" i="3"/>
  <c r="AC152" i="3" s="1"/>
  <c r="AC153" i="3" s="1"/>
  <c r="AC287" i="3"/>
  <c r="AD284" i="3" s="1"/>
  <c r="AD93" i="7"/>
  <c r="AE65" i="7"/>
  <c r="AE66" i="7" s="1"/>
  <c r="AE80" i="7"/>
  <c r="AD67" i="7"/>
  <c r="AE38" i="7"/>
  <c r="AE33" i="7"/>
  <c r="AE34" i="7"/>
  <c r="AD12" i="7"/>
  <c r="AD13" i="7" s="1"/>
  <c r="AD16" i="7" s="1"/>
  <c r="AF14" i="7"/>
  <c r="AE15" i="7"/>
  <c r="AE11" i="7"/>
  <c r="AD12" i="6"/>
  <c r="AD14" i="6" s="1"/>
  <c r="AD17" i="6" s="1"/>
  <c r="AE11" i="6"/>
  <c r="AE13" i="6" s="1"/>
  <c r="AF15" i="6"/>
  <c r="AE16" i="6"/>
  <c r="AC19" i="4"/>
  <c r="AC20" i="4" s="1"/>
  <c r="AC24" i="4"/>
  <c r="AC25" i="4" s="1"/>
  <c r="AC43" i="4"/>
  <c r="AC44" i="4" s="1"/>
  <c r="AC73" i="4"/>
  <c r="R75" i="4" s="1"/>
  <c r="R76" i="4" s="1"/>
  <c r="R78" i="4" s="1"/>
  <c r="R19" i="7" s="1"/>
  <c r="AC39" i="4"/>
  <c r="AC40" i="4" s="1"/>
  <c r="AD68" i="4"/>
  <c r="AD69" i="4" s="1"/>
  <c r="AD45" i="4"/>
  <c r="AD23" i="4"/>
  <c r="AD38" i="4"/>
  <c r="AD18" i="4"/>
  <c r="AD42" i="4"/>
  <c r="AE33" i="4"/>
  <c r="AE30" i="4"/>
  <c r="AE32" i="4"/>
  <c r="AE31" i="4"/>
  <c r="AE29" i="4"/>
  <c r="AB46" i="4"/>
  <c r="AD58" i="4"/>
  <c r="AD50" i="4"/>
  <c r="AD54" i="4"/>
  <c r="AD34" i="4"/>
  <c r="AD12" i="4"/>
  <c r="AD13" i="4" s="1"/>
  <c r="AD16" i="4" s="1"/>
  <c r="AF14" i="4"/>
  <c r="AE15" i="4"/>
  <c r="AE11" i="4"/>
  <c r="AE74" i="4" s="1"/>
  <c r="AD42" i="3"/>
  <c r="AD48" i="3"/>
  <c r="AD19" i="3"/>
  <c r="AD38" i="3"/>
  <c r="AC27" i="3"/>
  <c r="AC28" i="3" s="1"/>
  <c r="AC29" i="3" s="1"/>
  <c r="AC32" i="3"/>
  <c r="AC33" i="3" s="1"/>
  <c r="AE14" i="3"/>
  <c r="AD11" i="3"/>
  <c r="AD12" i="3" s="1"/>
  <c r="AD13" i="3" s="1"/>
  <c r="AD16" i="3" s="1"/>
  <c r="AD15" i="3"/>
  <c r="X65" i="4" l="1"/>
  <c r="X70" i="4" s="1"/>
  <c r="AF59" i="4"/>
  <c r="AF55" i="4"/>
  <c r="AF51" i="4"/>
  <c r="AC47" i="3"/>
  <c r="AC65" i="3" s="1"/>
  <c r="AC66" i="3" s="1"/>
  <c r="AC76" i="3" s="1"/>
  <c r="AD258" i="3"/>
  <c r="AE255" i="3" s="1"/>
  <c r="AC330" i="3"/>
  <c r="AC45" i="7" s="1"/>
  <c r="AD72" i="3"/>
  <c r="AE69" i="3" s="1"/>
  <c r="AD134" i="3"/>
  <c r="AE131" i="3" s="1"/>
  <c r="AD139" i="3"/>
  <c r="AD263" i="3"/>
  <c r="AD320" i="3"/>
  <c r="AE317" i="3" s="1"/>
  <c r="AD201" i="3"/>
  <c r="AD287" i="3"/>
  <c r="AE284" i="3" s="1"/>
  <c r="AC294" i="3"/>
  <c r="AC308" i="3" s="1"/>
  <c r="AC309" i="3" s="1"/>
  <c r="AC310" i="3" s="1"/>
  <c r="AC323" i="3" s="1"/>
  <c r="AC295" i="3"/>
  <c r="AC313" i="3" s="1"/>
  <c r="AC314" i="3" s="1"/>
  <c r="AC324" i="3" s="1"/>
  <c r="AC232" i="3"/>
  <c r="AC246" i="3" s="1"/>
  <c r="AC247" i="3" s="1"/>
  <c r="AC248" i="3" s="1"/>
  <c r="AC261" i="3" s="1"/>
  <c r="AC233" i="3"/>
  <c r="AC251" i="3" s="1"/>
  <c r="AC252" i="3" s="1"/>
  <c r="AC262" i="3" s="1"/>
  <c r="AD291" i="3"/>
  <c r="AD292" i="3" s="1"/>
  <c r="AD293" i="3" s="1"/>
  <c r="AE71" i="3"/>
  <c r="AE70" i="3"/>
  <c r="AE162" i="3"/>
  <c r="AE163" i="3" s="1"/>
  <c r="AF160" i="3" s="1"/>
  <c r="AE143" i="3"/>
  <c r="AE267" i="3"/>
  <c r="AE286" i="3"/>
  <c r="AE318" i="3"/>
  <c r="AE257" i="3"/>
  <c r="AE224" i="3"/>
  <c r="AE290" i="3"/>
  <c r="AE110" i="3"/>
  <c r="AE205" i="3"/>
  <c r="AE166" i="3"/>
  <c r="AE133" i="3"/>
  <c r="AE228" i="3"/>
  <c r="AE195" i="3"/>
  <c r="AE194" i="3"/>
  <c r="AE104" i="3"/>
  <c r="AE319" i="3"/>
  <c r="AE296" i="3"/>
  <c r="AE256" i="3"/>
  <c r="AE81" i="3"/>
  <c r="AE132" i="3"/>
  <c r="AE100" i="3"/>
  <c r="AE172" i="3"/>
  <c r="AE234" i="3"/>
  <c r="AD43" i="3"/>
  <c r="AD44" i="3" s="1"/>
  <c r="AD45" i="3" s="1"/>
  <c r="AD47" i="3" s="1"/>
  <c r="AD65" i="3" s="1"/>
  <c r="AD66" i="3" s="1"/>
  <c r="AC109" i="3"/>
  <c r="AC127" i="3" s="1"/>
  <c r="AC128" i="3" s="1"/>
  <c r="AC138" i="3" s="1"/>
  <c r="AC108" i="3"/>
  <c r="AC122" i="3" s="1"/>
  <c r="AC123" i="3" s="1"/>
  <c r="AC124" i="3" s="1"/>
  <c r="AC137" i="3" s="1"/>
  <c r="AD229" i="3"/>
  <c r="AD230" i="3" s="1"/>
  <c r="AD231" i="3" s="1"/>
  <c r="Y333" i="3"/>
  <c r="Y63" i="4" s="1"/>
  <c r="Y62" i="4" s="1"/>
  <c r="AC170" i="3"/>
  <c r="AC184" i="3" s="1"/>
  <c r="AC185" i="3" s="1"/>
  <c r="AC186" i="3" s="1"/>
  <c r="AC199" i="3" s="1"/>
  <c r="AC171" i="3"/>
  <c r="AC189" i="3" s="1"/>
  <c r="AC190" i="3" s="1"/>
  <c r="AC200" i="3" s="1"/>
  <c r="AE54" i="4"/>
  <c r="AE80" i="4"/>
  <c r="AE27" i="7" s="1"/>
  <c r="AC75" i="3"/>
  <c r="AD167" i="3"/>
  <c r="AD168" i="3" s="1"/>
  <c r="AD169" i="3" s="1"/>
  <c r="AD89" i="3"/>
  <c r="AD90" i="3" s="1"/>
  <c r="AD91" i="3" s="1"/>
  <c r="AD94" i="3"/>
  <c r="AD95" i="3" s="1"/>
  <c r="AD213" i="3"/>
  <c r="AD214" i="3" s="1"/>
  <c r="AD215" i="3" s="1"/>
  <c r="AD218" i="3"/>
  <c r="AD219" i="3" s="1"/>
  <c r="AD225" i="3"/>
  <c r="AE222" i="3" s="1"/>
  <c r="Z332" i="3"/>
  <c r="AA331" i="3" s="1"/>
  <c r="AE58" i="4"/>
  <c r="AE93" i="7"/>
  <c r="AE95" i="7"/>
  <c r="AD151" i="3"/>
  <c r="AD152" i="3" s="1"/>
  <c r="AD153" i="3" s="1"/>
  <c r="AD156" i="3"/>
  <c r="AD157" i="3" s="1"/>
  <c r="AD101" i="3"/>
  <c r="AE98" i="3" s="1"/>
  <c r="AD196" i="3"/>
  <c r="AE193" i="3" s="1"/>
  <c r="AD39" i="3"/>
  <c r="AE36" i="3" s="1"/>
  <c r="AD77" i="3"/>
  <c r="Q76" i="4"/>
  <c r="AD280" i="3"/>
  <c r="AD281" i="3" s="1"/>
  <c r="AD275" i="3"/>
  <c r="AD276" i="3" s="1"/>
  <c r="AD277" i="3" s="1"/>
  <c r="AB329" i="3"/>
  <c r="AD105" i="3"/>
  <c r="AD106" i="3" s="1"/>
  <c r="AD107" i="3" s="1"/>
  <c r="AB328" i="3"/>
  <c r="AF64" i="4"/>
  <c r="AE67" i="7"/>
  <c r="AA18" i="7"/>
  <c r="AD325" i="3"/>
  <c r="AF80" i="7"/>
  <c r="AF65" i="7"/>
  <c r="AF66" i="7" s="1"/>
  <c r="AF38" i="7"/>
  <c r="AF33" i="7"/>
  <c r="AF34" i="7"/>
  <c r="AE12" i="7"/>
  <c r="AE13" i="7" s="1"/>
  <c r="AE16" i="7" s="1"/>
  <c r="AG14" i="7"/>
  <c r="AF11" i="7"/>
  <c r="AF15" i="7"/>
  <c r="AF16" i="6"/>
  <c r="AF11" i="6"/>
  <c r="AF13" i="6" s="1"/>
  <c r="AG15" i="6"/>
  <c r="AE12" i="6"/>
  <c r="AE14" i="6" s="1"/>
  <c r="AE17" i="6" s="1"/>
  <c r="AE50" i="4"/>
  <c r="AF33" i="4"/>
  <c r="AF32" i="4"/>
  <c r="AF31" i="4"/>
  <c r="AF29" i="4"/>
  <c r="AF30" i="4"/>
  <c r="AE45" i="4"/>
  <c r="AE68" i="4"/>
  <c r="AE38" i="4"/>
  <c r="AE18" i="4"/>
  <c r="AE23" i="4"/>
  <c r="AE42" i="4"/>
  <c r="AC46" i="4"/>
  <c r="AD39" i="4"/>
  <c r="AD40" i="4" s="1"/>
  <c r="AD43" i="4"/>
  <c r="AD44" i="4" s="1"/>
  <c r="AD24" i="4"/>
  <c r="AD25" i="4" s="1"/>
  <c r="AD19" i="4"/>
  <c r="AD20" i="4" s="1"/>
  <c r="AD73" i="4"/>
  <c r="AE34" i="4"/>
  <c r="AE12" i="4"/>
  <c r="AE13" i="4" s="1"/>
  <c r="AE16" i="4" s="1"/>
  <c r="AG14" i="4"/>
  <c r="AF15" i="4"/>
  <c r="AF11" i="4"/>
  <c r="AF80" i="4" s="1"/>
  <c r="AF27" i="7" s="1"/>
  <c r="AE42" i="3"/>
  <c r="AE48" i="3"/>
  <c r="AE19" i="3"/>
  <c r="AE38" i="3"/>
  <c r="AD27" i="3"/>
  <c r="AD28" i="3" s="1"/>
  <c r="AD29" i="3" s="1"/>
  <c r="AD32" i="3"/>
  <c r="AD33" i="3" s="1"/>
  <c r="AF14" i="3"/>
  <c r="AE11" i="3"/>
  <c r="AE12" i="3" s="1"/>
  <c r="AE13" i="3" s="1"/>
  <c r="AE16" i="3" s="1"/>
  <c r="AE15" i="3"/>
  <c r="AD46" i="3" l="1"/>
  <c r="AD60" i="3" s="1"/>
  <c r="AD61" i="3" s="1"/>
  <c r="AD62" i="3" s="1"/>
  <c r="AD75" i="3" s="1"/>
  <c r="AG59" i="4"/>
  <c r="AG55" i="4"/>
  <c r="AG51" i="4"/>
  <c r="AF69" i="4"/>
  <c r="AE225" i="3"/>
  <c r="AF222" i="3" s="1"/>
  <c r="AB18" i="7"/>
  <c r="AE72" i="3"/>
  <c r="AF69" i="3" s="1"/>
  <c r="AE320" i="3"/>
  <c r="AF317" i="3" s="1"/>
  <c r="AE287" i="3"/>
  <c r="AF284" i="3" s="1"/>
  <c r="AE139" i="3"/>
  <c r="AE134" i="3"/>
  <c r="AF131" i="3" s="1"/>
  <c r="AE258" i="3"/>
  <c r="AF255" i="3" s="1"/>
  <c r="AF54" i="4"/>
  <c r="AD294" i="3"/>
  <c r="AD308" i="3" s="1"/>
  <c r="AD309" i="3" s="1"/>
  <c r="AD310" i="3" s="1"/>
  <c r="AD323" i="3" s="1"/>
  <c r="AD295" i="3"/>
  <c r="AD313" i="3" s="1"/>
  <c r="AD314" i="3" s="1"/>
  <c r="AD324" i="3" s="1"/>
  <c r="AF71" i="3"/>
  <c r="AF70" i="3"/>
  <c r="AF267" i="3"/>
  <c r="AF143" i="3"/>
  <c r="AF162" i="3"/>
  <c r="AF163" i="3" s="1"/>
  <c r="AG160" i="3" s="1"/>
  <c r="AF286" i="3"/>
  <c r="AF290" i="3"/>
  <c r="AF224" i="3"/>
  <c r="AF225" i="3" s="1"/>
  <c r="AG222" i="3" s="1"/>
  <c r="AF257" i="3"/>
  <c r="AF256" i="3"/>
  <c r="AF319" i="3"/>
  <c r="AF296" i="3"/>
  <c r="AF228" i="3"/>
  <c r="AF205" i="3"/>
  <c r="AF100" i="3"/>
  <c r="AF194" i="3"/>
  <c r="AF132" i="3"/>
  <c r="AF104" i="3"/>
  <c r="AF195" i="3"/>
  <c r="AF110" i="3"/>
  <c r="AF318" i="3"/>
  <c r="AF81" i="3"/>
  <c r="AF133" i="3"/>
  <c r="AF166" i="3"/>
  <c r="AF172" i="3"/>
  <c r="AF234" i="3"/>
  <c r="AE43" i="3"/>
  <c r="AE44" i="3" s="1"/>
  <c r="AE45" i="3" s="1"/>
  <c r="AE46" i="3" s="1"/>
  <c r="AE60" i="3" s="1"/>
  <c r="AE61" i="3" s="1"/>
  <c r="AE62" i="3" s="1"/>
  <c r="S75" i="4"/>
  <c r="S76" i="4" s="1"/>
  <c r="S78" i="4" s="1"/>
  <c r="S19" i="7" s="1"/>
  <c r="Z333" i="3"/>
  <c r="Z63" i="4" s="1"/>
  <c r="Z62" i="4" s="1"/>
  <c r="Y65" i="4"/>
  <c r="Y70" i="4" s="1"/>
  <c r="AE201" i="3"/>
  <c r="AE263" i="3"/>
  <c r="AE105" i="3"/>
  <c r="AE106" i="3" s="1"/>
  <c r="AE107" i="3" s="1"/>
  <c r="AD76" i="3"/>
  <c r="AD108" i="3"/>
  <c r="AD122" i="3" s="1"/>
  <c r="AD123" i="3" s="1"/>
  <c r="AD124" i="3" s="1"/>
  <c r="AD137" i="3" s="1"/>
  <c r="AD109" i="3"/>
  <c r="AD127" i="3" s="1"/>
  <c r="AD128" i="3" s="1"/>
  <c r="AD138" i="3" s="1"/>
  <c r="Q78" i="4"/>
  <c r="Q19" i="7" s="1"/>
  <c r="AA332" i="3"/>
  <c r="AB331" i="3" s="1"/>
  <c r="AD232" i="3"/>
  <c r="AD246" i="3" s="1"/>
  <c r="AD247" i="3" s="1"/>
  <c r="AD248" i="3" s="1"/>
  <c r="AD261" i="3" s="1"/>
  <c r="AD233" i="3"/>
  <c r="AD251" i="3" s="1"/>
  <c r="AD252" i="3" s="1"/>
  <c r="AD262" i="3" s="1"/>
  <c r="AE229" i="3"/>
  <c r="AE230" i="3" s="1"/>
  <c r="AE231" i="3" s="1"/>
  <c r="AE39" i="3"/>
  <c r="AF36" i="3" s="1"/>
  <c r="AE77" i="3"/>
  <c r="AE89" i="3"/>
  <c r="AE90" i="3" s="1"/>
  <c r="AE91" i="3" s="1"/>
  <c r="AE94" i="3"/>
  <c r="AE95" i="3" s="1"/>
  <c r="AE325" i="3"/>
  <c r="AD171" i="3"/>
  <c r="AD189" i="3" s="1"/>
  <c r="AD190" i="3" s="1"/>
  <c r="AD200" i="3" s="1"/>
  <c r="AD170" i="3"/>
  <c r="AD184" i="3" s="1"/>
  <c r="AD185" i="3" s="1"/>
  <c r="AD186" i="3" s="1"/>
  <c r="AD199" i="3" s="1"/>
  <c r="AE291" i="3"/>
  <c r="AE292" i="3" s="1"/>
  <c r="AE293" i="3" s="1"/>
  <c r="AG64" i="4"/>
  <c r="AG69" i="4"/>
  <c r="AF74" i="4"/>
  <c r="AE167" i="3"/>
  <c r="AE168" i="3" s="1"/>
  <c r="AE169" i="3" s="1"/>
  <c r="AE275" i="3"/>
  <c r="AE276" i="3" s="1"/>
  <c r="AE277" i="3" s="1"/>
  <c r="AE280" i="3"/>
  <c r="AE281" i="3" s="1"/>
  <c r="AF58" i="4"/>
  <c r="AE196" i="3"/>
  <c r="AF193" i="3" s="1"/>
  <c r="AE218" i="3"/>
  <c r="AE219" i="3" s="1"/>
  <c r="AE213" i="3"/>
  <c r="AE214" i="3" s="1"/>
  <c r="AE215" i="3" s="1"/>
  <c r="AE151" i="3"/>
  <c r="AE152" i="3" s="1"/>
  <c r="AE153" i="3" s="1"/>
  <c r="AE156" i="3"/>
  <c r="AE157" i="3" s="1"/>
  <c r="AC329" i="3"/>
  <c r="AD330" i="3"/>
  <c r="AD45" i="7" s="1"/>
  <c r="AE101" i="3"/>
  <c r="AF98" i="3" s="1"/>
  <c r="AF101" i="3" s="1"/>
  <c r="AG98" i="3" s="1"/>
  <c r="AC328" i="3"/>
  <c r="AG65" i="7"/>
  <c r="AG66" i="7" s="1"/>
  <c r="AG80" i="7"/>
  <c r="AF67" i="7"/>
  <c r="AG34" i="7"/>
  <c r="AG38" i="7"/>
  <c r="AG33" i="7"/>
  <c r="AF12" i="7"/>
  <c r="AF13" i="7" s="1"/>
  <c r="AF16" i="7" s="1"/>
  <c r="AG15" i="7"/>
  <c r="AG11" i="7"/>
  <c r="AH14" i="7"/>
  <c r="AG11" i="6"/>
  <c r="AG13" i="6" s="1"/>
  <c r="AH15" i="6"/>
  <c r="AG16" i="6"/>
  <c r="AF12" i="6"/>
  <c r="AF14" i="6" s="1"/>
  <c r="AF17" i="6" s="1"/>
  <c r="AD46" i="4"/>
  <c r="AF45" i="4"/>
  <c r="AF68" i="4"/>
  <c r="AF23" i="4"/>
  <c r="AF18" i="4"/>
  <c r="AF38" i="4"/>
  <c r="AF42" i="4"/>
  <c r="AF50" i="4"/>
  <c r="AG33" i="4"/>
  <c r="AG31" i="4"/>
  <c r="AG30" i="4"/>
  <c r="AG32" i="4"/>
  <c r="AG29" i="4"/>
  <c r="AF34" i="4"/>
  <c r="AE19" i="4"/>
  <c r="AE20" i="4" s="1"/>
  <c r="AE73" i="4"/>
  <c r="AE24" i="4"/>
  <c r="AE25" i="4" s="1"/>
  <c r="AE43" i="4"/>
  <c r="AE44" i="4" s="1"/>
  <c r="AE39" i="4"/>
  <c r="AE40" i="4" s="1"/>
  <c r="AF12" i="4"/>
  <c r="AF13" i="4" s="1"/>
  <c r="AF16" i="4" s="1"/>
  <c r="AH14" i="4"/>
  <c r="AG15" i="4"/>
  <c r="AG11" i="4"/>
  <c r="AG80" i="4" s="1"/>
  <c r="AG27" i="7" s="1"/>
  <c r="AF42" i="3"/>
  <c r="AF48" i="3"/>
  <c r="AF19" i="3"/>
  <c r="AF38" i="3"/>
  <c r="AE32" i="3"/>
  <c r="AE33" i="3" s="1"/>
  <c r="AE27" i="3"/>
  <c r="AE28" i="3" s="1"/>
  <c r="AE29" i="3" s="1"/>
  <c r="AG14" i="3"/>
  <c r="AF11" i="3"/>
  <c r="AF12" i="3" s="1"/>
  <c r="AF13" i="3" s="1"/>
  <c r="AF16" i="3" s="1"/>
  <c r="AF15" i="3"/>
  <c r="AH55" i="4" l="1"/>
  <c r="AH51" i="4"/>
  <c r="AH59" i="4"/>
  <c r="AH52" i="7"/>
  <c r="AH49" i="7"/>
  <c r="AH41" i="7"/>
  <c r="AH51" i="7"/>
  <c r="AH48" i="7"/>
  <c r="AH40" i="7"/>
  <c r="AF287" i="3"/>
  <c r="AG284" i="3" s="1"/>
  <c r="AF258" i="3"/>
  <c r="AG255" i="3" s="1"/>
  <c r="AE47" i="3"/>
  <c r="AE65" i="3" s="1"/>
  <c r="AE66" i="3" s="1"/>
  <c r="AE76" i="3" s="1"/>
  <c r="AA333" i="3"/>
  <c r="AA63" i="4" s="1"/>
  <c r="AA62" i="4" s="1"/>
  <c r="AF196" i="3"/>
  <c r="AG193" i="3" s="1"/>
  <c r="AF72" i="3"/>
  <c r="AG69" i="3" s="1"/>
  <c r="AF201" i="3"/>
  <c r="AF134" i="3"/>
  <c r="AG131" i="3" s="1"/>
  <c r="AF320" i="3"/>
  <c r="AG317" i="3" s="1"/>
  <c r="AE170" i="3"/>
  <c r="AE184" i="3" s="1"/>
  <c r="AE185" i="3" s="1"/>
  <c r="AE186" i="3" s="1"/>
  <c r="AE199" i="3" s="1"/>
  <c r="AE171" i="3"/>
  <c r="AE189" i="3" s="1"/>
  <c r="AE190" i="3" s="1"/>
  <c r="AE200" i="3" s="1"/>
  <c r="AE75" i="3"/>
  <c r="Z65" i="4"/>
  <c r="Z70" i="4" s="1"/>
  <c r="AF167" i="3"/>
  <c r="AF168" i="3" s="1"/>
  <c r="AF169" i="3" s="1"/>
  <c r="AF263" i="3"/>
  <c r="T75" i="4"/>
  <c r="T76" i="4" s="1"/>
  <c r="AE294" i="3"/>
  <c r="AE308" i="3" s="1"/>
  <c r="AE309" i="3" s="1"/>
  <c r="AE310" i="3" s="1"/>
  <c r="AE323" i="3" s="1"/>
  <c r="AE295" i="3"/>
  <c r="AE313" i="3" s="1"/>
  <c r="AE314" i="3" s="1"/>
  <c r="AE324" i="3" s="1"/>
  <c r="AE108" i="3"/>
  <c r="AE122" i="3" s="1"/>
  <c r="AE123" i="3" s="1"/>
  <c r="AE124" i="3" s="1"/>
  <c r="AE137" i="3" s="1"/>
  <c r="AE109" i="3"/>
  <c r="AE127" i="3" s="1"/>
  <c r="AE128" i="3" s="1"/>
  <c r="AE138" i="3" s="1"/>
  <c r="AF139" i="3"/>
  <c r="AF291" i="3"/>
  <c r="AF292" i="3" s="1"/>
  <c r="AF293" i="3" s="1"/>
  <c r="AF43" i="3"/>
  <c r="AF44" i="3" s="1"/>
  <c r="AF45" i="3" s="1"/>
  <c r="AF46" i="3" s="1"/>
  <c r="AF60" i="3" s="1"/>
  <c r="AF61" i="3" s="1"/>
  <c r="AF62" i="3" s="1"/>
  <c r="AF39" i="3"/>
  <c r="AG36" i="3" s="1"/>
  <c r="AF77" i="3"/>
  <c r="AH64" i="4"/>
  <c r="AH69" i="4"/>
  <c r="AG58" i="4"/>
  <c r="AB332" i="3"/>
  <c r="AC331" i="3" s="1"/>
  <c r="AF89" i="3"/>
  <c r="AF90" i="3" s="1"/>
  <c r="AF91" i="3" s="1"/>
  <c r="AF94" i="3"/>
  <c r="AF95" i="3" s="1"/>
  <c r="AF213" i="3"/>
  <c r="AF214" i="3" s="1"/>
  <c r="AF215" i="3" s="1"/>
  <c r="AF218" i="3"/>
  <c r="AF219" i="3" s="1"/>
  <c r="AF325" i="3"/>
  <c r="AG71" i="3"/>
  <c r="AG70" i="3"/>
  <c r="AG162" i="3"/>
  <c r="AG163" i="3" s="1"/>
  <c r="AH160" i="3" s="1"/>
  <c r="AG267" i="3"/>
  <c r="AG143" i="3"/>
  <c r="AG224" i="3"/>
  <c r="AG225" i="3" s="1"/>
  <c r="AH222" i="3" s="1"/>
  <c r="AG319" i="3"/>
  <c r="AG318" i="3"/>
  <c r="AG296" i="3"/>
  <c r="AG286" i="3"/>
  <c r="AG287" i="3" s="1"/>
  <c r="AH284" i="3" s="1"/>
  <c r="AG205" i="3"/>
  <c r="AG228" i="3"/>
  <c r="AG256" i="3"/>
  <c r="AG290" i="3"/>
  <c r="AG110" i="3"/>
  <c r="AG166" i="3"/>
  <c r="AG104" i="3"/>
  <c r="AG133" i="3"/>
  <c r="AG100" i="3"/>
  <c r="AG101" i="3" s="1"/>
  <c r="AH98" i="3" s="1"/>
  <c r="AG81" i="3"/>
  <c r="AG195" i="3"/>
  <c r="AG194" i="3"/>
  <c r="AG132" i="3"/>
  <c r="AG257" i="3"/>
  <c r="AG234" i="3"/>
  <c r="AG172" i="3"/>
  <c r="AE233" i="3"/>
  <c r="AE251" i="3" s="1"/>
  <c r="AE252" i="3" s="1"/>
  <c r="AE262" i="3" s="1"/>
  <c r="AE232" i="3"/>
  <c r="AE246" i="3" s="1"/>
  <c r="AE247" i="3" s="1"/>
  <c r="AE248" i="3" s="1"/>
  <c r="AE261" i="3" s="1"/>
  <c r="AF229" i="3"/>
  <c r="AF230" i="3" s="1"/>
  <c r="AF231" i="3" s="1"/>
  <c r="AD329" i="3"/>
  <c r="AF151" i="3"/>
  <c r="AF152" i="3" s="1"/>
  <c r="AF153" i="3" s="1"/>
  <c r="AF156" i="3"/>
  <c r="AF157" i="3" s="1"/>
  <c r="AD328" i="3"/>
  <c r="AG34" i="4"/>
  <c r="AE330" i="3"/>
  <c r="AE45" i="7" s="1"/>
  <c r="AF275" i="3"/>
  <c r="AF276" i="3" s="1"/>
  <c r="AF277" i="3" s="1"/>
  <c r="AF280" i="3"/>
  <c r="AF281" i="3" s="1"/>
  <c r="AE46" i="4"/>
  <c r="AC18" i="7"/>
  <c r="AG74" i="4"/>
  <c r="AF105" i="3"/>
  <c r="AF106" i="3" s="1"/>
  <c r="AF107" i="3" s="1"/>
  <c r="AG67" i="7"/>
  <c r="AH80" i="7"/>
  <c r="AH65" i="7"/>
  <c r="AH66" i="7" s="1"/>
  <c r="AH34" i="7"/>
  <c r="AH38" i="7"/>
  <c r="AH33" i="7"/>
  <c r="AH15" i="7"/>
  <c r="AH11" i="7"/>
  <c r="AI14" i="7"/>
  <c r="AG12" i="7"/>
  <c r="AG13" i="7" s="1"/>
  <c r="AG16" i="7" s="1"/>
  <c r="AI15" i="6"/>
  <c r="AH16" i="6"/>
  <c r="AH11" i="6"/>
  <c r="AH13" i="6" s="1"/>
  <c r="AG12" i="6"/>
  <c r="AG14" i="6" s="1"/>
  <c r="AG17" i="6" s="1"/>
  <c r="AG45" i="4"/>
  <c r="AG68" i="4"/>
  <c r="AG18" i="4"/>
  <c r="AG23" i="4"/>
  <c r="AG38" i="4"/>
  <c r="AG42" i="4"/>
  <c r="AG54" i="4"/>
  <c r="AH32" i="4"/>
  <c r="AH31" i="4"/>
  <c r="AH29" i="4"/>
  <c r="AH33" i="4"/>
  <c r="AH30" i="4"/>
  <c r="AF73" i="4"/>
  <c r="U75" i="4" s="1"/>
  <c r="U76" i="4" s="1"/>
  <c r="U78" i="4" s="1"/>
  <c r="U19" i="7" s="1"/>
  <c r="AF39" i="4"/>
  <c r="AF40" i="4" s="1"/>
  <c r="AF19" i="4"/>
  <c r="AF20" i="4" s="1"/>
  <c r="AF24" i="4"/>
  <c r="AF25" i="4" s="1"/>
  <c r="AF43" i="4"/>
  <c r="AF44" i="4" s="1"/>
  <c r="AG50" i="4"/>
  <c r="AG12" i="4"/>
  <c r="AG13" i="4" s="1"/>
  <c r="AG16" i="4" s="1"/>
  <c r="AI14" i="4"/>
  <c r="AH15" i="4"/>
  <c r="AH11" i="4"/>
  <c r="AH80" i="4" s="1"/>
  <c r="AH27" i="7" s="1"/>
  <c r="AG42" i="3"/>
  <c r="AG48" i="3"/>
  <c r="AG38" i="3"/>
  <c r="AG19" i="3"/>
  <c r="AF32" i="3"/>
  <c r="AF33" i="3" s="1"/>
  <c r="AF27" i="3"/>
  <c r="AF28" i="3" s="1"/>
  <c r="AF29" i="3" s="1"/>
  <c r="AH14" i="3"/>
  <c r="AG11" i="3"/>
  <c r="AG12" i="3" s="1"/>
  <c r="AG13" i="3" s="1"/>
  <c r="AG16" i="3" s="1"/>
  <c r="AG15" i="3"/>
  <c r="AI55" i="4" l="1"/>
  <c r="AI51" i="4"/>
  <c r="AI59" i="4"/>
  <c r="AI52" i="7"/>
  <c r="AI49" i="7"/>
  <c r="AI41" i="7"/>
  <c r="AI51" i="7"/>
  <c r="AI48" i="7"/>
  <c r="AI40" i="7"/>
  <c r="AA65" i="4"/>
  <c r="AA70" i="4" s="1"/>
  <c r="AG196" i="3"/>
  <c r="AH193" i="3" s="1"/>
  <c r="AF47" i="3"/>
  <c r="AF65" i="3" s="1"/>
  <c r="AF66" i="3" s="1"/>
  <c r="AF76" i="3" s="1"/>
  <c r="AG320" i="3"/>
  <c r="AH317" i="3" s="1"/>
  <c r="AG72" i="3"/>
  <c r="AH69" i="3" s="1"/>
  <c r="AG134" i="3"/>
  <c r="AH131" i="3" s="1"/>
  <c r="AF330" i="3"/>
  <c r="AF45" i="7" s="1"/>
  <c r="AG258" i="3"/>
  <c r="AH255" i="3" s="1"/>
  <c r="AG139" i="3"/>
  <c r="AB333" i="3"/>
  <c r="AB63" i="4" s="1"/>
  <c r="AB62" i="4" s="1"/>
  <c r="AF232" i="3"/>
  <c r="AF246" i="3" s="1"/>
  <c r="AF247" i="3" s="1"/>
  <c r="AF248" i="3" s="1"/>
  <c r="AF261" i="3" s="1"/>
  <c r="AF233" i="3"/>
  <c r="AF251" i="3" s="1"/>
  <c r="AF252" i="3" s="1"/>
  <c r="AF262" i="3" s="1"/>
  <c r="AF108" i="3"/>
  <c r="AF122" i="3" s="1"/>
  <c r="AF123" i="3" s="1"/>
  <c r="AF124" i="3" s="1"/>
  <c r="AF137" i="3" s="1"/>
  <c r="AF109" i="3"/>
  <c r="AF127" i="3" s="1"/>
  <c r="AF128" i="3" s="1"/>
  <c r="AF138" i="3" s="1"/>
  <c r="AF294" i="3"/>
  <c r="AF308" i="3" s="1"/>
  <c r="AF309" i="3" s="1"/>
  <c r="AF310" i="3" s="1"/>
  <c r="AF323" i="3" s="1"/>
  <c r="AF295" i="3"/>
  <c r="AF313" i="3" s="1"/>
  <c r="AF314" i="3" s="1"/>
  <c r="AF324" i="3" s="1"/>
  <c r="AG218" i="3"/>
  <c r="AG219" i="3" s="1"/>
  <c r="AG213" i="3"/>
  <c r="AG214" i="3" s="1"/>
  <c r="AG215" i="3" s="1"/>
  <c r="AG325" i="3"/>
  <c r="AG105" i="3"/>
  <c r="AG106" i="3" s="1"/>
  <c r="AG107" i="3" s="1"/>
  <c r="AC332" i="3"/>
  <c r="AD331" i="3" s="1"/>
  <c r="T78" i="4"/>
  <c r="T19" i="7" s="1"/>
  <c r="AG167" i="3"/>
  <c r="AG168" i="3" s="1"/>
  <c r="AG169" i="3" s="1"/>
  <c r="AE329" i="3"/>
  <c r="AF46" i="4"/>
  <c r="AH95" i="7"/>
  <c r="AE328" i="3"/>
  <c r="AH71" i="3"/>
  <c r="AH70" i="3"/>
  <c r="AH143" i="3"/>
  <c r="AH162" i="3"/>
  <c r="AH163" i="3" s="1"/>
  <c r="AI160" i="3" s="1"/>
  <c r="AH267" i="3"/>
  <c r="AH205" i="3"/>
  <c r="AH319" i="3"/>
  <c r="AH286" i="3"/>
  <c r="AH318" i="3"/>
  <c r="AH296" i="3"/>
  <c r="AH195" i="3"/>
  <c r="AH194" i="3"/>
  <c r="AH104" i="3"/>
  <c r="AH224" i="3"/>
  <c r="AH256" i="3"/>
  <c r="AH81" i="3"/>
  <c r="AH132" i="3"/>
  <c r="AH290" i="3"/>
  <c r="AH257" i="3"/>
  <c r="AH110" i="3"/>
  <c r="AH228" i="3"/>
  <c r="AH133" i="3"/>
  <c r="AH100" i="3"/>
  <c r="AH166" i="3"/>
  <c r="AH234" i="3"/>
  <c r="AH172" i="3"/>
  <c r="AG201" i="3"/>
  <c r="AG291" i="3"/>
  <c r="AG292" i="3" s="1"/>
  <c r="AG293" i="3" s="1"/>
  <c r="AG263" i="3"/>
  <c r="AH74" i="4"/>
  <c r="AF170" i="3"/>
  <c r="AF184" i="3" s="1"/>
  <c r="AF185" i="3" s="1"/>
  <c r="AF186" i="3" s="1"/>
  <c r="AF199" i="3" s="1"/>
  <c r="AF171" i="3"/>
  <c r="AF189" i="3" s="1"/>
  <c r="AF190" i="3" s="1"/>
  <c r="AF200" i="3" s="1"/>
  <c r="AG43" i="3"/>
  <c r="AG44" i="3" s="1"/>
  <c r="AG45" i="3" s="1"/>
  <c r="AG47" i="3" s="1"/>
  <c r="AG65" i="3" s="1"/>
  <c r="AG66" i="3" s="1"/>
  <c r="AF75" i="3"/>
  <c r="AH58" i="4"/>
  <c r="AI64" i="4"/>
  <c r="AI69" i="4"/>
  <c r="AH54" i="4"/>
  <c r="AG151" i="3"/>
  <c r="AG152" i="3" s="1"/>
  <c r="AG153" i="3" s="1"/>
  <c r="AG156" i="3"/>
  <c r="AG157" i="3" s="1"/>
  <c r="AH50" i="4"/>
  <c r="AG39" i="3"/>
  <c r="AH36" i="3" s="1"/>
  <c r="AG77" i="3"/>
  <c r="AD18" i="7"/>
  <c r="AG89" i="3"/>
  <c r="AG90" i="3" s="1"/>
  <c r="AG91" i="3" s="1"/>
  <c r="AG94" i="3"/>
  <c r="AG95" i="3" s="1"/>
  <c r="AG229" i="3"/>
  <c r="AG230" i="3" s="1"/>
  <c r="AG231" i="3" s="1"/>
  <c r="AG280" i="3"/>
  <c r="AG281" i="3" s="1"/>
  <c r="AG275" i="3"/>
  <c r="AG276" i="3" s="1"/>
  <c r="AG277" i="3" s="1"/>
  <c r="AH93" i="7"/>
  <c r="AH67" i="7"/>
  <c r="AI80" i="7"/>
  <c r="AI65" i="7"/>
  <c r="AI66" i="7" s="1"/>
  <c r="AI34" i="7"/>
  <c r="AI38" i="7"/>
  <c r="AI33" i="7"/>
  <c r="AH12" i="7"/>
  <c r="AH13" i="7" s="1"/>
  <c r="AH16" i="7" s="1"/>
  <c r="AI15" i="7"/>
  <c r="AI11" i="7"/>
  <c r="AJ14" i="7"/>
  <c r="AH12" i="6"/>
  <c r="AH14" i="6" s="1"/>
  <c r="AH17" i="6" s="1"/>
  <c r="AJ15" i="6"/>
  <c r="AI16" i="6"/>
  <c r="AI11" i="6"/>
  <c r="AI13" i="6" s="1"/>
  <c r="AH45" i="4"/>
  <c r="AH68" i="4"/>
  <c r="AH23" i="4"/>
  <c r="AH18" i="4"/>
  <c r="AH38" i="4"/>
  <c r="AH42" i="4"/>
  <c r="AG39" i="4"/>
  <c r="AG40" i="4" s="1"/>
  <c r="AG43" i="4"/>
  <c r="AG44" i="4" s="1"/>
  <c r="AG19" i="4"/>
  <c r="AG20" i="4" s="1"/>
  <c r="AG24" i="4"/>
  <c r="AG25" i="4" s="1"/>
  <c r="AG73" i="4"/>
  <c r="AI32" i="4"/>
  <c r="AI29" i="4"/>
  <c r="AI30" i="4"/>
  <c r="AI33" i="4"/>
  <c r="AI31" i="4"/>
  <c r="AH34" i="4"/>
  <c r="AH12" i="4"/>
  <c r="AH13" i="4" s="1"/>
  <c r="AH16" i="4" s="1"/>
  <c r="AI15" i="4"/>
  <c r="AI11" i="4"/>
  <c r="AI50" i="4" s="1"/>
  <c r="AJ14" i="4"/>
  <c r="AH42" i="3"/>
  <c r="AH48" i="3"/>
  <c r="AH19" i="3"/>
  <c r="AH38" i="3"/>
  <c r="AG32" i="3"/>
  <c r="AG33" i="3" s="1"/>
  <c r="AG27" i="3"/>
  <c r="AG28" i="3" s="1"/>
  <c r="AG29" i="3" s="1"/>
  <c r="AI14" i="3"/>
  <c r="AH11" i="3"/>
  <c r="AH12" i="3" s="1"/>
  <c r="AH13" i="3" s="1"/>
  <c r="AH16" i="3" s="1"/>
  <c r="AH15" i="3"/>
  <c r="AJ51" i="4" l="1"/>
  <c r="AJ59" i="4"/>
  <c r="AJ52" i="7"/>
  <c r="AJ49" i="7"/>
  <c r="AJ41" i="7"/>
  <c r="AJ51" i="7"/>
  <c r="AJ48" i="7"/>
  <c r="AJ40" i="7"/>
  <c r="AB65" i="4"/>
  <c r="AB70" i="4" s="1"/>
  <c r="AE18" i="7"/>
  <c r="AH201" i="3"/>
  <c r="AH134" i="3"/>
  <c r="AI131" i="3" s="1"/>
  <c r="AH320" i="3"/>
  <c r="AI317" i="3" s="1"/>
  <c r="AG46" i="3"/>
  <c r="AG60" i="3" s="1"/>
  <c r="AG61" i="3" s="1"/>
  <c r="AG62" i="3" s="1"/>
  <c r="AG75" i="3" s="1"/>
  <c r="AH196" i="3"/>
  <c r="AI193" i="3" s="1"/>
  <c r="AH72" i="3"/>
  <c r="AI69" i="3" s="1"/>
  <c r="AC333" i="3"/>
  <c r="AC63" i="4" s="1"/>
  <c r="AC62" i="4" s="1"/>
  <c r="AH258" i="3"/>
  <c r="AI255" i="3" s="1"/>
  <c r="AF329" i="3"/>
  <c r="AG171" i="3"/>
  <c r="AG189" i="3" s="1"/>
  <c r="AG190" i="3" s="1"/>
  <c r="AG200" i="3" s="1"/>
  <c r="AG170" i="3"/>
  <c r="AG184" i="3" s="1"/>
  <c r="AG185" i="3" s="1"/>
  <c r="AG186" i="3" s="1"/>
  <c r="AG199" i="3" s="1"/>
  <c r="AG233" i="3"/>
  <c r="AG251" i="3" s="1"/>
  <c r="AG252" i="3" s="1"/>
  <c r="AG262" i="3" s="1"/>
  <c r="AG232" i="3"/>
  <c r="AG246" i="3" s="1"/>
  <c r="AG247" i="3" s="1"/>
  <c r="AG248" i="3" s="1"/>
  <c r="AG261" i="3" s="1"/>
  <c r="AI70" i="3"/>
  <c r="AI71" i="3"/>
  <c r="AI267" i="3"/>
  <c r="AI162" i="3"/>
  <c r="AI163" i="3" s="1"/>
  <c r="AJ160" i="3" s="1"/>
  <c r="AI143" i="3"/>
  <c r="AI286" i="3"/>
  <c r="AI296" i="3"/>
  <c r="AI257" i="3"/>
  <c r="AI132" i="3"/>
  <c r="AI318" i="3"/>
  <c r="AI224" i="3"/>
  <c r="AI81" i="3"/>
  <c r="AI290" i="3"/>
  <c r="AI228" i="3"/>
  <c r="AI205" i="3"/>
  <c r="AI195" i="3"/>
  <c r="AI166" i="3"/>
  <c r="AI110" i="3"/>
  <c r="AI319" i="3"/>
  <c r="AI256" i="3"/>
  <c r="AI104" i="3"/>
  <c r="AI133" i="3"/>
  <c r="AI100" i="3"/>
  <c r="AI194" i="3"/>
  <c r="AI234" i="3"/>
  <c r="AI172" i="3"/>
  <c r="AH43" i="3"/>
  <c r="AH44" i="3" s="1"/>
  <c r="AH45" i="3" s="1"/>
  <c r="AH47" i="3" s="1"/>
  <c r="AH65" i="3" s="1"/>
  <c r="AH66" i="3" s="1"/>
  <c r="V75" i="4"/>
  <c r="V76" i="4" s="1"/>
  <c r="V78" i="4" s="1"/>
  <c r="V19" i="7" s="1"/>
  <c r="AH167" i="3"/>
  <c r="AH168" i="3" s="1"/>
  <c r="AH169" i="3" s="1"/>
  <c r="AH94" i="3"/>
  <c r="AH95" i="3" s="1"/>
  <c r="AH89" i="3"/>
  <c r="AH90" i="3" s="1"/>
  <c r="AH91" i="3" s="1"/>
  <c r="AH325" i="3"/>
  <c r="AG330" i="3"/>
  <c r="AG45" i="7" s="1"/>
  <c r="AF328" i="3"/>
  <c r="AG295" i="3"/>
  <c r="AG313" i="3" s="1"/>
  <c r="AG314" i="3" s="1"/>
  <c r="AG324" i="3" s="1"/>
  <c r="AG294" i="3"/>
  <c r="AG308" i="3" s="1"/>
  <c r="AG309" i="3" s="1"/>
  <c r="AG310" i="3" s="1"/>
  <c r="AG323" i="3" s="1"/>
  <c r="AH139" i="3"/>
  <c r="AH287" i="3"/>
  <c r="AI284" i="3" s="1"/>
  <c r="AG76" i="3"/>
  <c r="AI58" i="4"/>
  <c r="AI80" i="4"/>
  <c r="AI27" i="7" s="1"/>
  <c r="AH263" i="3"/>
  <c r="AH213" i="3"/>
  <c r="AH214" i="3" s="1"/>
  <c r="AH215" i="3" s="1"/>
  <c r="AH218" i="3"/>
  <c r="AH219" i="3" s="1"/>
  <c r="AD332" i="3"/>
  <c r="AE331" i="3" s="1"/>
  <c r="AH229" i="3"/>
  <c r="AH230" i="3" s="1"/>
  <c r="AH231" i="3" s="1"/>
  <c r="AH105" i="3"/>
  <c r="AH106" i="3" s="1"/>
  <c r="AH107" i="3" s="1"/>
  <c r="AH280" i="3"/>
  <c r="AH281" i="3" s="1"/>
  <c r="AH275" i="3"/>
  <c r="AH276" i="3" s="1"/>
  <c r="AH277" i="3" s="1"/>
  <c r="AG109" i="3"/>
  <c r="AG127" i="3" s="1"/>
  <c r="AG128" i="3" s="1"/>
  <c r="AG138" i="3" s="1"/>
  <c r="AG108" i="3"/>
  <c r="AG122" i="3" s="1"/>
  <c r="AG123" i="3" s="1"/>
  <c r="AG124" i="3" s="1"/>
  <c r="AG137" i="3" s="1"/>
  <c r="AH101" i="3"/>
  <c r="AI98" i="3" s="1"/>
  <c r="AH39" i="3"/>
  <c r="AI36" i="3" s="1"/>
  <c r="AH77" i="3"/>
  <c r="AI95" i="7"/>
  <c r="AI34" i="4"/>
  <c r="AI74" i="4"/>
  <c r="AH151" i="3"/>
  <c r="AH152" i="3" s="1"/>
  <c r="AH153" i="3" s="1"/>
  <c r="AH156" i="3"/>
  <c r="AH157" i="3" s="1"/>
  <c r="AJ64" i="4"/>
  <c r="AJ69" i="4"/>
  <c r="AH291" i="3"/>
  <c r="AH292" i="3" s="1"/>
  <c r="AH293" i="3" s="1"/>
  <c r="AH225" i="3"/>
  <c r="AI222" i="3" s="1"/>
  <c r="AI93" i="7"/>
  <c r="AI67" i="7"/>
  <c r="AJ80" i="7"/>
  <c r="AJ65" i="7"/>
  <c r="AJ66" i="7" s="1"/>
  <c r="AJ34" i="7"/>
  <c r="AJ38" i="7"/>
  <c r="AJ33" i="7"/>
  <c r="AK14" i="7"/>
  <c r="AJ15" i="7"/>
  <c r="AJ11" i="7"/>
  <c r="AI12" i="7"/>
  <c r="AI13" i="7" s="1"/>
  <c r="AI16" i="7" s="1"/>
  <c r="AI12" i="6"/>
  <c r="AI14" i="6" s="1"/>
  <c r="AI17" i="6" s="1"/>
  <c r="AJ16" i="6"/>
  <c r="AJ11" i="6"/>
  <c r="AJ13" i="6" s="1"/>
  <c r="AK15" i="6"/>
  <c r="AH73" i="4"/>
  <c r="AH39" i="4"/>
  <c r="AH40" i="4" s="1"/>
  <c r="AH19" i="4"/>
  <c r="AH20" i="4" s="1"/>
  <c r="AH43" i="4"/>
  <c r="AH44" i="4" s="1"/>
  <c r="AH24" i="4"/>
  <c r="AH25" i="4" s="1"/>
  <c r="AG46" i="4"/>
  <c r="AI45" i="4"/>
  <c r="AI68" i="4"/>
  <c r="AI18" i="4"/>
  <c r="AI23" i="4"/>
  <c r="AI38" i="4"/>
  <c r="AI42" i="4"/>
  <c r="AJ32" i="4"/>
  <c r="AJ29" i="4"/>
  <c r="AJ33" i="4"/>
  <c r="AJ30" i="4"/>
  <c r="AJ31" i="4"/>
  <c r="AI54" i="4"/>
  <c r="AJ15" i="4"/>
  <c r="AJ11" i="4"/>
  <c r="AJ50" i="4" s="1"/>
  <c r="AK14" i="4"/>
  <c r="AI12" i="4"/>
  <c r="AI13" i="4" s="1"/>
  <c r="AI16" i="4" s="1"/>
  <c r="AI42" i="3"/>
  <c r="AI48" i="3"/>
  <c r="AH27" i="3"/>
  <c r="AH28" i="3" s="1"/>
  <c r="AH29" i="3" s="1"/>
  <c r="AH32" i="3"/>
  <c r="AH33" i="3" s="1"/>
  <c r="AI19" i="3"/>
  <c r="AI38" i="3"/>
  <c r="AJ14" i="3"/>
  <c r="AI11" i="3"/>
  <c r="AI12" i="3" s="1"/>
  <c r="AI13" i="3" s="1"/>
  <c r="AI16" i="3" s="1"/>
  <c r="AI15" i="3"/>
  <c r="AC65" i="4" l="1"/>
  <c r="AC70" i="4" s="1"/>
  <c r="AK59" i="4"/>
  <c r="AK51" i="4"/>
  <c r="AK55" i="4"/>
  <c r="AK51" i="7"/>
  <c r="AK48" i="7"/>
  <c r="AK40" i="7"/>
  <c r="AK49" i="7"/>
  <c r="AK52" i="7"/>
  <c r="AK41" i="7"/>
  <c r="AI196" i="3"/>
  <c r="AJ193" i="3" s="1"/>
  <c r="AH46" i="3"/>
  <c r="AH60" i="3" s="1"/>
  <c r="AH61" i="3" s="1"/>
  <c r="AH62" i="3" s="1"/>
  <c r="AH75" i="3" s="1"/>
  <c r="AD333" i="3"/>
  <c r="AD63" i="4" s="1"/>
  <c r="AD62" i="4" s="1"/>
  <c r="AI258" i="3"/>
  <c r="AJ255" i="3" s="1"/>
  <c r="AI325" i="3"/>
  <c r="AI287" i="3"/>
  <c r="AJ284" i="3" s="1"/>
  <c r="AF18" i="7"/>
  <c r="AI320" i="3"/>
  <c r="AJ317" i="3" s="1"/>
  <c r="AJ58" i="4"/>
  <c r="AI225" i="3"/>
  <c r="AJ222" i="3" s="1"/>
  <c r="AI139" i="3"/>
  <c r="AI134" i="3"/>
  <c r="AJ131" i="3" s="1"/>
  <c r="AI72" i="3"/>
  <c r="AJ69" i="3" s="1"/>
  <c r="AH294" i="3"/>
  <c r="AH308" i="3" s="1"/>
  <c r="AH309" i="3" s="1"/>
  <c r="AH310" i="3" s="1"/>
  <c r="AH323" i="3" s="1"/>
  <c r="AH295" i="3"/>
  <c r="AH313" i="3" s="1"/>
  <c r="AH314" i="3" s="1"/>
  <c r="AH324" i="3" s="1"/>
  <c r="AH109" i="3"/>
  <c r="AH127" i="3" s="1"/>
  <c r="AH128" i="3" s="1"/>
  <c r="AH138" i="3" s="1"/>
  <c r="AH108" i="3"/>
  <c r="AH122" i="3" s="1"/>
  <c r="AH123" i="3" s="1"/>
  <c r="AH124" i="3" s="1"/>
  <c r="AH137" i="3" s="1"/>
  <c r="AH232" i="3"/>
  <c r="AH246" i="3" s="1"/>
  <c r="AH247" i="3" s="1"/>
  <c r="AH248" i="3" s="1"/>
  <c r="AH261" i="3" s="1"/>
  <c r="AH233" i="3"/>
  <c r="AH251" i="3" s="1"/>
  <c r="AH252" i="3" s="1"/>
  <c r="AH262" i="3" s="1"/>
  <c r="AH170" i="3"/>
  <c r="AH184" i="3" s="1"/>
  <c r="AH185" i="3" s="1"/>
  <c r="AH186" i="3" s="1"/>
  <c r="AH199" i="3" s="1"/>
  <c r="AH171" i="3"/>
  <c r="AH189" i="3" s="1"/>
  <c r="AH190" i="3" s="1"/>
  <c r="AH200" i="3" s="1"/>
  <c r="AI229" i="3"/>
  <c r="AI230" i="3" s="1"/>
  <c r="AI231" i="3" s="1"/>
  <c r="AJ70" i="3"/>
  <c r="AJ71" i="3"/>
  <c r="AJ267" i="3"/>
  <c r="AJ143" i="3"/>
  <c r="AJ162" i="3"/>
  <c r="AJ163" i="3" s="1"/>
  <c r="AK160" i="3" s="1"/>
  <c r="AJ256" i="3"/>
  <c r="AJ205" i="3"/>
  <c r="AJ257" i="3"/>
  <c r="AJ290" i="3"/>
  <c r="AJ319" i="3"/>
  <c r="AJ318" i="3"/>
  <c r="AJ110" i="3"/>
  <c r="AJ286" i="3"/>
  <c r="AJ195" i="3"/>
  <c r="AJ133" i="3"/>
  <c r="AJ296" i="3"/>
  <c r="AJ81" i="3"/>
  <c r="AJ228" i="3"/>
  <c r="AJ194" i="3"/>
  <c r="AJ104" i="3"/>
  <c r="AJ166" i="3"/>
  <c r="AJ100" i="3"/>
  <c r="AJ132" i="3"/>
  <c r="AJ224" i="3"/>
  <c r="AJ234" i="3"/>
  <c r="AJ172" i="3"/>
  <c r="AJ93" i="7"/>
  <c r="AG328" i="3"/>
  <c r="AI105" i="3"/>
  <c r="AI106" i="3" s="1"/>
  <c r="AI107" i="3" s="1"/>
  <c r="AI291" i="3"/>
  <c r="AI292" i="3" s="1"/>
  <c r="AI293" i="3" s="1"/>
  <c r="AI151" i="3"/>
  <c r="AI152" i="3" s="1"/>
  <c r="AI153" i="3" s="1"/>
  <c r="AI156" i="3"/>
  <c r="AI157" i="3" s="1"/>
  <c r="AI39" i="3"/>
  <c r="AJ36" i="3" s="1"/>
  <c r="AI77" i="3"/>
  <c r="AG329" i="3"/>
  <c r="AI89" i="3"/>
  <c r="AI90" i="3" s="1"/>
  <c r="AI91" i="3" s="1"/>
  <c r="AI94" i="3"/>
  <c r="AI95" i="3" s="1"/>
  <c r="W75" i="4"/>
  <c r="W76" i="4" s="1"/>
  <c r="W78" i="4" s="1"/>
  <c r="W19" i="7" s="1"/>
  <c r="AI213" i="3"/>
  <c r="AI214" i="3" s="1"/>
  <c r="AI215" i="3" s="1"/>
  <c r="AI218" i="3"/>
  <c r="AI219" i="3" s="1"/>
  <c r="AI101" i="3"/>
  <c r="AJ98" i="3" s="1"/>
  <c r="AH330" i="3"/>
  <c r="AH45" i="7" s="1"/>
  <c r="AI263" i="3"/>
  <c r="AI275" i="3"/>
  <c r="AI276" i="3" s="1"/>
  <c r="AI277" i="3" s="1"/>
  <c r="AI280" i="3"/>
  <c r="AI281" i="3" s="1"/>
  <c r="AJ54" i="4"/>
  <c r="AJ55" i="4" s="1"/>
  <c r="AJ80" i="4"/>
  <c r="AJ27" i="7" s="1"/>
  <c r="AI43" i="3"/>
  <c r="AI44" i="3" s="1"/>
  <c r="AI45" i="3" s="1"/>
  <c r="AI47" i="3" s="1"/>
  <c r="AI65" i="3" s="1"/>
  <c r="AI66" i="3" s="1"/>
  <c r="AH76" i="3"/>
  <c r="AI167" i="3"/>
  <c r="AI168" i="3" s="1"/>
  <c r="AI169" i="3" s="1"/>
  <c r="AK64" i="4"/>
  <c r="AJ74" i="4"/>
  <c r="AE332" i="3"/>
  <c r="AF331" i="3" s="1"/>
  <c r="AI201" i="3"/>
  <c r="AJ95" i="7"/>
  <c r="AK80" i="7"/>
  <c r="AK65" i="7"/>
  <c r="AK66" i="7" s="1"/>
  <c r="AJ67" i="7"/>
  <c r="AK38" i="7"/>
  <c r="AK33" i="7"/>
  <c r="AK34" i="7"/>
  <c r="AJ12" i="7"/>
  <c r="AJ13" i="7" s="1"/>
  <c r="AJ16" i="7" s="1"/>
  <c r="AL14" i="7"/>
  <c r="AK15" i="7"/>
  <c r="AK11" i="7"/>
  <c r="AK16" i="6"/>
  <c r="AK11" i="6"/>
  <c r="AK13" i="6" s="1"/>
  <c r="AL15" i="6"/>
  <c r="AJ12" i="6"/>
  <c r="AJ14" i="6" s="1"/>
  <c r="AJ17" i="6" s="1"/>
  <c r="AH46" i="4"/>
  <c r="AK32" i="4"/>
  <c r="AK33" i="4"/>
  <c r="AK30" i="4"/>
  <c r="AK31" i="4"/>
  <c r="AK29" i="4"/>
  <c r="AJ34" i="4"/>
  <c r="AJ68" i="4"/>
  <c r="AJ45" i="4"/>
  <c r="AJ38" i="4"/>
  <c r="AJ23" i="4"/>
  <c r="AJ18" i="4"/>
  <c r="AJ42" i="4"/>
  <c r="AI43" i="4"/>
  <c r="AI44" i="4" s="1"/>
  <c r="AI19" i="4"/>
  <c r="AI20" i="4" s="1"/>
  <c r="AI24" i="4"/>
  <c r="AI25" i="4" s="1"/>
  <c r="AI39" i="4"/>
  <c r="AI40" i="4" s="1"/>
  <c r="AI73" i="4"/>
  <c r="X75" i="4" s="1"/>
  <c r="X76" i="4" s="1"/>
  <c r="X78" i="4" s="1"/>
  <c r="X19" i="7" s="1"/>
  <c r="AK15" i="4"/>
  <c r="AK11" i="4"/>
  <c r="AK74" i="4" s="1"/>
  <c r="AL14" i="4"/>
  <c r="AJ12" i="4"/>
  <c r="AJ13" i="4" s="1"/>
  <c r="AJ16" i="4" s="1"/>
  <c r="AJ42" i="3"/>
  <c r="AJ48" i="3"/>
  <c r="AJ38" i="3"/>
  <c r="AJ19" i="3"/>
  <c r="AI32" i="3"/>
  <c r="AI33" i="3" s="1"/>
  <c r="AI27" i="3"/>
  <c r="AI28" i="3" s="1"/>
  <c r="AI29" i="3" s="1"/>
  <c r="AK14" i="3"/>
  <c r="AJ11" i="3"/>
  <c r="AJ12" i="3" s="1"/>
  <c r="AJ13" i="3" s="1"/>
  <c r="AJ16" i="3" s="1"/>
  <c r="AJ15" i="3"/>
  <c r="AD65" i="4" l="1"/>
  <c r="AD70" i="4" s="1"/>
  <c r="AL55" i="4"/>
  <c r="AL59" i="4"/>
  <c r="AJ287" i="3"/>
  <c r="AK284" i="3" s="1"/>
  <c r="AK54" i="4"/>
  <c r="AI330" i="3"/>
  <c r="AI45" i="7" s="1"/>
  <c r="AJ196" i="3"/>
  <c r="AK193" i="3" s="1"/>
  <c r="AJ134" i="3"/>
  <c r="AK131" i="3" s="1"/>
  <c r="AI46" i="3"/>
  <c r="AI60" i="3" s="1"/>
  <c r="AI61" i="3" s="1"/>
  <c r="AI62" i="3" s="1"/>
  <c r="AI75" i="3" s="1"/>
  <c r="AJ139" i="3"/>
  <c r="AJ201" i="3"/>
  <c r="AJ258" i="3"/>
  <c r="AK255" i="3" s="1"/>
  <c r="AK58" i="4"/>
  <c r="AG18" i="7"/>
  <c r="AJ320" i="3"/>
  <c r="AK317" i="3" s="1"/>
  <c r="AJ101" i="3"/>
  <c r="AK98" i="3" s="1"/>
  <c r="AJ72" i="3"/>
  <c r="AK69" i="3" s="1"/>
  <c r="AH328" i="3"/>
  <c r="AJ263" i="3"/>
  <c r="AI108" i="3"/>
  <c r="AI122" i="3" s="1"/>
  <c r="AI123" i="3" s="1"/>
  <c r="AI124" i="3" s="1"/>
  <c r="AI137" i="3" s="1"/>
  <c r="AI109" i="3"/>
  <c r="AI127" i="3" s="1"/>
  <c r="AI128" i="3" s="1"/>
  <c r="AI138" i="3" s="1"/>
  <c r="AI294" i="3"/>
  <c r="AI308" i="3" s="1"/>
  <c r="AI309" i="3" s="1"/>
  <c r="AI310" i="3" s="1"/>
  <c r="AI323" i="3" s="1"/>
  <c r="AI295" i="3"/>
  <c r="AI313" i="3" s="1"/>
  <c r="AI314" i="3" s="1"/>
  <c r="AI324" i="3" s="1"/>
  <c r="AK34" i="4"/>
  <c r="AJ213" i="3"/>
  <c r="AJ214" i="3" s="1"/>
  <c r="AJ215" i="3" s="1"/>
  <c r="AJ218" i="3"/>
  <c r="AJ219" i="3" s="1"/>
  <c r="AJ39" i="3"/>
  <c r="AK36" i="3" s="1"/>
  <c r="AJ77" i="3"/>
  <c r="AI233" i="3"/>
  <c r="AI251" i="3" s="1"/>
  <c r="AI252" i="3" s="1"/>
  <c r="AI262" i="3" s="1"/>
  <c r="AI232" i="3"/>
  <c r="AI246" i="3" s="1"/>
  <c r="AI247" i="3" s="1"/>
  <c r="AI248" i="3" s="1"/>
  <c r="AI261" i="3" s="1"/>
  <c r="AJ167" i="3"/>
  <c r="AJ168" i="3" s="1"/>
  <c r="AJ169" i="3" s="1"/>
  <c r="AJ325" i="3"/>
  <c r="AI171" i="3"/>
  <c r="AI189" i="3" s="1"/>
  <c r="AI190" i="3" s="1"/>
  <c r="AI200" i="3" s="1"/>
  <c r="AI170" i="3"/>
  <c r="AI184" i="3" s="1"/>
  <c r="AI185" i="3" s="1"/>
  <c r="AI186" i="3" s="1"/>
  <c r="AI199" i="3" s="1"/>
  <c r="AJ105" i="3"/>
  <c r="AJ106" i="3" s="1"/>
  <c r="AJ107" i="3" s="1"/>
  <c r="AJ151" i="3"/>
  <c r="AJ152" i="3" s="1"/>
  <c r="AJ153" i="3" s="1"/>
  <c r="AJ156" i="3"/>
  <c r="AJ157" i="3" s="1"/>
  <c r="AK70" i="3"/>
  <c r="AK71" i="3"/>
  <c r="AK162" i="3"/>
  <c r="AK163" i="3" s="1"/>
  <c r="AL160" i="3" s="1"/>
  <c r="AK143" i="3"/>
  <c r="AK267" i="3"/>
  <c r="AK205" i="3"/>
  <c r="AK319" i="3"/>
  <c r="AK296" i="3"/>
  <c r="AK286" i="3"/>
  <c r="AK287" i="3" s="1"/>
  <c r="AL284" i="3" s="1"/>
  <c r="AK228" i="3"/>
  <c r="AK290" i="3"/>
  <c r="AK256" i="3"/>
  <c r="AK195" i="3"/>
  <c r="AK166" i="3"/>
  <c r="AK110" i="3"/>
  <c r="AK104" i="3"/>
  <c r="AK81" i="3"/>
  <c r="AK224" i="3"/>
  <c r="AK100" i="3"/>
  <c r="AK132" i="3"/>
  <c r="AK318" i="3"/>
  <c r="AK133" i="3"/>
  <c r="AK194" i="3"/>
  <c r="AK257" i="3"/>
  <c r="AK234" i="3"/>
  <c r="AK172" i="3"/>
  <c r="AJ43" i="3"/>
  <c r="AJ44" i="3" s="1"/>
  <c r="AJ45" i="3" s="1"/>
  <c r="AJ47" i="3" s="1"/>
  <c r="AJ65" i="3" s="1"/>
  <c r="AJ66" i="3" s="1"/>
  <c r="AK67" i="7"/>
  <c r="AE333" i="3"/>
  <c r="AE63" i="4" s="1"/>
  <c r="AE62" i="4" s="1"/>
  <c r="AJ225" i="3"/>
  <c r="AK222" i="3" s="1"/>
  <c r="AJ275" i="3"/>
  <c r="AJ276" i="3" s="1"/>
  <c r="AJ277" i="3" s="1"/>
  <c r="AJ280" i="3"/>
  <c r="AJ281" i="3" s="1"/>
  <c r="AI76" i="3"/>
  <c r="AL69" i="4"/>
  <c r="AL64" i="4"/>
  <c r="AF332" i="3"/>
  <c r="AG331" i="3" s="1"/>
  <c r="AJ229" i="3"/>
  <c r="AJ230" i="3" s="1"/>
  <c r="AJ231" i="3" s="1"/>
  <c r="AK50" i="4"/>
  <c r="AK80" i="4"/>
  <c r="AK27" i="7" s="1"/>
  <c r="AJ89" i="3"/>
  <c r="AJ90" i="3" s="1"/>
  <c r="AJ91" i="3" s="1"/>
  <c r="AJ94" i="3"/>
  <c r="AJ95" i="3" s="1"/>
  <c r="AJ291" i="3"/>
  <c r="AJ292" i="3" s="1"/>
  <c r="AJ293" i="3" s="1"/>
  <c r="AH329" i="3"/>
  <c r="AK95" i="7"/>
  <c r="AK93" i="7"/>
  <c r="AL80" i="7"/>
  <c r="AL65" i="7"/>
  <c r="AL66" i="7" s="1"/>
  <c r="AL38" i="7"/>
  <c r="AL33" i="7"/>
  <c r="AL34" i="7"/>
  <c r="AK12" i="7"/>
  <c r="AK13" i="7" s="1"/>
  <c r="AK16" i="7" s="1"/>
  <c r="AM14" i="7"/>
  <c r="AL15" i="7"/>
  <c r="AL11" i="7"/>
  <c r="AL11" i="6"/>
  <c r="AL13" i="6" s="1"/>
  <c r="AM15" i="6"/>
  <c r="AL16" i="6"/>
  <c r="AK12" i="6"/>
  <c r="AK14" i="6" s="1"/>
  <c r="AK17" i="6" s="1"/>
  <c r="AL32" i="4"/>
  <c r="AL33" i="4"/>
  <c r="AL30" i="4"/>
  <c r="AL31" i="4"/>
  <c r="AL29" i="4"/>
  <c r="AJ24" i="4"/>
  <c r="AJ25" i="4" s="1"/>
  <c r="AJ19" i="4"/>
  <c r="AJ20" i="4" s="1"/>
  <c r="AJ73" i="4"/>
  <c r="Y75" i="4" s="1"/>
  <c r="Y76" i="4" s="1"/>
  <c r="Y78" i="4" s="1"/>
  <c r="Y19" i="7" s="1"/>
  <c r="AJ43" i="4"/>
  <c r="AJ44" i="4" s="1"/>
  <c r="AJ39" i="4"/>
  <c r="AJ40" i="4" s="1"/>
  <c r="AI46" i="4"/>
  <c r="AK68" i="4"/>
  <c r="AK69" i="4" s="1"/>
  <c r="AK45" i="4"/>
  <c r="AK38" i="4"/>
  <c r="AK23" i="4"/>
  <c r="AK18" i="4"/>
  <c r="AK42" i="4"/>
  <c r="AL15" i="4"/>
  <c r="AL11" i="4"/>
  <c r="AL74" i="4" s="1"/>
  <c r="AM14" i="4"/>
  <c r="AK12" i="4"/>
  <c r="AK13" i="4" s="1"/>
  <c r="AK16" i="4" s="1"/>
  <c r="AK42" i="3"/>
  <c r="AK48" i="3"/>
  <c r="AK38" i="3"/>
  <c r="AK19" i="3"/>
  <c r="AJ32" i="3"/>
  <c r="AJ33" i="3" s="1"/>
  <c r="AJ27" i="3"/>
  <c r="AJ28" i="3" s="1"/>
  <c r="AJ29" i="3" s="1"/>
  <c r="AL14" i="3"/>
  <c r="AK11" i="3"/>
  <c r="AK12" i="3" s="1"/>
  <c r="AK13" i="3" s="1"/>
  <c r="AK16" i="3" s="1"/>
  <c r="AK15" i="3"/>
  <c r="AJ46" i="3" l="1"/>
  <c r="AJ60" i="3" s="1"/>
  <c r="AJ61" i="3" s="1"/>
  <c r="AJ62" i="3" s="1"/>
  <c r="AJ75" i="3" s="1"/>
  <c r="AM59" i="4"/>
  <c r="AM55" i="4"/>
  <c r="AM51" i="4"/>
  <c r="AK201" i="3"/>
  <c r="AH18" i="7"/>
  <c r="AK320" i="3"/>
  <c r="AL317" i="3" s="1"/>
  <c r="AK258" i="3"/>
  <c r="AL255" i="3" s="1"/>
  <c r="AK134" i="3"/>
  <c r="AL131" i="3" s="1"/>
  <c r="AK139" i="3"/>
  <c r="AK263" i="3"/>
  <c r="AK72" i="3"/>
  <c r="AL69" i="3" s="1"/>
  <c r="AJ46" i="4"/>
  <c r="AI328" i="3"/>
  <c r="AJ108" i="3"/>
  <c r="AJ122" i="3" s="1"/>
  <c r="AJ123" i="3" s="1"/>
  <c r="AJ124" i="3" s="1"/>
  <c r="AJ137" i="3" s="1"/>
  <c r="AJ109" i="3"/>
  <c r="AJ127" i="3" s="1"/>
  <c r="AJ128" i="3" s="1"/>
  <c r="AJ138" i="3" s="1"/>
  <c r="AJ76" i="3"/>
  <c r="AM69" i="4"/>
  <c r="AM64" i="4"/>
  <c r="AK167" i="3"/>
  <c r="AK168" i="3" s="1"/>
  <c r="AK169" i="3" s="1"/>
  <c r="AK213" i="3"/>
  <c r="AK214" i="3" s="1"/>
  <c r="AK215" i="3" s="1"/>
  <c r="AK218" i="3"/>
  <c r="AK219" i="3" s="1"/>
  <c r="AK280" i="3"/>
  <c r="AK281" i="3" s="1"/>
  <c r="AK275" i="3"/>
  <c r="AK276" i="3" s="1"/>
  <c r="AK277" i="3" s="1"/>
  <c r="AK39" i="3"/>
  <c r="AL36" i="3" s="1"/>
  <c r="AK77" i="3"/>
  <c r="AK151" i="3"/>
  <c r="AK152" i="3" s="1"/>
  <c r="AK153" i="3" s="1"/>
  <c r="AK156" i="3"/>
  <c r="AK157" i="3" s="1"/>
  <c r="AJ170" i="3"/>
  <c r="AJ184" i="3" s="1"/>
  <c r="AJ185" i="3" s="1"/>
  <c r="AJ186" i="3" s="1"/>
  <c r="AJ199" i="3" s="1"/>
  <c r="AJ171" i="3"/>
  <c r="AJ189" i="3" s="1"/>
  <c r="AJ190" i="3" s="1"/>
  <c r="AJ200" i="3" s="1"/>
  <c r="AJ295" i="3"/>
  <c r="AJ313" i="3" s="1"/>
  <c r="AJ314" i="3" s="1"/>
  <c r="AJ324" i="3" s="1"/>
  <c r="AJ294" i="3"/>
  <c r="AJ308" i="3" s="1"/>
  <c r="AJ309" i="3" s="1"/>
  <c r="AJ310" i="3" s="1"/>
  <c r="AJ323" i="3" s="1"/>
  <c r="AJ233" i="3"/>
  <c r="AJ251" i="3" s="1"/>
  <c r="AJ252" i="3" s="1"/>
  <c r="AJ262" i="3" s="1"/>
  <c r="AJ232" i="3"/>
  <c r="AJ246" i="3" s="1"/>
  <c r="AJ247" i="3" s="1"/>
  <c r="AJ248" i="3" s="1"/>
  <c r="AJ261" i="3" s="1"/>
  <c r="AK291" i="3"/>
  <c r="AK292" i="3" s="1"/>
  <c r="AK293" i="3" s="1"/>
  <c r="AK229" i="3"/>
  <c r="AK230" i="3" s="1"/>
  <c r="AK231" i="3" s="1"/>
  <c r="AK101" i="3"/>
  <c r="AL98" i="3" s="1"/>
  <c r="AE65" i="4"/>
  <c r="AE70" i="4" s="1"/>
  <c r="AF333" i="3"/>
  <c r="AF63" i="4" s="1"/>
  <c r="AF62" i="4" s="1"/>
  <c r="AK94" i="3"/>
  <c r="AK95" i="3" s="1"/>
  <c r="AK89" i="3"/>
  <c r="AK90" i="3" s="1"/>
  <c r="AK91" i="3" s="1"/>
  <c r="AK325" i="3"/>
  <c r="AK196" i="3"/>
  <c r="AL193" i="3" s="1"/>
  <c r="AL50" i="4"/>
  <c r="AL51" i="4" s="1"/>
  <c r="AL80" i="4"/>
  <c r="AL27" i="7" s="1"/>
  <c r="AL70" i="3"/>
  <c r="AL71" i="3"/>
  <c r="AL267" i="3"/>
  <c r="AL143" i="3"/>
  <c r="AL162" i="3"/>
  <c r="AL163" i="3" s="1"/>
  <c r="AM160" i="3" s="1"/>
  <c r="AL290" i="3"/>
  <c r="AL228" i="3"/>
  <c r="AL224" i="3"/>
  <c r="AL319" i="3"/>
  <c r="AL318" i="3"/>
  <c r="AL256" i="3"/>
  <c r="AL296" i="3"/>
  <c r="AL104" i="3"/>
  <c r="AL194" i="3"/>
  <c r="AL133" i="3"/>
  <c r="AL286" i="3"/>
  <c r="AL81" i="3"/>
  <c r="AL132" i="3"/>
  <c r="AL100" i="3"/>
  <c r="AL257" i="3"/>
  <c r="AL166" i="3"/>
  <c r="AL110" i="3"/>
  <c r="AL205" i="3"/>
  <c r="AL195" i="3"/>
  <c r="AL234" i="3"/>
  <c r="AL172" i="3"/>
  <c r="AK43" i="3"/>
  <c r="AK44" i="3" s="1"/>
  <c r="AK45" i="3" s="1"/>
  <c r="AK46" i="3" s="1"/>
  <c r="AK60" i="3" s="1"/>
  <c r="AK61" i="3" s="1"/>
  <c r="AK62" i="3" s="1"/>
  <c r="AG332" i="3"/>
  <c r="AH331" i="3" s="1"/>
  <c r="AK225" i="3"/>
  <c r="AL222" i="3" s="1"/>
  <c r="AK105" i="3"/>
  <c r="AK106" i="3" s="1"/>
  <c r="AK107" i="3" s="1"/>
  <c r="AJ330" i="3"/>
  <c r="AJ45" i="7" s="1"/>
  <c r="AI329" i="3"/>
  <c r="AM80" i="7"/>
  <c r="AM65" i="7"/>
  <c r="AM66" i="7" s="1"/>
  <c r="AL67" i="7"/>
  <c r="AM38" i="7"/>
  <c r="AM33" i="7"/>
  <c r="AM34" i="7"/>
  <c r="AL12" i="7"/>
  <c r="AL13" i="7" s="1"/>
  <c r="AL16" i="7" s="1"/>
  <c r="AN14" i="7"/>
  <c r="AM15" i="7"/>
  <c r="AM11" i="7"/>
  <c r="AM11" i="6"/>
  <c r="AM13" i="6" s="1"/>
  <c r="AN15" i="6"/>
  <c r="AM16" i="6"/>
  <c r="AL12" i="6"/>
  <c r="AL14" i="6" s="1"/>
  <c r="AL17" i="6" s="1"/>
  <c r="AM33" i="4"/>
  <c r="AM30" i="4"/>
  <c r="AM29" i="4"/>
  <c r="AM32" i="4"/>
  <c r="AM31" i="4"/>
  <c r="AK24" i="4"/>
  <c r="AK25" i="4" s="1"/>
  <c r="AK19" i="4"/>
  <c r="AK20" i="4" s="1"/>
  <c r="AK43" i="4"/>
  <c r="AK44" i="4" s="1"/>
  <c r="AK39" i="4"/>
  <c r="AK40" i="4" s="1"/>
  <c r="AK73" i="4"/>
  <c r="AL34" i="4"/>
  <c r="AL45" i="4"/>
  <c r="AL68" i="4"/>
  <c r="AL23" i="4"/>
  <c r="AL18" i="4"/>
  <c r="AL38" i="4"/>
  <c r="AL42" i="4"/>
  <c r="AL54" i="4"/>
  <c r="AL58" i="4"/>
  <c r="AM15" i="4"/>
  <c r="AM11" i="4"/>
  <c r="AM80" i="4" s="1"/>
  <c r="AM27" i="7" s="1"/>
  <c r="AN14" i="4"/>
  <c r="AL12" i="4"/>
  <c r="AL13" i="4" s="1"/>
  <c r="AL16" i="4" s="1"/>
  <c r="AL42" i="3"/>
  <c r="AL48" i="3"/>
  <c r="AL38" i="3"/>
  <c r="AL19" i="3"/>
  <c r="AK32" i="3"/>
  <c r="AK33" i="3" s="1"/>
  <c r="AK27" i="3"/>
  <c r="AK28" i="3" s="1"/>
  <c r="AK29" i="3" s="1"/>
  <c r="AM14" i="3"/>
  <c r="AL11" i="3"/>
  <c r="AL12" i="3" s="1"/>
  <c r="AL13" i="3" s="1"/>
  <c r="AL16" i="3" s="1"/>
  <c r="AL15" i="3"/>
  <c r="AN59" i="4" l="1"/>
  <c r="AN55" i="4"/>
  <c r="AN51" i="4"/>
  <c r="AN51" i="7"/>
  <c r="AN40" i="7"/>
  <c r="AN52" i="7"/>
  <c r="AN49" i="7"/>
  <c r="AN41" i="7"/>
  <c r="AN48" i="7"/>
  <c r="AI18" i="7"/>
  <c r="AK47" i="3"/>
  <c r="AK65" i="3" s="1"/>
  <c r="AK66" i="3" s="1"/>
  <c r="AK76" i="3" s="1"/>
  <c r="AL72" i="3"/>
  <c r="AM69" i="3" s="1"/>
  <c r="AL258" i="3"/>
  <c r="AM255" i="3" s="1"/>
  <c r="AL134" i="3"/>
  <c r="AM131" i="3" s="1"/>
  <c r="AL320" i="3"/>
  <c r="AM317" i="3" s="1"/>
  <c r="AJ328" i="3"/>
  <c r="AL225" i="3"/>
  <c r="AM222" i="3" s="1"/>
  <c r="AK330" i="3"/>
  <c r="AK45" i="7" s="1"/>
  <c r="AK109" i="3"/>
  <c r="AK127" i="3" s="1"/>
  <c r="AK128" i="3" s="1"/>
  <c r="AK138" i="3" s="1"/>
  <c r="AK108" i="3"/>
  <c r="AK122" i="3" s="1"/>
  <c r="AK123" i="3" s="1"/>
  <c r="AK124" i="3" s="1"/>
  <c r="AK137" i="3" s="1"/>
  <c r="AK294" i="3"/>
  <c r="AK308" i="3" s="1"/>
  <c r="AK309" i="3" s="1"/>
  <c r="AK310" i="3" s="1"/>
  <c r="AK323" i="3" s="1"/>
  <c r="AK295" i="3"/>
  <c r="AK313" i="3" s="1"/>
  <c r="AK314" i="3" s="1"/>
  <c r="AK324" i="3" s="1"/>
  <c r="AK171" i="3"/>
  <c r="AK189" i="3" s="1"/>
  <c r="AK190" i="3" s="1"/>
  <c r="AK200" i="3" s="1"/>
  <c r="AK170" i="3"/>
  <c r="AK184" i="3" s="1"/>
  <c r="AK185" i="3" s="1"/>
  <c r="AK186" i="3" s="1"/>
  <c r="AK199" i="3" s="1"/>
  <c r="AK233" i="3"/>
  <c r="AK251" i="3" s="1"/>
  <c r="AK252" i="3" s="1"/>
  <c r="AK262" i="3" s="1"/>
  <c r="AK232" i="3"/>
  <c r="AK246" i="3" s="1"/>
  <c r="AK247" i="3" s="1"/>
  <c r="AK248" i="3" s="1"/>
  <c r="AK261" i="3" s="1"/>
  <c r="AL89" i="3"/>
  <c r="AL90" i="3" s="1"/>
  <c r="AL91" i="3" s="1"/>
  <c r="AL94" i="3"/>
  <c r="AL95" i="3" s="1"/>
  <c r="AM71" i="3"/>
  <c r="AM70" i="3"/>
  <c r="AM267" i="3"/>
  <c r="AM143" i="3"/>
  <c r="AM162" i="3"/>
  <c r="AM163" i="3" s="1"/>
  <c r="AN160" i="3" s="1"/>
  <c r="AM290" i="3"/>
  <c r="AM205" i="3"/>
  <c r="AM286" i="3"/>
  <c r="AM296" i="3"/>
  <c r="AM228" i="3"/>
  <c r="AM257" i="3"/>
  <c r="AM319" i="3"/>
  <c r="AM318" i="3"/>
  <c r="AM195" i="3"/>
  <c r="AM133" i="3"/>
  <c r="AM110" i="3"/>
  <c r="AM194" i="3"/>
  <c r="AM166" i="3"/>
  <c r="AM81" i="3"/>
  <c r="AM256" i="3"/>
  <c r="AM224" i="3"/>
  <c r="AM225" i="3" s="1"/>
  <c r="AN222" i="3" s="1"/>
  <c r="AM104" i="3"/>
  <c r="AM132" i="3"/>
  <c r="AM100" i="3"/>
  <c r="AM172" i="3"/>
  <c r="AM234" i="3"/>
  <c r="AL43" i="3"/>
  <c r="AL44" i="3" s="1"/>
  <c r="AL45" i="3" s="1"/>
  <c r="AL47" i="3" s="1"/>
  <c r="AL65" i="3" s="1"/>
  <c r="AL66" i="3" s="1"/>
  <c r="AL325" i="3"/>
  <c r="AL263" i="3"/>
  <c r="AF65" i="4"/>
  <c r="AF70" i="4" s="1"/>
  <c r="AL39" i="3"/>
  <c r="AM36" i="3" s="1"/>
  <c r="AL77" i="3"/>
  <c r="AK75" i="3"/>
  <c r="AL213" i="3"/>
  <c r="AL214" i="3" s="1"/>
  <c r="AL215" i="3" s="1"/>
  <c r="AL218" i="3"/>
  <c r="AL219" i="3" s="1"/>
  <c r="AL229" i="3"/>
  <c r="AL230" i="3" s="1"/>
  <c r="AL231" i="3" s="1"/>
  <c r="AN69" i="4"/>
  <c r="AN64" i="4"/>
  <c r="Z75" i="4"/>
  <c r="Z76" i="4" s="1"/>
  <c r="Z78" i="4" s="1"/>
  <c r="Z19" i="7" s="1"/>
  <c r="AG333" i="3"/>
  <c r="AG63" i="4" s="1"/>
  <c r="AG62" i="4" s="1"/>
  <c r="AL201" i="3"/>
  <c r="AL291" i="3"/>
  <c r="AL292" i="3" s="1"/>
  <c r="AL293" i="3" s="1"/>
  <c r="AL287" i="3"/>
  <c r="AM284" i="3" s="1"/>
  <c r="AK46" i="4"/>
  <c r="AH332" i="3"/>
  <c r="AI331" i="3" s="1"/>
  <c r="AL167" i="3"/>
  <c r="AL168" i="3" s="1"/>
  <c r="AL169" i="3" s="1"/>
  <c r="AL105" i="3"/>
  <c r="AL106" i="3" s="1"/>
  <c r="AL107" i="3" s="1"/>
  <c r="AL196" i="3"/>
  <c r="AM193" i="3" s="1"/>
  <c r="AL156" i="3"/>
  <c r="AL157" i="3" s="1"/>
  <c r="AL151" i="3"/>
  <c r="AL152" i="3" s="1"/>
  <c r="AL153" i="3" s="1"/>
  <c r="AM74" i="4"/>
  <c r="AL139" i="3"/>
  <c r="AL280" i="3"/>
  <c r="AL281" i="3" s="1"/>
  <c r="AL275" i="3"/>
  <c r="AL276" i="3" s="1"/>
  <c r="AL277" i="3" s="1"/>
  <c r="AL101" i="3"/>
  <c r="AM98" i="3" s="1"/>
  <c r="AJ329" i="3"/>
  <c r="AM67" i="7"/>
  <c r="AN80" i="7"/>
  <c r="AN65" i="7"/>
  <c r="AN66" i="7" s="1"/>
  <c r="AN38" i="7"/>
  <c r="AN33" i="7"/>
  <c r="AN34" i="7"/>
  <c r="AM12" i="7"/>
  <c r="AM13" i="7" s="1"/>
  <c r="AM16" i="7" s="1"/>
  <c r="AO14" i="7"/>
  <c r="AN15" i="7"/>
  <c r="AN11" i="7"/>
  <c r="AN11" i="6"/>
  <c r="AN13" i="6" s="1"/>
  <c r="AO15" i="6"/>
  <c r="AN16" i="6"/>
  <c r="AM12" i="6"/>
  <c r="AM14" i="6" s="1"/>
  <c r="AM17" i="6" s="1"/>
  <c r="AM34" i="4"/>
  <c r="AL39" i="4"/>
  <c r="AL40" i="4" s="1"/>
  <c r="AL24" i="4"/>
  <c r="AL25" i="4" s="1"/>
  <c r="AL19" i="4"/>
  <c r="AL20" i="4" s="1"/>
  <c r="AL73" i="4"/>
  <c r="AL43" i="4"/>
  <c r="AL44" i="4" s="1"/>
  <c r="AN33" i="4"/>
  <c r="AN31" i="4"/>
  <c r="AN29" i="4"/>
  <c r="AN32" i="4"/>
  <c r="AN30" i="4"/>
  <c r="AM45" i="4"/>
  <c r="AM68" i="4"/>
  <c r="AM38" i="4"/>
  <c r="AM23" i="4"/>
  <c r="AM18" i="4"/>
  <c r="AM42" i="4"/>
  <c r="AM54" i="4"/>
  <c r="AM58" i="4"/>
  <c r="AM50" i="4"/>
  <c r="AN11" i="4"/>
  <c r="AN74" i="4" s="1"/>
  <c r="AO14" i="4"/>
  <c r="AN15" i="4"/>
  <c r="AM12" i="4"/>
  <c r="AM13" i="4" s="1"/>
  <c r="AM16" i="4" s="1"/>
  <c r="AM42" i="3"/>
  <c r="AM48" i="3"/>
  <c r="AM38" i="3"/>
  <c r="AM19" i="3"/>
  <c r="AL27" i="3"/>
  <c r="AL28" i="3" s="1"/>
  <c r="AL29" i="3" s="1"/>
  <c r="AL32" i="3"/>
  <c r="AL33" i="3" s="1"/>
  <c r="AN14" i="3"/>
  <c r="AM11" i="3"/>
  <c r="AM12" i="3" s="1"/>
  <c r="AM13" i="3" s="1"/>
  <c r="AM16" i="3" s="1"/>
  <c r="AM15" i="3"/>
  <c r="AO55" i="4" l="1"/>
  <c r="AO51" i="4"/>
  <c r="AO51" i="7"/>
  <c r="AO48" i="7"/>
  <c r="AO40" i="7"/>
  <c r="AO52" i="7"/>
  <c r="AO49" i="7"/>
  <c r="AO41" i="7"/>
  <c r="AG65" i="4"/>
  <c r="AG70" i="4" s="1"/>
  <c r="AM134" i="3"/>
  <c r="AN131" i="3" s="1"/>
  <c r="AM72" i="3"/>
  <c r="AN69" i="3" s="1"/>
  <c r="AM263" i="3"/>
  <c r="AM320" i="3"/>
  <c r="AN317" i="3" s="1"/>
  <c r="AN95" i="7"/>
  <c r="AM258" i="3"/>
  <c r="AN255" i="3" s="1"/>
  <c r="AL46" i="3"/>
  <c r="AL60" i="3" s="1"/>
  <c r="AL61" i="3" s="1"/>
  <c r="AL62" i="3" s="1"/>
  <c r="AL75" i="3" s="1"/>
  <c r="AM139" i="3"/>
  <c r="AJ18" i="7"/>
  <c r="AH333" i="3"/>
  <c r="AH63" i="4" s="1"/>
  <c r="AH62" i="4" s="1"/>
  <c r="AK329" i="3"/>
  <c r="AM325" i="3"/>
  <c r="AL232" i="3"/>
  <c r="AL246" i="3" s="1"/>
  <c r="AL247" i="3" s="1"/>
  <c r="AL248" i="3" s="1"/>
  <c r="AL261" i="3" s="1"/>
  <c r="AL233" i="3"/>
  <c r="AL251" i="3" s="1"/>
  <c r="AL252" i="3" s="1"/>
  <c r="AL262" i="3" s="1"/>
  <c r="AL295" i="3"/>
  <c r="AL313" i="3" s="1"/>
  <c r="AL314" i="3" s="1"/>
  <c r="AL324" i="3" s="1"/>
  <c r="AL294" i="3"/>
  <c r="AL308" i="3" s="1"/>
  <c r="AL309" i="3" s="1"/>
  <c r="AL310" i="3" s="1"/>
  <c r="AL323" i="3" s="1"/>
  <c r="AL109" i="3"/>
  <c r="AL127" i="3" s="1"/>
  <c r="AL128" i="3" s="1"/>
  <c r="AL138" i="3" s="1"/>
  <c r="AL108" i="3"/>
  <c r="AL122" i="3" s="1"/>
  <c r="AL123" i="3" s="1"/>
  <c r="AL124" i="3" s="1"/>
  <c r="AL137" i="3" s="1"/>
  <c r="AL170" i="3"/>
  <c r="AL184" i="3" s="1"/>
  <c r="AL185" i="3" s="1"/>
  <c r="AL186" i="3" s="1"/>
  <c r="AL199" i="3" s="1"/>
  <c r="AL171" i="3"/>
  <c r="AL189" i="3" s="1"/>
  <c r="AL190" i="3" s="1"/>
  <c r="AL200" i="3" s="1"/>
  <c r="AM213" i="3"/>
  <c r="AM214" i="3" s="1"/>
  <c r="AM215" i="3" s="1"/>
  <c r="AM218" i="3"/>
  <c r="AM219" i="3" s="1"/>
  <c r="AK328" i="3"/>
  <c r="AL76" i="3"/>
  <c r="AM291" i="3"/>
  <c r="AM292" i="3" s="1"/>
  <c r="AM293" i="3" s="1"/>
  <c r="AL330" i="3"/>
  <c r="AL45" i="7" s="1"/>
  <c r="AM101" i="3"/>
  <c r="AN98" i="3" s="1"/>
  <c r="AI332" i="3"/>
  <c r="AJ331" i="3" s="1"/>
  <c r="AM151" i="3"/>
  <c r="AM152" i="3" s="1"/>
  <c r="AM153" i="3" s="1"/>
  <c r="AM156" i="3"/>
  <c r="AM157" i="3" s="1"/>
  <c r="AO64" i="4"/>
  <c r="AO69" i="4"/>
  <c r="AN93" i="7"/>
  <c r="AM105" i="3"/>
  <c r="AM106" i="3" s="1"/>
  <c r="AM107" i="3" s="1"/>
  <c r="AM39" i="3"/>
  <c r="AN36" i="3" s="1"/>
  <c r="AM77" i="3"/>
  <c r="AN50" i="4"/>
  <c r="AM89" i="3"/>
  <c r="AM90" i="3" s="1"/>
  <c r="AM91" i="3" s="1"/>
  <c r="AM94" i="3"/>
  <c r="AM95" i="3" s="1"/>
  <c r="AM275" i="3"/>
  <c r="AM276" i="3" s="1"/>
  <c r="AM277" i="3" s="1"/>
  <c r="AM280" i="3"/>
  <c r="AM281" i="3" s="1"/>
  <c r="AM196" i="3"/>
  <c r="AN193" i="3" s="1"/>
  <c r="AM167" i="3"/>
  <c r="AM168" i="3" s="1"/>
  <c r="AM229" i="3"/>
  <c r="AM230" i="3" s="1"/>
  <c r="AM231" i="3" s="1"/>
  <c r="AA75" i="4"/>
  <c r="AA76" i="4" s="1"/>
  <c r="AA78" i="4" s="1"/>
  <c r="AA19" i="7" s="1"/>
  <c r="AN54" i="4"/>
  <c r="AN80" i="4"/>
  <c r="AN27" i="7" s="1"/>
  <c r="AN71" i="3"/>
  <c r="AN70" i="3"/>
  <c r="AN267" i="3"/>
  <c r="AN143" i="3"/>
  <c r="AN162" i="3"/>
  <c r="AN163" i="3" s="1"/>
  <c r="AO160" i="3" s="1"/>
  <c r="AN290" i="3"/>
  <c r="AN257" i="3"/>
  <c r="AN228" i="3"/>
  <c r="AN224" i="3"/>
  <c r="AN225" i="3" s="1"/>
  <c r="AO222" i="3" s="1"/>
  <c r="AN318" i="3"/>
  <c r="AN286" i="3"/>
  <c r="AN205" i="3"/>
  <c r="AN296" i="3"/>
  <c r="AN104" i="3"/>
  <c r="AN319" i="3"/>
  <c r="AN195" i="3"/>
  <c r="AN81" i="3"/>
  <c r="AN133" i="3"/>
  <c r="AN256" i="3"/>
  <c r="AN194" i="3"/>
  <c r="AN166" i="3"/>
  <c r="AN132" i="3"/>
  <c r="AN100" i="3"/>
  <c r="AN110" i="3"/>
  <c r="AN234" i="3"/>
  <c r="AN172" i="3"/>
  <c r="AM43" i="3"/>
  <c r="AM44" i="3" s="1"/>
  <c r="AM45" i="3" s="1"/>
  <c r="AM47" i="3" s="1"/>
  <c r="AM65" i="3" s="1"/>
  <c r="AM66" i="3" s="1"/>
  <c r="AM287" i="3"/>
  <c r="AN284" i="3" s="1"/>
  <c r="AM201" i="3"/>
  <c r="AO65" i="7"/>
  <c r="AO66" i="7" s="1"/>
  <c r="AO80" i="7"/>
  <c r="AN67" i="7"/>
  <c r="AO34" i="7"/>
  <c r="AO33" i="7"/>
  <c r="AO38" i="7"/>
  <c r="AN12" i="7"/>
  <c r="AN13" i="7" s="1"/>
  <c r="AN16" i="7" s="1"/>
  <c r="AO15" i="7"/>
  <c r="AO11" i="7"/>
  <c r="AP14" i="7"/>
  <c r="AO11" i="6"/>
  <c r="AO13" i="6" s="1"/>
  <c r="AP15" i="6"/>
  <c r="AO16" i="6"/>
  <c r="AN12" i="6"/>
  <c r="AN14" i="6" s="1"/>
  <c r="AN17" i="6" s="1"/>
  <c r="AM19" i="4"/>
  <c r="AM20" i="4" s="1"/>
  <c r="AM43" i="4"/>
  <c r="AM44" i="4" s="1"/>
  <c r="AM73" i="4"/>
  <c r="AB75" i="4" s="1"/>
  <c r="AB76" i="4" s="1"/>
  <c r="AB78" i="4" s="1"/>
  <c r="AB19" i="7" s="1"/>
  <c r="AM24" i="4"/>
  <c r="AM25" i="4" s="1"/>
  <c r="AM39" i="4"/>
  <c r="AM40" i="4" s="1"/>
  <c r="AO33" i="4"/>
  <c r="AO31" i="4"/>
  <c r="AO32" i="4"/>
  <c r="AO29" i="4"/>
  <c r="AO30" i="4"/>
  <c r="AN45" i="4"/>
  <c r="AN68" i="4"/>
  <c r="AN18" i="4"/>
  <c r="AN38" i="4"/>
  <c r="AN23" i="4"/>
  <c r="AN42" i="4"/>
  <c r="AN58" i="4"/>
  <c r="AL46" i="4"/>
  <c r="AN34" i="4"/>
  <c r="AO11" i="4"/>
  <c r="AO80" i="4" s="1"/>
  <c r="AO27" i="7" s="1"/>
  <c r="AP14" i="4"/>
  <c r="AO15" i="4"/>
  <c r="AN12" i="4"/>
  <c r="AN13" i="4" s="1"/>
  <c r="AN16" i="4" s="1"/>
  <c r="AN42" i="3"/>
  <c r="AN48" i="3"/>
  <c r="AN38" i="3"/>
  <c r="AN19" i="3"/>
  <c r="AM32" i="3"/>
  <c r="AM33" i="3" s="1"/>
  <c r="AM27" i="3"/>
  <c r="AM28" i="3" s="1"/>
  <c r="AM29" i="3" s="1"/>
  <c r="AO14" i="3"/>
  <c r="AN11" i="3"/>
  <c r="AN12" i="3" s="1"/>
  <c r="AN13" i="3" s="1"/>
  <c r="AN16" i="3" s="1"/>
  <c r="AN15" i="3"/>
  <c r="AP59" i="4" l="1"/>
  <c r="AP55" i="4"/>
  <c r="AP51" i="4"/>
  <c r="AP51" i="7"/>
  <c r="AP52" i="7"/>
  <c r="AP49" i="7"/>
  <c r="AP41" i="7"/>
  <c r="AP40" i="7"/>
  <c r="AP48" i="7"/>
  <c r="AH65" i="4"/>
  <c r="AH70" i="4" s="1"/>
  <c r="AN258" i="3"/>
  <c r="AO255" i="3" s="1"/>
  <c r="AM330" i="3"/>
  <c r="AM45" i="7" s="1"/>
  <c r="AN139" i="3"/>
  <c r="AN320" i="3"/>
  <c r="AO317" i="3" s="1"/>
  <c r="AK18" i="7"/>
  <c r="AL329" i="3"/>
  <c r="AN134" i="3"/>
  <c r="AO131" i="3" s="1"/>
  <c r="AM46" i="3"/>
  <c r="AM60" i="3" s="1"/>
  <c r="AM61" i="3" s="1"/>
  <c r="AM62" i="3" s="1"/>
  <c r="AM75" i="3" s="1"/>
  <c r="AN72" i="3"/>
  <c r="AO69" i="3" s="1"/>
  <c r="AN287" i="3"/>
  <c r="AO284" i="3" s="1"/>
  <c r="AN101" i="3"/>
  <c r="AO98" i="3" s="1"/>
  <c r="AM76" i="3"/>
  <c r="AN105" i="3"/>
  <c r="AN106" i="3" s="1"/>
  <c r="AN107" i="3" s="1"/>
  <c r="AN291" i="3"/>
  <c r="AN292" i="3" s="1"/>
  <c r="AN293" i="3" s="1"/>
  <c r="AN196" i="3"/>
  <c r="AO193" i="3" s="1"/>
  <c r="AL328" i="3"/>
  <c r="AO95" i="7"/>
  <c r="AN325" i="3"/>
  <c r="AN275" i="3"/>
  <c r="AN276" i="3" s="1"/>
  <c r="AN277" i="3" s="1"/>
  <c r="AN280" i="3"/>
  <c r="AN281" i="3" s="1"/>
  <c r="AP64" i="4"/>
  <c r="AN167" i="3"/>
  <c r="AN168" i="3" s="1"/>
  <c r="AN169" i="3" s="1"/>
  <c r="AM109" i="3"/>
  <c r="AM127" i="3" s="1"/>
  <c r="AM128" i="3" s="1"/>
  <c r="AM138" i="3" s="1"/>
  <c r="AM108" i="3"/>
  <c r="AM122" i="3" s="1"/>
  <c r="AM123" i="3" s="1"/>
  <c r="AM124" i="3" s="1"/>
  <c r="AM137" i="3" s="1"/>
  <c r="AO93" i="7"/>
  <c r="AM233" i="3"/>
  <c r="AM251" i="3" s="1"/>
  <c r="AM252" i="3" s="1"/>
  <c r="AM262" i="3" s="1"/>
  <c r="AM232" i="3"/>
  <c r="AM246" i="3" s="1"/>
  <c r="AM247" i="3" s="1"/>
  <c r="AM248" i="3" s="1"/>
  <c r="AM261" i="3" s="1"/>
  <c r="AN39" i="3"/>
  <c r="AO36" i="3" s="1"/>
  <c r="AN77" i="3"/>
  <c r="AM46" i="4"/>
  <c r="AN89" i="3"/>
  <c r="AN90" i="3" s="1"/>
  <c r="AN91" i="3" s="1"/>
  <c r="AN94" i="3"/>
  <c r="AN95" i="3" s="1"/>
  <c r="AN263" i="3"/>
  <c r="AI333" i="3"/>
  <c r="AI63" i="4" s="1"/>
  <c r="AI62" i="4" s="1"/>
  <c r="AN213" i="3"/>
  <c r="AN214" i="3" s="1"/>
  <c r="AN215" i="3" s="1"/>
  <c r="AN218" i="3"/>
  <c r="AN219" i="3" s="1"/>
  <c r="AN156" i="3"/>
  <c r="AN157" i="3" s="1"/>
  <c r="AN151" i="3"/>
  <c r="AN152" i="3" s="1"/>
  <c r="AN153" i="3" s="1"/>
  <c r="AM294" i="3"/>
  <c r="AM308" i="3" s="1"/>
  <c r="AM309" i="3" s="1"/>
  <c r="AM310" i="3" s="1"/>
  <c r="AM323" i="3" s="1"/>
  <c r="AM295" i="3"/>
  <c r="AM313" i="3" s="1"/>
  <c r="AM314" i="3" s="1"/>
  <c r="AM324" i="3" s="1"/>
  <c r="AO71" i="3"/>
  <c r="AO70" i="3"/>
  <c r="AO267" i="3"/>
  <c r="AO143" i="3"/>
  <c r="AO162" i="3"/>
  <c r="AO163" i="3" s="1"/>
  <c r="AP160" i="3" s="1"/>
  <c r="AO290" i="3"/>
  <c r="AO256" i="3"/>
  <c r="AO205" i="3"/>
  <c r="AO296" i="3"/>
  <c r="AO286" i="3"/>
  <c r="AO257" i="3"/>
  <c r="AO228" i="3"/>
  <c r="AO224" i="3"/>
  <c r="AO319" i="3"/>
  <c r="AO318" i="3"/>
  <c r="AO133" i="3"/>
  <c r="AO100" i="3"/>
  <c r="AO81" i="3"/>
  <c r="AO110" i="3"/>
  <c r="AO194" i="3"/>
  <c r="AO132" i="3"/>
  <c r="AO195" i="3"/>
  <c r="AO104" i="3"/>
  <c r="AO166" i="3"/>
  <c r="AO172" i="3"/>
  <c r="AO234" i="3"/>
  <c r="AN43" i="3"/>
  <c r="AN44" i="3" s="1"/>
  <c r="AN45" i="3" s="1"/>
  <c r="AN47" i="3" s="1"/>
  <c r="AN65" i="3" s="1"/>
  <c r="AN66" i="3" s="1"/>
  <c r="AN201" i="3"/>
  <c r="AN229" i="3"/>
  <c r="AN230" i="3" s="1"/>
  <c r="AN231" i="3" s="1"/>
  <c r="AM169" i="3"/>
  <c r="AO74" i="4"/>
  <c r="AJ332" i="3"/>
  <c r="AK331" i="3" s="1"/>
  <c r="AO67" i="7"/>
  <c r="AP80" i="7"/>
  <c r="AP65" i="7"/>
  <c r="AP66" i="7" s="1"/>
  <c r="AP34" i="7"/>
  <c r="AP38" i="7"/>
  <c r="AP33" i="7"/>
  <c r="AP15" i="7"/>
  <c r="AP11" i="7"/>
  <c r="AQ14" i="7"/>
  <c r="AO12" i="7"/>
  <c r="AO13" i="7" s="1"/>
  <c r="AO16" i="7" s="1"/>
  <c r="AQ15" i="6"/>
  <c r="AP16" i="6"/>
  <c r="AP11" i="6"/>
  <c r="AP13" i="6" s="1"/>
  <c r="AO12" i="6"/>
  <c r="AO14" i="6" s="1"/>
  <c r="AO17" i="6" s="1"/>
  <c r="AP32" i="4"/>
  <c r="AP31" i="4"/>
  <c r="AP29" i="4"/>
  <c r="AP30" i="4"/>
  <c r="AP33" i="4"/>
  <c r="AO45" i="4"/>
  <c r="AO68" i="4"/>
  <c r="AO38" i="4"/>
  <c r="AO18" i="4"/>
  <c r="AO23" i="4"/>
  <c r="AO42" i="4"/>
  <c r="AO54" i="4"/>
  <c r="AO58" i="4"/>
  <c r="AO59" i="4" s="1"/>
  <c r="AO50" i="4"/>
  <c r="AN73" i="4"/>
  <c r="AN39" i="4"/>
  <c r="AN40" i="4" s="1"/>
  <c r="AN24" i="4"/>
  <c r="AN25" i="4" s="1"/>
  <c r="AN19" i="4"/>
  <c r="AN20" i="4" s="1"/>
  <c r="AN43" i="4"/>
  <c r="AN44" i="4" s="1"/>
  <c r="AO34" i="4"/>
  <c r="AQ14" i="4"/>
  <c r="AP15" i="4"/>
  <c r="AP11" i="4"/>
  <c r="AP74" i="4" s="1"/>
  <c r="AO12" i="4"/>
  <c r="AO13" i="4" s="1"/>
  <c r="AO16" i="4" s="1"/>
  <c r="AO42" i="3"/>
  <c r="AO48" i="3"/>
  <c r="AO38" i="3"/>
  <c r="AO19" i="3"/>
  <c r="AN32" i="3"/>
  <c r="AN33" i="3" s="1"/>
  <c r="AN27" i="3"/>
  <c r="AN28" i="3" s="1"/>
  <c r="AN29" i="3" s="1"/>
  <c r="AP14" i="3"/>
  <c r="AO11" i="3"/>
  <c r="AO12" i="3" s="1"/>
  <c r="AO13" i="3" s="1"/>
  <c r="AO16" i="3" s="1"/>
  <c r="AO15" i="3"/>
  <c r="AI65" i="4" l="1"/>
  <c r="AI70" i="4" s="1"/>
  <c r="AQ51" i="4"/>
  <c r="AQ59" i="4"/>
  <c r="AQ55" i="4"/>
  <c r="AQ52" i="7"/>
  <c r="AQ49" i="7"/>
  <c r="AQ41" i="7"/>
  <c r="AQ51" i="7"/>
  <c r="AQ48" i="7"/>
  <c r="AQ40" i="7"/>
  <c r="AJ333" i="3"/>
  <c r="AJ63" i="4" s="1"/>
  <c r="AJ62" i="4" s="1"/>
  <c r="AL18" i="7"/>
  <c r="AP93" i="7"/>
  <c r="AO325" i="3"/>
  <c r="AN46" i="3"/>
  <c r="AN60" i="3" s="1"/>
  <c r="AN61" i="3" s="1"/>
  <c r="AN62" i="3" s="1"/>
  <c r="AN75" i="3" s="1"/>
  <c r="AO258" i="3"/>
  <c r="AP255" i="3" s="1"/>
  <c r="AO72" i="3"/>
  <c r="AP69" i="3" s="1"/>
  <c r="AO320" i="3"/>
  <c r="AP317" i="3" s="1"/>
  <c r="AO134" i="3"/>
  <c r="AP131" i="3" s="1"/>
  <c r="AO263" i="3"/>
  <c r="AO101" i="3"/>
  <c r="AP98" i="3" s="1"/>
  <c r="AN170" i="3"/>
  <c r="AN184" i="3" s="1"/>
  <c r="AN185" i="3" s="1"/>
  <c r="AN186" i="3" s="1"/>
  <c r="AN199" i="3" s="1"/>
  <c r="AN171" i="3"/>
  <c r="AN189" i="3" s="1"/>
  <c r="AN190" i="3" s="1"/>
  <c r="AN200" i="3" s="1"/>
  <c r="AN295" i="3"/>
  <c r="AN313" i="3" s="1"/>
  <c r="AN314" i="3" s="1"/>
  <c r="AN324" i="3" s="1"/>
  <c r="AN294" i="3"/>
  <c r="AN308" i="3" s="1"/>
  <c r="AN309" i="3" s="1"/>
  <c r="AN310" i="3" s="1"/>
  <c r="AN323" i="3" s="1"/>
  <c r="AQ64" i="4"/>
  <c r="AQ69" i="4"/>
  <c r="AN330" i="3"/>
  <c r="AN45" i="7" s="1"/>
  <c r="AO201" i="3"/>
  <c r="AO229" i="3"/>
  <c r="AO230" i="3" s="1"/>
  <c r="AO231" i="3" s="1"/>
  <c r="AO156" i="3"/>
  <c r="AO157" i="3" s="1"/>
  <c r="AO151" i="3"/>
  <c r="AO152" i="3" s="1"/>
  <c r="AO153" i="3" s="1"/>
  <c r="AO39" i="3"/>
  <c r="AP36" i="3" s="1"/>
  <c r="AO77" i="3"/>
  <c r="AK332" i="3"/>
  <c r="AL331" i="3" s="1"/>
  <c r="AO89" i="3"/>
  <c r="AO90" i="3" s="1"/>
  <c r="AO91" i="3" s="1"/>
  <c r="AO94" i="3"/>
  <c r="AO95" i="3" s="1"/>
  <c r="AO196" i="3"/>
  <c r="AP193" i="3" s="1"/>
  <c r="AP71" i="3"/>
  <c r="AP70" i="3"/>
  <c r="AP267" i="3"/>
  <c r="AP162" i="3"/>
  <c r="AP163" i="3" s="1"/>
  <c r="AQ160" i="3" s="1"/>
  <c r="AP143" i="3"/>
  <c r="AP319" i="3"/>
  <c r="AP290" i="3"/>
  <c r="AP228" i="3"/>
  <c r="AP318" i="3"/>
  <c r="AP256" i="3"/>
  <c r="AP224" i="3"/>
  <c r="AP286" i="3"/>
  <c r="AP110" i="3"/>
  <c r="AP81" i="3"/>
  <c r="AP257" i="3"/>
  <c r="AP100" i="3"/>
  <c r="AP104" i="3"/>
  <c r="AP296" i="3"/>
  <c r="AP195" i="3"/>
  <c r="AP166" i="3"/>
  <c r="AP132" i="3"/>
  <c r="AP133" i="3"/>
  <c r="AP205" i="3"/>
  <c r="AP194" i="3"/>
  <c r="AP234" i="3"/>
  <c r="AP172" i="3"/>
  <c r="AO43" i="3"/>
  <c r="AO44" i="3" s="1"/>
  <c r="AO45" i="3" s="1"/>
  <c r="AO46" i="3" s="1"/>
  <c r="AO60" i="3" s="1"/>
  <c r="AO61" i="3" s="1"/>
  <c r="AO62" i="3" s="1"/>
  <c r="AO139" i="3"/>
  <c r="AM171" i="3"/>
  <c r="AM189" i="3" s="1"/>
  <c r="AM190" i="3" s="1"/>
  <c r="AM200" i="3" s="1"/>
  <c r="AM329" i="3" s="1"/>
  <c r="AM170" i="3"/>
  <c r="AM184" i="3" s="1"/>
  <c r="AM185" i="3" s="1"/>
  <c r="AM186" i="3" s="1"/>
  <c r="AM199" i="3" s="1"/>
  <c r="AM328" i="3" s="1"/>
  <c r="AO167" i="3"/>
  <c r="AO168" i="3" s="1"/>
  <c r="AO169" i="3" s="1"/>
  <c r="AO213" i="3"/>
  <c r="AO214" i="3" s="1"/>
  <c r="AO215" i="3" s="1"/>
  <c r="AO218" i="3"/>
  <c r="AO219" i="3" s="1"/>
  <c r="AO225" i="3"/>
  <c r="AP222" i="3" s="1"/>
  <c r="AC75" i="4"/>
  <c r="AC76" i="4" s="1"/>
  <c r="AC78" i="4" s="1"/>
  <c r="AC19" i="7" s="1"/>
  <c r="AO275" i="3"/>
  <c r="AO276" i="3" s="1"/>
  <c r="AO277" i="3" s="1"/>
  <c r="AO280" i="3"/>
  <c r="AO281" i="3" s="1"/>
  <c r="AN76" i="3"/>
  <c r="AP54" i="4"/>
  <c r="AP80" i="4"/>
  <c r="AP27" i="7" s="1"/>
  <c r="AN233" i="3"/>
  <c r="AN251" i="3" s="1"/>
  <c r="AN252" i="3" s="1"/>
  <c r="AN262" i="3" s="1"/>
  <c r="AN232" i="3"/>
  <c r="AN246" i="3" s="1"/>
  <c r="AN247" i="3" s="1"/>
  <c r="AN248" i="3" s="1"/>
  <c r="AN261" i="3" s="1"/>
  <c r="AO105" i="3"/>
  <c r="AO106" i="3" s="1"/>
  <c r="AO107" i="3" s="1"/>
  <c r="AN109" i="3"/>
  <c r="AN127" i="3" s="1"/>
  <c r="AN128" i="3" s="1"/>
  <c r="AN138" i="3" s="1"/>
  <c r="AN108" i="3"/>
  <c r="AN122" i="3" s="1"/>
  <c r="AN123" i="3" s="1"/>
  <c r="AN124" i="3" s="1"/>
  <c r="AN137" i="3" s="1"/>
  <c r="AN46" i="4"/>
  <c r="AP34" i="4"/>
  <c r="AO291" i="3"/>
  <c r="AO292" i="3" s="1"/>
  <c r="AO293" i="3" s="1"/>
  <c r="AO287" i="3"/>
  <c r="AP284" i="3" s="1"/>
  <c r="AP95" i="7"/>
  <c r="AP67" i="7"/>
  <c r="AQ80" i="7"/>
  <c r="AQ65" i="7"/>
  <c r="AQ66" i="7" s="1"/>
  <c r="AQ34" i="7"/>
  <c r="AQ38" i="7"/>
  <c r="AQ33" i="7"/>
  <c r="AQ15" i="7"/>
  <c r="AQ11" i="7"/>
  <c r="AR14" i="7"/>
  <c r="AP12" i="7"/>
  <c r="AP13" i="7" s="1"/>
  <c r="AP16" i="7" s="1"/>
  <c r="AP12" i="6"/>
  <c r="AP14" i="6" s="1"/>
  <c r="AP17" i="6" s="1"/>
  <c r="AR15" i="6"/>
  <c r="AQ16" i="6"/>
  <c r="AQ11" i="6"/>
  <c r="AQ13" i="6" s="1"/>
  <c r="AO39" i="4"/>
  <c r="AO40" i="4" s="1"/>
  <c r="AO19" i="4"/>
  <c r="AO20" i="4" s="1"/>
  <c r="AO24" i="4"/>
  <c r="AO25" i="4" s="1"/>
  <c r="AO73" i="4"/>
  <c r="AD75" i="4" s="1"/>
  <c r="AD76" i="4" s="1"/>
  <c r="AD78" i="4" s="1"/>
  <c r="AD19" i="7" s="1"/>
  <c r="AO43" i="4"/>
  <c r="AO44" i="4" s="1"/>
  <c r="AP58" i="4"/>
  <c r="AP45" i="4"/>
  <c r="AP68" i="4"/>
  <c r="AP69" i="4" s="1"/>
  <c r="AP18" i="4"/>
  <c r="AP38" i="4"/>
  <c r="AP23" i="4"/>
  <c r="AP42" i="4"/>
  <c r="AP50" i="4"/>
  <c r="AQ32" i="4"/>
  <c r="AQ29" i="4"/>
  <c r="AQ33" i="4"/>
  <c r="AQ30" i="4"/>
  <c r="AQ31" i="4"/>
  <c r="AP12" i="4"/>
  <c r="AP13" i="4" s="1"/>
  <c r="AP16" i="4" s="1"/>
  <c r="AR14" i="4"/>
  <c r="AQ15" i="4"/>
  <c r="AQ11" i="4"/>
  <c r="AQ80" i="4" s="1"/>
  <c r="AQ27" i="7" s="1"/>
  <c r="AP42" i="3"/>
  <c r="AP48" i="3"/>
  <c r="AP19" i="3"/>
  <c r="AP38" i="3"/>
  <c r="AO27" i="3"/>
  <c r="AO28" i="3" s="1"/>
  <c r="AO29" i="3" s="1"/>
  <c r="AO32" i="3"/>
  <c r="AO33" i="3" s="1"/>
  <c r="AQ14" i="3"/>
  <c r="AP11" i="3"/>
  <c r="AP12" i="3" s="1"/>
  <c r="AP13" i="3" s="1"/>
  <c r="AP16" i="3" s="1"/>
  <c r="AP15" i="3"/>
  <c r="AJ65" i="4" l="1"/>
  <c r="AJ70" i="4" s="1"/>
  <c r="AR55" i="4"/>
  <c r="AR51" i="4"/>
  <c r="AR59" i="4"/>
  <c r="AO47" i="3"/>
  <c r="AO65" i="3" s="1"/>
  <c r="AO66" i="3" s="1"/>
  <c r="AO76" i="3" s="1"/>
  <c r="AP287" i="3"/>
  <c r="AQ284" i="3" s="1"/>
  <c r="AO330" i="3"/>
  <c r="AO45" i="7" s="1"/>
  <c r="AN328" i="3"/>
  <c r="AQ95" i="7"/>
  <c r="AP225" i="3"/>
  <c r="AQ222" i="3" s="1"/>
  <c r="AP258" i="3"/>
  <c r="AQ255" i="3" s="1"/>
  <c r="AP72" i="3"/>
  <c r="AQ69" i="3" s="1"/>
  <c r="AO46" i="4"/>
  <c r="AP320" i="3"/>
  <c r="AQ317" i="3" s="1"/>
  <c r="AP196" i="3"/>
  <c r="AQ193" i="3" s="1"/>
  <c r="AM18" i="7"/>
  <c r="AP134" i="3"/>
  <c r="AQ131" i="3" s="1"/>
  <c r="AP325" i="3"/>
  <c r="AO109" i="3"/>
  <c r="AO127" i="3" s="1"/>
  <c r="AO128" i="3" s="1"/>
  <c r="AO138" i="3" s="1"/>
  <c r="AO108" i="3"/>
  <c r="AO122" i="3" s="1"/>
  <c r="AO123" i="3" s="1"/>
  <c r="AO124" i="3" s="1"/>
  <c r="AO137" i="3" s="1"/>
  <c r="AO295" i="3"/>
  <c r="AO313" i="3" s="1"/>
  <c r="AO314" i="3" s="1"/>
  <c r="AO324" i="3" s="1"/>
  <c r="AO294" i="3"/>
  <c r="AO308" i="3" s="1"/>
  <c r="AO309" i="3" s="1"/>
  <c r="AO310" i="3" s="1"/>
  <c r="AO323" i="3" s="1"/>
  <c r="AO171" i="3"/>
  <c r="AO189" i="3" s="1"/>
  <c r="AO190" i="3" s="1"/>
  <c r="AO200" i="3" s="1"/>
  <c r="AO170" i="3"/>
  <c r="AO184" i="3" s="1"/>
  <c r="AO185" i="3" s="1"/>
  <c r="AO186" i="3" s="1"/>
  <c r="AO199" i="3" s="1"/>
  <c r="AO232" i="3"/>
  <c r="AO246" i="3" s="1"/>
  <c r="AO247" i="3" s="1"/>
  <c r="AO248" i="3" s="1"/>
  <c r="AO261" i="3" s="1"/>
  <c r="AO233" i="3"/>
  <c r="AO251" i="3" s="1"/>
  <c r="AO252" i="3" s="1"/>
  <c r="AO262" i="3" s="1"/>
  <c r="AP89" i="3"/>
  <c r="AP90" i="3" s="1"/>
  <c r="AP91" i="3" s="1"/>
  <c r="AP94" i="3"/>
  <c r="AP95" i="3" s="1"/>
  <c r="AQ74" i="4"/>
  <c r="AP39" i="3"/>
  <c r="AQ36" i="3" s="1"/>
  <c r="AP77" i="3"/>
  <c r="AR64" i="4"/>
  <c r="AP167" i="3"/>
  <c r="AP168" i="3" s="1"/>
  <c r="AP169" i="3" s="1"/>
  <c r="AN329" i="3"/>
  <c r="AQ71" i="3"/>
  <c r="AQ70" i="3"/>
  <c r="AQ162" i="3"/>
  <c r="AQ163" i="3" s="1"/>
  <c r="AR160" i="3" s="1"/>
  <c r="AQ143" i="3"/>
  <c r="AQ267" i="3"/>
  <c r="AQ318" i="3"/>
  <c r="AQ257" i="3"/>
  <c r="AQ224" i="3"/>
  <c r="AQ290" i="3"/>
  <c r="AQ205" i="3"/>
  <c r="AQ286" i="3"/>
  <c r="AQ256" i="3"/>
  <c r="AQ228" i="3"/>
  <c r="AQ166" i="3"/>
  <c r="AQ133" i="3"/>
  <c r="AQ195" i="3"/>
  <c r="AQ194" i="3"/>
  <c r="AQ296" i="3"/>
  <c r="AQ104" i="3"/>
  <c r="AQ319" i="3"/>
  <c r="AQ100" i="3"/>
  <c r="AQ81" i="3"/>
  <c r="AQ132" i="3"/>
  <c r="AQ110" i="3"/>
  <c r="AQ172" i="3"/>
  <c r="AQ234" i="3"/>
  <c r="AP213" i="3"/>
  <c r="AP214" i="3" s="1"/>
  <c r="AP215" i="3" s="1"/>
  <c r="AP218" i="3"/>
  <c r="AP219" i="3" s="1"/>
  <c r="AO75" i="3"/>
  <c r="AP151" i="3"/>
  <c r="AP152" i="3" s="1"/>
  <c r="AP153" i="3" s="1"/>
  <c r="AP156" i="3"/>
  <c r="AP157" i="3" s="1"/>
  <c r="AP263" i="3"/>
  <c r="AP280" i="3"/>
  <c r="AP281" i="3" s="1"/>
  <c r="AP275" i="3"/>
  <c r="AP276" i="3" s="1"/>
  <c r="AP277" i="3" s="1"/>
  <c r="AK333" i="3"/>
  <c r="AK63" i="4" s="1"/>
  <c r="AK62" i="4" s="1"/>
  <c r="AP43" i="3"/>
  <c r="AP44" i="3" s="1"/>
  <c r="AP45" i="3" s="1"/>
  <c r="AP46" i="3" s="1"/>
  <c r="AP60" i="3" s="1"/>
  <c r="AP61" i="3" s="1"/>
  <c r="AP62" i="3" s="1"/>
  <c r="AL332" i="3"/>
  <c r="AM331" i="3" s="1"/>
  <c r="AP291" i="3"/>
  <c r="AP292" i="3" s="1"/>
  <c r="AP293" i="3" s="1"/>
  <c r="AP105" i="3"/>
  <c r="AP106" i="3" s="1"/>
  <c r="AP107" i="3" s="1"/>
  <c r="AP201" i="3"/>
  <c r="AP139" i="3"/>
  <c r="AP229" i="3"/>
  <c r="AP230" i="3" s="1"/>
  <c r="AP231" i="3" s="1"/>
  <c r="AP101" i="3"/>
  <c r="AQ98" i="3" s="1"/>
  <c r="AQ93" i="7"/>
  <c r="AR80" i="7"/>
  <c r="AR65" i="7"/>
  <c r="AR66" i="7" s="1"/>
  <c r="AQ67" i="7"/>
  <c r="AR38" i="7"/>
  <c r="AR33" i="7"/>
  <c r="AR34" i="7"/>
  <c r="AS14" i="7"/>
  <c r="AR11" i="7"/>
  <c r="AR15" i="7"/>
  <c r="AQ12" i="7"/>
  <c r="AQ13" i="7" s="1"/>
  <c r="AQ16" i="7" s="1"/>
  <c r="AQ12" i="6"/>
  <c r="AQ14" i="6" s="1"/>
  <c r="AQ17" i="6" s="1"/>
  <c r="AR16" i="6"/>
  <c r="AR11" i="6"/>
  <c r="AR13" i="6" s="1"/>
  <c r="AS15" i="6"/>
  <c r="AP73" i="4"/>
  <c r="AP39" i="4"/>
  <c r="AP40" i="4" s="1"/>
  <c r="AP24" i="4"/>
  <c r="AP25" i="4" s="1"/>
  <c r="AP43" i="4"/>
  <c r="AP44" i="4" s="1"/>
  <c r="AP19" i="4"/>
  <c r="AP20" i="4" s="1"/>
  <c r="AQ45" i="4"/>
  <c r="AQ68" i="4"/>
  <c r="AQ18" i="4"/>
  <c r="AQ38" i="4"/>
  <c r="AQ23" i="4"/>
  <c r="AQ42" i="4"/>
  <c r="AR32" i="4"/>
  <c r="AR29" i="4"/>
  <c r="AR33" i="4"/>
  <c r="AR31" i="4"/>
  <c r="AR30" i="4"/>
  <c r="AQ50" i="4"/>
  <c r="AQ58" i="4"/>
  <c r="AQ54" i="4"/>
  <c r="AQ34" i="4"/>
  <c r="AS14" i="4"/>
  <c r="AR15" i="4"/>
  <c r="AR11" i="4"/>
  <c r="AR74" i="4" s="1"/>
  <c r="AQ12" i="4"/>
  <c r="AQ13" i="4" s="1"/>
  <c r="AQ16" i="4" s="1"/>
  <c r="AQ42" i="3"/>
  <c r="AQ48" i="3"/>
  <c r="AP27" i="3"/>
  <c r="AP28" i="3" s="1"/>
  <c r="AP29" i="3" s="1"/>
  <c r="AP32" i="3"/>
  <c r="AP33" i="3" s="1"/>
  <c r="AQ19" i="3"/>
  <c r="AQ38" i="3"/>
  <c r="AR14" i="3"/>
  <c r="AQ11" i="3"/>
  <c r="AQ12" i="3" s="1"/>
  <c r="AQ13" i="3" s="1"/>
  <c r="AQ16" i="3" s="1"/>
  <c r="AQ15" i="3"/>
  <c r="AK65" i="4" l="1"/>
  <c r="AK70" i="4" s="1"/>
  <c r="AS59" i="4"/>
  <c r="AS55" i="4"/>
  <c r="AS51" i="4"/>
  <c r="AQ287" i="3"/>
  <c r="AR284" i="3" s="1"/>
  <c r="AO329" i="3"/>
  <c r="AQ225" i="3"/>
  <c r="AR222" i="3" s="1"/>
  <c r="AQ72" i="3"/>
  <c r="AR69" i="3" s="1"/>
  <c r="AQ101" i="3"/>
  <c r="AR98" i="3" s="1"/>
  <c r="AP47" i="3"/>
  <c r="AP65" i="3" s="1"/>
  <c r="AP66" i="3" s="1"/>
  <c r="AP76" i="3" s="1"/>
  <c r="AN18" i="7"/>
  <c r="AQ134" i="3"/>
  <c r="AR131" i="3" s="1"/>
  <c r="AQ196" i="3"/>
  <c r="AR193" i="3" s="1"/>
  <c r="AQ139" i="3"/>
  <c r="AQ320" i="3"/>
  <c r="AR317" i="3" s="1"/>
  <c r="AQ258" i="3"/>
  <c r="AR255" i="3" s="1"/>
  <c r="AP330" i="3"/>
  <c r="AP45" i="7" s="1"/>
  <c r="AQ201" i="3"/>
  <c r="AP108" i="3"/>
  <c r="AP122" i="3" s="1"/>
  <c r="AP123" i="3" s="1"/>
  <c r="AP124" i="3" s="1"/>
  <c r="AP137" i="3" s="1"/>
  <c r="AP109" i="3"/>
  <c r="AP127" i="3" s="1"/>
  <c r="AP128" i="3" s="1"/>
  <c r="AP138" i="3" s="1"/>
  <c r="AP232" i="3"/>
  <c r="AP246" i="3" s="1"/>
  <c r="AP247" i="3" s="1"/>
  <c r="AP248" i="3" s="1"/>
  <c r="AP261" i="3" s="1"/>
  <c r="AP233" i="3"/>
  <c r="AP251" i="3" s="1"/>
  <c r="AP252" i="3" s="1"/>
  <c r="AP262" i="3" s="1"/>
  <c r="AQ105" i="3"/>
  <c r="AQ106" i="3" s="1"/>
  <c r="AQ107" i="3" s="1"/>
  <c r="AQ325" i="3"/>
  <c r="AR70" i="3"/>
  <c r="AR71" i="3"/>
  <c r="AR267" i="3"/>
  <c r="AR143" i="3"/>
  <c r="AR162" i="3"/>
  <c r="AR163" i="3" s="1"/>
  <c r="AS160" i="3" s="1"/>
  <c r="AR228" i="3"/>
  <c r="AR205" i="3"/>
  <c r="AR290" i="3"/>
  <c r="AR257" i="3"/>
  <c r="AR224" i="3"/>
  <c r="AR319" i="3"/>
  <c r="AR296" i="3"/>
  <c r="AR286" i="3"/>
  <c r="AR100" i="3"/>
  <c r="AR166" i="3"/>
  <c r="AR132" i="3"/>
  <c r="AR104" i="3"/>
  <c r="AR195" i="3"/>
  <c r="AR110" i="3"/>
  <c r="AR194" i="3"/>
  <c r="AR256" i="3"/>
  <c r="AR318" i="3"/>
  <c r="AR133" i="3"/>
  <c r="AR81" i="3"/>
  <c r="AR234" i="3"/>
  <c r="AR172" i="3"/>
  <c r="AQ218" i="3"/>
  <c r="AQ219" i="3" s="1"/>
  <c r="AQ213" i="3"/>
  <c r="AQ214" i="3" s="1"/>
  <c r="AQ215" i="3" s="1"/>
  <c r="AL333" i="3"/>
  <c r="AL63" i="4" s="1"/>
  <c r="AL62" i="4" s="1"/>
  <c r="AQ291" i="3"/>
  <c r="AQ292" i="3" s="1"/>
  <c r="AQ293" i="3" s="1"/>
  <c r="AP294" i="3"/>
  <c r="AP308" i="3" s="1"/>
  <c r="AP309" i="3" s="1"/>
  <c r="AP310" i="3" s="1"/>
  <c r="AP323" i="3" s="1"/>
  <c r="AP295" i="3"/>
  <c r="AP313" i="3" s="1"/>
  <c r="AP314" i="3" s="1"/>
  <c r="AP324" i="3" s="1"/>
  <c r="AQ151" i="3"/>
  <c r="AQ152" i="3" s="1"/>
  <c r="AQ153" i="3" s="1"/>
  <c r="AQ156" i="3"/>
  <c r="AQ157" i="3" s="1"/>
  <c r="AQ43" i="3"/>
  <c r="AQ44" i="3" s="1"/>
  <c r="AQ45" i="3" s="1"/>
  <c r="AQ47" i="3" s="1"/>
  <c r="AQ65" i="3" s="1"/>
  <c r="AQ66" i="3" s="1"/>
  <c r="AM332" i="3"/>
  <c r="AN331" i="3" s="1"/>
  <c r="AQ263" i="3"/>
  <c r="AS64" i="4"/>
  <c r="AS69" i="4"/>
  <c r="AE75" i="4"/>
  <c r="AE76" i="4" s="1"/>
  <c r="AE78" i="4" s="1"/>
  <c r="AE19" i="7" s="1"/>
  <c r="AQ89" i="3"/>
  <c r="AQ90" i="3" s="1"/>
  <c r="AQ91" i="3" s="1"/>
  <c r="AQ94" i="3"/>
  <c r="AQ95" i="3" s="1"/>
  <c r="AQ167" i="3"/>
  <c r="AQ168" i="3" s="1"/>
  <c r="AQ169" i="3" s="1"/>
  <c r="AP170" i="3"/>
  <c r="AP184" i="3" s="1"/>
  <c r="AP185" i="3" s="1"/>
  <c r="AP186" i="3" s="1"/>
  <c r="AP199" i="3" s="1"/>
  <c r="AP171" i="3"/>
  <c r="AP189" i="3" s="1"/>
  <c r="AP190" i="3" s="1"/>
  <c r="AP200" i="3" s="1"/>
  <c r="AQ39" i="3"/>
  <c r="AR36" i="3" s="1"/>
  <c r="AQ77" i="3"/>
  <c r="AR50" i="4"/>
  <c r="AR80" i="4"/>
  <c r="AR27" i="7" s="1"/>
  <c r="AP75" i="3"/>
  <c r="AQ229" i="3"/>
  <c r="AQ230" i="3" s="1"/>
  <c r="AQ231" i="3" s="1"/>
  <c r="AQ280" i="3"/>
  <c r="AQ281" i="3" s="1"/>
  <c r="AQ275" i="3"/>
  <c r="AQ276" i="3" s="1"/>
  <c r="AQ277" i="3" s="1"/>
  <c r="AO328" i="3"/>
  <c r="AS80" i="7"/>
  <c r="AS65" i="7"/>
  <c r="AS66" i="7" s="1"/>
  <c r="AR67" i="7"/>
  <c r="AS38" i="7"/>
  <c r="AS33" i="7"/>
  <c r="AS34" i="7"/>
  <c r="AR12" i="7"/>
  <c r="AR13" i="7" s="1"/>
  <c r="AR16" i="7" s="1"/>
  <c r="AT14" i="7"/>
  <c r="AS15" i="7"/>
  <c r="AS11" i="7"/>
  <c r="AS16" i="6"/>
  <c r="AS11" i="6"/>
  <c r="AS13" i="6" s="1"/>
  <c r="AT15" i="6"/>
  <c r="AR12" i="6"/>
  <c r="AR14" i="6" s="1"/>
  <c r="AR17" i="6" s="1"/>
  <c r="AS32" i="4"/>
  <c r="AS33" i="4"/>
  <c r="AS30" i="4"/>
  <c r="AS31" i="4"/>
  <c r="AS29" i="4"/>
  <c r="AR54" i="4"/>
  <c r="AR58" i="4"/>
  <c r="AQ19" i="4"/>
  <c r="AQ20" i="4" s="1"/>
  <c r="AQ43" i="4"/>
  <c r="AQ44" i="4" s="1"/>
  <c r="AQ73" i="4"/>
  <c r="AF75" i="4" s="1"/>
  <c r="AF76" i="4" s="1"/>
  <c r="AF78" i="4" s="1"/>
  <c r="AF19" i="7" s="1"/>
  <c r="AQ24" i="4"/>
  <c r="AQ25" i="4" s="1"/>
  <c r="AQ39" i="4"/>
  <c r="AQ40" i="4" s="1"/>
  <c r="AR68" i="4"/>
  <c r="AR69" i="4" s="1"/>
  <c r="AR45" i="4"/>
  <c r="AR23" i="4"/>
  <c r="AR18" i="4"/>
  <c r="AR38" i="4"/>
  <c r="AR42" i="4"/>
  <c r="AR34" i="4"/>
  <c r="AP46" i="4"/>
  <c r="AR12" i="4"/>
  <c r="AR13" i="4" s="1"/>
  <c r="AR16" i="4" s="1"/>
  <c r="AT14" i="4"/>
  <c r="AS15" i="4"/>
  <c r="AS11" i="4"/>
  <c r="AS80" i="4" s="1"/>
  <c r="AS27" i="7" s="1"/>
  <c r="AR48" i="3"/>
  <c r="AR42" i="3"/>
  <c r="AR19" i="3"/>
  <c r="AR38" i="3"/>
  <c r="AQ27" i="3"/>
  <c r="AQ28" i="3" s="1"/>
  <c r="AQ29" i="3" s="1"/>
  <c r="AQ32" i="3"/>
  <c r="AQ33" i="3" s="1"/>
  <c r="AS14" i="3"/>
  <c r="AR11" i="3"/>
  <c r="AR12" i="3" s="1"/>
  <c r="AR13" i="3" s="1"/>
  <c r="AR16" i="3" s="1"/>
  <c r="AR15" i="3"/>
  <c r="AL65" i="4" l="1"/>
  <c r="AL70" i="4" s="1"/>
  <c r="AR101" i="3"/>
  <c r="AS98" i="3" s="1"/>
  <c r="AT51" i="4"/>
  <c r="AT59" i="4"/>
  <c r="AT55" i="4"/>
  <c r="AT52" i="7"/>
  <c r="AT49" i="7"/>
  <c r="AT41" i="7"/>
  <c r="AT51" i="7"/>
  <c r="AT48" i="7"/>
  <c r="AT40" i="7"/>
  <c r="AO18" i="7"/>
  <c r="AR225" i="3"/>
  <c r="AS222" i="3" s="1"/>
  <c r="AR201" i="3"/>
  <c r="AR196" i="3"/>
  <c r="AS193" i="3" s="1"/>
  <c r="AQ46" i="3"/>
  <c r="AQ60" i="3" s="1"/>
  <c r="AQ61" i="3" s="1"/>
  <c r="AQ62" i="3" s="1"/>
  <c r="AQ75" i="3" s="1"/>
  <c r="AR258" i="3"/>
  <c r="AS255" i="3" s="1"/>
  <c r="AR72" i="3"/>
  <c r="AS69" i="3" s="1"/>
  <c r="AR134" i="3"/>
  <c r="AS131" i="3" s="1"/>
  <c r="AP328" i="3"/>
  <c r="AM333" i="3"/>
  <c r="AM63" i="4" s="1"/>
  <c r="AM62" i="4" s="1"/>
  <c r="AR320" i="3"/>
  <c r="AS317" i="3" s="1"/>
  <c r="AQ295" i="3"/>
  <c r="AQ313" i="3" s="1"/>
  <c r="AQ314" i="3" s="1"/>
  <c r="AQ324" i="3" s="1"/>
  <c r="AQ294" i="3"/>
  <c r="AQ308" i="3" s="1"/>
  <c r="AQ309" i="3" s="1"/>
  <c r="AQ310" i="3" s="1"/>
  <c r="AQ323" i="3" s="1"/>
  <c r="AR105" i="3"/>
  <c r="AR106" i="3" s="1"/>
  <c r="AR107" i="3" s="1"/>
  <c r="AN332" i="3"/>
  <c r="AO331" i="3" s="1"/>
  <c r="AR94" i="3"/>
  <c r="AR95" i="3" s="1"/>
  <c r="AR89" i="3"/>
  <c r="AR90" i="3" s="1"/>
  <c r="AR91" i="3" s="1"/>
  <c r="AR291" i="3"/>
  <c r="AR292" i="3" s="1"/>
  <c r="AR293" i="3" s="1"/>
  <c r="AQ330" i="3"/>
  <c r="AQ45" i="7" s="1"/>
  <c r="AR39" i="3"/>
  <c r="AS36" i="3" s="1"/>
  <c r="AR77" i="3"/>
  <c r="AQ233" i="3"/>
  <c r="AQ251" i="3" s="1"/>
  <c r="AQ252" i="3" s="1"/>
  <c r="AQ262" i="3" s="1"/>
  <c r="AQ232" i="3"/>
  <c r="AQ246" i="3" s="1"/>
  <c r="AQ247" i="3" s="1"/>
  <c r="AQ248" i="3" s="1"/>
  <c r="AQ261" i="3" s="1"/>
  <c r="AS74" i="4"/>
  <c r="AR167" i="3"/>
  <c r="AR168" i="3" s="1"/>
  <c r="AR169" i="3" s="1"/>
  <c r="AR139" i="3"/>
  <c r="AR229" i="3"/>
  <c r="AR230" i="3" s="1"/>
  <c r="AR231" i="3" s="1"/>
  <c r="AQ109" i="3"/>
  <c r="AQ127" i="3" s="1"/>
  <c r="AQ128" i="3" s="1"/>
  <c r="AQ138" i="3" s="1"/>
  <c r="AQ108" i="3"/>
  <c r="AQ122" i="3" s="1"/>
  <c r="AQ123" i="3" s="1"/>
  <c r="AQ124" i="3" s="1"/>
  <c r="AQ137" i="3" s="1"/>
  <c r="AR43" i="3"/>
  <c r="AR44" i="3" s="1"/>
  <c r="AR45" i="3" s="1"/>
  <c r="AR47" i="3" s="1"/>
  <c r="AR65" i="3" s="1"/>
  <c r="AR66" i="3" s="1"/>
  <c r="AR325" i="3"/>
  <c r="AR287" i="3"/>
  <c r="AS284" i="3" s="1"/>
  <c r="AT69" i="4"/>
  <c r="AT64" i="4"/>
  <c r="AR213" i="3"/>
  <c r="AR214" i="3" s="1"/>
  <c r="AR215" i="3" s="1"/>
  <c r="AR218" i="3"/>
  <c r="AR219" i="3" s="1"/>
  <c r="AS71" i="3"/>
  <c r="AS70" i="3"/>
  <c r="AS162" i="3"/>
  <c r="AS163" i="3" s="1"/>
  <c r="AT160" i="3" s="1"/>
  <c r="AS267" i="3"/>
  <c r="AS143" i="3"/>
  <c r="AS319" i="3"/>
  <c r="AS318" i="3"/>
  <c r="AS296" i="3"/>
  <c r="AS224" i="3"/>
  <c r="AS205" i="3"/>
  <c r="AS290" i="3"/>
  <c r="AS256" i="3"/>
  <c r="AS104" i="3"/>
  <c r="AS133" i="3"/>
  <c r="AS100" i="3"/>
  <c r="AS81" i="3"/>
  <c r="AS228" i="3"/>
  <c r="AS194" i="3"/>
  <c r="AS286" i="3"/>
  <c r="AS195" i="3"/>
  <c r="AS257" i="3"/>
  <c r="AS166" i="3"/>
  <c r="AS132" i="3"/>
  <c r="AS110" i="3"/>
  <c r="AS234" i="3"/>
  <c r="AS172" i="3"/>
  <c r="AR151" i="3"/>
  <c r="AR152" i="3" s="1"/>
  <c r="AR153" i="3" s="1"/>
  <c r="AR156" i="3"/>
  <c r="AR157" i="3" s="1"/>
  <c r="AQ76" i="3"/>
  <c r="AQ171" i="3"/>
  <c r="AQ189" i="3" s="1"/>
  <c r="AQ190" i="3" s="1"/>
  <c r="AQ200" i="3" s="1"/>
  <c r="AQ170" i="3"/>
  <c r="AQ184" i="3" s="1"/>
  <c r="AQ185" i="3" s="1"/>
  <c r="AQ186" i="3" s="1"/>
  <c r="AQ199" i="3" s="1"/>
  <c r="AR275" i="3"/>
  <c r="AR276" i="3" s="1"/>
  <c r="AR277" i="3" s="1"/>
  <c r="AR280" i="3"/>
  <c r="AR281" i="3" s="1"/>
  <c r="AQ46" i="4"/>
  <c r="AP329" i="3"/>
  <c r="AR263" i="3"/>
  <c r="AS67" i="7"/>
  <c r="AT80" i="7"/>
  <c r="AT65" i="7"/>
  <c r="AT66" i="7" s="1"/>
  <c r="AT38" i="7"/>
  <c r="AT33" i="7"/>
  <c r="AT34" i="7"/>
  <c r="AS12" i="7"/>
  <c r="AS13" i="7" s="1"/>
  <c r="AS16" i="7" s="1"/>
  <c r="AU14" i="7"/>
  <c r="AT15" i="7"/>
  <c r="AT11" i="7"/>
  <c r="AU15" i="6"/>
  <c r="AT11" i="6"/>
  <c r="AT13" i="6" s="1"/>
  <c r="AT16" i="6"/>
  <c r="AS12" i="6"/>
  <c r="AS14" i="6" s="1"/>
  <c r="AS17" i="6" s="1"/>
  <c r="AS68" i="4"/>
  <c r="AS45" i="4"/>
  <c r="AS23" i="4"/>
  <c r="AS18" i="4"/>
  <c r="AS38" i="4"/>
  <c r="AS42" i="4"/>
  <c r="AT32" i="4"/>
  <c r="AT33" i="4"/>
  <c r="AT30" i="4"/>
  <c r="AT31" i="4"/>
  <c r="AT29" i="4"/>
  <c r="AR19" i="4"/>
  <c r="AR20" i="4" s="1"/>
  <c r="AR24" i="4"/>
  <c r="AR25" i="4" s="1"/>
  <c r="AR43" i="4"/>
  <c r="AR44" i="4" s="1"/>
  <c r="AR73" i="4"/>
  <c r="AR39" i="4"/>
  <c r="AR40" i="4" s="1"/>
  <c r="AS54" i="4"/>
  <c r="AS58" i="4"/>
  <c r="AS50" i="4"/>
  <c r="AS34" i="4"/>
  <c r="AS12" i="4"/>
  <c r="AS13" i="4" s="1"/>
  <c r="AS16" i="4" s="1"/>
  <c r="AU14" i="4"/>
  <c r="AT15" i="4"/>
  <c r="AT11" i="4"/>
  <c r="AT80" i="4" s="1"/>
  <c r="AT27" i="7" s="1"/>
  <c r="AS42" i="3"/>
  <c r="AS48" i="3"/>
  <c r="AS19" i="3"/>
  <c r="AS38" i="3"/>
  <c r="AS39" i="3" s="1"/>
  <c r="AT36" i="3" s="1"/>
  <c r="AR27" i="3"/>
  <c r="AR28" i="3" s="1"/>
  <c r="AR29" i="3" s="1"/>
  <c r="AR32" i="3"/>
  <c r="AR33" i="3" s="1"/>
  <c r="AT14" i="3"/>
  <c r="AS11" i="3"/>
  <c r="AS12" i="3" s="1"/>
  <c r="AS13" i="3" s="1"/>
  <c r="AS16" i="3" s="1"/>
  <c r="AS15" i="3"/>
  <c r="AM65" i="4" l="1"/>
  <c r="AM70" i="4" s="1"/>
  <c r="AU55" i="4"/>
  <c r="AU59" i="4"/>
  <c r="AU51" i="4"/>
  <c r="AU51" i="7"/>
  <c r="AU48" i="7"/>
  <c r="AU40" i="7"/>
  <c r="AU49" i="7"/>
  <c r="AU52" i="7"/>
  <c r="AU41" i="7"/>
  <c r="AR46" i="3"/>
  <c r="AR60" i="3" s="1"/>
  <c r="AR61" i="3" s="1"/>
  <c r="AR62" i="3" s="1"/>
  <c r="AR75" i="3" s="1"/>
  <c r="AS225" i="3"/>
  <c r="AT222" i="3" s="1"/>
  <c r="AN333" i="3"/>
  <c r="AN63" i="4" s="1"/>
  <c r="AN62" i="4" s="1"/>
  <c r="AS72" i="3"/>
  <c r="AT69" i="3" s="1"/>
  <c r="AT95" i="7"/>
  <c r="AP18" i="7"/>
  <c r="AS258" i="3"/>
  <c r="AT255" i="3" s="1"/>
  <c r="AS201" i="3"/>
  <c r="AT67" i="7"/>
  <c r="AS134" i="3"/>
  <c r="AT131" i="3" s="1"/>
  <c r="AS320" i="3"/>
  <c r="AT317" i="3" s="1"/>
  <c r="AR294" i="3"/>
  <c r="AR308" i="3" s="1"/>
  <c r="AR309" i="3" s="1"/>
  <c r="AR310" i="3" s="1"/>
  <c r="AR323" i="3" s="1"/>
  <c r="AR295" i="3"/>
  <c r="AR313" i="3" s="1"/>
  <c r="AR314" i="3" s="1"/>
  <c r="AR324" i="3" s="1"/>
  <c r="AR108" i="3"/>
  <c r="AR122" i="3" s="1"/>
  <c r="AR123" i="3" s="1"/>
  <c r="AR124" i="3" s="1"/>
  <c r="AR137" i="3" s="1"/>
  <c r="AR109" i="3"/>
  <c r="AR127" i="3" s="1"/>
  <c r="AR128" i="3" s="1"/>
  <c r="AR138" i="3" s="1"/>
  <c r="AR233" i="3"/>
  <c r="AR251" i="3" s="1"/>
  <c r="AR252" i="3" s="1"/>
  <c r="AR262" i="3" s="1"/>
  <c r="AR232" i="3"/>
  <c r="AR246" i="3" s="1"/>
  <c r="AR247" i="3" s="1"/>
  <c r="AR248" i="3" s="1"/>
  <c r="AR261" i="3" s="1"/>
  <c r="AS213" i="3"/>
  <c r="AS214" i="3" s="1"/>
  <c r="AS215" i="3" s="1"/>
  <c r="AS218" i="3"/>
  <c r="AS219" i="3" s="1"/>
  <c r="AR330" i="3"/>
  <c r="AR45" i="7" s="1"/>
  <c r="AR171" i="3"/>
  <c r="AR189" i="3" s="1"/>
  <c r="AR190" i="3" s="1"/>
  <c r="AR200" i="3" s="1"/>
  <c r="AR170" i="3"/>
  <c r="AR184" i="3" s="1"/>
  <c r="AR185" i="3" s="1"/>
  <c r="AR186" i="3" s="1"/>
  <c r="AR199" i="3" s="1"/>
  <c r="AS229" i="3"/>
  <c r="AS230" i="3" s="1"/>
  <c r="AS231" i="3" s="1"/>
  <c r="AS263" i="3"/>
  <c r="AS89" i="3"/>
  <c r="AS90" i="3" s="1"/>
  <c r="AS91" i="3" s="1"/>
  <c r="AS94" i="3"/>
  <c r="AS95" i="3" s="1"/>
  <c r="AS196" i="3"/>
  <c r="AT193" i="3" s="1"/>
  <c r="AT70" i="3"/>
  <c r="AT71" i="3"/>
  <c r="AT143" i="3"/>
  <c r="AT267" i="3"/>
  <c r="AT286" i="3"/>
  <c r="AT162" i="3"/>
  <c r="AT163" i="3" s="1"/>
  <c r="AU160" i="3" s="1"/>
  <c r="AT319" i="3"/>
  <c r="AT290" i="3"/>
  <c r="AT228" i="3"/>
  <c r="AT256" i="3"/>
  <c r="AT257" i="3"/>
  <c r="AT224" i="3"/>
  <c r="AT225" i="3" s="1"/>
  <c r="AU222" i="3" s="1"/>
  <c r="AT205" i="3"/>
  <c r="AT81" i="3"/>
  <c r="AT132" i="3"/>
  <c r="AT166" i="3"/>
  <c r="AT133" i="3"/>
  <c r="AT100" i="3"/>
  <c r="AT195" i="3"/>
  <c r="AT110" i="3"/>
  <c r="AT194" i="3"/>
  <c r="AT318" i="3"/>
  <c r="AT296" i="3"/>
  <c r="AT104" i="3"/>
  <c r="AT234" i="3"/>
  <c r="AT172" i="3"/>
  <c r="AG75" i="4"/>
  <c r="AG76" i="4" s="1"/>
  <c r="AG78" i="4" s="1"/>
  <c r="AG19" i="7" s="1"/>
  <c r="AS139" i="3"/>
  <c r="AS101" i="3"/>
  <c r="AT98" i="3" s="1"/>
  <c r="AS43" i="3"/>
  <c r="AS44" i="3" s="1"/>
  <c r="AS45" i="3" s="1"/>
  <c r="AS46" i="3" s="1"/>
  <c r="AS60" i="3" s="1"/>
  <c r="AS61" i="3" s="1"/>
  <c r="AS62" i="3" s="1"/>
  <c r="AS167" i="3"/>
  <c r="AS168" i="3" s="1"/>
  <c r="AS169" i="3" s="1"/>
  <c r="AT74" i="4"/>
  <c r="AR76" i="3"/>
  <c r="AS105" i="3"/>
  <c r="AS106" i="3" s="1"/>
  <c r="AS107" i="3" s="1"/>
  <c r="AS151" i="3"/>
  <c r="AS152" i="3" s="1"/>
  <c r="AS153" i="3" s="1"/>
  <c r="AS156" i="3"/>
  <c r="AS157" i="3" s="1"/>
  <c r="AQ328" i="3"/>
  <c r="AS275" i="3"/>
  <c r="AS276" i="3" s="1"/>
  <c r="AS277" i="3" s="1"/>
  <c r="AS280" i="3"/>
  <c r="AS281" i="3" s="1"/>
  <c r="AO332" i="3"/>
  <c r="AP331" i="3" s="1"/>
  <c r="AQ329" i="3"/>
  <c r="AS77" i="3"/>
  <c r="AU69" i="4"/>
  <c r="AU64" i="4"/>
  <c r="AS325" i="3"/>
  <c r="AS291" i="3"/>
  <c r="AS292" i="3" s="1"/>
  <c r="AS293" i="3" s="1"/>
  <c r="AS287" i="3"/>
  <c r="AT284" i="3" s="1"/>
  <c r="AT93" i="7"/>
  <c r="AU65" i="7"/>
  <c r="AU66" i="7" s="1"/>
  <c r="AU80" i="7"/>
  <c r="AU38" i="7"/>
  <c r="AU33" i="7"/>
  <c r="AU34" i="7"/>
  <c r="AT12" i="7"/>
  <c r="AT13" i="7" s="1"/>
  <c r="AT16" i="7" s="1"/>
  <c r="AV14" i="7"/>
  <c r="AU15" i="7"/>
  <c r="AU11" i="7"/>
  <c r="AT12" i="6"/>
  <c r="AT14" i="6" s="1"/>
  <c r="AT17" i="6" s="1"/>
  <c r="AU11" i="6"/>
  <c r="AU13" i="6" s="1"/>
  <c r="AV15" i="6"/>
  <c r="AU16" i="6"/>
  <c r="AT45" i="4"/>
  <c r="AT68" i="4"/>
  <c r="AT18" i="4"/>
  <c r="AT23" i="4"/>
  <c r="AT38" i="4"/>
  <c r="AT42" i="4"/>
  <c r="AU33" i="4"/>
  <c r="AU30" i="4"/>
  <c r="AU32" i="4"/>
  <c r="AU31" i="4"/>
  <c r="AU29" i="4"/>
  <c r="AT54" i="4"/>
  <c r="AS19" i="4"/>
  <c r="AS20" i="4" s="1"/>
  <c r="AS24" i="4"/>
  <c r="AS25" i="4" s="1"/>
  <c r="AS39" i="4"/>
  <c r="AS40" i="4" s="1"/>
  <c r="AS73" i="4"/>
  <c r="AS43" i="4"/>
  <c r="AS44" i="4" s="1"/>
  <c r="AR46" i="4"/>
  <c r="AT50" i="4"/>
  <c r="AT34" i="4"/>
  <c r="AT58" i="4"/>
  <c r="AT12" i="4"/>
  <c r="AT13" i="4" s="1"/>
  <c r="AT16" i="4" s="1"/>
  <c r="AU15" i="4"/>
  <c r="AU11" i="4"/>
  <c r="AV14" i="4"/>
  <c r="AT42" i="3"/>
  <c r="AT48" i="3"/>
  <c r="AT19" i="3"/>
  <c r="AT38" i="3"/>
  <c r="AS32" i="3"/>
  <c r="AS33" i="3" s="1"/>
  <c r="AS27" i="3"/>
  <c r="AS28" i="3" s="1"/>
  <c r="AS29" i="3" s="1"/>
  <c r="AU14" i="3"/>
  <c r="AT11" i="3"/>
  <c r="AT12" i="3" s="1"/>
  <c r="AT13" i="3" s="1"/>
  <c r="AT16" i="3" s="1"/>
  <c r="AT15" i="3"/>
  <c r="AN65" i="4" l="1"/>
  <c r="AN70" i="4" s="1"/>
  <c r="AV51" i="4"/>
  <c r="AV59" i="4"/>
  <c r="AV51" i="7"/>
  <c r="AV48" i="7"/>
  <c r="AV40" i="7"/>
  <c r="AV52" i="7"/>
  <c r="AV49" i="7"/>
  <c r="AV41" i="7"/>
  <c r="AU67" i="7"/>
  <c r="AS47" i="3"/>
  <c r="AS65" i="3" s="1"/>
  <c r="AS66" i="3" s="1"/>
  <c r="AS76" i="3" s="1"/>
  <c r="AS330" i="3"/>
  <c r="AS45" i="7" s="1"/>
  <c r="AT287" i="3"/>
  <c r="AU284" i="3" s="1"/>
  <c r="AT258" i="3"/>
  <c r="AU255" i="3" s="1"/>
  <c r="AT101" i="3"/>
  <c r="AU98" i="3" s="1"/>
  <c r="AT72" i="3"/>
  <c r="AU69" i="3" s="1"/>
  <c r="AT134" i="3"/>
  <c r="AU131" i="3" s="1"/>
  <c r="AT325" i="3"/>
  <c r="AS108" i="3"/>
  <c r="AS122" i="3" s="1"/>
  <c r="AS123" i="3" s="1"/>
  <c r="AS124" i="3" s="1"/>
  <c r="AS137" i="3" s="1"/>
  <c r="AS109" i="3"/>
  <c r="AS127" i="3" s="1"/>
  <c r="AS128" i="3" s="1"/>
  <c r="AS138" i="3" s="1"/>
  <c r="AS294" i="3"/>
  <c r="AS308" i="3" s="1"/>
  <c r="AS309" i="3" s="1"/>
  <c r="AS310" i="3" s="1"/>
  <c r="AS323" i="3" s="1"/>
  <c r="AS295" i="3"/>
  <c r="AS313" i="3" s="1"/>
  <c r="AS314" i="3" s="1"/>
  <c r="AS324" i="3" s="1"/>
  <c r="AT291" i="3"/>
  <c r="AT292" i="3" s="1"/>
  <c r="AT293" i="3" s="1"/>
  <c r="AU34" i="4"/>
  <c r="AO333" i="3"/>
  <c r="AO63" i="4" s="1"/>
  <c r="AO62" i="4" s="1"/>
  <c r="AT196" i="3"/>
  <c r="AU193" i="3" s="1"/>
  <c r="AU54" i="4"/>
  <c r="AU80" i="4"/>
  <c r="AU27" i="7" s="1"/>
  <c r="AT167" i="3"/>
  <c r="AT168" i="3" s="1"/>
  <c r="AT169" i="3" s="1"/>
  <c r="AP332" i="3"/>
  <c r="AQ331" i="3" s="1"/>
  <c r="AT94" i="3"/>
  <c r="AT95" i="3" s="1"/>
  <c r="AT89" i="3"/>
  <c r="AT90" i="3" s="1"/>
  <c r="AT91" i="3" s="1"/>
  <c r="AT201" i="3"/>
  <c r="AT213" i="3"/>
  <c r="AT214" i="3" s="1"/>
  <c r="AT215" i="3" s="1"/>
  <c r="AT218" i="3"/>
  <c r="AT219" i="3" s="1"/>
  <c r="AU74" i="4"/>
  <c r="AT263" i="3"/>
  <c r="AT280" i="3"/>
  <c r="AT281" i="3" s="1"/>
  <c r="AT275" i="3"/>
  <c r="AT276" i="3" s="1"/>
  <c r="AT277" i="3" s="1"/>
  <c r="AR329" i="3"/>
  <c r="AS171" i="3"/>
  <c r="AS189" i="3" s="1"/>
  <c r="AS190" i="3" s="1"/>
  <c r="AS200" i="3" s="1"/>
  <c r="AS170" i="3"/>
  <c r="AS184" i="3" s="1"/>
  <c r="AS185" i="3" s="1"/>
  <c r="AS186" i="3" s="1"/>
  <c r="AS199" i="3" s="1"/>
  <c r="AT151" i="3"/>
  <c r="AT152" i="3" s="1"/>
  <c r="AT153" i="3" s="1"/>
  <c r="AT156" i="3"/>
  <c r="AT157" i="3" s="1"/>
  <c r="AR328" i="3"/>
  <c r="AT39" i="3"/>
  <c r="AU36" i="3" s="1"/>
  <c r="AT77" i="3"/>
  <c r="AT43" i="3"/>
  <c r="AT44" i="3" s="1"/>
  <c r="AT45" i="3" s="1"/>
  <c r="AT46" i="3" s="1"/>
  <c r="AT60" i="3" s="1"/>
  <c r="AT61" i="3" s="1"/>
  <c r="AT62" i="3" s="1"/>
  <c r="AT139" i="3"/>
  <c r="AS233" i="3"/>
  <c r="AS251" i="3" s="1"/>
  <c r="AS252" i="3" s="1"/>
  <c r="AS262" i="3" s="1"/>
  <c r="AS232" i="3"/>
  <c r="AS246" i="3" s="1"/>
  <c r="AS247" i="3" s="1"/>
  <c r="AS248" i="3" s="1"/>
  <c r="AS261" i="3" s="1"/>
  <c r="AT320" i="3"/>
  <c r="AU317" i="3" s="1"/>
  <c r="AT105" i="3"/>
  <c r="AT106" i="3" s="1"/>
  <c r="AT107" i="3" s="1"/>
  <c r="AH75" i="4"/>
  <c r="AH76" i="4" s="1"/>
  <c r="AH78" i="4" s="1"/>
  <c r="AH19" i="7" s="1"/>
  <c r="AU71" i="3"/>
  <c r="AU70" i="3"/>
  <c r="AU143" i="3"/>
  <c r="AU162" i="3"/>
  <c r="AU163" i="3" s="1"/>
  <c r="AV160" i="3" s="1"/>
  <c r="AU267" i="3"/>
  <c r="AU296" i="3"/>
  <c r="AU257" i="3"/>
  <c r="AU224" i="3"/>
  <c r="AU228" i="3"/>
  <c r="AU286" i="3"/>
  <c r="AU166" i="3"/>
  <c r="AU81" i="3"/>
  <c r="AU290" i="3"/>
  <c r="AU256" i="3"/>
  <c r="AU205" i="3"/>
  <c r="AU195" i="3"/>
  <c r="AU194" i="3"/>
  <c r="AU110" i="3"/>
  <c r="AU319" i="3"/>
  <c r="AU318" i="3"/>
  <c r="AU133" i="3"/>
  <c r="AU100" i="3"/>
  <c r="AU132" i="3"/>
  <c r="AU104" i="3"/>
  <c r="AU172" i="3"/>
  <c r="AU234" i="3"/>
  <c r="AS75" i="3"/>
  <c r="AV69" i="4"/>
  <c r="AV64" i="4"/>
  <c r="AQ18" i="7"/>
  <c r="AT229" i="3"/>
  <c r="AT230" i="3" s="1"/>
  <c r="AT231" i="3" s="1"/>
  <c r="AU95" i="7"/>
  <c r="AU93" i="7"/>
  <c r="AV80" i="7"/>
  <c r="AV65" i="7"/>
  <c r="AV66" i="7" s="1"/>
  <c r="AV38" i="7"/>
  <c r="AV33" i="7"/>
  <c r="AV34" i="7"/>
  <c r="AU12" i="7"/>
  <c r="AU13" i="7" s="1"/>
  <c r="AU16" i="7" s="1"/>
  <c r="AW14" i="7"/>
  <c r="AV15" i="7"/>
  <c r="AV11" i="7"/>
  <c r="AV11" i="6"/>
  <c r="AV13" i="6" s="1"/>
  <c r="AV16" i="6"/>
  <c r="AW15" i="6"/>
  <c r="AU12" i="6"/>
  <c r="AU14" i="6" s="1"/>
  <c r="AU17" i="6" s="1"/>
  <c r="AT39" i="4"/>
  <c r="AT40" i="4" s="1"/>
  <c r="AT24" i="4"/>
  <c r="AT25" i="4" s="1"/>
  <c r="AT19" i="4"/>
  <c r="AT20" i="4" s="1"/>
  <c r="AT73" i="4"/>
  <c r="AT43" i="4"/>
  <c r="AT44" i="4" s="1"/>
  <c r="AU45" i="4"/>
  <c r="AU68" i="4"/>
  <c r="AU38" i="4"/>
  <c r="AU23" i="4"/>
  <c r="AU18" i="4"/>
  <c r="AU42" i="4"/>
  <c r="AU58" i="4"/>
  <c r="AS46" i="4"/>
  <c r="AV33" i="4"/>
  <c r="AV32" i="4"/>
  <c r="AV31" i="4"/>
  <c r="AV29" i="4"/>
  <c r="AV30" i="4"/>
  <c r="AU50" i="4"/>
  <c r="AV15" i="4"/>
  <c r="AV11" i="4"/>
  <c r="AV80" i="4" s="1"/>
  <c r="AV27" i="7" s="1"/>
  <c r="AW14" i="4"/>
  <c r="AU12" i="4"/>
  <c r="AU13" i="4" s="1"/>
  <c r="AU16" i="4" s="1"/>
  <c r="AU42" i="3"/>
  <c r="AU48" i="3"/>
  <c r="AU19" i="3"/>
  <c r="AU38" i="3"/>
  <c r="AT27" i="3"/>
  <c r="AT28" i="3" s="1"/>
  <c r="AT29" i="3" s="1"/>
  <c r="AT32" i="3"/>
  <c r="AT33" i="3" s="1"/>
  <c r="AV14" i="3"/>
  <c r="AU11" i="3"/>
  <c r="AU12" i="3" s="1"/>
  <c r="AU13" i="3" s="1"/>
  <c r="AU16" i="3" s="1"/>
  <c r="AU15" i="3"/>
  <c r="AW59" i="4" l="1"/>
  <c r="AW55" i="4"/>
  <c r="AW51" i="4"/>
  <c r="AW51" i="7"/>
  <c r="AW40" i="7"/>
  <c r="AW48" i="7"/>
  <c r="AW52" i="7"/>
  <c r="AW49" i="7"/>
  <c r="AW41" i="7"/>
  <c r="AU287" i="3"/>
  <c r="AV284" i="3" s="1"/>
  <c r="AU134" i="3"/>
  <c r="AV131" i="3" s="1"/>
  <c r="AU72" i="3"/>
  <c r="AV69" i="3" s="1"/>
  <c r="AT330" i="3"/>
  <c r="AT45" i="7" s="1"/>
  <c r="AU258" i="3"/>
  <c r="AV255" i="3" s="1"/>
  <c r="AU139" i="3"/>
  <c r="AT47" i="3"/>
  <c r="AT65" i="3" s="1"/>
  <c r="AT66" i="3" s="1"/>
  <c r="AT76" i="3" s="1"/>
  <c r="AT170" i="3"/>
  <c r="AT184" i="3" s="1"/>
  <c r="AT185" i="3" s="1"/>
  <c r="AT186" i="3" s="1"/>
  <c r="AT199" i="3" s="1"/>
  <c r="AT171" i="3"/>
  <c r="AT189" i="3" s="1"/>
  <c r="AT190" i="3" s="1"/>
  <c r="AT200" i="3" s="1"/>
  <c r="AU39" i="3"/>
  <c r="AV36" i="3" s="1"/>
  <c r="AU77" i="3"/>
  <c r="AU167" i="3"/>
  <c r="AU168" i="3" s="1"/>
  <c r="AU169" i="3" s="1"/>
  <c r="AU151" i="3"/>
  <c r="AU152" i="3" s="1"/>
  <c r="AU153" i="3" s="1"/>
  <c r="AU156" i="3"/>
  <c r="AU157" i="3" s="1"/>
  <c r="AS329" i="3"/>
  <c r="AT232" i="3"/>
  <c r="AT246" i="3" s="1"/>
  <c r="AT247" i="3" s="1"/>
  <c r="AT248" i="3" s="1"/>
  <c r="AT261" i="3" s="1"/>
  <c r="AT233" i="3"/>
  <c r="AT251" i="3" s="1"/>
  <c r="AT252" i="3" s="1"/>
  <c r="AT262" i="3" s="1"/>
  <c r="AS328" i="3"/>
  <c r="AU201" i="3"/>
  <c r="AU229" i="3"/>
  <c r="AU230" i="3" s="1"/>
  <c r="AU231" i="3" s="1"/>
  <c r="AU196" i="3"/>
  <c r="AV193" i="3" s="1"/>
  <c r="AU89" i="3"/>
  <c r="AU90" i="3" s="1"/>
  <c r="AU91" i="3" s="1"/>
  <c r="AU94" i="3"/>
  <c r="AU95" i="3" s="1"/>
  <c r="AT109" i="3"/>
  <c r="AT127" i="3" s="1"/>
  <c r="AT128" i="3" s="1"/>
  <c r="AT138" i="3" s="1"/>
  <c r="AT108" i="3"/>
  <c r="AT122" i="3" s="1"/>
  <c r="AT123" i="3" s="1"/>
  <c r="AT124" i="3" s="1"/>
  <c r="AT137" i="3" s="1"/>
  <c r="AU105" i="3"/>
  <c r="AU106" i="3" s="1"/>
  <c r="AU107" i="3" s="1"/>
  <c r="AU263" i="3"/>
  <c r="AR18" i="7"/>
  <c r="AO65" i="4"/>
  <c r="AO70" i="4" s="1"/>
  <c r="AU320" i="3"/>
  <c r="AV317" i="3" s="1"/>
  <c r="AV71" i="3"/>
  <c r="AV70" i="3"/>
  <c r="AV267" i="3"/>
  <c r="AV143" i="3"/>
  <c r="AV162" i="3"/>
  <c r="AV163" i="3" s="1"/>
  <c r="AW160" i="3" s="1"/>
  <c r="AV256" i="3"/>
  <c r="AV228" i="3"/>
  <c r="AV205" i="3"/>
  <c r="AV257" i="3"/>
  <c r="AV224" i="3"/>
  <c r="AV319" i="3"/>
  <c r="AV318" i="3"/>
  <c r="AV195" i="3"/>
  <c r="AV172" i="3"/>
  <c r="AV133" i="3"/>
  <c r="AV286" i="3"/>
  <c r="AV296" i="3"/>
  <c r="AV290" i="3"/>
  <c r="AV194" i="3"/>
  <c r="AV81" i="3"/>
  <c r="AV104" i="3"/>
  <c r="AV132" i="3"/>
  <c r="AV166" i="3"/>
  <c r="AV110" i="3"/>
  <c r="AV100" i="3"/>
  <c r="AV234" i="3"/>
  <c r="AU43" i="3"/>
  <c r="AU44" i="3" s="1"/>
  <c r="AU45" i="3" s="1"/>
  <c r="AU47" i="3" s="1"/>
  <c r="AU65" i="3" s="1"/>
  <c r="AU66" i="3" s="1"/>
  <c r="AI75" i="4"/>
  <c r="AI76" i="4" s="1"/>
  <c r="AI78" i="4" s="1"/>
  <c r="AI19" i="7" s="1"/>
  <c r="AU213" i="3"/>
  <c r="AU214" i="3" s="1"/>
  <c r="AU215" i="3" s="1"/>
  <c r="AU218" i="3"/>
  <c r="AU219" i="3" s="1"/>
  <c r="AP333" i="3"/>
  <c r="AP63" i="4" s="1"/>
  <c r="AP62" i="4" s="1"/>
  <c r="AV74" i="4"/>
  <c r="AU101" i="3"/>
  <c r="AV98" i="3" s="1"/>
  <c r="AQ332" i="3"/>
  <c r="AR331" i="3" s="1"/>
  <c r="AT294" i="3"/>
  <c r="AT308" i="3" s="1"/>
  <c r="AT309" i="3" s="1"/>
  <c r="AT310" i="3" s="1"/>
  <c r="AT323" i="3" s="1"/>
  <c r="AT295" i="3"/>
  <c r="AT313" i="3" s="1"/>
  <c r="AT314" i="3" s="1"/>
  <c r="AT324" i="3" s="1"/>
  <c r="AU325" i="3"/>
  <c r="AT75" i="3"/>
  <c r="AW64" i="4"/>
  <c r="AU291" i="3"/>
  <c r="AU292" i="3" s="1"/>
  <c r="AU293" i="3" s="1"/>
  <c r="AU275" i="3"/>
  <c r="AU276" i="3" s="1"/>
  <c r="AU277" i="3" s="1"/>
  <c r="AU280" i="3"/>
  <c r="AU281" i="3" s="1"/>
  <c r="AU225" i="3"/>
  <c r="AV222" i="3" s="1"/>
  <c r="AV95" i="7"/>
  <c r="AV93" i="7"/>
  <c r="AW65" i="7"/>
  <c r="AW66" i="7" s="1"/>
  <c r="AW80" i="7"/>
  <c r="AV67" i="7"/>
  <c r="AW34" i="7"/>
  <c r="AW38" i="7"/>
  <c r="AW33" i="7"/>
  <c r="AW15" i="7"/>
  <c r="AW11" i="7"/>
  <c r="AX14" i="7"/>
  <c r="AV12" i="7"/>
  <c r="AV13" i="7" s="1"/>
  <c r="AV16" i="7" s="1"/>
  <c r="AW11" i="6"/>
  <c r="AW13" i="6" s="1"/>
  <c r="AX15" i="6"/>
  <c r="AW16" i="6"/>
  <c r="AV12" i="6"/>
  <c r="AV14" i="6" s="1"/>
  <c r="AV17" i="6" s="1"/>
  <c r="AT46" i="4"/>
  <c r="AV45" i="4"/>
  <c r="AV68" i="4"/>
  <c r="AV38" i="4"/>
  <c r="AV23" i="4"/>
  <c r="AV18" i="4"/>
  <c r="AV42" i="4"/>
  <c r="AV50" i="4"/>
  <c r="AV34" i="4"/>
  <c r="AU19" i="4"/>
  <c r="AU20" i="4" s="1"/>
  <c r="AU43" i="4"/>
  <c r="AU44" i="4" s="1"/>
  <c r="AU39" i="4"/>
  <c r="AU40" i="4" s="1"/>
  <c r="AU73" i="4"/>
  <c r="AJ75" i="4" s="1"/>
  <c r="AJ76" i="4" s="1"/>
  <c r="AJ78" i="4" s="1"/>
  <c r="AJ19" i="7" s="1"/>
  <c r="AU24" i="4"/>
  <c r="AU25" i="4" s="1"/>
  <c r="AV58" i="4"/>
  <c r="AW33" i="4"/>
  <c r="AW32" i="4"/>
  <c r="AW31" i="4"/>
  <c r="AW30" i="4"/>
  <c r="AW29" i="4"/>
  <c r="AV54" i="4"/>
  <c r="AV55" i="4" s="1"/>
  <c r="AW15" i="4"/>
  <c r="AW11" i="4"/>
  <c r="AW80" i="4" s="1"/>
  <c r="AW27" i="7" s="1"/>
  <c r="AX14" i="4"/>
  <c r="AV12" i="4"/>
  <c r="AV13" i="4" s="1"/>
  <c r="AV16" i="4" s="1"/>
  <c r="AV42" i="3"/>
  <c r="AV48" i="3"/>
  <c r="AV19" i="3"/>
  <c r="AV38" i="3"/>
  <c r="AU27" i="3"/>
  <c r="AU28" i="3" s="1"/>
  <c r="AU29" i="3" s="1"/>
  <c r="AU32" i="3"/>
  <c r="AU33" i="3" s="1"/>
  <c r="AW14" i="3"/>
  <c r="AV11" i="3"/>
  <c r="AV12" i="3" s="1"/>
  <c r="AV13" i="3" s="1"/>
  <c r="AV16" i="3" s="1"/>
  <c r="AV15" i="3"/>
  <c r="AV101" i="3" l="1"/>
  <c r="AW98" i="3" s="1"/>
  <c r="AX59" i="4"/>
  <c r="AX55" i="4"/>
  <c r="AW54" i="4"/>
  <c r="AW67" i="7"/>
  <c r="AV225" i="3"/>
  <c r="AW222" i="3" s="1"/>
  <c r="AQ333" i="3"/>
  <c r="AQ63" i="4" s="1"/>
  <c r="AQ62" i="4" s="1"/>
  <c r="AV201" i="3"/>
  <c r="AV72" i="3"/>
  <c r="AW69" i="3" s="1"/>
  <c r="AV258" i="3"/>
  <c r="AW255" i="3" s="1"/>
  <c r="AW58" i="4"/>
  <c r="AV139" i="3"/>
  <c r="AV134" i="3"/>
  <c r="AW131" i="3" s="1"/>
  <c r="AU232" i="3"/>
  <c r="AU246" i="3" s="1"/>
  <c r="AU247" i="3" s="1"/>
  <c r="AU248" i="3" s="1"/>
  <c r="AU261" i="3" s="1"/>
  <c r="AU233" i="3"/>
  <c r="AU251" i="3" s="1"/>
  <c r="AU252" i="3" s="1"/>
  <c r="AU262" i="3" s="1"/>
  <c r="AU171" i="3"/>
  <c r="AU189" i="3" s="1"/>
  <c r="AU190" i="3" s="1"/>
  <c r="AU200" i="3" s="1"/>
  <c r="AU170" i="3"/>
  <c r="AU184" i="3" s="1"/>
  <c r="AU185" i="3" s="1"/>
  <c r="AU186" i="3" s="1"/>
  <c r="AU199" i="3" s="1"/>
  <c r="AU108" i="3"/>
  <c r="AU122" i="3" s="1"/>
  <c r="AU123" i="3" s="1"/>
  <c r="AU124" i="3" s="1"/>
  <c r="AU137" i="3" s="1"/>
  <c r="AU109" i="3"/>
  <c r="AU127" i="3" s="1"/>
  <c r="AU128" i="3" s="1"/>
  <c r="AU138" i="3" s="1"/>
  <c r="AU46" i="3"/>
  <c r="AU60" i="3" s="1"/>
  <c r="AU61" i="3" s="1"/>
  <c r="AU62" i="3" s="1"/>
  <c r="AU75" i="3" s="1"/>
  <c r="AW95" i="7"/>
  <c r="AV291" i="3"/>
  <c r="AV292" i="3" s="1"/>
  <c r="AV293" i="3" s="1"/>
  <c r="AV263" i="3"/>
  <c r="AU330" i="3"/>
  <c r="AU45" i="7" s="1"/>
  <c r="AV325" i="3"/>
  <c r="AV213" i="3"/>
  <c r="AV214" i="3" s="1"/>
  <c r="AV215" i="3" s="1"/>
  <c r="AV218" i="3"/>
  <c r="AV219" i="3" s="1"/>
  <c r="AP65" i="4"/>
  <c r="AP70" i="4" s="1"/>
  <c r="AV196" i="3"/>
  <c r="AW193" i="3" s="1"/>
  <c r="AW71" i="3"/>
  <c r="AW70" i="3"/>
  <c r="AW162" i="3"/>
  <c r="AW163" i="3" s="1"/>
  <c r="AX160" i="3" s="1"/>
  <c r="AW267" i="3"/>
  <c r="AW143" i="3"/>
  <c r="AW319" i="3"/>
  <c r="AW296" i="3"/>
  <c r="AW228" i="3"/>
  <c r="AW224" i="3"/>
  <c r="AW290" i="3"/>
  <c r="AW286" i="3"/>
  <c r="AW256" i="3"/>
  <c r="AW104" i="3"/>
  <c r="AW81" i="3"/>
  <c r="AW110" i="3"/>
  <c r="AW318" i="3"/>
  <c r="AW205" i="3"/>
  <c r="AW133" i="3"/>
  <c r="AW257" i="3"/>
  <c r="AW195" i="3"/>
  <c r="AW194" i="3"/>
  <c r="AW100" i="3"/>
  <c r="AW166" i="3"/>
  <c r="AW132" i="3"/>
  <c r="AW234" i="3"/>
  <c r="AW172" i="3"/>
  <c r="AV43" i="3"/>
  <c r="AV44" i="3" s="1"/>
  <c r="AV45" i="3" s="1"/>
  <c r="AV46" i="3" s="1"/>
  <c r="AV60" i="3" s="1"/>
  <c r="AV61" i="3" s="1"/>
  <c r="AV62" i="3" s="1"/>
  <c r="AW50" i="4"/>
  <c r="AT329" i="3"/>
  <c r="AV167" i="3"/>
  <c r="AV168" i="3" s="1"/>
  <c r="AV169" i="3" s="1"/>
  <c r="AV229" i="3"/>
  <c r="AV230" i="3" s="1"/>
  <c r="AV231" i="3" s="1"/>
  <c r="AV320" i="3"/>
  <c r="AW317" i="3" s="1"/>
  <c r="AU76" i="3"/>
  <c r="AT328" i="3"/>
  <c r="AV275" i="3"/>
  <c r="AV276" i="3" s="1"/>
  <c r="AV277" i="3" s="1"/>
  <c r="AV280" i="3"/>
  <c r="AV281" i="3" s="1"/>
  <c r="AX64" i="4"/>
  <c r="AX69" i="4"/>
  <c r="AW74" i="4"/>
  <c r="AV105" i="3"/>
  <c r="AV106" i="3" s="1"/>
  <c r="AV107" i="3" s="1"/>
  <c r="AS18" i="7"/>
  <c r="AU295" i="3"/>
  <c r="AU313" i="3" s="1"/>
  <c r="AU314" i="3" s="1"/>
  <c r="AU324" i="3" s="1"/>
  <c r="AU294" i="3"/>
  <c r="AU308" i="3" s="1"/>
  <c r="AU309" i="3" s="1"/>
  <c r="AU310" i="3" s="1"/>
  <c r="AU323" i="3" s="1"/>
  <c r="AV39" i="3"/>
  <c r="AW36" i="3" s="1"/>
  <c r="AV77" i="3"/>
  <c r="AR332" i="3"/>
  <c r="AS331" i="3" s="1"/>
  <c r="AV89" i="3"/>
  <c r="AV90" i="3" s="1"/>
  <c r="AV91" i="3" s="1"/>
  <c r="AV94" i="3"/>
  <c r="AV95" i="3" s="1"/>
  <c r="AV156" i="3"/>
  <c r="AV157" i="3" s="1"/>
  <c r="AV151" i="3"/>
  <c r="AV152" i="3" s="1"/>
  <c r="AV153" i="3" s="1"/>
  <c r="AV287" i="3"/>
  <c r="AW284" i="3" s="1"/>
  <c r="AW93" i="7"/>
  <c r="AX80" i="7"/>
  <c r="AX65" i="7"/>
  <c r="AX66" i="7" s="1"/>
  <c r="AX34" i="7"/>
  <c r="AX38" i="7"/>
  <c r="AX33" i="7"/>
  <c r="AX15" i="7"/>
  <c r="AX11" i="7"/>
  <c r="AY14" i="7"/>
  <c r="AW12" i="7"/>
  <c r="AW13" i="7" s="1"/>
  <c r="AW16" i="7" s="1"/>
  <c r="AY15" i="6"/>
  <c r="AX16" i="6"/>
  <c r="AX11" i="6"/>
  <c r="AX13" i="6" s="1"/>
  <c r="AW12" i="6"/>
  <c r="AW14" i="6" s="1"/>
  <c r="AW17" i="6" s="1"/>
  <c r="AU46" i="4"/>
  <c r="AV73" i="4"/>
  <c r="AK75" i="4" s="1"/>
  <c r="AK76" i="4" s="1"/>
  <c r="AK78" i="4" s="1"/>
  <c r="AK19" i="7" s="1"/>
  <c r="AV39" i="4"/>
  <c r="AV40" i="4" s="1"/>
  <c r="AV19" i="4"/>
  <c r="AV20" i="4" s="1"/>
  <c r="AV24" i="4"/>
  <c r="AV25" i="4" s="1"/>
  <c r="AV43" i="4"/>
  <c r="AV44" i="4" s="1"/>
  <c r="AX32" i="4"/>
  <c r="AX33" i="4"/>
  <c r="AX31" i="4"/>
  <c r="AX29" i="4"/>
  <c r="AX30" i="4"/>
  <c r="AW45" i="4"/>
  <c r="AW68" i="4"/>
  <c r="AW69" i="4" s="1"/>
  <c r="AW18" i="4"/>
  <c r="AW23" i="4"/>
  <c r="AW38" i="4"/>
  <c r="AW42" i="4"/>
  <c r="AW34" i="4"/>
  <c r="AX15" i="4"/>
  <c r="AX11" i="4"/>
  <c r="AX80" i="4" s="1"/>
  <c r="AX27" i="7" s="1"/>
  <c r="AY14" i="4"/>
  <c r="AW12" i="4"/>
  <c r="AW13" i="4" s="1"/>
  <c r="AW16" i="4" s="1"/>
  <c r="AW42" i="3"/>
  <c r="AW48" i="3"/>
  <c r="AW19" i="3"/>
  <c r="AW38" i="3"/>
  <c r="AV32" i="3"/>
  <c r="AV33" i="3" s="1"/>
  <c r="AV27" i="3"/>
  <c r="AV28" i="3" s="1"/>
  <c r="AV29" i="3" s="1"/>
  <c r="AX14" i="3"/>
  <c r="AW11" i="3"/>
  <c r="AW12" i="3" s="1"/>
  <c r="AW13" i="3" s="1"/>
  <c r="AW16" i="3" s="1"/>
  <c r="AW15" i="3"/>
  <c r="AY59" i="4" l="1"/>
  <c r="AY55" i="4"/>
  <c r="AY51" i="4"/>
  <c r="AW258" i="3"/>
  <c r="AX255" i="3" s="1"/>
  <c r="AT18" i="7"/>
  <c r="AW225" i="3"/>
  <c r="AX222" i="3" s="1"/>
  <c r="AW134" i="3"/>
  <c r="AX131" i="3" s="1"/>
  <c r="AV47" i="3"/>
  <c r="AV65" i="3" s="1"/>
  <c r="AV66" i="3" s="1"/>
  <c r="AV76" i="3" s="1"/>
  <c r="AW72" i="3"/>
  <c r="AX69" i="3" s="1"/>
  <c r="AW287" i="3"/>
  <c r="AX284" i="3" s="1"/>
  <c r="AW201" i="3"/>
  <c r="AR333" i="3"/>
  <c r="AR63" i="4" s="1"/>
  <c r="AR62" i="4" s="1"/>
  <c r="AV295" i="3"/>
  <c r="AV313" i="3" s="1"/>
  <c r="AV314" i="3" s="1"/>
  <c r="AV324" i="3" s="1"/>
  <c r="AV294" i="3"/>
  <c r="AV308" i="3" s="1"/>
  <c r="AV309" i="3" s="1"/>
  <c r="AV310" i="3" s="1"/>
  <c r="AV323" i="3" s="1"/>
  <c r="AV170" i="3"/>
  <c r="AV184" i="3" s="1"/>
  <c r="AV185" i="3" s="1"/>
  <c r="AV186" i="3" s="1"/>
  <c r="AV199" i="3" s="1"/>
  <c r="AV171" i="3"/>
  <c r="AV189" i="3" s="1"/>
  <c r="AV190" i="3" s="1"/>
  <c r="AV200" i="3" s="1"/>
  <c r="AW167" i="3"/>
  <c r="AW168" i="3" s="1"/>
  <c r="AW169" i="3" s="1"/>
  <c r="AW196" i="3"/>
  <c r="AX193" i="3" s="1"/>
  <c r="AS332" i="3"/>
  <c r="AT331" i="3" s="1"/>
  <c r="AW105" i="3"/>
  <c r="AW106" i="3" s="1"/>
  <c r="AW107" i="3" s="1"/>
  <c r="AW151" i="3"/>
  <c r="AW152" i="3" s="1"/>
  <c r="AW153" i="3" s="1"/>
  <c r="AW156" i="3"/>
  <c r="AW157" i="3" s="1"/>
  <c r="AW229" i="3"/>
  <c r="AW230" i="3" s="1"/>
  <c r="AW231" i="3" s="1"/>
  <c r="AW43" i="3"/>
  <c r="AW44" i="3" s="1"/>
  <c r="AW45" i="3" s="1"/>
  <c r="AW46" i="3" s="1"/>
  <c r="AW60" i="3" s="1"/>
  <c r="AW61" i="3" s="1"/>
  <c r="AW62" i="3" s="1"/>
  <c r="AV75" i="3"/>
  <c r="AY64" i="4"/>
  <c r="AY69" i="4"/>
  <c r="AX58" i="4"/>
  <c r="AQ65" i="4"/>
  <c r="AQ70" i="4" s="1"/>
  <c r="AW320" i="3"/>
  <c r="AX317" i="3" s="1"/>
  <c r="AW275" i="3"/>
  <c r="AW276" i="3" s="1"/>
  <c r="AW277" i="3" s="1"/>
  <c r="AW280" i="3"/>
  <c r="AW281" i="3" s="1"/>
  <c r="AW139" i="3"/>
  <c r="AW39" i="3"/>
  <c r="AX36" i="3" s="1"/>
  <c r="AW77" i="3"/>
  <c r="AV232" i="3"/>
  <c r="AV246" i="3" s="1"/>
  <c r="AV247" i="3" s="1"/>
  <c r="AV248" i="3" s="1"/>
  <c r="AV261" i="3" s="1"/>
  <c r="AV233" i="3"/>
  <c r="AV251" i="3" s="1"/>
  <c r="AV252" i="3" s="1"/>
  <c r="AV262" i="3" s="1"/>
  <c r="AW325" i="3"/>
  <c r="AV330" i="3"/>
  <c r="AV45" i="7" s="1"/>
  <c r="AX71" i="3"/>
  <c r="AX70" i="3"/>
  <c r="AX267" i="3"/>
  <c r="AX162" i="3"/>
  <c r="AX163" i="3" s="1"/>
  <c r="AY160" i="3" s="1"/>
  <c r="AX143" i="3"/>
  <c r="AX319" i="3"/>
  <c r="AX318" i="3"/>
  <c r="AX256" i="3"/>
  <c r="AX290" i="3"/>
  <c r="AX205" i="3"/>
  <c r="AX257" i="3"/>
  <c r="AX194" i="3"/>
  <c r="AX228" i="3"/>
  <c r="AX81" i="3"/>
  <c r="AX132" i="3"/>
  <c r="AX166" i="3"/>
  <c r="AX133" i="3"/>
  <c r="AX100" i="3"/>
  <c r="AX110" i="3"/>
  <c r="AX296" i="3"/>
  <c r="AX224" i="3"/>
  <c r="AX195" i="3"/>
  <c r="AX286" i="3"/>
  <c r="AX287" i="3" s="1"/>
  <c r="AY284" i="3" s="1"/>
  <c r="AX104" i="3"/>
  <c r="AX172" i="3"/>
  <c r="AX234" i="3"/>
  <c r="AW94" i="3"/>
  <c r="AW95" i="3" s="1"/>
  <c r="AW89" i="3"/>
  <c r="AW90" i="3" s="1"/>
  <c r="AW91" i="3" s="1"/>
  <c r="AX54" i="4"/>
  <c r="AU328" i="3"/>
  <c r="AW101" i="3"/>
  <c r="AX98" i="3" s="1"/>
  <c r="AW291" i="3"/>
  <c r="AW292" i="3" s="1"/>
  <c r="AW293" i="3" s="1"/>
  <c r="AV108" i="3"/>
  <c r="AV122" i="3" s="1"/>
  <c r="AV123" i="3" s="1"/>
  <c r="AV124" i="3" s="1"/>
  <c r="AV137" i="3" s="1"/>
  <c r="AV109" i="3"/>
  <c r="AV127" i="3" s="1"/>
  <c r="AV128" i="3" s="1"/>
  <c r="AV138" i="3" s="1"/>
  <c r="AX50" i="4"/>
  <c r="AX51" i="4" s="1"/>
  <c r="AU329" i="3"/>
  <c r="AX74" i="4"/>
  <c r="AW218" i="3"/>
  <c r="AW219" i="3" s="1"/>
  <c r="AW213" i="3"/>
  <c r="AW214" i="3" s="1"/>
  <c r="AW215" i="3" s="1"/>
  <c r="AW263" i="3"/>
  <c r="AX67" i="7"/>
  <c r="AY80" i="7"/>
  <c r="AY65" i="7"/>
  <c r="AY66" i="7" s="1"/>
  <c r="AY34" i="7"/>
  <c r="AY38" i="7"/>
  <c r="AY33" i="7"/>
  <c r="AY15" i="7"/>
  <c r="AY11" i="7"/>
  <c r="AZ14" i="7"/>
  <c r="AX12" i="7"/>
  <c r="AX13" i="7" s="1"/>
  <c r="AX16" i="7" s="1"/>
  <c r="AX12" i="6"/>
  <c r="AX14" i="6" s="1"/>
  <c r="AX17" i="6" s="1"/>
  <c r="AZ15" i="6"/>
  <c r="AY16" i="6"/>
  <c r="AY11" i="6"/>
  <c r="AY13" i="6" s="1"/>
  <c r="AW39" i="4"/>
  <c r="AW40" i="4" s="1"/>
  <c r="AW43" i="4"/>
  <c r="AW44" i="4" s="1"/>
  <c r="AW19" i="4"/>
  <c r="AW20" i="4" s="1"/>
  <c r="AW24" i="4"/>
  <c r="AW25" i="4" s="1"/>
  <c r="AW73" i="4"/>
  <c r="AY32" i="4"/>
  <c r="AY29" i="4"/>
  <c r="AY30" i="4"/>
  <c r="AY33" i="4"/>
  <c r="AY31" i="4"/>
  <c r="AV46" i="4"/>
  <c r="AX34" i="4"/>
  <c r="AX45" i="4"/>
  <c r="AX68" i="4"/>
  <c r="AX18" i="4"/>
  <c r="AX23" i="4"/>
  <c r="AX38" i="4"/>
  <c r="AX42" i="4"/>
  <c r="AY15" i="4"/>
  <c r="AY11" i="4"/>
  <c r="AY80" i="4" s="1"/>
  <c r="AY27" i="7" s="1"/>
  <c r="AZ14" i="4"/>
  <c r="AX12" i="4"/>
  <c r="AX13" i="4" s="1"/>
  <c r="AX16" i="4" s="1"/>
  <c r="AX42" i="3"/>
  <c r="AX48" i="3"/>
  <c r="AX38" i="3"/>
  <c r="AX19" i="3"/>
  <c r="AW32" i="3"/>
  <c r="AW33" i="3" s="1"/>
  <c r="AW27" i="3"/>
  <c r="AW28" i="3" s="1"/>
  <c r="AW29" i="3" s="1"/>
  <c r="AY14" i="3"/>
  <c r="AX11" i="3"/>
  <c r="AX12" i="3" s="1"/>
  <c r="AX13" i="3" s="1"/>
  <c r="AX16" i="3" s="1"/>
  <c r="AX15" i="3"/>
  <c r="AZ55" i="4" l="1"/>
  <c r="AZ51" i="4"/>
  <c r="AZ59" i="4"/>
  <c r="AZ52" i="7"/>
  <c r="AZ49" i="7"/>
  <c r="AZ41" i="7"/>
  <c r="AZ48" i="7"/>
  <c r="AZ51" i="7"/>
  <c r="AZ40" i="7"/>
  <c r="AX263" i="3"/>
  <c r="AX72" i="3"/>
  <c r="AY69" i="3" s="1"/>
  <c r="AR65" i="4"/>
  <c r="AR70" i="4" s="1"/>
  <c r="AX101" i="3"/>
  <c r="AY98" i="3" s="1"/>
  <c r="AX134" i="3"/>
  <c r="AY131" i="3" s="1"/>
  <c r="AW47" i="3"/>
  <c r="AW65" i="3" s="1"/>
  <c r="AW66" i="3" s="1"/>
  <c r="AW76" i="3" s="1"/>
  <c r="AX201" i="3"/>
  <c r="AS333" i="3"/>
  <c r="AS63" i="4" s="1"/>
  <c r="AS62" i="4" s="1"/>
  <c r="AX320" i="3"/>
  <c r="AY317" i="3" s="1"/>
  <c r="AW46" i="4"/>
  <c r="AX196" i="3"/>
  <c r="AY193" i="3" s="1"/>
  <c r="AX139" i="3"/>
  <c r="AX258" i="3"/>
  <c r="AY255" i="3" s="1"/>
  <c r="AW232" i="3"/>
  <c r="AW246" i="3" s="1"/>
  <c r="AW247" i="3" s="1"/>
  <c r="AW248" i="3" s="1"/>
  <c r="AW261" i="3" s="1"/>
  <c r="AW233" i="3"/>
  <c r="AW251" i="3" s="1"/>
  <c r="AW252" i="3" s="1"/>
  <c r="AW262" i="3" s="1"/>
  <c r="AX229" i="3"/>
  <c r="AX230" i="3" s="1"/>
  <c r="AX231" i="3" s="1"/>
  <c r="AZ64" i="4"/>
  <c r="AZ69" i="4"/>
  <c r="AY50" i="4"/>
  <c r="AL75" i="4"/>
  <c r="AL76" i="4" s="1"/>
  <c r="AL78" i="4" s="1"/>
  <c r="AL19" i="7" s="1"/>
  <c r="AY71" i="3"/>
  <c r="AY70" i="3"/>
  <c r="AY162" i="3"/>
  <c r="AY163" i="3" s="1"/>
  <c r="AZ160" i="3" s="1"/>
  <c r="AY143" i="3"/>
  <c r="AY267" i="3"/>
  <c r="AY290" i="3"/>
  <c r="AY286" i="3"/>
  <c r="AY287" i="3" s="1"/>
  <c r="AZ284" i="3" s="1"/>
  <c r="AY205" i="3"/>
  <c r="AY296" i="3"/>
  <c r="AY224" i="3"/>
  <c r="AY318" i="3"/>
  <c r="AY228" i="3"/>
  <c r="AY133" i="3"/>
  <c r="AY110" i="3"/>
  <c r="AY257" i="3"/>
  <c r="AY194" i="3"/>
  <c r="AY166" i="3"/>
  <c r="AY81" i="3"/>
  <c r="AY132" i="3"/>
  <c r="AY319" i="3"/>
  <c r="AY256" i="3"/>
  <c r="AY100" i="3"/>
  <c r="AY104" i="3"/>
  <c r="AY195" i="3"/>
  <c r="AY172" i="3"/>
  <c r="AY234" i="3"/>
  <c r="AW75" i="3"/>
  <c r="AW295" i="3"/>
  <c r="AW313" i="3" s="1"/>
  <c r="AW314" i="3" s="1"/>
  <c r="AW324" i="3" s="1"/>
  <c r="AW294" i="3"/>
  <c r="AW308" i="3" s="1"/>
  <c r="AW309" i="3" s="1"/>
  <c r="AW310" i="3" s="1"/>
  <c r="AW323" i="3" s="1"/>
  <c r="AX213" i="3"/>
  <c r="AX214" i="3" s="1"/>
  <c r="AX215" i="3" s="1"/>
  <c r="AX218" i="3"/>
  <c r="AX219" i="3" s="1"/>
  <c r="AW171" i="3"/>
  <c r="AW189" i="3" s="1"/>
  <c r="AW190" i="3" s="1"/>
  <c r="AW200" i="3" s="1"/>
  <c r="AW170" i="3"/>
  <c r="AW184" i="3" s="1"/>
  <c r="AW185" i="3" s="1"/>
  <c r="AW186" i="3" s="1"/>
  <c r="AW199" i="3" s="1"/>
  <c r="AV329" i="3"/>
  <c r="AX43" i="3"/>
  <c r="AX44" i="3" s="1"/>
  <c r="AX45" i="3" s="1"/>
  <c r="AX46" i="3" s="1"/>
  <c r="AX60" i="3" s="1"/>
  <c r="AX61" i="3" s="1"/>
  <c r="AX62" i="3" s="1"/>
  <c r="AX156" i="3"/>
  <c r="AX157" i="3" s="1"/>
  <c r="AX151" i="3"/>
  <c r="AX152" i="3" s="1"/>
  <c r="AX153" i="3" s="1"/>
  <c r="AV328" i="3"/>
  <c r="AX39" i="3"/>
  <c r="AY36" i="3" s="1"/>
  <c r="AX77" i="3"/>
  <c r="AX291" i="3"/>
  <c r="AX292" i="3" s="1"/>
  <c r="AX293" i="3" s="1"/>
  <c r="AX280" i="3"/>
  <c r="AX281" i="3" s="1"/>
  <c r="AX275" i="3"/>
  <c r="AX276" i="3" s="1"/>
  <c r="AX277" i="3" s="1"/>
  <c r="AX105" i="3"/>
  <c r="AX106" i="3" s="1"/>
  <c r="AX107" i="3" s="1"/>
  <c r="AX167" i="3"/>
  <c r="AX168" i="3" s="1"/>
  <c r="AX169" i="3" s="1"/>
  <c r="AT332" i="3"/>
  <c r="AU331" i="3" s="1"/>
  <c r="AY54" i="4"/>
  <c r="AX225" i="3"/>
  <c r="AY222" i="3" s="1"/>
  <c r="AW109" i="3"/>
  <c r="AW127" i="3" s="1"/>
  <c r="AW128" i="3" s="1"/>
  <c r="AW138" i="3" s="1"/>
  <c r="AW108" i="3"/>
  <c r="AW122" i="3" s="1"/>
  <c r="AW123" i="3" s="1"/>
  <c r="AW124" i="3" s="1"/>
  <c r="AW137" i="3" s="1"/>
  <c r="AU18" i="7"/>
  <c r="AX325" i="3"/>
  <c r="AW330" i="3"/>
  <c r="AW45" i="7" s="1"/>
  <c r="AY74" i="4"/>
  <c r="AX89" i="3"/>
  <c r="AX90" i="3" s="1"/>
  <c r="AX91" i="3" s="1"/>
  <c r="AX94" i="3"/>
  <c r="AX95" i="3" s="1"/>
  <c r="AZ80" i="7"/>
  <c r="AZ65" i="7"/>
  <c r="AZ66" i="7" s="1"/>
  <c r="AY67" i="7"/>
  <c r="AZ38" i="7"/>
  <c r="AZ33" i="7"/>
  <c r="AZ34" i="7"/>
  <c r="BA14" i="7"/>
  <c r="AZ15" i="7"/>
  <c r="AZ11" i="7"/>
  <c r="AY12" i="7"/>
  <c r="AY13" i="7" s="1"/>
  <c r="AY16" i="7" s="1"/>
  <c r="AZ16" i="6"/>
  <c r="AZ11" i="6"/>
  <c r="AZ13" i="6" s="1"/>
  <c r="BA15" i="6"/>
  <c r="AY12" i="6"/>
  <c r="AY14" i="6" s="1"/>
  <c r="AY17" i="6" s="1"/>
  <c r="AX73" i="4"/>
  <c r="AM75" i="4" s="1"/>
  <c r="AM76" i="4" s="1"/>
  <c r="AM78" i="4" s="1"/>
  <c r="AM19" i="7" s="1"/>
  <c r="AX39" i="4"/>
  <c r="AX40" i="4" s="1"/>
  <c r="AX19" i="4"/>
  <c r="AX20" i="4" s="1"/>
  <c r="AX24" i="4"/>
  <c r="AX25" i="4" s="1"/>
  <c r="AX43" i="4"/>
  <c r="AX44" i="4" s="1"/>
  <c r="AZ32" i="4"/>
  <c r="AZ29" i="4"/>
  <c r="AZ30" i="4"/>
  <c r="AZ31" i="4"/>
  <c r="AZ33" i="4"/>
  <c r="AY45" i="4"/>
  <c r="AY68" i="4"/>
  <c r="AY23" i="4"/>
  <c r="AY18" i="4"/>
  <c r="AY38" i="4"/>
  <c r="AY42" i="4"/>
  <c r="AY34" i="4"/>
  <c r="AY58" i="4"/>
  <c r="AZ11" i="4"/>
  <c r="AZ80" i="4" s="1"/>
  <c r="AZ27" i="7" s="1"/>
  <c r="BA14" i="4"/>
  <c r="AZ15" i="4"/>
  <c r="AY12" i="4"/>
  <c r="AY13" i="4" s="1"/>
  <c r="AY16" i="4" s="1"/>
  <c r="AY42" i="3"/>
  <c r="AY48" i="3"/>
  <c r="AY38" i="3"/>
  <c r="AY19" i="3"/>
  <c r="AX32" i="3"/>
  <c r="AX33" i="3" s="1"/>
  <c r="AX27" i="3"/>
  <c r="AX28" i="3" s="1"/>
  <c r="AX29" i="3" s="1"/>
  <c r="AZ14" i="3"/>
  <c r="AY11" i="3"/>
  <c r="AY12" i="3" s="1"/>
  <c r="AY13" i="3" s="1"/>
  <c r="AY16" i="3" s="1"/>
  <c r="AY15" i="3"/>
  <c r="AS65" i="4" l="1"/>
  <c r="AS70" i="4" s="1"/>
  <c r="BA51" i="4"/>
  <c r="BA55" i="4"/>
  <c r="BA52" i="7"/>
  <c r="BA49" i="7"/>
  <c r="BA41" i="7"/>
  <c r="BA51" i="7"/>
  <c r="BA48" i="7"/>
  <c r="BA40" i="7"/>
  <c r="AY101" i="3"/>
  <c r="AZ98" i="3" s="1"/>
  <c r="AZ54" i="4"/>
  <c r="AX47" i="3"/>
  <c r="AX65" i="3" s="1"/>
  <c r="AX66" i="3" s="1"/>
  <c r="AX76" i="3" s="1"/>
  <c r="AZ58" i="4"/>
  <c r="AT333" i="3"/>
  <c r="AT63" i="4" s="1"/>
  <c r="AT62" i="4" s="1"/>
  <c r="AZ95" i="7"/>
  <c r="AY72" i="3"/>
  <c r="AZ69" i="3" s="1"/>
  <c r="AY196" i="3"/>
  <c r="AZ193" i="3" s="1"/>
  <c r="AZ50" i="4"/>
  <c r="AY225" i="3"/>
  <c r="AZ222" i="3" s="1"/>
  <c r="AY258" i="3"/>
  <c r="AZ255" i="3" s="1"/>
  <c r="AY134" i="3"/>
  <c r="AZ131" i="3" s="1"/>
  <c r="AY320" i="3"/>
  <c r="AZ317" i="3" s="1"/>
  <c r="AX295" i="3"/>
  <c r="AX313" i="3" s="1"/>
  <c r="AX314" i="3" s="1"/>
  <c r="AX324" i="3" s="1"/>
  <c r="AX294" i="3"/>
  <c r="AX308" i="3" s="1"/>
  <c r="AX309" i="3" s="1"/>
  <c r="AX310" i="3" s="1"/>
  <c r="AX323" i="3" s="1"/>
  <c r="AX170" i="3"/>
  <c r="AX184" i="3" s="1"/>
  <c r="AX185" i="3" s="1"/>
  <c r="AX186" i="3" s="1"/>
  <c r="AX199" i="3" s="1"/>
  <c r="AX171" i="3"/>
  <c r="AX189" i="3" s="1"/>
  <c r="AX190" i="3" s="1"/>
  <c r="AX200" i="3" s="1"/>
  <c r="AY43" i="3"/>
  <c r="AY44" i="3" s="1"/>
  <c r="AY45" i="3" s="1"/>
  <c r="AY47" i="3" s="1"/>
  <c r="AY65" i="3" s="1"/>
  <c r="AY66" i="3" s="1"/>
  <c r="AY280" i="3"/>
  <c r="AY281" i="3" s="1"/>
  <c r="AY275" i="3"/>
  <c r="AY276" i="3" s="1"/>
  <c r="AY277" i="3" s="1"/>
  <c r="AY229" i="3"/>
  <c r="AY230" i="3" s="1"/>
  <c r="AY231" i="3" s="1"/>
  <c r="AY151" i="3"/>
  <c r="AY152" i="3" s="1"/>
  <c r="AY153" i="3" s="1"/>
  <c r="AY156" i="3"/>
  <c r="AY157" i="3" s="1"/>
  <c r="AZ74" i="4"/>
  <c r="BA64" i="4"/>
  <c r="BA69" i="4"/>
  <c r="AY89" i="3"/>
  <c r="AY90" i="3" s="1"/>
  <c r="AY91" i="3" s="1"/>
  <c r="AY94" i="3"/>
  <c r="AY95" i="3" s="1"/>
  <c r="AY263" i="3"/>
  <c r="AV18" i="7"/>
  <c r="AY167" i="3"/>
  <c r="AY168" i="3" s="1"/>
  <c r="AY169" i="3" s="1"/>
  <c r="AX109" i="3"/>
  <c r="AX127" i="3" s="1"/>
  <c r="AX128" i="3" s="1"/>
  <c r="AX138" i="3" s="1"/>
  <c r="AX108" i="3"/>
  <c r="AX122" i="3" s="1"/>
  <c r="AX123" i="3" s="1"/>
  <c r="AX124" i="3" s="1"/>
  <c r="AX137" i="3" s="1"/>
  <c r="AY39" i="3"/>
  <c r="AZ36" i="3" s="1"/>
  <c r="AY77" i="3"/>
  <c r="AU332" i="3"/>
  <c r="AV331" i="3" s="1"/>
  <c r="AY201" i="3"/>
  <c r="AY218" i="3"/>
  <c r="AY219" i="3" s="1"/>
  <c r="AY213" i="3"/>
  <c r="AY214" i="3" s="1"/>
  <c r="AY215" i="3" s="1"/>
  <c r="AZ71" i="3"/>
  <c r="AZ70" i="3"/>
  <c r="AZ267" i="3"/>
  <c r="AZ162" i="3"/>
  <c r="AZ163" i="3" s="1"/>
  <c r="BA160" i="3" s="1"/>
  <c r="AZ143" i="3"/>
  <c r="AZ290" i="3"/>
  <c r="AZ257" i="3"/>
  <c r="AZ228" i="3"/>
  <c r="AZ318" i="3"/>
  <c r="AZ224" i="3"/>
  <c r="AZ296" i="3"/>
  <c r="AZ286" i="3"/>
  <c r="AZ256" i="3"/>
  <c r="AZ319" i="3"/>
  <c r="AZ195" i="3"/>
  <c r="AZ81" i="3"/>
  <c r="AZ133" i="3"/>
  <c r="AZ194" i="3"/>
  <c r="AZ166" i="3"/>
  <c r="AZ110" i="3"/>
  <c r="AZ104" i="3"/>
  <c r="AZ100" i="3"/>
  <c r="AZ101" i="3" s="1"/>
  <c r="BA98" i="3" s="1"/>
  <c r="AZ132" i="3"/>
  <c r="AZ205" i="3"/>
  <c r="AZ234" i="3"/>
  <c r="AZ172" i="3"/>
  <c r="AX75" i="3"/>
  <c r="AW328" i="3"/>
  <c r="AY105" i="3"/>
  <c r="AY106" i="3" s="1"/>
  <c r="AY107" i="3" s="1"/>
  <c r="AY325" i="3"/>
  <c r="AX232" i="3"/>
  <c r="AX246" i="3" s="1"/>
  <c r="AX247" i="3" s="1"/>
  <c r="AX248" i="3" s="1"/>
  <c r="AX261" i="3" s="1"/>
  <c r="AX233" i="3"/>
  <c r="AX251" i="3" s="1"/>
  <c r="AX252" i="3" s="1"/>
  <c r="AX262" i="3" s="1"/>
  <c r="AX330" i="3"/>
  <c r="AX45" i="7" s="1"/>
  <c r="AW329" i="3"/>
  <c r="AY139" i="3"/>
  <c r="AY291" i="3"/>
  <c r="AY292" i="3" s="1"/>
  <c r="AY293" i="3" s="1"/>
  <c r="AZ93" i="7"/>
  <c r="BA80" i="7"/>
  <c r="BA65" i="7"/>
  <c r="BA66" i="7" s="1"/>
  <c r="AZ67" i="7"/>
  <c r="BA38" i="7"/>
  <c r="BA33" i="7"/>
  <c r="BA34" i="7"/>
  <c r="AZ12" i="7"/>
  <c r="AZ13" i="7" s="1"/>
  <c r="AZ16" i="7" s="1"/>
  <c r="BB14" i="7"/>
  <c r="BA11" i="7"/>
  <c r="BA15" i="7"/>
  <c r="BA16" i="6"/>
  <c r="BA11" i="6"/>
  <c r="BA13" i="6" s="1"/>
  <c r="BB15" i="6"/>
  <c r="AZ12" i="6"/>
  <c r="AZ14" i="6" s="1"/>
  <c r="AZ17" i="6" s="1"/>
  <c r="AY19" i="4"/>
  <c r="AY20" i="4" s="1"/>
  <c r="AY24" i="4"/>
  <c r="AY25" i="4" s="1"/>
  <c r="AY73" i="4"/>
  <c r="AY39" i="4"/>
  <c r="AY40" i="4" s="1"/>
  <c r="AY43" i="4"/>
  <c r="AY44" i="4" s="1"/>
  <c r="AZ68" i="4"/>
  <c r="AZ45" i="4"/>
  <c r="AZ18" i="4"/>
  <c r="AZ38" i="4"/>
  <c r="AZ23" i="4"/>
  <c r="AZ42" i="4"/>
  <c r="AZ34" i="4"/>
  <c r="AX46" i="4"/>
  <c r="BA32" i="4"/>
  <c r="BA33" i="4"/>
  <c r="BA30" i="4"/>
  <c r="BA31" i="4"/>
  <c r="BA29" i="4"/>
  <c r="BA11" i="4"/>
  <c r="BA80" i="4" s="1"/>
  <c r="BA27" i="7" s="1"/>
  <c r="BB14" i="4"/>
  <c r="BA15" i="4"/>
  <c r="AZ12" i="4"/>
  <c r="AZ13" i="4" s="1"/>
  <c r="AZ16" i="4" s="1"/>
  <c r="AZ42" i="3"/>
  <c r="AZ48" i="3"/>
  <c r="AZ38" i="3"/>
  <c r="AZ19" i="3"/>
  <c r="AY27" i="3"/>
  <c r="AY28" i="3" s="1"/>
  <c r="AY29" i="3" s="1"/>
  <c r="AY32" i="3"/>
  <c r="AY33" i="3" s="1"/>
  <c r="BA14" i="3"/>
  <c r="AZ11" i="3"/>
  <c r="AZ12" i="3" s="1"/>
  <c r="AZ13" i="3" s="1"/>
  <c r="AZ16" i="3" s="1"/>
  <c r="AZ15" i="3"/>
  <c r="AT65" i="4" l="1"/>
  <c r="AT70" i="4" s="1"/>
  <c r="BB51" i="4"/>
  <c r="BB59" i="4"/>
  <c r="BB55" i="4"/>
  <c r="BB52" i="7"/>
  <c r="BB49" i="7"/>
  <c r="BB41" i="7"/>
  <c r="BB51" i="7"/>
  <c r="BB48" i="7"/>
  <c r="BB40" i="7"/>
  <c r="AY46" i="3"/>
  <c r="AY60" i="3" s="1"/>
  <c r="AY61" i="3" s="1"/>
  <c r="AY62" i="3" s="1"/>
  <c r="AY75" i="3" s="1"/>
  <c r="AU333" i="3"/>
  <c r="AU63" i="4" s="1"/>
  <c r="AU62" i="4" s="1"/>
  <c r="AZ201" i="3"/>
  <c r="AY46" i="4"/>
  <c r="AZ258" i="3"/>
  <c r="BA255" i="3" s="1"/>
  <c r="AZ325" i="3"/>
  <c r="AX328" i="3"/>
  <c r="AZ263" i="3"/>
  <c r="AZ72" i="3"/>
  <c r="BA69" i="3" s="1"/>
  <c r="AZ320" i="3"/>
  <c r="BA317" i="3" s="1"/>
  <c r="AZ134" i="3"/>
  <c r="BA131" i="3" s="1"/>
  <c r="AY109" i="3"/>
  <c r="AY127" i="3" s="1"/>
  <c r="AY128" i="3" s="1"/>
  <c r="AY138" i="3" s="1"/>
  <c r="AY108" i="3"/>
  <c r="AY122" i="3" s="1"/>
  <c r="AY123" i="3" s="1"/>
  <c r="AY124" i="3" s="1"/>
  <c r="AY137" i="3" s="1"/>
  <c r="AY171" i="3"/>
  <c r="AY189" i="3" s="1"/>
  <c r="AY190" i="3" s="1"/>
  <c r="AY200" i="3" s="1"/>
  <c r="AY170" i="3"/>
  <c r="AY184" i="3" s="1"/>
  <c r="AY185" i="3" s="1"/>
  <c r="AY186" i="3" s="1"/>
  <c r="AY199" i="3" s="1"/>
  <c r="AY294" i="3"/>
  <c r="AY308" i="3" s="1"/>
  <c r="AY309" i="3" s="1"/>
  <c r="AY310" i="3" s="1"/>
  <c r="AY323" i="3" s="1"/>
  <c r="AY295" i="3"/>
  <c r="AY313" i="3" s="1"/>
  <c r="AY314" i="3" s="1"/>
  <c r="AY324" i="3" s="1"/>
  <c r="AW18" i="7"/>
  <c r="AX329" i="3"/>
  <c r="AZ229" i="3"/>
  <c r="AZ230" i="3" s="1"/>
  <c r="AZ231" i="3" s="1"/>
  <c r="AZ196" i="3"/>
  <c r="BA193" i="3" s="1"/>
  <c r="AZ225" i="3"/>
  <c r="BA222" i="3" s="1"/>
  <c r="AZ89" i="3"/>
  <c r="AZ90" i="3" s="1"/>
  <c r="AZ91" i="3" s="1"/>
  <c r="AZ94" i="3"/>
  <c r="AZ95" i="3" s="1"/>
  <c r="BA71" i="3"/>
  <c r="BA70" i="3"/>
  <c r="BA267" i="3"/>
  <c r="BA162" i="3"/>
  <c r="BA163" i="3" s="1"/>
  <c r="BB160" i="3" s="1"/>
  <c r="BA143" i="3"/>
  <c r="BA290" i="3"/>
  <c r="BA256" i="3"/>
  <c r="BA286" i="3"/>
  <c r="BA228" i="3"/>
  <c r="BA205" i="3"/>
  <c r="BA296" i="3"/>
  <c r="BA257" i="3"/>
  <c r="BA319" i="3"/>
  <c r="BA318" i="3"/>
  <c r="BA133" i="3"/>
  <c r="BA100" i="3"/>
  <c r="BA81" i="3"/>
  <c r="BA110" i="3"/>
  <c r="BA132" i="3"/>
  <c r="BA104" i="3"/>
  <c r="BA224" i="3"/>
  <c r="BA195" i="3"/>
  <c r="BA194" i="3"/>
  <c r="BA166" i="3"/>
  <c r="BA234" i="3"/>
  <c r="BA172" i="3"/>
  <c r="AZ43" i="3"/>
  <c r="AZ44" i="3" s="1"/>
  <c r="AZ45" i="3" s="1"/>
  <c r="AZ46" i="3" s="1"/>
  <c r="AZ60" i="3" s="1"/>
  <c r="AZ61" i="3" s="1"/>
  <c r="AZ62" i="3" s="1"/>
  <c r="AZ139" i="3"/>
  <c r="AZ291" i="3"/>
  <c r="AZ292" i="3" s="1"/>
  <c r="AZ293" i="3" s="1"/>
  <c r="AZ218" i="3"/>
  <c r="AZ219" i="3" s="1"/>
  <c r="AZ213" i="3"/>
  <c r="AZ214" i="3" s="1"/>
  <c r="AZ215" i="3" s="1"/>
  <c r="AY76" i="3"/>
  <c r="AZ105" i="3"/>
  <c r="AZ106" i="3" s="1"/>
  <c r="AZ107" i="3" s="1"/>
  <c r="AZ156" i="3"/>
  <c r="AZ157" i="3" s="1"/>
  <c r="AZ151" i="3"/>
  <c r="AZ152" i="3" s="1"/>
  <c r="AZ153" i="3" s="1"/>
  <c r="AZ39" i="3"/>
  <c r="BA36" i="3" s="1"/>
  <c r="AZ77" i="3"/>
  <c r="AY330" i="3"/>
  <c r="AY45" i="7" s="1"/>
  <c r="BA74" i="4"/>
  <c r="AY233" i="3"/>
  <c r="AY251" i="3" s="1"/>
  <c r="AY252" i="3" s="1"/>
  <c r="AY262" i="3" s="1"/>
  <c r="AY232" i="3"/>
  <c r="AY246" i="3" s="1"/>
  <c r="AY247" i="3" s="1"/>
  <c r="AY248" i="3" s="1"/>
  <c r="AY261" i="3" s="1"/>
  <c r="AN75" i="4"/>
  <c r="AN76" i="4" s="1"/>
  <c r="AN78" i="4" s="1"/>
  <c r="AN19" i="7" s="1"/>
  <c r="BB64" i="4"/>
  <c r="AZ167" i="3"/>
  <c r="AZ168" i="3" s="1"/>
  <c r="AZ169" i="3" s="1"/>
  <c r="AZ280" i="3"/>
  <c r="AZ281" i="3" s="1"/>
  <c r="AZ275" i="3"/>
  <c r="AZ276" i="3" s="1"/>
  <c r="AZ277" i="3" s="1"/>
  <c r="AV332" i="3"/>
  <c r="AW331" i="3" s="1"/>
  <c r="AZ287" i="3"/>
  <c r="BA284" i="3" s="1"/>
  <c r="BA95" i="7"/>
  <c r="BA93" i="7"/>
  <c r="BB80" i="7"/>
  <c r="BB65" i="7"/>
  <c r="BB66" i="7" s="1"/>
  <c r="BA67" i="7"/>
  <c r="BB38" i="7"/>
  <c r="BB33" i="7"/>
  <c r="BB34" i="7"/>
  <c r="BA12" i="7"/>
  <c r="BA13" i="7" s="1"/>
  <c r="BA16" i="7" s="1"/>
  <c r="BC14" i="7"/>
  <c r="BB15" i="7"/>
  <c r="BB11" i="7"/>
  <c r="BB11" i="6"/>
  <c r="BB13" i="6" s="1"/>
  <c r="BC15" i="6"/>
  <c r="BB16" i="6"/>
  <c r="BA12" i="6"/>
  <c r="BA14" i="6" s="1"/>
  <c r="BA17" i="6" s="1"/>
  <c r="BA68" i="4"/>
  <c r="BA45" i="4"/>
  <c r="BA38" i="4"/>
  <c r="BA23" i="4"/>
  <c r="BA18" i="4"/>
  <c r="BA42" i="4"/>
  <c r="BA58" i="4"/>
  <c r="BA59" i="4" s="1"/>
  <c r="BA54" i="4"/>
  <c r="BA50" i="4"/>
  <c r="BB32" i="4"/>
  <c r="BB33" i="4"/>
  <c r="BB30" i="4"/>
  <c r="BB31" i="4"/>
  <c r="BB29" i="4"/>
  <c r="AZ24" i="4"/>
  <c r="AZ25" i="4" s="1"/>
  <c r="AZ19" i="4"/>
  <c r="AZ20" i="4" s="1"/>
  <c r="AZ73" i="4"/>
  <c r="AO75" i="4" s="1"/>
  <c r="AO76" i="4" s="1"/>
  <c r="AO78" i="4" s="1"/>
  <c r="AO19" i="7" s="1"/>
  <c r="AZ43" i="4"/>
  <c r="AZ44" i="4" s="1"/>
  <c r="AZ39" i="4"/>
  <c r="AZ40" i="4" s="1"/>
  <c r="BA34" i="4"/>
  <c r="BA12" i="4"/>
  <c r="BA13" i="4" s="1"/>
  <c r="BA16" i="4" s="1"/>
  <c r="BC14" i="4"/>
  <c r="BB15" i="4"/>
  <c r="BB11" i="4"/>
  <c r="BB80" i="4" s="1"/>
  <c r="BB27" i="7" s="1"/>
  <c r="BA42" i="3"/>
  <c r="BA48" i="3"/>
  <c r="BA38" i="3"/>
  <c r="BA19" i="3"/>
  <c r="AZ32" i="3"/>
  <c r="AZ33" i="3" s="1"/>
  <c r="AZ27" i="3"/>
  <c r="AZ28" i="3" s="1"/>
  <c r="AZ29" i="3" s="1"/>
  <c r="BB14" i="3"/>
  <c r="BA11" i="3"/>
  <c r="BA12" i="3" s="1"/>
  <c r="BA13" i="3" s="1"/>
  <c r="BA16" i="3" s="1"/>
  <c r="BA15" i="3"/>
  <c r="AU65" i="4" l="1"/>
  <c r="AU70" i="4" s="1"/>
  <c r="BC59" i="4"/>
  <c r="BC51" i="4"/>
  <c r="BC55" i="4"/>
  <c r="BC52" i="7"/>
  <c r="BC49" i="7"/>
  <c r="BC41" i="7"/>
  <c r="BC51" i="7"/>
  <c r="BC48" i="7"/>
  <c r="BC40" i="7"/>
  <c r="AX18" i="7"/>
  <c r="BA320" i="3"/>
  <c r="BB317" i="3" s="1"/>
  <c r="AZ330" i="3"/>
  <c r="AZ45" i="7" s="1"/>
  <c r="BA258" i="3"/>
  <c r="BB255" i="3" s="1"/>
  <c r="BA263" i="3"/>
  <c r="BA196" i="3"/>
  <c r="BB193" i="3" s="1"/>
  <c r="BA287" i="3"/>
  <c r="BB284" i="3" s="1"/>
  <c r="AY329" i="3"/>
  <c r="BA134" i="3"/>
  <c r="BB131" i="3" s="1"/>
  <c r="BA72" i="3"/>
  <c r="BB69" i="3" s="1"/>
  <c r="AZ108" i="3"/>
  <c r="AZ122" i="3" s="1"/>
  <c r="AZ123" i="3" s="1"/>
  <c r="AZ124" i="3" s="1"/>
  <c r="AZ137" i="3" s="1"/>
  <c r="AZ109" i="3"/>
  <c r="AZ127" i="3" s="1"/>
  <c r="AZ128" i="3" s="1"/>
  <c r="AZ138" i="3" s="1"/>
  <c r="AZ233" i="3"/>
  <c r="AZ251" i="3" s="1"/>
  <c r="AZ252" i="3" s="1"/>
  <c r="AZ262" i="3" s="1"/>
  <c r="AZ232" i="3"/>
  <c r="AZ246" i="3" s="1"/>
  <c r="AZ247" i="3" s="1"/>
  <c r="AZ248" i="3" s="1"/>
  <c r="AZ261" i="3" s="1"/>
  <c r="AZ170" i="3"/>
  <c r="AZ184" i="3" s="1"/>
  <c r="AZ185" i="3" s="1"/>
  <c r="AZ186" i="3" s="1"/>
  <c r="AZ199" i="3" s="1"/>
  <c r="AZ171" i="3"/>
  <c r="AZ189" i="3" s="1"/>
  <c r="AZ190" i="3" s="1"/>
  <c r="AZ200" i="3" s="1"/>
  <c r="BA213" i="3"/>
  <c r="BA214" i="3" s="1"/>
  <c r="BA215" i="3" s="1"/>
  <c r="BA218" i="3"/>
  <c r="BA219" i="3" s="1"/>
  <c r="AY328" i="3"/>
  <c r="BA89" i="3"/>
  <c r="BA90" i="3" s="1"/>
  <c r="BA91" i="3" s="1"/>
  <c r="BA94" i="3"/>
  <c r="BA95" i="3" s="1"/>
  <c r="BA39" i="3"/>
  <c r="BB36" i="3" s="1"/>
  <c r="BA77" i="3"/>
  <c r="BB58" i="4"/>
  <c r="AZ294" i="3"/>
  <c r="AZ308" i="3" s="1"/>
  <c r="AZ309" i="3" s="1"/>
  <c r="AZ310" i="3" s="1"/>
  <c r="AZ323" i="3" s="1"/>
  <c r="AZ295" i="3"/>
  <c r="AZ313" i="3" s="1"/>
  <c r="AZ314" i="3" s="1"/>
  <c r="AZ324" i="3" s="1"/>
  <c r="BA167" i="3"/>
  <c r="BA168" i="3" s="1"/>
  <c r="BA169" i="3" s="1"/>
  <c r="BA139" i="3"/>
  <c r="BA325" i="3"/>
  <c r="AZ75" i="3"/>
  <c r="BA229" i="3"/>
  <c r="BA230" i="3" s="1"/>
  <c r="BA231" i="3" s="1"/>
  <c r="AZ47" i="3"/>
  <c r="AZ65" i="3" s="1"/>
  <c r="AZ66" i="3" s="1"/>
  <c r="AZ76" i="3" s="1"/>
  <c r="BB50" i="4"/>
  <c r="BB74" i="4"/>
  <c r="BB54" i="4"/>
  <c r="AV333" i="3"/>
  <c r="AV63" i="4" s="1"/>
  <c r="AV62" i="4" s="1"/>
  <c r="BA291" i="3"/>
  <c r="BA292" i="3" s="1"/>
  <c r="BA293" i="3" s="1"/>
  <c r="BA225" i="3"/>
  <c r="BB222" i="3" s="1"/>
  <c r="BA275" i="3"/>
  <c r="BA276" i="3" s="1"/>
  <c r="BA277" i="3" s="1"/>
  <c r="BA280" i="3"/>
  <c r="BA281" i="3" s="1"/>
  <c r="BB34" i="4"/>
  <c r="AW332" i="3"/>
  <c r="AX331" i="3" s="1"/>
  <c r="BA151" i="3"/>
  <c r="BA152" i="3" s="1"/>
  <c r="BA153" i="3" s="1"/>
  <c r="BA156" i="3"/>
  <c r="BA157" i="3" s="1"/>
  <c r="BC69" i="4"/>
  <c r="BC64" i="4"/>
  <c r="BB71" i="3"/>
  <c r="BB70" i="3"/>
  <c r="BB162" i="3"/>
  <c r="BB163" i="3" s="1"/>
  <c r="BC160" i="3" s="1"/>
  <c r="BB267" i="3"/>
  <c r="BB143" i="3"/>
  <c r="BB319" i="3"/>
  <c r="BB290" i="3"/>
  <c r="BB318" i="3"/>
  <c r="BB256" i="3"/>
  <c r="BB205" i="3"/>
  <c r="BB296" i="3"/>
  <c r="BB286" i="3"/>
  <c r="BB81" i="3"/>
  <c r="BB110" i="3"/>
  <c r="BB132" i="3"/>
  <c r="BB195" i="3"/>
  <c r="BB100" i="3"/>
  <c r="BB104" i="3"/>
  <c r="BB228" i="3"/>
  <c r="BB224" i="3"/>
  <c r="BB257" i="3"/>
  <c r="BB133" i="3"/>
  <c r="BB194" i="3"/>
  <c r="BB166" i="3"/>
  <c r="BB234" i="3"/>
  <c r="BB172" i="3"/>
  <c r="BA43" i="3"/>
  <c r="BA44" i="3" s="1"/>
  <c r="BA45" i="3" s="1"/>
  <c r="BA46" i="3" s="1"/>
  <c r="BA60" i="3" s="1"/>
  <c r="BA61" i="3" s="1"/>
  <c r="BA62" i="3" s="1"/>
  <c r="AZ46" i="4"/>
  <c r="BA105" i="3"/>
  <c r="BA106" i="3" s="1"/>
  <c r="BA107" i="3" s="1"/>
  <c r="BA201" i="3"/>
  <c r="BA101" i="3"/>
  <c r="BB98" i="3" s="1"/>
  <c r="BB95" i="7"/>
  <c r="BB93" i="7"/>
  <c r="BC80" i="7"/>
  <c r="BC65" i="7"/>
  <c r="BC66" i="7" s="1"/>
  <c r="BB67" i="7"/>
  <c r="BC38" i="7"/>
  <c r="BC33" i="7"/>
  <c r="BC34" i="7"/>
  <c r="BD14" i="7"/>
  <c r="BC15" i="7"/>
  <c r="BC11" i="7"/>
  <c r="BB12" i="7"/>
  <c r="BB13" i="7" s="1"/>
  <c r="BB16" i="7" s="1"/>
  <c r="BC11" i="6"/>
  <c r="BC13" i="6" s="1"/>
  <c r="BD15" i="6"/>
  <c r="BC16" i="6"/>
  <c r="BB12" i="6"/>
  <c r="BB14" i="6" s="1"/>
  <c r="BB17" i="6" s="1"/>
  <c r="BB68" i="4"/>
  <c r="BB69" i="4" s="1"/>
  <c r="BB45" i="4"/>
  <c r="BB18" i="4"/>
  <c r="BB38" i="4"/>
  <c r="BB23" i="4"/>
  <c r="BB42" i="4"/>
  <c r="BC33" i="4"/>
  <c r="BC32" i="4"/>
  <c r="BC30" i="4"/>
  <c r="BC29" i="4"/>
  <c r="BC31" i="4"/>
  <c r="BA19" i="4"/>
  <c r="BA20" i="4" s="1"/>
  <c r="BA24" i="4"/>
  <c r="BA25" i="4" s="1"/>
  <c r="BA43" i="4"/>
  <c r="BA44" i="4" s="1"/>
  <c r="BA39" i="4"/>
  <c r="BA40" i="4" s="1"/>
  <c r="BA73" i="4"/>
  <c r="AP75" i="4" s="1"/>
  <c r="AP76" i="4" s="1"/>
  <c r="AP78" i="4" s="1"/>
  <c r="AP19" i="7" s="1"/>
  <c r="BB12" i="4"/>
  <c r="BB13" i="4" s="1"/>
  <c r="BB16" i="4" s="1"/>
  <c r="BD14" i="4"/>
  <c r="BC15" i="4"/>
  <c r="BC11" i="4"/>
  <c r="BC80" i="4" s="1"/>
  <c r="BC27" i="7" s="1"/>
  <c r="BB42" i="3"/>
  <c r="BB48" i="3"/>
  <c r="BB19" i="3"/>
  <c r="BB38" i="3"/>
  <c r="BA32" i="3"/>
  <c r="BA33" i="3" s="1"/>
  <c r="BA27" i="3"/>
  <c r="BA28" i="3" s="1"/>
  <c r="BA29" i="3" s="1"/>
  <c r="BC14" i="3"/>
  <c r="BB11" i="3"/>
  <c r="BB12" i="3" s="1"/>
  <c r="BB13" i="3" s="1"/>
  <c r="BB16" i="3" s="1"/>
  <c r="BB15" i="3"/>
  <c r="BD51" i="4" l="1"/>
  <c r="BD59" i="4"/>
  <c r="BD55" i="4"/>
  <c r="BC54" i="4"/>
  <c r="BB101" i="3"/>
  <c r="BC98" i="3" s="1"/>
  <c r="BB287" i="3"/>
  <c r="BC284" i="3" s="1"/>
  <c r="BB320" i="3"/>
  <c r="BC317" i="3" s="1"/>
  <c r="BA47" i="3"/>
  <c r="BA65" i="3" s="1"/>
  <c r="BA66" i="3" s="1"/>
  <c r="BA76" i="3" s="1"/>
  <c r="BB201" i="3"/>
  <c r="AY18" i="7"/>
  <c r="BB196" i="3"/>
  <c r="BC193" i="3" s="1"/>
  <c r="BB134" i="3"/>
  <c r="BC131" i="3" s="1"/>
  <c r="BC74" i="4"/>
  <c r="BB263" i="3"/>
  <c r="BC50" i="4"/>
  <c r="BB72" i="3"/>
  <c r="BC69" i="3" s="1"/>
  <c r="BB258" i="3"/>
  <c r="BC255" i="3" s="1"/>
  <c r="BA108" i="3"/>
  <c r="BA122" i="3" s="1"/>
  <c r="BA123" i="3" s="1"/>
  <c r="BA124" i="3" s="1"/>
  <c r="BA137" i="3" s="1"/>
  <c r="BA109" i="3"/>
  <c r="BA127" i="3" s="1"/>
  <c r="BA128" i="3" s="1"/>
  <c r="BA138" i="3" s="1"/>
  <c r="BB213" i="3"/>
  <c r="BB214" i="3" s="1"/>
  <c r="BB215" i="3" s="1"/>
  <c r="BB218" i="3"/>
  <c r="BB219" i="3" s="1"/>
  <c r="BA295" i="3"/>
  <c r="BA313" i="3" s="1"/>
  <c r="BA314" i="3" s="1"/>
  <c r="BA324" i="3" s="1"/>
  <c r="BA294" i="3"/>
  <c r="BA308" i="3" s="1"/>
  <c r="BA309" i="3" s="1"/>
  <c r="BA310" i="3" s="1"/>
  <c r="BA323" i="3" s="1"/>
  <c r="BA170" i="3"/>
  <c r="BA184" i="3" s="1"/>
  <c r="BA185" i="3" s="1"/>
  <c r="BA186" i="3" s="1"/>
  <c r="BA199" i="3" s="1"/>
  <c r="BA171" i="3"/>
  <c r="BA189" i="3" s="1"/>
  <c r="BA190" i="3" s="1"/>
  <c r="BA200" i="3" s="1"/>
  <c r="BB139" i="3"/>
  <c r="AW333" i="3"/>
  <c r="AW63" i="4" s="1"/>
  <c r="AW62" i="4" s="1"/>
  <c r="AZ329" i="3"/>
  <c r="BB291" i="3"/>
  <c r="BB292" i="3" s="1"/>
  <c r="BB293" i="3" s="1"/>
  <c r="AZ328" i="3"/>
  <c r="BA233" i="3"/>
  <c r="BA251" i="3" s="1"/>
  <c r="BA252" i="3" s="1"/>
  <c r="BA262" i="3" s="1"/>
  <c r="BA232" i="3"/>
  <c r="BA246" i="3" s="1"/>
  <c r="BA247" i="3" s="1"/>
  <c r="BA248" i="3" s="1"/>
  <c r="BA261" i="3" s="1"/>
  <c r="BC95" i="7"/>
  <c r="BA75" i="3"/>
  <c r="BA46" i="4"/>
  <c r="BB105" i="3"/>
  <c r="BB106" i="3" s="1"/>
  <c r="BB107" i="3" s="1"/>
  <c r="AV65" i="4"/>
  <c r="AV70" i="4" s="1"/>
  <c r="BB89" i="3"/>
  <c r="BB90" i="3" s="1"/>
  <c r="BB91" i="3" s="1"/>
  <c r="BB94" i="3"/>
  <c r="BB95" i="3" s="1"/>
  <c r="BB156" i="3"/>
  <c r="BB157" i="3" s="1"/>
  <c r="BB151" i="3"/>
  <c r="BB152" i="3" s="1"/>
  <c r="BB153" i="3" s="1"/>
  <c r="BB167" i="3"/>
  <c r="BB168" i="3" s="1"/>
  <c r="BB169" i="3" s="1"/>
  <c r="AX332" i="3"/>
  <c r="AY331" i="3" s="1"/>
  <c r="BC71" i="3"/>
  <c r="BC70" i="3"/>
  <c r="BC143" i="3"/>
  <c r="BC162" i="3"/>
  <c r="BC163" i="3" s="1"/>
  <c r="BD160" i="3" s="1"/>
  <c r="BC267" i="3"/>
  <c r="BC224" i="3"/>
  <c r="BC290" i="3"/>
  <c r="BC319" i="3"/>
  <c r="BC296" i="3"/>
  <c r="BC318" i="3"/>
  <c r="BC195" i="3"/>
  <c r="BC194" i="3"/>
  <c r="BC256" i="3"/>
  <c r="BC228" i="3"/>
  <c r="BC104" i="3"/>
  <c r="BC257" i="3"/>
  <c r="BC286" i="3"/>
  <c r="BC81" i="3"/>
  <c r="BC110" i="3"/>
  <c r="BC132" i="3"/>
  <c r="BC166" i="3"/>
  <c r="BC205" i="3"/>
  <c r="BC133" i="3"/>
  <c r="BC100" i="3"/>
  <c r="BC101" i="3" s="1"/>
  <c r="BD98" i="3" s="1"/>
  <c r="BC234" i="3"/>
  <c r="BC172" i="3"/>
  <c r="BB43" i="3"/>
  <c r="BB44" i="3" s="1"/>
  <c r="BB45" i="3" s="1"/>
  <c r="BB47" i="3" s="1"/>
  <c r="BB65" i="3" s="1"/>
  <c r="BB66" i="3" s="1"/>
  <c r="BB39" i="3"/>
  <c r="BC36" i="3" s="1"/>
  <c r="BB77" i="3"/>
  <c r="BD69" i="4"/>
  <c r="BD64" i="4"/>
  <c r="BB325" i="3"/>
  <c r="BB275" i="3"/>
  <c r="BB276" i="3" s="1"/>
  <c r="BB277" i="3" s="1"/>
  <c r="BB280" i="3"/>
  <c r="BB281" i="3" s="1"/>
  <c r="BA330" i="3"/>
  <c r="BA45" i="7" s="1"/>
  <c r="BC58" i="4"/>
  <c r="BB229" i="3"/>
  <c r="BB230" i="3" s="1"/>
  <c r="BB231" i="3" s="1"/>
  <c r="BB225" i="3"/>
  <c r="BC222" i="3" s="1"/>
  <c r="BC225" i="3" s="1"/>
  <c r="BD222" i="3" s="1"/>
  <c r="BC93" i="7"/>
  <c r="BD80" i="7"/>
  <c r="BD65" i="7"/>
  <c r="BD66" i="7" s="1"/>
  <c r="BC67" i="7"/>
  <c r="BD38" i="7"/>
  <c r="BD33" i="7"/>
  <c r="BD34" i="7"/>
  <c r="BC12" i="7"/>
  <c r="BC13" i="7" s="1"/>
  <c r="BC16" i="7" s="1"/>
  <c r="BE14" i="7"/>
  <c r="BD11" i="7"/>
  <c r="BD15" i="7"/>
  <c r="BD16" i="6"/>
  <c r="BD11" i="6"/>
  <c r="BD13" i="6" s="1"/>
  <c r="BE15" i="6"/>
  <c r="BC12" i="6"/>
  <c r="BC14" i="6" s="1"/>
  <c r="BC17" i="6" s="1"/>
  <c r="BB39" i="4"/>
  <c r="BB40" i="4" s="1"/>
  <c r="BB24" i="4"/>
  <c r="BB25" i="4" s="1"/>
  <c r="BB43" i="4"/>
  <c r="BB44" i="4" s="1"/>
  <c r="BB19" i="4"/>
  <c r="BB20" i="4" s="1"/>
  <c r="BB73" i="4"/>
  <c r="BD33" i="4"/>
  <c r="BD31" i="4"/>
  <c r="BD29" i="4"/>
  <c r="BD30" i="4"/>
  <c r="BD32" i="4"/>
  <c r="BC45" i="4"/>
  <c r="BC68" i="4"/>
  <c r="BC38" i="4"/>
  <c r="BC23" i="4"/>
  <c r="BC18" i="4"/>
  <c r="BC42" i="4"/>
  <c r="BC34" i="4"/>
  <c r="BC12" i="4"/>
  <c r="BC13" i="4" s="1"/>
  <c r="BC16" i="4" s="1"/>
  <c r="BE14" i="4"/>
  <c r="BD15" i="4"/>
  <c r="BD11" i="4"/>
  <c r="BD80" i="4" s="1"/>
  <c r="BD27" i="7" s="1"/>
  <c r="BC42" i="3"/>
  <c r="BC48" i="3"/>
  <c r="BC19" i="3"/>
  <c r="BC38" i="3"/>
  <c r="BB32" i="3"/>
  <c r="BB33" i="3" s="1"/>
  <c r="BB27" i="3"/>
  <c r="BB28" i="3" s="1"/>
  <c r="BB29" i="3" s="1"/>
  <c r="BD14" i="3"/>
  <c r="BC11" i="3"/>
  <c r="BC12" i="3" s="1"/>
  <c r="BC13" i="3" s="1"/>
  <c r="BC16" i="3" s="1"/>
  <c r="BC15" i="3"/>
  <c r="BE59" i="4" l="1"/>
  <c r="BE55" i="4"/>
  <c r="BE51" i="4"/>
  <c r="BB46" i="3"/>
  <c r="BB60" i="3" s="1"/>
  <c r="BB61" i="3" s="1"/>
  <c r="BB62" i="3" s="1"/>
  <c r="BB75" i="3" s="1"/>
  <c r="BC201" i="3"/>
  <c r="AW65" i="4"/>
  <c r="AW70" i="4" s="1"/>
  <c r="BC320" i="3"/>
  <c r="BD317" i="3" s="1"/>
  <c r="AZ18" i="7"/>
  <c r="BC258" i="3"/>
  <c r="BD255" i="3" s="1"/>
  <c r="BC134" i="3"/>
  <c r="BD131" i="3" s="1"/>
  <c r="BD58" i="4"/>
  <c r="BC72" i="3"/>
  <c r="BD69" i="3" s="1"/>
  <c r="BC325" i="3"/>
  <c r="BB171" i="3"/>
  <c r="BB189" i="3" s="1"/>
  <c r="BB190" i="3" s="1"/>
  <c r="BB200" i="3" s="1"/>
  <c r="BB170" i="3"/>
  <c r="BB184" i="3" s="1"/>
  <c r="BB185" i="3" s="1"/>
  <c r="BB186" i="3" s="1"/>
  <c r="BB199" i="3" s="1"/>
  <c r="BB232" i="3"/>
  <c r="BB246" i="3" s="1"/>
  <c r="BB247" i="3" s="1"/>
  <c r="BB248" i="3" s="1"/>
  <c r="BB261" i="3" s="1"/>
  <c r="BB233" i="3"/>
  <c r="BB251" i="3" s="1"/>
  <c r="BB252" i="3" s="1"/>
  <c r="BB262" i="3" s="1"/>
  <c r="BD71" i="3"/>
  <c r="BD70" i="3"/>
  <c r="BD143" i="3"/>
  <c r="BD162" i="3"/>
  <c r="BD163" i="3" s="1"/>
  <c r="BE160" i="3" s="1"/>
  <c r="BD267" i="3"/>
  <c r="BD286" i="3"/>
  <c r="BD256" i="3"/>
  <c r="BD290" i="3"/>
  <c r="BD257" i="3"/>
  <c r="BD228" i="3"/>
  <c r="BD318" i="3"/>
  <c r="BD205" i="3"/>
  <c r="BD296" i="3"/>
  <c r="BD132" i="3"/>
  <c r="BD104" i="3"/>
  <c r="BD319" i="3"/>
  <c r="BD195" i="3"/>
  <c r="BD110" i="3"/>
  <c r="BD194" i="3"/>
  <c r="BD224" i="3"/>
  <c r="BD166" i="3"/>
  <c r="BD133" i="3"/>
  <c r="BD81" i="3"/>
  <c r="BD100" i="3"/>
  <c r="BD234" i="3"/>
  <c r="BD172" i="3"/>
  <c r="BC43" i="3"/>
  <c r="BC44" i="3" s="1"/>
  <c r="BC45" i="3" s="1"/>
  <c r="BC46" i="3" s="1"/>
  <c r="BC60" i="3" s="1"/>
  <c r="BC61" i="3" s="1"/>
  <c r="BC62" i="3" s="1"/>
  <c r="AQ75" i="4"/>
  <c r="AQ76" i="4" s="1"/>
  <c r="AQ78" i="4" s="1"/>
  <c r="AQ19" i="7" s="1"/>
  <c r="BC218" i="3"/>
  <c r="BC219" i="3" s="1"/>
  <c r="BC213" i="3"/>
  <c r="BC214" i="3" s="1"/>
  <c r="BC215" i="3" s="1"/>
  <c r="BC229" i="3"/>
  <c r="BC230" i="3" s="1"/>
  <c r="BC231" i="3" s="1"/>
  <c r="BC263" i="3"/>
  <c r="BC105" i="3"/>
  <c r="BC106" i="3" s="1"/>
  <c r="BC107" i="3" s="1"/>
  <c r="BB108" i="3"/>
  <c r="BB122" i="3" s="1"/>
  <c r="BB123" i="3" s="1"/>
  <c r="BB124" i="3" s="1"/>
  <c r="BB137" i="3" s="1"/>
  <c r="BB109" i="3"/>
  <c r="BB127" i="3" s="1"/>
  <c r="BB128" i="3" s="1"/>
  <c r="BB138" i="3" s="1"/>
  <c r="BD50" i="4"/>
  <c r="BC280" i="3"/>
  <c r="BC281" i="3" s="1"/>
  <c r="BC275" i="3"/>
  <c r="BC276" i="3" s="1"/>
  <c r="BC277" i="3" s="1"/>
  <c r="BC287" i="3"/>
  <c r="BD284" i="3" s="1"/>
  <c r="AY332" i="3"/>
  <c r="AZ331" i="3" s="1"/>
  <c r="BE69" i="4"/>
  <c r="BE64" i="4"/>
  <c r="BC156" i="3"/>
  <c r="BC157" i="3" s="1"/>
  <c r="BC151" i="3"/>
  <c r="BC152" i="3" s="1"/>
  <c r="BC153" i="3" s="1"/>
  <c r="BB294" i="3"/>
  <c r="BB308" i="3" s="1"/>
  <c r="BB309" i="3" s="1"/>
  <c r="BB310" i="3" s="1"/>
  <c r="BB323" i="3" s="1"/>
  <c r="BB295" i="3"/>
  <c r="BB313" i="3" s="1"/>
  <c r="BB314" i="3" s="1"/>
  <c r="BB324" i="3" s="1"/>
  <c r="BA328" i="3"/>
  <c r="BB76" i="3"/>
  <c r="BC39" i="3"/>
  <c r="BD36" i="3" s="1"/>
  <c r="BC77" i="3"/>
  <c r="BB330" i="3"/>
  <c r="BB45" i="7" s="1"/>
  <c r="BC89" i="3"/>
  <c r="BC90" i="3" s="1"/>
  <c r="BC91" i="3" s="1"/>
  <c r="BC94" i="3"/>
  <c r="BC95" i="3" s="1"/>
  <c r="BA329" i="3"/>
  <c r="BC167" i="3"/>
  <c r="BC168" i="3" s="1"/>
  <c r="BC169" i="3" s="1"/>
  <c r="BD74" i="4"/>
  <c r="BC291" i="3"/>
  <c r="BC292" i="3" s="1"/>
  <c r="BC293" i="3" s="1"/>
  <c r="BC139" i="3"/>
  <c r="AX333" i="3"/>
  <c r="AX63" i="4" s="1"/>
  <c r="AX62" i="4" s="1"/>
  <c r="BC196" i="3"/>
  <c r="BD193" i="3" s="1"/>
  <c r="BE65" i="7"/>
  <c r="BE66" i="7" s="1"/>
  <c r="BE80" i="7"/>
  <c r="BD67" i="7"/>
  <c r="BE34" i="7"/>
  <c r="BE33" i="7"/>
  <c r="BE38" i="7"/>
  <c r="BD12" i="7"/>
  <c r="BD13" i="7" s="1"/>
  <c r="BD16" i="7" s="1"/>
  <c r="BE15" i="7"/>
  <c r="BE11" i="7"/>
  <c r="BF14" i="7"/>
  <c r="BE11" i="6"/>
  <c r="BE13" i="6" s="1"/>
  <c r="BF15" i="6"/>
  <c r="BE16" i="6"/>
  <c r="BD12" i="6"/>
  <c r="BD14" i="6" s="1"/>
  <c r="BD17" i="6" s="1"/>
  <c r="BC19" i="4"/>
  <c r="BC20" i="4" s="1"/>
  <c r="BC39" i="4"/>
  <c r="BC40" i="4" s="1"/>
  <c r="BC73" i="4"/>
  <c r="BC43" i="4"/>
  <c r="BC44" i="4" s="1"/>
  <c r="BC24" i="4"/>
  <c r="BC25" i="4" s="1"/>
  <c r="BD34" i="4"/>
  <c r="BD45" i="4"/>
  <c r="BD68" i="4"/>
  <c r="BD18" i="4"/>
  <c r="BD38" i="4"/>
  <c r="BD23" i="4"/>
  <c r="BD42" i="4"/>
  <c r="BB46" i="4"/>
  <c r="BE33" i="4"/>
  <c r="BE31" i="4"/>
  <c r="BE29" i="4"/>
  <c r="BE32" i="4"/>
  <c r="BE30" i="4"/>
  <c r="BD54" i="4"/>
  <c r="BF14" i="4"/>
  <c r="BE15" i="4"/>
  <c r="BE11" i="4"/>
  <c r="BD12" i="4"/>
  <c r="BD13" i="4" s="1"/>
  <c r="BD16" i="4" s="1"/>
  <c r="BD42" i="3"/>
  <c r="BD48" i="3"/>
  <c r="BD19" i="3"/>
  <c r="BD38" i="3"/>
  <c r="BC27" i="3"/>
  <c r="BC28" i="3" s="1"/>
  <c r="BC29" i="3" s="1"/>
  <c r="BC32" i="3"/>
  <c r="BC33" i="3" s="1"/>
  <c r="BE14" i="3"/>
  <c r="BD11" i="3"/>
  <c r="BD12" i="3" s="1"/>
  <c r="BD13" i="3" s="1"/>
  <c r="BD16" i="3" s="1"/>
  <c r="BD15" i="3"/>
  <c r="BF59" i="4" l="1"/>
  <c r="BF55" i="4"/>
  <c r="BF51" i="4"/>
  <c r="BF51" i="7"/>
  <c r="BF48" i="7"/>
  <c r="BF40" i="7"/>
  <c r="BF52" i="7"/>
  <c r="BF49" i="7"/>
  <c r="BF41" i="7"/>
  <c r="BD287" i="3"/>
  <c r="BE284" i="3" s="1"/>
  <c r="BD263" i="3"/>
  <c r="BD72" i="3"/>
  <c r="BE69" i="3" s="1"/>
  <c r="BD139" i="3"/>
  <c r="BC47" i="3"/>
  <c r="BC65" i="3" s="1"/>
  <c r="BC66" i="3" s="1"/>
  <c r="BC76" i="3" s="1"/>
  <c r="BD134" i="3"/>
  <c r="BE131" i="3" s="1"/>
  <c r="BD201" i="3"/>
  <c r="BD225" i="3"/>
  <c r="BE222" i="3" s="1"/>
  <c r="BD320" i="3"/>
  <c r="BE317" i="3" s="1"/>
  <c r="BC330" i="3"/>
  <c r="BC45" i="7" s="1"/>
  <c r="BB329" i="3"/>
  <c r="BD258" i="3"/>
  <c r="BE255" i="3" s="1"/>
  <c r="BB328" i="3"/>
  <c r="BC233" i="3"/>
  <c r="BC251" i="3" s="1"/>
  <c r="BC252" i="3" s="1"/>
  <c r="BC262" i="3" s="1"/>
  <c r="BC232" i="3"/>
  <c r="BC246" i="3" s="1"/>
  <c r="BC247" i="3" s="1"/>
  <c r="BC248" i="3" s="1"/>
  <c r="BC261" i="3" s="1"/>
  <c r="BE54" i="4"/>
  <c r="BE80" i="4"/>
  <c r="BE27" i="7" s="1"/>
  <c r="BC109" i="3"/>
  <c r="BC127" i="3" s="1"/>
  <c r="BC128" i="3" s="1"/>
  <c r="BC138" i="3" s="1"/>
  <c r="BC108" i="3"/>
  <c r="BC122" i="3" s="1"/>
  <c r="BC123" i="3" s="1"/>
  <c r="BC124" i="3" s="1"/>
  <c r="BC137" i="3" s="1"/>
  <c r="BD167" i="3"/>
  <c r="BD168" i="3" s="1"/>
  <c r="BD169" i="3" s="1"/>
  <c r="BD275" i="3"/>
  <c r="BD276" i="3" s="1"/>
  <c r="BD277" i="3" s="1"/>
  <c r="BD280" i="3"/>
  <c r="BD281" i="3" s="1"/>
  <c r="BD39" i="3"/>
  <c r="BE36" i="3" s="1"/>
  <c r="BD77" i="3"/>
  <c r="BD213" i="3"/>
  <c r="BD214" i="3" s="1"/>
  <c r="BD215" i="3" s="1"/>
  <c r="BD218" i="3"/>
  <c r="BD219" i="3" s="1"/>
  <c r="BC294" i="3"/>
  <c r="BC308" i="3" s="1"/>
  <c r="BC309" i="3" s="1"/>
  <c r="BC310" i="3" s="1"/>
  <c r="BC323" i="3" s="1"/>
  <c r="BC295" i="3"/>
  <c r="BC313" i="3" s="1"/>
  <c r="BC314" i="3" s="1"/>
  <c r="BC324" i="3" s="1"/>
  <c r="BD156" i="3"/>
  <c r="BD157" i="3" s="1"/>
  <c r="BD151" i="3"/>
  <c r="BD152" i="3" s="1"/>
  <c r="BD153" i="3" s="1"/>
  <c r="BE74" i="4"/>
  <c r="BD229" i="3"/>
  <c r="BD230" i="3" s="1"/>
  <c r="BD231" i="3" s="1"/>
  <c r="BC171" i="3"/>
  <c r="BC189" i="3" s="1"/>
  <c r="BC190" i="3" s="1"/>
  <c r="BC200" i="3" s="1"/>
  <c r="BC170" i="3"/>
  <c r="BC184" i="3" s="1"/>
  <c r="BC185" i="3" s="1"/>
  <c r="BC186" i="3" s="1"/>
  <c r="BC199" i="3" s="1"/>
  <c r="BE58" i="4"/>
  <c r="BF69" i="4"/>
  <c r="BF64" i="4"/>
  <c r="AR75" i="4"/>
  <c r="AR76" i="4" s="1"/>
  <c r="AR78" i="4" s="1"/>
  <c r="AR19" i="7" s="1"/>
  <c r="BD291" i="3"/>
  <c r="BD292" i="3" s="1"/>
  <c r="BD293" i="3" s="1"/>
  <c r="BC75" i="3"/>
  <c r="BD196" i="3"/>
  <c r="BE193" i="3" s="1"/>
  <c r="BA18" i="7"/>
  <c r="AY333" i="3"/>
  <c r="AY63" i="4" s="1"/>
  <c r="AY62" i="4" s="1"/>
  <c r="BD89" i="3"/>
  <c r="BD90" i="3" s="1"/>
  <c r="BD91" i="3" s="1"/>
  <c r="BD94" i="3"/>
  <c r="BD95" i="3" s="1"/>
  <c r="BD105" i="3"/>
  <c r="BD106" i="3" s="1"/>
  <c r="BD107" i="3" s="1"/>
  <c r="BD101" i="3"/>
  <c r="BE98" i="3" s="1"/>
  <c r="BE70" i="3"/>
  <c r="BE71" i="3"/>
  <c r="BE267" i="3"/>
  <c r="BE143" i="3"/>
  <c r="BE162" i="3"/>
  <c r="BE163" i="3" s="1"/>
  <c r="BF160" i="3" s="1"/>
  <c r="BE290" i="3"/>
  <c r="BE224" i="3"/>
  <c r="BE257" i="3"/>
  <c r="BE319" i="3"/>
  <c r="BE318" i="3"/>
  <c r="BE296" i="3"/>
  <c r="BE104" i="3"/>
  <c r="BE133" i="3"/>
  <c r="BE100" i="3"/>
  <c r="BE81" i="3"/>
  <c r="BE205" i="3"/>
  <c r="BE166" i="3"/>
  <c r="BE195" i="3"/>
  <c r="BE194" i="3"/>
  <c r="BE256" i="3"/>
  <c r="BE228" i="3"/>
  <c r="BE110" i="3"/>
  <c r="BE132" i="3"/>
  <c r="BE286" i="3"/>
  <c r="BE234" i="3"/>
  <c r="BE172" i="3"/>
  <c r="BD43" i="3"/>
  <c r="BD44" i="3" s="1"/>
  <c r="BD45" i="3" s="1"/>
  <c r="BD46" i="3" s="1"/>
  <c r="BD60" i="3" s="1"/>
  <c r="BD61" i="3" s="1"/>
  <c r="BD62" i="3" s="1"/>
  <c r="BE50" i="4"/>
  <c r="AX65" i="4"/>
  <c r="AX70" i="4" s="1"/>
  <c r="AZ332" i="3"/>
  <c r="BA331" i="3" s="1"/>
  <c r="BD325" i="3"/>
  <c r="BF80" i="7"/>
  <c r="BF65" i="7"/>
  <c r="BF66" i="7" s="1"/>
  <c r="BE67" i="7"/>
  <c r="BF34" i="7"/>
  <c r="BF38" i="7"/>
  <c r="BF33" i="7"/>
  <c r="BF15" i="7"/>
  <c r="BF11" i="7"/>
  <c r="BG14" i="7"/>
  <c r="BE12" i="7"/>
  <c r="BE13" i="7" s="1"/>
  <c r="BE16" i="7" s="1"/>
  <c r="BG15" i="6"/>
  <c r="BF16" i="6"/>
  <c r="BF11" i="6"/>
  <c r="BF13" i="6" s="1"/>
  <c r="BE12" i="6"/>
  <c r="BE14" i="6" s="1"/>
  <c r="BE17" i="6" s="1"/>
  <c r="BC46" i="4"/>
  <c r="BE45" i="4"/>
  <c r="BE68" i="4"/>
  <c r="BE18" i="4"/>
  <c r="BE38" i="4"/>
  <c r="BE23" i="4"/>
  <c r="BE42" i="4"/>
  <c r="BF32" i="4"/>
  <c r="BF31" i="4"/>
  <c r="BF29" i="4"/>
  <c r="BF33" i="4"/>
  <c r="BF30" i="4"/>
  <c r="BE34" i="4"/>
  <c r="BD73" i="4"/>
  <c r="AS75" i="4" s="1"/>
  <c r="AS76" i="4" s="1"/>
  <c r="AS78" i="4" s="1"/>
  <c r="AS19" i="7" s="1"/>
  <c r="BD24" i="4"/>
  <c r="BD25" i="4" s="1"/>
  <c r="BD39" i="4"/>
  <c r="BD40" i="4" s="1"/>
  <c r="BD19" i="4"/>
  <c r="BD20" i="4" s="1"/>
  <c r="BD43" i="4"/>
  <c r="BD44" i="4" s="1"/>
  <c r="BE12" i="4"/>
  <c r="BE13" i="4" s="1"/>
  <c r="BE16" i="4" s="1"/>
  <c r="BG14" i="4"/>
  <c r="BF15" i="4"/>
  <c r="BF11" i="4"/>
  <c r="BF74" i="4" s="1"/>
  <c r="BE42" i="3"/>
  <c r="BE48" i="3"/>
  <c r="BE19" i="3"/>
  <c r="BE38" i="3"/>
  <c r="BD27" i="3"/>
  <c r="BD28" i="3" s="1"/>
  <c r="BD29" i="3" s="1"/>
  <c r="BD32" i="3"/>
  <c r="BD33" i="3" s="1"/>
  <c r="BF14" i="3"/>
  <c r="BE11" i="3"/>
  <c r="BE12" i="3" s="1"/>
  <c r="BE13" i="3" s="1"/>
  <c r="BE16" i="3" s="1"/>
  <c r="BE15" i="3"/>
  <c r="BG59" i="4" l="1"/>
  <c r="BG55" i="4"/>
  <c r="BG51" i="4"/>
  <c r="BG51" i="7"/>
  <c r="BG48" i="7"/>
  <c r="BG40" i="7"/>
  <c r="BG52" i="7"/>
  <c r="BG49" i="7"/>
  <c r="BG41" i="7"/>
  <c r="BE258" i="3"/>
  <c r="BF255" i="3" s="1"/>
  <c r="BE201" i="3"/>
  <c r="BB18" i="7"/>
  <c r="BF50" i="4"/>
  <c r="BE134" i="3"/>
  <c r="BF131" i="3" s="1"/>
  <c r="BE263" i="3"/>
  <c r="BE196" i="3"/>
  <c r="BF193" i="3" s="1"/>
  <c r="BC328" i="3"/>
  <c r="BD47" i="3"/>
  <c r="BD65" i="3" s="1"/>
  <c r="BD66" i="3" s="1"/>
  <c r="BD76" i="3" s="1"/>
  <c r="BD330" i="3"/>
  <c r="BD45" i="7" s="1"/>
  <c r="BE320" i="3"/>
  <c r="BF317" i="3" s="1"/>
  <c r="BE72" i="3"/>
  <c r="BF69" i="3" s="1"/>
  <c r="AZ333" i="3"/>
  <c r="AZ63" i="4" s="1"/>
  <c r="AZ62" i="4" s="1"/>
  <c r="BE101" i="3"/>
  <c r="BF98" i="3" s="1"/>
  <c r="BF58" i="4"/>
  <c r="BD108" i="3"/>
  <c r="BD122" i="3" s="1"/>
  <c r="BD123" i="3" s="1"/>
  <c r="BD124" i="3" s="1"/>
  <c r="BD137" i="3" s="1"/>
  <c r="BD109" i="3"/>
  <c r="BD127" i="3" s="1"/>
  <c r="BD128" i="3" s="1"/>
  <c r="BD138" i="3" s="1"/>
  <c r="BD233" i="3"/>
  <c r="BD251" i="3" s="1"/>
  <c r="BD252" i="3" s="1"/>
  <c r="BD262" i="3" s="1"/>
  <c r="BD232" i="3"/>
  <c r="BD246" i="3" s="1"/>
  <c r="BD247" i="3" s="1"/>
  <c r="BD248" i="3" s="1"/>
  <c r="BD261" i="3" s="1"/>
  <c r="BD170" i="3"/>
  <c r="BD184" i="3" s="1"/>
  <c r="BD185" i="3" s="1"/>
  <c r="BD186" i="3" s="1"/>
  <c r="BD199" i="3" s="1"/>
  <c r="BD171" i="3"/>
  <c r="BD189" i="3" s="1"/>
  <c r="BD190" i="3" s="1"/>
  <c r="BD200" i="3" s="1"/>
  <c r="BE167" i="3"/>
  <c r="BE168" i="3" s="1"/>
  <c r="BE169" i="3" s="1"/>
  <c r="BE325" i="3"/>
  <c r="BE213" i="3"/>
  <c r="BE214" i="3" s="1"/>
  <c r="BE215" i="3" s="1"/>
  <c r="BE218" i="3"/>
  <c r="BE219" i="3" s="1"/>
  <c r="BF71" i="3"/>
  <c r="BF70" i="3"/>
  <c r="BF267" i="3"/>
  <c r="BF143" i="3"/>
  <c r="BF162" i="3"/>
  <c r="BF163" i="3" s="1"/>
  <c r="BG160" i="3" s="1"/>
  <c r="BF205" i="3"/>
  <c r="BF319" i="3"/>
  <c r="BF290" i="3"/>
  <c r="BF228" i="3"/>
  <c r="BF286" i="3"/>
  <c r="BF318" i="3"/>
  <c r="BF296" i="3"/>
  <c r="BF81" i="3"/>
  <c r="BF132" i="3"/>
  <c r="BF224" i="3"/>
  <c r="BF256" i="3"/>
  <c r="BF133" i="3"/>
  <c r="BF100" i="3"/>
  <c r="BF257" i="3"/>
  <c r="BF195" i="3"/>
  <c r="BF194" i="3"/>
  <c r="BF166" i="3"/>
  <c r="BF104" i="3"/>
  <c r="BF110" i="3"/>
  <c r="BF172" i="3"/>
  <c r="BF234" i="3"/>
  <c r="BE139" i="3"/>
  <c r="BE291" i="3"/>
  <c r="BE292" i="3" s="1"/>
  <c r="BE293" i="3" s="1"/>
  <c r="BE89" i="3"/>
  <c r="BE90" i="3" s="1"/>
  <c r="BE91" i="3" s="1"/>
  <c r="BE94" i="3"/>
  <c r="BE95" i="3" s="1"/>
  <c r="BF54" i="4"/>
  <c r="BF80" i="4"/>
  <c r="BF27" i="7" s="1"/>
  <c r="BA332" i="3"/>
  <c r="BB331" i="3" s="1"/>
  <c r="BE229" i="3"/>
  <c r="BE230" i="3" s="1"/>
  <c r="BE231" i="3" s="1"/>
  <c r="BE287" i="3"/>
  <c r="BF284" i="3" s="1"/>
  <c r="BE43" i="3"/>
  <c r="BE44" i="3" s="1"/>
  <c r="BE45" i="3" s="1"/>
  <c r="BE47" i="3" s="1"/>
  <c r="BE65" i="3" s="1"/>
  <c r="BE66" i="3" s="1"/>
  <c r="BD75" i="3"/>
  <c r="BE39" i="3"/>
  <c r="BF36" i="3" s="1"/>
  <c r="BE77" i="3"/>
  <c r="BG64" i="4"/>
  <c r="BG69" i="4"/>
  <c r="BE225" i="3"/>
  <c r="BF222" i="3" s="1"/>
  <c r="BE105" i="3"/>
  <c r="BE106" i="3" s="1"/>
  <c r="BE107" i="3" s="1"/>
  <c r="BE151" i="3"/>
  <c r="BE152" i="3" s="1"/>
  <c r="BE153" i="3" s="1"/>
  <c r="BE156" i="3"/>
  <c r="BE157" i="3" s="1"/>
  <c r="BE275" i="3"/>
  <c r="BE276" i="3" s="1"/>
  <c r="BE277" i="3" s="1"/>
  <c r="BE280" i="3"/>
  <c r="BE281" i="3" s="1"/>
  <c r="BD294" i="3"/>
  <c r="BD308" i="3" s="1"/>
  <c r="BD309" i="3" s="1"/>
  <c r="BD310" i="3" s="1"/>
  <c r="BD323" i="3" s="1"/>
  <c r="BD295" i="3"/>
  <c r="BD313" i="3" s="1"/>
  <c r="BD314" i="3" s="1"/>
  <c r="BD324" i="3" s="1"/>
  <c r="AY65" i="4"/>
  <c r="BC329" i="3"/>
  <c r="BF95" i="7"/>
  <c r="BF93" i="7"/>
  <c r="BF67" i="7"/>
  <c r="BG80" i="7"/>
  <c r="BG65" i="7"/>
  <c r="BG66" i="7" s="1"/>
  <c r="BG34" i="7"/>
  <c r="BG38" i="7"/>
  <c r="BG33" i="7"/>
  <c r="BF12" i="7"/>
  <c r="BF13" i="7" s="1"/>
  <c r="BF16" i="7" s="1"/>
  <c r="BG15" i="7"/>
  <c r="BG11" i="7"/>
  <c r="BH14" i="7"/>
  <c r="BF12" i="6"/>
  <c r="BF14" i="6" s="1"/>
  <c r="BF17" i="6" s="1"/>
  <c r="BH15" i="6"/>
  <c r="BG16" i="6"/>
  <c r="BG11" i="6"/>
  <c r="BG13" i="6" s="1"/>
  <c r="BD46" i="4"/>
  <c r="BE39" i="4"/>
  <c r="BE40" i="4" s="1"/>
  <c r="BE19" i="4"/>
  <c r="BE20" i="4" s="1"/>
  <c r="BE24" i="4"/>
  <c r="BE25" i="4" s="1"/>
  <c r="BE43" i="4"/>
  <c r="BE44" i="4" s="1"/>
  <c r="BE73" i="4"/>
  <c r="BF45" i="4"/>
  <c r="BF68" i="4"/>
  <c r="BF18" i="4"/>
  <c r="BF38" i="4"/>
  <c r="BF23" i="4"/>
  <c r="BF42" i="4"/>
  <c r="BF34" i="4"/>
  <c r="BG31" i="4"/>
  <c r="BG32" i="4"/>
  <c r="BG29" i="4"/>
  <c r="BG33" i="4"/>
  <c r="BG30" i="4"/>
  <c r="BF12" i="4"/>
  <c r="BF13" i="4" s="1"/>
  <c r="BF16" i="4" s="1"/>
  <c r="BG15" i="4"/>
  <c r="BG11" i="4"/>
  <c r="BG74" i="4" s="1"/>
  <c r="BH14" i="4"/>
  <c r="BF42" i="3"/>
  <c r="BF48" i="3"/>
  <c r="BF38" i="3"/>
  <c r="BF19" i="3"/>
  <c r="BE32" i="3"/>
  <c r="BE33" i="3" s="1"/>
  <c r="BE27" i="3"/>
  <c r="BE28" i="3" s="1"/>
  <c r="BE29" i="3" s="1"/>
  <c r="BG14" i="3"/>
  <c r="BF11" i="3"/>
  <c r="BF12" i="3" s="1"/>
  <c r="BF13" i="3" s="1"/>
  <c r="BF16" i="3" s="1"/>
  <c r="BF15" i="3"/>
  <c r="BC18" i="7" l="1"/>
  <c r="BH51" i="4"/>
  <c r="BH59" i="4"/>
  <c r="BE46" i="3"/>
  <c r="BE60" i="3" s="1"/>
  <c r="BE61" i="3" s="1"/>
  <c r="BE62" i="3" s="1"/>
  <c r="BE75" i="3" s="1"/>
  <c r="BH51" i="7"/>
  <c r="BH48" i="7"/>
  <c r="BH40" i="7"/>
  <c r="BH52" i="7"/>
  <c r="BH49" i="7"/>
  <c r="BH41" i="7"/>
  <c r="BF225" i="3"/>
  <c r="BG222" i="3" s="1"/>
  <c r="BF196" i="3"/>
  <c r="BG193" i="3" s="1"/>
  <c r="BF139" i="3"/>
  <c r="BF72" i="3"/>
  <c r="BG69" i="3" s="1"/>
  <c r="BD329" i="3"/>
  <c r="BF201" i="3"/>
  <c r="BF325" i="3"/>
  <c r="BF258" i="3"/>
  <c r="BG255" i="3" s="1"/>
  <c r="BF320" i="3"/>
  <c r="BG317" i="3" s="1"/>
  <c r="BF287" i="3"/>
  <c r="BG284" i="3" s="1"/>
  <c r="BF134" i="3"/>
  <c r="BG131" i="3" s="1"/>
  <c r="BA333" i="3"/>
  <c r="BA63" i="4" s="1"/>
  <c r="BA62" i="4" s="1"/>
  <c r="BE108" i="3"/>
  <c r="BE122" i="3" s="1"/>
  <c r="BE123" i="3" s="1"/>
  <c r="BE124" i="3" s="1"/>
  <c r="BE137" i="3" s="1"/>
  <c r="BE109" i="3"/>
  <c r="BE127" i="3" s="1"/>
  <c r="BE128" i="3" s="1"/>
  <c r="BE138" i="3" s="1"/>
  <c r="BE233" i="3"/>
  <c r="BE251" i="3" s="1"/>
  <c r="BE252" i="3" s="1"/>
  <c r="BE262" i="3" s="1"/>
  <c r="BE232" i="3"/>
  <c r="BE246" i="3" s="1"/>
  <c r="BE247" i="3" s="1"/>
  <c r="BE248" i="3" s="1"/>
  <c r="BE261" i="3" s="1"/>
  <c r="BH64" i="4"/>
  <c r="BH69" i="4"/>
  <c r="AY70" i="4"/>
  <c r="AZ65" i="4"/>
  <c r="AZ70" i="4" s="1"/>
  <c r="BF229" i="3"/>
  <c r="BF230" i="3" s="1"/>
  <c r="BF231" i="3" s="1"/>
  <c r="BF291" i="3"/>
  <c r="BF292" i="3" s="1"/>
  <c r="BF293" i="3" s="1"/>
  <c r="BE171" i="3"/>
  <c r="BE189" i="3" s="1"/>
  <c r="BE190" i="3" s="1"/>
  <c r="BE200" i="3" s="1"/>
  <c r="BE170" i="3"/>
  <c r="BE184" i="3" s="1"/>
  <c r="BE185" i="3" s="1"/>
  <c r="BE186" i="3" s="1"/>
  <c r="BE199" i="3" s="1"/>
  <c r="BD328" i="3"/>
  <c r="BF105" i="3"/>
  <c r="BF106" i="3" s="1"/>
  <c r="BF107" i="3" s="1"/>
  <c r="BF263" i="3"/>
  <c r="BG70" i="3"/>
  <c r="BG71" i="3"/>
  <c r="BG162" i="3"/>
  <c r="BG163" i="3" s="1"/>
  <c r="BH160" i="3" s="1"/>
  <c r="BG143" i="3"/>
  <c r="BG267" i="3"/>
  <c r="BG286" i="3"/>
  <c r="BG318" i="3"/>
  <c r="BG228" i="3"/>
  <c r="BG224" i="3"/>
  <c r="BG319" i="3"/>
  <c r="BG290" i="3"/>
  <c r="BG205" i="3"/>
  <c r="BG195" i="3"/>
  <c r="BG296" i="3"/>
  <c r="BG194" i="3"/>
  <c r="BG81" i="3"/>
  <c r="BG257" i="3"/>
  <c r="BG110" i="3"/>
  <c r="BG256" i="3"/>
  <c r="BG166" i="3"/>
  <c r="BG104" i="3"/>
  <c r="BG132" i="3"/>
  <c r="BG100" i="3"/>
  <c r="BG133" i="3"/>
  <c r="BG234" i="3"/>
  <c r="BG172" i="3"/>
  <c r="BG58" i="4"/>
  <c r="BG80" i="4"/>
  <c r="BG27" i="7" s="1"/>
  <c r="BF39" i="3"/>
  <c r="BG36" i="3" s="1"/>
  <c r="BF77" i="3"/>
  <c r="BB332" i="3"/>
  <c r="BC331" i="3" s="1"/>
  <c r="BE294" i="3"/>
  <c r="BE308" i="3" s="1"/>
  <c r="BE309" i="3" s="1"/>
  <c r="BE310" i="3" s="1"/>
  <c r="BE323" i="3" s="1"/>
  <c r="BE295" i="3"/>
  <c r="BE313" i="3" s="1"/>
  <c r="BE314" i="3" s="1"/>
  <c r="BE324" i="3" s="1"/>
  <c r="BF167" i="3"/>
  <c r="BF168" i="3" s="1"/>
  <c r="BF169" i="3" s="1"/>
  <c r="BF213" i="3"/>
  <c r="BF214" i="3" s="1"/>
  <c r="BF215" i="3" s="1"/>
  <c r="BF218" i="3"/>
  <c r="BF219" i="3" s="1"/>
  <c r="BF89" i="3"/>
  <c r="BF90" i="3" s="1"/>
  <c r="BF91" i="3" s="1"/>
  <c r="BF94" i="3"/>
  <c r="BF95" i="3" s="1"/>
  <c r="BG225" i="3"/>
  <c r="BH222" i="3" s="1"/>
  <c r="BF156" i="3"/>
  <c r="BF157" i="3" s="1"/>
  <c r="BF151" i="3"/>
  <c r="BF152" i="3" s="1"/>
  <c r="BF153" i="3" s="1"/>
  <c r="BE330" i="3"/>
  <c r="BE45" i="7" s="1"/>
  <c r="BF43" i="3"/>
  <c r="BF44" i="3" s="1"/>
  <c r="BF45" i="3" s="1"/>
  <c r="BF46" i="3" s="1"/>
  <c r="BF60" i="3" s="1"/>
  <c r="BF61" i="3" s="1"/>
  <c r="BF62" i="3" s="1"/>
  <c r="BE76" i="3"/>
  <c r="AT75" i="4"/>
  <c r="AT76" i="4" s="1"/>
  <c r="AT78" i="4" s="1"/>
  <c r="AT19" i="7" s="1"/>
  <c r="BF101" i="3"/>
  <c r="BG98" i="3" s="1"/>
  <c r="BF280" i="3"/>
  <c r="BF281" i="3" s="1"/>
  <c r="BF275" i="3"/>
  <c r="BF276" i="3" s="1"/>
  <c r="BF277" i="3" s="1"/>
  <c r="BG95" i="7"/>
  <c r="BG93" i="7"/>
  <c r="BG67" i="7"/>
  <c r="BH80" i="7"/>
  <c r="BH65" i="7"/>
  <c r="BH66" i="7" s="1"/>
  <c r="BH34" i="7"/>
  <c r="BH38" i="7"/>
  <c r="BH33" i="7"/>
  <c r="BG12" i="7"/>
  <c r="BG13" i="7" s="1"/>
  <c r="BG16" i="7" s="1"/>
  <c r="BI14" i="7"/>
  <c r="BH15" i="7"/>
  <c r="BH11" i="7"/>
  <c r="BG12" i="6"/>
  <c r="BG14" i="6" s="1"/>
  <c r="BG17" i="6" s="1"/>
  <c r="BH16" i="6"/>
  <c r="BH11" i="6"/>
  <c r="BH13" i="6" s="1"/>
  <c r="BI15" i="6"/>
  <c r="BF73" i="4"/>
  <c r="BF39" i="4"/>
  <c r="BF40" i="4" s="1"/>
  <c r="BF24" i="4"/>
  <c r="BF25" i="4" s="1"/>
  <c r="BF43" i="4"/>
  <c r="BF44" i="4" s="1"/>
  <c r="BF19" i="4"/>
  <c r="BF20" i="4" s="1"/>
  <c r="BH32" i="4"/>
  <c r="BH31" i="4"/>
  <c r="BH29" i="4"/>
  <c r="BH33" i="4"/>
  <c r="BH30" i="4"/>
  <c r="BG45" i="4"/>
  <c r="BG68" i="4"/>
  <c r="BG18" i="4"/>
  <c r="BG23" i="4"/>
  <c r="BG38" i="4"/>
  <c r="BG42" i="4"/>
  <c r="BG54" i="4"/>
  <c r="BE46" i="4"/>
  <c r="BG50" i="4"/>
  <c r="BG34" i="4"/>
  <c r="BH15" i="4"/>
  <c r="BH11" i="4"/>
  <c r="BH58" i="4" s="1"/>
  <c r="BI14" i="4"/>
  <c r="BG12" i="4"/>
  <c r="BG13" i="4" s="1"/>
  <c r="BG16" i="4" s="1"/>
  <c r="BG42" i="3"/>
  <c r="BG48" i="3"/>
  <c r="BG19" i="3"/>
  <c r="BG38" i="3"/>
  <c r="BF27" i="3"/>
  <c r="BF28" i="3" s="1"/>
  <c r="BF29" i="3" s="1"/>
  <c r="BF32" i="3"/>
  <c r="BF33" i="3" s="1"/>
  <c r="BH14" i="3"/>
  <c r="BG11" i="3"/>
  <c r="BG12" i="3" s="1"/>
  <c r="BG13" i="3" s="1"/>
  <c r="BG16" i="3" s="1"/>
  <c r="BG15" i="3"/>
  <c r="BD18" i="7" l="1"/>
  <c r="BI55" i="4"/>
  <c r="BI51" i="4"/>
  <c r="BI59" i="4"/>
  <c r="BI52" i="7"/>
  <c r="BI49" i="7"/>
  <c r="BI41" i="7"/>
  <c r="BI51" i="7"/>
  <c r="BI40" i="7"/>
  <c r="BI48" i="7"/>
  <c r="BG258" i="3"/>
  <c r="BH255" i="3" s="1"/>
  <c r="BF47" i="3"/>
  <c r="BF65" i="3" s="1"/>
  <c r="BF66" i="3" s="1"/>
  <c r="BF76" i="3" s="1"/>
  <c r="BA65" i="4"/>
  <c r="BA70" i="4" s="1"/>
  <c r="BG320" i="3"/>
  <c r="BH317" i="3" s="1"/>
  <c r="BG101" i="3"/>
  <c r="BH98" i="3" s="1"/>
  <c r="BB333" i="3"/>
  <c r="BB63" i="4" s="1"/>
  <c r="BB62" i="4" s="1"/>
  <c r="BF330" i="3"/>
  <c r="BF45" i="7" s="1"/>
  <c r="BG287" i="3"/>
  <c r="BH284" i="3" s="1"/>
  <c r="BE329" i="3"/>
  <c r="BF46" i="4"/>
  <c r="BG72" i="3"/>
  <c r="BH69" i="3" s="1"/>
  <c r="BG201" i="3"/>
  <c r="BG134" i="3"/>
  <c r="BH131" i="3" s="1"/>
  <c r="BF233" i="3"/>
  <c r="BF251" i="3" s="1"/>
  <c r="BF252" i="3" s="1"/>
  <c r="BF262" i="3" s="1"/>
  <c r="BF232" i="3"/>
  <c r="BF246" i="3" s="1"/>
  <c r="BF247" i="3" s="1"/>
  <c r="BF248" i="3" s="1"/>
  <c r="BF261" i="3" s="1"/>
  <c r="BF109" i="3"/>
  <c r="BF127" i="3" s="1"/>
  <c r="BF128" i="3" s="1"/>
  <c r="BF138" i="3" s="1"/>
  <c r="BF108" i="3"/>
  <c r="BF122" i="3" s="1"/>
  <c r="BF123" i="3" s="1"/>
  <c r="BF124" i="3" s="1"/>
  <c r="BF137" i="3" s="1"/>
  <c r="AU75" i="4"/>
  <c r="AU76" i="4" s="1"/>
  <c r="AU78" i="4" s="1"/>
  <c r="AU19" i="7" s="1"/>
  <c r="BG291" i="3"/>
  <c r="BG292" i="3" s="1"/>
  <c r="BG293" i="3" s="1"/>
  <c r="BE328" i="3"/>
  <c r="BG263" i="3"/>
  <c r="BF75" i="3"/>
  <c r="BI64" i="4"/>
  <c r="BG89" i="3"/>
  <c r="BG90" i="3" s="1"/>
  <c r="BG91" i="3" s="1"/>
  <c r="BG94" i="3"/>
  <c r="BG95" i="3" s="1"/>
  <c r="BG229" i="3"/>
  <c r="BG230" i="3" s="1"/>
  <c r="BG231" i="3" s="1"/>
  <c r="BF295" i="3"/>
  <c r="BF313" i="3" s="1"/>
  <c r="BF314" i="3" s="1"/>
  <c r="BF324" i="3" s="1"/>
  <c r="BF294" i="3"/>
  <c r="BF308" i="3" s="1"/>
  <c r="BF309" i="3" s="1"/>
  <c r="BF310" i="3" s="1"/>
  <c r="BF323" i="3" s="1"/>
  <c r="BG196" i="3"/>
  <c r="BH193" i="3" s="1"/>
  <c r="BG167" i="3"/>
  <c r="BG168" i="3" s="1"/>
  <c r="BG169" i="3" s="1"/>
  <c r="BG213" i="3"/>
  <c r="BG214" i="3" s="1"/>
  <c r="BG215" i="3" s="1"/>
  <c r="BG218" i="3"/>
  <c r="BG219" i="3" s="1"/>
  <c r="BG151" i="3"/>
  <c r="BG152" i="3" s="1"/>
  <c r="BG153" i="3" s="1"/>
  <c r="BG156" i="3"/>
  <c r="BG157" i="3" s="1"/>
  <c r="BG43" i="3"/>
  <c r="BG44" i="3" s="1"/>
  <c r="BG45" i="3" s="1"/>
  <c r="BG46" i="3" s="1"/>
  <c r="BG60" i="3" s="1"/>
  <c r="BG61" i="3" s="1"/>
  <c r="BG62" i="3" s="1"/>
  <c r="BC332" i="3"/>
  <c r="BD331" i="3" s="1"/>
  <c r="BG139" i="3"/>
  <c r="BG39" i="3"/>
  <c r="BH36" i="3" s="1"/>
  <c r="BG77" i="3"/>
  <c r="BH54" i="4"/>
  <c r="BH55" i="4" s="1"/>
  <c r="BH80" i="4"/>
  <c r="BH27" i="7" s="1"/>
  <c r="BG325" i="3"/>
  <c r="BH74" i="4"/>
  <c r="BF171" i="3"/>
  <c r="BF189" i="3" s="1"/>
  <c r="BF190" i="3" s="1"/>
  <c r="BF200" i="3" s="1"/>
  <c r="BF170" i="3"/>
  <c r="BF184" i="3" s="1"/>
  <c r="BF185" i="3" s="1"/>
  <c r="BF186" i="3" s="1"/>
  <c r="BF199" i="3" s="1"/>
  <c r="BH70" i="3"/>
  <c r="BH71" i="3"/>
  <c r="BH143" i="3"/>
  <c r="BH162" i="3"/>
  <c r="BH163" i="3" s="1"/>
  <c r="BI160" i="3" s="1"/>
  <c r="BH267" i="3"/>
  <c r="BH228" i="3"/>
  <c r="BH286" i="3"/>
  <c r="BH205" i="3"/>
  <c r="BH257" i="3"/>
  <c r="BH224" i="3"/>
  <c r="BH296" i="3"/>
  <c r="BH195" i="3"/>
  <c r="BH290" i="3"/>
  <c r="BH81" i="3"/>
  <c r="BH256" i="3"/>
  <c r="BH194" i="3"/>
  <c r="BH104" i="3"/>
  <c r="BH319" i="3"/>
  <c r="BH318" i="3"/>
  <c r="BH166" i="3"/>
  <c r="BH110" i="3"/>
  <c r="BH100" i="3"/>
  <c r="BH132" i="3"/>
  <c r="BH133" i="3"/>
  <c r="BH172" i="3"/>
  <c r="BH234" i="3"/>
  <c r="BH50" i="4"/>
  <c r="BG105" i="3"/>
  <c r="BG106" i="3" s="1"/>
  <c r="BG107" i="3" s="1"/>
  <c r="BG275" i="3"/>
  <c r="BG276" i="3" s="1"/>
  <c r="BG277" i="3" s="1"/>
  <c r="BG280" i="3"/>
  <c r="BG281" i="3" s="1"/>
  <c r="BH95" i="7"/>
  <c r="BH93" i="7"/>
  <c r="BI80" i="7"/>
  <c r="BI65" i="7"/>
  <c r="BI66" i="7" s="1"/>
  <c r="BH67" i="7"/>
  <c r="BI38" i="7"/>
  <c r="BI33" i="7"/>
  <c r="BI34" i="7"/>
  <c r="BH12" i="7"/>
  <c r="BH13" i="7" s="1"/>
  <c r="BH16" i="7" s="1"/>
  <c r="BJ14" i="7"/>
  <c r="BI15" i="7"/>
  <c r="BI11" i="7"/>
  <c r="BI16" i="6"/>
  <c r="BI11" i="6"/>
  <c r="BI13" i="6" s="1"/>
  <c r="BJ15" i="6"/>
  <c r="BH12" i="6"/>
  <c r="BH14" i="6" s="1"/>
  <c r="BH17" i="6" s="1"/>
  <c r="BG43" i="4"/>
  <c r="BG44" i="4" s="1"/>
  <c r="BG19" i="4"/>
  <c r="BG20" i="4" s="1"/>
  <c r="BG73" i="4"/>
  <c r="BG39" i="4"/>
  <c r="BG40" i="4" s="1"/>
  <c r="BG24" i="4"/>
  <c r="BG25" i="4" s="1"/>
  <c r="BI32" i="4"/>
  <c r="BI33" i="4"/>
  <c r="BI30" i="4"/>
  <c r="BI31" i="4"/>
  <c r="BI29" i="4"/>
  <c r="BH68" i="4"/>
  <c r="BH45" i="4"/>
  <c r="BH23" i="4"/>
  <c r="BH38" i="4"/>
  <c r="BH18" i="4"/>
  <c r="BH42" i="4"/>
  <c r="BH34" i="4"/>
  <c r="BI15" i="4"/>
  <c r="BI11" i="4"/>
  <c r="BI80" i="4" s="1"/>
  <c r="BI27" i="7" s="1"/>
  <c r="BJ14" i="4"/>
  <c r="BH12" i="4"/>
  <c r="BH13" i="4" s="1"/>
  <c r="BH16" i="4" s="1"/>
  <c r="BH42" i="3"/>
  <c r="BH48" i="3"/>
  <c r="BH19" i="3"/>
  <c r="BH38" i="3"/>
  <c r="BG27" i="3"/>
  <c r="BG28" i="3" s="1"/>
  <c r="BG29" i="3" s="1"/>
  <c r="BG32" i="3"/>
  <c r="BG33" i="3" s="1"/>
  <c r="BI14" i="3"/>
  <c r="BH11" i="3"/>
  <c r="BH12" i="3" s="1"/>
  <c r="BH13" i="3" s="1"/>
  <c r="BH16" i="3" s="1"/>
  <c r="BH15" i="3"/>
  <c r="BJ55" i="4" l="1"/>
  <c r="BJ59" i="4"/>
  <c r="BG47" i="3"/>
  <c r="BG65" i="3" s="1"/>
  <c r="BG66" i="3" s="1"/>
  <c r="BG76" i="3" s="1"/>
  <c r="BI50" i="4"/>
  <c r="BB65" i="4"/>
  <c r="BB70" i="4" s="1"/>
  <c r="BH72" i="3"/>
  <c r="BI69" i="3" s="1"/>
  <c r="BH201" i="3"/>
  <c r="BH320" i="3"/>
  <c r="BI317" i="3" s="1"/>
  <c r="BH258" i="3"/>
  <c r="BI255" i="3" s="1"/>
  <c r="BE18" i="7"/>
  <c r="BH134" i="3"/>
  <c r="BI131" i="3" s="1"/>
  <c r="BH263" i="3"/>
  <c r="BI95" i="7"/>
  <c r="BC333" i="3"/>
  <c r="BC63" i="4" s="1"/>
  <c r="BC62" i="4" s="1"/>
  <c r="BH196" i="3"/>
  <c r="BI193" i="3" s="1"/>
  <c r="BI74" i="4"/>
  <c r="BG171" i="3"/>
  <c r="BG189" i="3" s="1"/>
  <c r="BG190" i="3" s="1"/>
  <c r="BG200" i="3" s="1"/>
  <c r="BG170" i="3"/>
  <c r="BG184" i="3" s="1"/>
  <c r="BG185" i="3" s="1"/>
  <c r="BG186" i="3" s="1"/>
  <c r="BG199" i="3" s="1"/>
  <c r="BG233" i="3"/>
  <c r="BG251" i="3" s="1"/>
  <c r="BG252" i="3" s="1"/>
  <c r="BG262" i="3" s="1"/>
  <c r="BG232" i="3"/>
  <c r="BG246" i="3" s="1"/>
  <c r="BG247" i="3" s="1"/>
  <c r="BG248" i="3" s="1"/>
  <c r="BG261" i="3" s="1"/>
  <c r="BH225" i="3"/>
  <c r="BI222" i="3" s="1"/>
  <c r="BH105" i="3"/>
  <c r="BH106" i="3" s="1"/>
  <c r="BH107" i="3" s="1"/>
  <c r="BF328" i="3"/>
  <c r="BI71" i="3"/>
  <c r="BI70" i="3"/>
  <c r="BI143" i="3"/>
  <c r="BI267" i="3"/>
  <c r="BI162" i="3"/>
  <c r="BI163" i="3" s="1"/>
  <c r="BJ160" i="3" s="1"/>
  <c r="BI228" i="3"/>
  <c r="BI286" i="3"/>
  <c r="BI257" i="3"/>
  <c r="BI318" i="3"/>
  <c r="BI205" i="3"/>
  <c r="BI319" i="3"/>
  <c r="BI296" i="3"/>
  <c r="BI104" i="3"/>
  <c r="BI81" i="3"/>
  <c r="BI256" i="3"/>
  <c r="BI110" i="3"/>
  <c r="BI195" i="3"/>
  <c r="BI133" i="3"/>
  <c r="BI132" i="3"/>
  <c r="BI224" i="3"/>
  <c r="BI100" i="3"/>
  <c r="BI194" i="3"/>
  <c r="BI166" i="3"/>
  <c r="BI290" i="3"/>
  <c r="BI172" i="3"/>
  <c r="BI234" i="3"/>
  <c r="BH325" i="3"/>
  <c r="BH213" i="3"/>
  <c r="BH214" i="3" s="1"/>
  <c r="BH215" i="3" s="1"/>
  <c r="BH218" i="3"/>
  <c r="BH219" i="3" s="1"/>
  <c r="BF329" i="3"/>
  <c r="BI54" i="4"/>
  <c r="BG75" i="3"/>
  <c r="BJ69" i="4"/>
  <c r="BJ64" i="4"/>
  <c r="BH139" i="3"/>
  <c r="BH89" i="3"/>
  <c r="BH90" i="3" s="1"/>
  <c r="BH91" i="3" s="1"/>
  <c r="BH94" i="3"/>
  <c r="BH95" i="3" s="1"/>
  <c r="BH229" i="3"/>
  <c r="BH230" i="3" s="1"/>
  <c r="BH231" i="3" s="1"/>
  <c r="BH101" i="3"/>
  <c r="BI98" i="3" s="1"/>
  <c r="BH287" i="3"/>
  <c r="BI284" i="3" s="1"/>
  <c r="BG108" i="3"/>
  <c r="BG122" i="3" s="1"/>
  <c r="BG123" i="3" s="1"/>
  <c r="BG124" i="3" s="1"/>
  <c r="BG137" i="3" s="1"/>
  <c r="BG109" i="3"/>
  <c r="BG127" i="3" s="1"/>
  <c r="BG128" i="3" s="1"/>
  <c r="BG138" i="3" s="1"/>
  <c r="BG295" i="3"/>
  <c r="BG313" i="3" s="1"/>
  <c r="BG314" i="3" s="1"/>
  <c r="BG324" i="3" s="1"/>
  <c r="BG294" i="3"/>
  <c r="BG308" i="3" s="1"/>
  <c r="BG309" i="3" s="1"/>
  <c r="BG310" i="3" s="1"/>
  <c r="BG323" i="3" s="1"/>
  <c r="BH39" i="3"/>
  <c r="BI36" i="3" s="1"/>
  <c r="BH77" i="3"/>
  <c r="AV75" i="4"/>
  <c r="AV76" i="4" s="1"/>
  <c r="AV78" i="4" s="1"/>
  <c r="AV19" i="7" s="1"/>
  <c r="BH291" i="3"/>
  <c r="BH292" i="3" s="1"/>
  <c r="BH293" i="3" s="1"/>
  <c r="BH275" i="3"/>
  <c r="BH276" i="3" s="1"/>
  <c r="BH277" i="3" s="1"/>
  <c r="BH280" i="3"/>
  <c r="BH281" i="3" s="1"/>
  <c r="BG330" i="3"/>
  <c r="BG45" i="7" s="1"/>
  <c r="BH167" i="3"/>
  <c r="BH168" i="3" s="1"/>
  <c r="BH169" i="3" s="1"/>
  <c r="BH43" i="3"/>
  <c r="BH44" i="3" s="1"/>
  <c r="BH45" i="3" s="1"/>
  <c r="BH47" i="3" s="1"/>
  <c r="BH65" i="3" s="1"/>
  <c r="BH66" i="3" s="1"/>
  <c r="BH151" i="3"/>
  <c r="BH152" i="3" s="1"/>
  <c r="BH153" i="3" s="1"/>
  <c r="BH156" i="3"/>
  <c r="BH157" i="3" s="1"/>
  <c r="BD332" i="3"/>
  <c r="BE331" i="3" s="1"/>
  <c r="BI93" i="7"/>
  <c r="BI67" i="7"/>
  <c r="BJ80" i="7"/>
  <c r="BJ65" i="7"/>
  <c r="BJ66" i="7" s="1"/>
  <c r="BJ38" i="7"/>
  <c r="BJ33" i="7"/>
  <c r="BJ34" i="7"/>
  <c r="BI12" i="7"/>
  <c r="BI13" i="7" s="1"/>
  <c r="BI16" i="7" s="1"/>
  <c r="BK14" i="7"/>
  <c r="BJ15" i="7"/>
  <c r="BJ11" i="7"/>
  <c r="BJ11" i="6"/>
  <c r="BJ13" i="6" s="1"/>
  <c r="BK15" i="6"/>
  <c r="BJ16" i="6"/>
  <c r="BI12" i="6"/>
  <c r="BI14" i="6" s="1"/>
  <c r="BI17" i="6" s="1"/>
  <c r="BI68" i="4"/>
  <c r="BI69" i="4" s="1"/>
  <c r="BI45" i="4"/>
  <c r="BI38" i="4"/>
  <c r="BI18" i="4"/>
  <c r="BI23" i="4"/>
  <c r="BI42" i="4"/>
  <c r="BI34" i="4"/>
  <c r="BH24" i="4"/>
  <c r="BH25" i="4" s="1"/>
  <c r="BH19" i="4"/>
  <c r="BH20" i="4" s="1"/>
  <c r="BH73" i="4"/>
  <c r="AW75" i="4" s="1"/>
  <c r="AW76" i="4" s="1"/>
  <c r="AW78" i="4" s="1"/>
  <c r="AW19" i="7" s="1"/>
  <c r="BH43" i="4"/>
  <c r="BH44" i="4" s="1"/>
  <c r="BH39" i="4"/>
  <c r="BH40" i="4" s="1"/>
  <c r="BJ32" i="4"/>
  <c r="BJ33" i="4"/>
  <c r="BJ30" i="4"/>
  <c r="BJ29" i="4"/>
  <c r="BJ31" i="4"/>
  <c r="BG46" i="4"/>
  <c r="BI58" i="4"/>
  <c r="BJ15" i="4"/>
  <c r="BJ11" i="4"/>
  <c r="BJ80" i="4" s="1"/>
  <c r="BJ27" i="7" s="1"/>
  <c r="BK14" i="4"/>
  <c r="BI12" i="4"/>
  <c r="BI13" i="4" s="1"/>
  <c r="BI16" i="4" s="1"/>
  <c r="BI42" i="3"/>
  <c r="BI48" i="3"/>
  <c r="BI38" i="3"/>
  <c r="BI19" i="3"/>
  <c r="BH27" i="3"/>
  <c r="BH28" i="3" s="1"/>
  <c r="BH29" i="3" s="1"/>
  <c r="BH32" i="3"/>
  <c r="BH33" i="3" s="1"/>
  <c r="BJ14" i="3"/>
  <c r="BI11" i="3"/>
  <c r="BI12" i="3" s="1"/>
  <c r="BI13" i="3" s="1"/>
  <c r="BI16" i="3" s="1"/>
  <c r="BI15" i="3"/>
  <c r="BK59" i="4" l="1"/>
  <c r="BK51" i="4"/>
  <c r="BK55" i="4"/>
  <c r="BC65" i="4"/>
  <c r="BC70" i="4" s="1"/>
  <c r="BI39" i="3"/>
  <c r="BJ36" i="3" s="1"/>
  <c r="BI101" i="3"/>
  <c r="BJ98" i="3" s="1"/>
  <c r="BI196" i="3"/>
  <c r="BJ193" i="3" s="1"/>
  <c r="BJ58" i="4"/>
  <c r="BJ50" i="4"/>
  <c r="BJ51" i="4" s="1"/>
  <c r="BI134" i="3"/>
  <c r="BJ131" i="3" s="1"/>
  <c r="BI258" i="3"/>
  <c r="BJ255" i="3" s="1"/>
  <c r="BI77" i="3"/>
  <c r="BI287" i="3"/>
  <c r="BJ284" i="3" s="1"/>
  <c r="BI72" i="3"/>
  <c r="BJ69" i="3" s="1"/>
  <c r="BI320" i="3"/>
  <c r="BJ317" i="3" s="1"/>
  <c r="BJ54" i="4"/>
  <c r="BH46" i="4"/>
  <c r="BI225" i="3"/>
  <c r="BJ222" i="3" s="1"/>
  <c r="BD333" i="3"/>
  <c r="BD63" i="4" s="1"/>
  <c r="BD62" i="4" s="1"/>
  <c r="BG329" i="3"/>
  <c r="BH233" i="3"/>
  <c r="BH251" i="3" s="1"/>
  <c r="BH252" i="3" s="1"/>
  <c r="BH262" i="3" s="1"/>
  <c r="BH232" i="3"/>
  <c r="BH246" i="3" s="1"/>
  <c r="BH247" i="3" s="1"/>
  <c r="BH248" i="3" s="1"/>
  <c r="BH261" i="3" s="1"/>
  <c r="BH109" i="3"/>
  <c r="BH127" i="3" s="1"/>
  <c r="BH128" i="3" s="1"/>
  <c r="BH138" i="3" s="1"/>
  <c r="BH108" i="3"/>
  <c r="BH122" i="3" s="1"/>
  <c r="BH123" i="3" s="1"/>
  <c r="BH124" i="3" s="1"/>
  <c r="BH137" i="3" s="1"/>
  <c r="BI156" i="3"/>
  <c r="BI157" i="3" s="1"/>
  <c r="BI151" i="3"/>
  <c r="BI152" i="3" s="1"/>
  <c r="BI153" i="3" s="1"/>
  <c r="BI218" i="3"/>
  <c r="BI219" i="3" s="1"/>
  <c r="BI213" i="3"/>
  <c r="BI214" i="3" s="1"/>
  <c r="BI215" i="3" s="1"/>
  <c r="BK64" i="4"/>
  <c r="BH171" i="3"/>
  <c r="BH189" i="3" s="1"/>
  <c r="BH190" i="3" s="1"/>
  <c r="BH200" i="3" s="1"/>
  <c r="BH170" i="3"/>
  <c r="BH184" i="3" s="1"/>
  <c r="BH185" i="3" s="1"/>
  <c r="BH186" i="3" s="1"/>
  <c r="BH199" i="3" s="1"/>
  <c r="BI291" i="3"/>
  <c r="BI292" i="3" s="1"/>
  <c r="BI293" i="3" s="1"/>
  <c r="BF18" i="7"/>
  <c r="BH295" i="3"/>
  <c r="BH313" i="3" s="1"/>
  <c r="BH314" i="3" s="1"/>
  <c r="BH324" i="3" s="1"/>
  <c r="BH294" i="3"/>
  <c r="BH308" i="3" s="1"/>
  <c r="BH309" i="3" s="1"/>
  <c r="BH310" i="3" s="1"/>
  <c r="BH323" i="3" s="1"/>
  <c r="BE332" i="3"/>
  <c r="BF331" i="3" s="1"/>
  <c r="BJ74" i="4"/>
  <c r="BI167" i="3"/>
  <c r="BI168" i="3" s="1"/>
  <c r="BI169" i="3" s="1"/>
  <c r="BI325" i="3"/>
  <c r="BH76" i="3"/>
  <c r="BH46" i="3"/>
  <c r="BH60" i="3" s="1"/>
  <c r="BH61" i="3" s="1"/>
  <c r="BH62" i="3" s="1"/>
  <c r="BH75" i="3" s="1"/>
  <c r="BI201" i="3"/>
  <c r="BI89" i="3"/>
  <c r="BI90" i="3" s="1"/>
  <c r="BI91" i="3" s="1"/>
  <c r="BI94" i="3"/>
  <c r="BI95" i="3" s="1"/>
  <c r="BI229" i="3"/>
  <c r="BI230" i="3" s="1"/>
  <c r="BI231" i="3" s="1"/>
  <c r="BH330" i="3"/>
  <c r="BH45" i="7" s="1"/>
  <c r="BI139" i="3"/>
  <c r="BI105" i="3"/>
  <c r="BI106" i="3" s="1"/>
  <c r="BI107" i="3" s="1"/>
  <c r="BI43" i="3"/>
  <c r="BI44" i="3" s="1"/>
  <c r="BI45" i="3" s="1"/>
  <c r="BI46" i="3" s="1"/>
  <c r="BI60" i="3" s="1"/>
  <c r="BI61" i="3" s="1"/>
  <c r="BI62" i="3" s="1"/>
  <c r="BJ71" i="3"/>
  <c r="BJ70" i="3"/>
  <c r="BJ162" i="3"/>
  <c r="BJ163" i="3" s="1"/>
  <c r="BK160" i="3" s="1"/>
  <c r="BJ267" i="3"/>
  <c r="BJ143" i="3"/>
  <c r="BJ319" i="3"/>
  <c r="BJ318" i="3"/>
  <c r="BJ256" i="3"/>
  <c r="BJ290" i="3"/>
  <c r="BJ286" i="3"/>
  <c r="BJ205" i="3"/>
  <c r="BJ224" i="3"/>
  <c r="BJ225" i="3" s="1"/>
  <c r="BK222" i="3" s="1"/>
  <c r="BJ81" i="3"/>
  <c r="BJ132" i="3"/>
  <c r="BJ100" i="3"/>
  <c r="BJ133" i="3"/>
  <c r="BJ110" i="3"/>
  <c r="BJ296" i="3"/>
  <c r="BJ228" i="3"/>
  <c r="BJ257" i="3"/>
  <c r="BJ195" i="3"/>
  <c r="BJ166" i="3"/>
  <c r="BJ104" i="3"/>
  <c r="BJ194" i="3"/>
  <c r="BJ172" i="3"/>
  <c r="BJ234" i="3"/>
  <c r="BG328" i="3"/>
  <c r="BI263" i="3"/>
  <c r="BI280" i="3"/>
  <c r="BI281" i="3" s="1"/>
  <c r="BI275" i="3"/>
  <c r="BI276" i="3" s="1"/>
  <c r="BI277" i="3" s="1"/>
  <c r="BK65" i="7"/>
  <c r="BK66" i="7" s="1"/>
  <c r="BK80" i="7"/>
  <c r="BJ67" i="7"/>
  <c r="BK38" i="7"/>
  <c r="BK33" i="7"/>
  <c r="BK34" i="7"/>
  <c r="BJ12" i="7"/>
  <c r="BJ13" i="7" s="1"/>
  <c r="BJ16" i="7" s="1"/>
  <c r="BL14" i="7"/>
  <c r="BK15" i="7"/>
  <c r="BK11" i="7"/>
  <c r="BK11" i="6"/>
  <c r="BK13" i="6" s="1"/>
  <c r="BL15" i="6"/>
  <c r="BK16" i="6"/>
  <c r="BJ12" i="6"/>
  <c r="BJ14" i="6" s="1"/>
  <c r="BJ17" i="6" s="1"/>
  <c r="BI19" i="4"/>
  <c r="BI20" i="4" s="1"/>
  <c r="BI24" i="4"/>
  <c r="BI25" i="4" s="1"/>
  <c r="BI43" i="4"/>
  <c r="BI44" i="4" s="1"/>
  <c r="BI39" i="4"/>
  <c r="BI40" i="4" s="1"/>
  <c r="BI73" i="4"/>
  <c r="BJ34" i="4"/>
  <c r="BK33" i="4"/>
  <c r="BK31" i="4"/>
  <c r="BK30" i="4"/>
  <c r="BK29" i="4"/>
  <c r="BK32" i="4"/>
  <c r="BJ68" i="4"/>
  <c r="BJ45" i="4"/>
  <c r="BJ18" i="4"/>
  <c r="BJ38" i="4"/>
  <c r="BJ23" i="4"/>
  <c r="BJ42" i="4"/>
  <c r="BK15" i="4"/>
  <c r="BK11" i="4"/>
  <c r="BK80" i="4" s="1"/>
  <c r="BK27" i="7" s="1"/>
  <c r="BL14" i="4"/>
  <c r="BJ12" i="4"/>
  <c r="BJ13" i="4" s="1"/>
  <c r="BJ16" i="4" s="1"/>
  <c r="BJ42" i="3"/>
  <c r="BJ48" i="3"/>
  <c r="BJ38" i="3"/>
  <c r="BJ19" i="3"/>
  <c r="BI32" i="3"/>
  <c r="BI33" i="3" s="1"/>
  <c r="BI27" i="3"/>
  <c r="BI28" i="3" s="1"/>
  <c r="BI29" i="3" s="1"/>
  <c r="BK14" i="3"/>
  <c r="BJ11" i="3"/>
  <c r="BJ12" i="3" s="1"/>
  <c r="BJ13" i="3" s="1"/>
  <c r="BJ16" i="3" s="1"/>
  <c r="BJ15" i="3"/>
  <c r="BL55" i="4" l="1"/>
  <c r="BL59" i="4"/>
  <c r="BL51" i="4"/>
  <c r="BL52" i="7"/>
  <c r="BL49" i="7"/>
  <c r="BL41" i="7"/>
  <c r="BL51" i="7"/>
  <c r="BL48" i="7"/>
  <c r="BL40" i="7"/>
  <c r="BD65" i="4"/>
  <c r="BD70" i="4" s="1"/>
  <c r="BJ287" i="3"/>
  <c r="BK284" i="3" s="1"/>
  <c r="BJ72" i="3"/>
  <c r="BK69" i="3" s="1"/>
  <c r="BG18" i="7"/>
  <c r="BJ77" i="3"/>
  <c r="BJ258" i="3"/>
  <c r="BK255" i="3" s="1"/>
  <c r="BJ320" i="3"/>
  <c r="BK317" i="3" s="1"/>
  <c r="BJ134" i="3"/>
  <c r="BK131" i="3" s="1"/>
  <c r="BJ196" i="3"/>
  <c r="BK193" i="3" s="1"/>
  <c r="BH329" i="3"/>
  <c r="BJ39" i="3"/>
  <c r="BK36" i="3" s="1"/>
  <c r="BJ139" i="3"/>
  <c r="BI330" i="3"/>
  <c r="BI45" i="7" s="1"/>
  <c r="BI170" i="3"/>
  <c r="BI184" i="3" s="1"/>
  <c r="BI185" i="3" s="1"/>
  <c r="BI186" i="3" s="1"/>
  <c r="BI199" i="3" s="1"/>
  <c r="BI171" i="3"/>
  <c r="BI189" i="3" s="1"/>
  <c r="BI190" i="3" s="1"/>
  <c r="BI200" i="3" s="1"/>
  <c r="BI232" i="3"/>
  <c r="BI246" i="3" s="1"/>
  <c r="BI247" i="3" s="1"/>
  <c r="BI248" i="3" s="1"/>
  <c r="BI261" i="3" s="1"/>
  <c r="BI233" i="3"/>
  <c r="BI251" i="3" s="1"/>
  <c r="BI252" i="3" s="1"/>
  <c r="BI262" i="3" s="1"/>
  <c r="BL69" i="4"/>
  <c r="BL64" i="4"/>
  <c r="BJ167" i="3"/>
  <c r="BJ168" i="3" s="1"/>
  <c r="BJ169" i="3" s="1"/>
  <c r="BJ263" i="3"/>
  <c r="BJ280" i="3"/>
  <c r="BJ281" i="3" s="1"/>
  <c r="BJ275" i="3"/>
  <c r="BJ276" i="3" s="1"/>
  <c r="BJ277" i="3" s="1"/>
  <c r="BJ89" i="3"/>
  <c r="BJ90" i="3" s="1"/>
  <c r="BJ91" i="3" s="1"/>
  <c r="BJ94" i="3"/>
  <c r="BJ95" i="3" s="1"/>
  <c r="BI294" i="3"/>
  <c r="BI308" i="3" s="1"/>
  <c r="BI309" i="3" s="1"/>
  <c r="BI310" i="3" s="1"/>
  <c r="BI323" i="3" s="1"/>
  <c r="BI295" i="3"/>
  <c r="BI313" i="3" s="1"/>
  <c r="BI314" i="3" s="1"/>
  <c r="BI324" i="3" s="1"/>
  <c r="BI47" i="3"/>
  <c r="BI65" i="3" s="1"/>
  <c r="BI66" i="3" s="1"/>
  <c r="BI76" i="3" s="1"/>
  <c r="BJ229" i="3"/>
  <c r="BJ230" i="3" s="1"/>
  <c r="BJ231" i="3" s="1"/>
  <c r="BJ213" i="3"/>
  <c r="BJ214" i="3" s="1"/>
  <c r="BJ215" i="3" s="1"/>
  <c r="BJ218" i="3"/>
  <c r="BJ219" i="3" s="1"/>
  <c r="BJ101" i="3"/>
  <c r="BK98" i="3" s="1"/>
  <c r="BK74" i="4"/>
  <c r="BI75" i="3"/>
  <c r="BI109" i="3"/>
  <c r="BI127" i="3" s="1"/>
  <c r="BI128" i="3" s="1"/>
  <c r="BI138" i="3" s="1"/>
  <c r="BI108" i="3"/>
  <c r="BI122" i="3" s="1"/>
  <c r="BI123" i="3" s="1"/>
  <c r="BI124" i="3" s="1"/>
  <c r="BI137" i="3" s="1"/>
  <c r="BJ325" i="3"/>
  <c r="BE333" i="3"/>
  <c r="BE63" i="4" s="1"/>
  <c r="BE62" i="4" s="1"/>
  <c r="AX75" i="4"/>
  <c r="AX76" i="4" s="1"/>
  <c r="AX78" i="4" s="1"/>
  <c r="AX19" i="7" s="1"/>
  <c r="BJ156" i="3"/>
  <c r="BJ157" i="3" s="1"/>
  <c r="BJ151" i="3"/>
  <c r="BJ152" i="3" s="1"/>
  <c r="BJ153" i="3" s="1"/>
  <c r="BK71" i="3"/>
  <c r="BK70" i="3"/>
  <c r="BK143" i="3"/>
  <c r="BK162" i="3"/>
  <c r="BK163" i="3" s="1"/>
  <c r="BL160" i="3" s="1"/>
  <c r="BK267" i="3"/>
  <c r="BK228" i="3"/>
  <c r="BK257" i="3"/>
  <c r="BK296" i="3"/>
  <c r="BK224" i="3"/>
  <c r="BK225" i="3" s="1"/>
  <c r="BL222" i="3" s="1"/>
  <c r="BK286" i="3"/>
  <c r="BK256" i="3"/>
  <c r="BK290" i="3"/>
  <c r="BK194" i="3"/>
  <c r="BK166" i="3"/>
  <c r="BK81" i="3"/>
  <c r="BK205" i="3"/>
  <c r="BK100" i="3"/>
  <c r="BK132" i="3"/>
  <c r="BK319" i="3"/>
  <c r="BK104" i="3"/>
  <c r="BK318" i="3"/>
  <c r="BK195" i="3"/>
  <c r="BK133" i="3"/>
  <c r="BK110" i="3"/>
  <c r="BK172" i="3"/>
  <c r="BK234" i="3"/>
  <c r="BJ291" i="3"/>
  <c r="BJ292" i="3" s="1"/>
  <c r="BJ293" i="3" s="1"/>
  <c r="BF332" i="3"/>
  <c r="BG331" i="3" s="1"/>
  <c r="BJ105" i="3"/>
  <c r="BJ106" i="3" s="1"/>
  <c r="BJ107" i="3" s="1"/>
  <c r="BJ43" i="3"/>
  <c r="BJ44" i="3" s="1"/>
  <c r="BJ45" i="3" s="1"/>
  <c r="BJ47" i="3" s="1"/>
  <c r="BJ65" i="3" s="1"/>
  <c r="BJ66" i="3" s="1"/>
  <c r="BJ201" i="3"/>
  <c r="BH328" i="3"/>
  <c r="BK67" i="7"/>
  <c r="BL80" i="7"/>
  <c r="BL65" i="7"/>
  <c r="BL66" i="7" s="1"/>
  <c r="BL38" i="7"/>
  <c r="BL33" i="7"/>
  <c r="BL34" i="7"/>
  <c r="BK12" i="7"/>
  <c r="BK13" i="7" s="1"/>
  <c r="BK16" i="7" s="1"/>
  <c r="BM14" i="7"/>
  <c r="BL15" i="7"/>
  <c r="BL11" i="7"/>
  <c r="BL11" i="6"/>
  <c r="BL13" i="6" s="1"/>
  <c r="BM15" i="6"/>
  <c r="BL16" i="6"/>
  <c r="BK12" i="6"/>
  <c r="BK14" i="6" s="1"/>
  <c r="BK17" i="6" s="1"/>
  <c r="BJ39" i="4"/>
  <c r="BJ40" i="4" s="1"/>
  <c r="BJ24" i="4"/>
  <c r="BJ25" i="4" s="1"/>
  <c r="BJ19" i="4"/>
  <c r="BJ20" i="4" s="1"/>
  <c r="BJ43" i="4"/>
  <c r="BJ44" i="4" s="1"/>
  <c r="BJ73" i="4"/>
  <c r="AY75" i="4" s="1"/>
  <c r="AY76" i="4" s="1"/>
  <c r="AY78" i="4" s="1"/>
  <c r="AY19" i="7" s="1"/>
  <c r="BL33" i="4"/>
  <c r="BL31" i="4"/>
  <c r="BL32" i="4"/>
  <c r="BL29" i="4"/>
  <c r="BL30" i="4"/>
  <c r="BK45" i="4"/>
  <c r="BK68" i="4"/>
  <c r="BK69" i="4" s="1"/>
  <c r="BK38" i="4"/>
  <c r="BK18" i="4"/>
  <c r="BK23" i="4"/>
  <c r="BK42" i="4"/>
  <c r="BI46" i="4"/>
  <c r="BK54" i="4"/>
  <c r="BK58" i="4"/>
  <c r="BK34" i="4"/>
  <c r="BK50" i="4"/>
  <c r="BL11" i="4"/>
  <c r="BL80" i="4" s="1"/>
  <c r="BL27" i="7" s="1"/>
  <c r="BM14" i="4"/>
  <c r="BL15" i="4"/>
  <c r="BK12" i="4"/>
  <c r="BK13" i="4" s="1"/>
  <c r="BK16" i="4" s="1"/>
  <c r="BK42" i="3"/>
  <c r="BK48" i="3"/>
  <c r="BK38" i="3"/>
  <c r="BK19" i="3"/>
  <c r="BJ27" i="3"/>
  <c r="BJ28" i="3" s="1"/>
  <c r="BJ29" i="3" s="1"/>
  <c r="BJ32" i="3"/>
  <c r="BJ33" i="3" s="1"/>
  <c r="BL14" i="3"/>
  <c r="BK11" i="3"/>
  <c r="BK12" i="3" s="1"/>
  <c r="BK13" i="3" s="1"/>
  <c r="BK16" i="3" s="1"/>
  <c r="BK15" i="3"/>
  <c r="BM51" i="4" l="1"/>
  <c r="BM55" i="4"/>
  <c r="BM52" i="7"/>
  <c r="BM49" i="7"/>
  <c r="BM41" i="7"/>
  <c r="BM51" i="7"/>
  <c r="BM48" i="7"/>
  <c r="BM40" i="7"/>
  <c r="BK72" i="3"/>
  <c r="BL69" i="3" s="1"/>
  <c r="BH18" i="7"/>
  <c r="BF333" i="3"/>
  <c r="BF63" i="4" s="1"/>
  <c r="BF62" i="4" s="1"/>
  <c r="BJ46" i="3"/>
  <c r="BJ60" i="3" s="1"/>
  <c r="BJ61" i="3" s="1"/>
  <c r="BJ62" i="3" s="1"/>
  <c r="BJ75" i="3" s="1"/>
  <c r="BK134" i="3"/>
  <c r="BL131" i="3" s="1"/>
  <c r="BK77" i="3"/>
  <c r="BK320" i="3"/>
  <c r="BL317" i="3" s="1"/>
  <c r="BK201" i="3"/>
  <c r="BK258" i="3"/>
  <c r="BL255" i="3" s="1"/>
  <c r="BJ170" i="3"/>
  <c r="BJ184" i="3" s="1"/>
  <c r="BJ185" i="3" s="1"/>
  <c r="BJ186" i="3" s="1"/>
  <c r="BJ199" i="3" s="1"/>
  <c r="BJ171" i="3"/>
  <c r="BJ189" i="3" s="1"/>
  <c r="BJ190" i="3" s="1"/>
  <c r="BJ200" i="3" s="1"/>
  <c r="BJ232" i="3"/>
  <c r="BJ246" i="3" s="1"/>
  <c r="BJ247" i="3" s="1"/>
  <c r="BJ248" i="3" s="1"/>
  <c r="BJ261" i="3" s="1"/>
  <c r="BJ233" i="3"/>
  <c r="BJ251" i="3" s="1"/>
  <c r="BJ252" i="3" s="1"/>
  <c r="BJ262" i="3" s="1"/>
  <c r="BL74" i="4"/>
  <c r="BL58" i="4"/>
  <c r="BG332" i="3"/>
  <c r="BH331" i="3" s="1"/>
  <c r="BK167" i="3"/>
  <c r="BK168" i="3" s="1"/>
  <c r="BK169" i="3" s="1"/>
  <c r="BK229" i="3"/>
  <c r="BK230" i="3" s="1"/>
  <c r="BK231" i="3" s="1"/>
  <c r="BJ76" i="3"/>
  <c r="BK43" i="3"/>
  <c r="BK44" i="3" s="1"/>
  <c r="BK45" i="3" s="1"/>
  <c r="BK47" i="3" s="1"/>
  <c r="BK65" i="3" s="1"/>
  <c r="BK66" i="3" s="1"/>
  <c r="BL50" i="4"/>
  <c r="BJ295" i="3"/>
  <c r="BJ313" i="3" s="1"/>
  <c r="BJ314" i="3" s="1"/>
  <c r="BJ324" i="3" s="1"/>
  <c r="BJ294" i="3"/>
  <c r="BJ308" i="3" s="1"/>
  <c r="BJ309" i="3" s="1"/>
  <c r="BJ310" i="3" s="1"/>
  <c r="BJ323" i="3" s="1"/>
  <c r="BK105" i="3"/>
  <c r="BK106" i="3" s="1"/>
  <c r="BK107" i="3" s="1"/>
  <c r="BK291" i="3"/>
  <c r="BK292" i="3" s="1"/>
  <c r="BK293" i="3" s="1"/>
  <c r="BE65" i="4"/>
  <c r="BE70" i="4" s="1"/>
  <c r="BK151" i="3"/>
  <c r="BK152" i="3" s="1"/>
  <c r="BK153" i="3" s="1"/>
  <c r="BK156" i="3"/>
  <c r="BK157" i="3" s="1"/>
  <c r="BJ330" i="3"/>
  <c r="BJ45" i="7" s="1"/>
  <c r="BK89" i="3"/>
  <c r="BK90" i="3" s="1"/>
  <c r="BK91" i="3" s="1"/>
  <c r="BK94" i="3"/>
  <c r="BK95" i="3" s="1"/>
  <c r="BL71" i="3"/>
  <c r="BL70" i="3"/>
  <c r="BL267" i="3"/>
  <c r="BL143" i="3"/>
  <c r="BL162" i="3"/>
  <c r="BL163" i="3" s="1"/>
  <c r="BM160" i="3" s="1"/>
  <c r="BL228" i="3"/>
  <c r="BL318" i="3"/>
  <c r="BL224" i="3"/>
  <c r="BL319" i="3"/>
  <c r="BL286" i="3"/>
  <c r="BL290" i="3"/>
  <c r="BL195" i="3"/>
  <c r="BL81" i="3"/>
  <c r="BL257" i="3"/>
  <c r="BL172" i="3"/>
  <c r="BL133" i="3"/>
  <c r="BL194" i="3"/>
  <c r="BL166" i="3"/>
  <c r="BL256" i="3"/>
  <c r="BL110" i="3"/>
  <c r="BL132" i="3"/>
  <c r="BL296" i="3"/>
  <c r="BL205" i="3"/>
  <c r="BL104" i="3"/>
  <c r="BL100" i="3"/>
  <c r="BL234" i="3"/>
  <c r="BK280" i="3"/>
  <c r="BK281" i="3" s="1"/>
  <c r="BK275" i="3"/>
  <c r="BK276" i="3" s="1"/>
  <c r="BK277" i="3" s="1"/>
  <c r="BK39" i="3"/>
  <c r="BL36" i="3" s="1"/>
  <c r="BK325" i="3"/>
  <c r="BK101" i="3"/>
  <c r="BL98" i="3" s="1"/>
  <c r="BI329" i="3"/>
  <c r="BM69" i="4"/>
  <c r="BM64" i="4"/>
  <c r="BJ108" i="3"/>
  <c r="BJ122" i="3" s="1"/>
  <c r="BJ123" i="3" s="1"/>
  <c r="BJ124" i="3" s="1"/>
  <c r="BJ137" i="3" s="1"/>
  <c r="BJ109" i="3"/>
  <c r="BJ127" i="3" s="1"/>
  <c r="BJ128" i="3" s="1"/>
  <c r="BJ138" i="3" s="1"/>
  <c r="BK139" i="3"/>
  <c r="BK263" i="3"/>
  <c r="BI328" i="3"/>
  <c r="BK287" i="3"/>
  <c r="BL284" i="3" s="1"/>
  <c r="BL95" i="7"/>
  <c r="BK213" i="3"/>
  <c r="BK214" i="3" s="1"/>
  <c r="BK215" i="3" s="1"/>
  <c r="BK218" i="3"/>
  <c r="BK219" i="3" s="1"/>
  <c r="BK196" i="3"/>
  <c r="BL193" i="3" s="1"/>
  <c r="BL93" i="7"/>
  <c r="BM65" i="7"/>
  <c r="BM66" i="7" s="1"/>
  <c r="BM80" i="7"/>
  <c r="BL67" i="7"/>
  <c r="BM34" i="7"/>
  <c r="BM33" i="7"/>
  <c r="BM38" i="7"/>
  <c r="BL12" i="7"/>
  <c r="BL13" i="7" s="1"/>
  <c r="BL16" i="7" s="1"/>
  <c r="BM15" i="7"/>
  <c r="BM11" i="7"/>
  <c r="BN14" i="7"/>
  <c r="BM11" i="6"/>
  <c r="BM13" i="6" s="1"/>
  <c r="BN15" i="6"/>
  <c r="BM16" i="6"/>
  <c r="BL12" i="6"/>
  <c r="BL14" i="6" s="1"/>
  <c r="BL17" i="6" s="1"/>
  <c r="BK19" i="4"/>
  <c r="BK20" i="4" s="1"/>
  <c r="BK39" i="4"/>
  <c r="BK40" i="4" s="1"/>
  <c r="BK73" i="4"/>
  <c r="AZ75" i="4" s="1"/>
  <c r="AZ76" i="4" s="1"/>
  <c r="AZ78" i="4" s="1"/>
  <c r="AZ19" i="7" s="1"/>
  <c r="BK43" i="4"/>
  <c r="BK44" i="4" s="1"/>
  <c r="BK24" i="4"/>
  <c r="BK25" i="4" s="1"/>
  <c r="BJ46" i="4"/>
  <c r="BM33" i="4"/>
  <c r="BM31" i="4"/>
  <c r="BM30" i="4"/>
  <c r="BM32" i="4"/>
  <c r="BM29" i="4"/>
  <c r="BL45" i="4"/>
  <c r="BL68" i="4"/>
  <c r="BL38" i="4"/>
  <c r="BL23" i="4"/>
  <c r="BL18" i="4"/>
  <c r="BL42" i="4"/>
  <c r="BL54" i="4"/>
  <c r="BL34" i="4"/>
  <c r="BM11" i="4"/>
  <c r="BM74" i="4" s="1"/>
  <c r="BN14" i="4"/>
  <c r="BM15" i="4"/>
  <c r="BL12" i="4"/>
  <c r="BL13" i="4" s="1"/>
  <c r="BL16" i="4" s="1"/>
  <c r="BL42" i="3"/>
  <c r="BL48" i="3"/>
  <c r="BL38" i="3"/>
  <c r="BL19" i="3"/>
  <c r="BK27" i="3"/>
  <c r="BK28" i="3" s="1"/>
  <c r="BK29" i="3" s="1"/>
  <c r="BK32" i="3"/>
  <c r="BK33" i="3" s="1"/>
  <c r="BM14" i="3"/>
  <c r="BL11" i="3"/>
  <c r="BL12" i="3" s="1"/>
  <c r="BL13" i="3" s="1"/>
  <c r="BL16" i="3" s="1"/>
  <c r="BL15" i="3"/>
  <c r="BN59" i="4" l="1"/>
  <c r="BN55" i="4"/>
  <c r="BN51" i="4"/>
  <c r="BN41" i="7"/>
  <c r="BN51" i="7"/>
  <c r="BN48" i="7"/>
  <c r="BN40" i="7"/>
  <c r="BN52" i="7"/>
  <c r="BN49" i="7"/>
  <c r="BL287" i="3"/>
  <c r="BM284" i="3" s="1"/>
  <c r="BL134" i="3"/>
  <c r="BM131" i="3" s="1"/>
  <c r="BL139" i="3"/>
  <c r="BL39" i="3"/>
  <c r="BM36" i="3" s="1"/>
  <c r="BL72" i="3"/>
  <c r="BM69" i="3" s="1"/>
  <c r="BG333" i="3"/>
  <c r="BG63" i="4" s="1"/>
  <c r="BG62" i="4" s="1"/>
  <c r="BM67" i="7"/>
  <c r="BL320" i="3"/>
  <c r="BM317" i="3" s="1"/>
  <c r="BF65" i="4"/>
  <c r="BF70" i="4" s="1"/>
  <c r="BM34" i="4"/>
  <c r="BI18" i="7"/>
  <c r="BL258" i="3"/>
  <c r="BM255" i="3" s="1"/>
  <c r="BK330" i="3"/>
  <c r="BK45" i="7" s="1"/>
  <c r="BK232" i="3"/>
  <c r="BK246" i="3" s="1"/>
  <c r="BK247" i="3" s="1"/>
  <c r="BK248" i="3" s="1"/>
  <c r="BK261" i="3" s="1"/>
  <c r="BK233" i="3"/>
  <c r="BK251" i="3" s="1"/>
  <c r="BK252" i="3" s="1"/>
  <c r="BK262" i="3" s="1"/>
  <c r="BK294" i="3"/>
  <c r="BK308" i="3" s="1"/>
  <c r="BK309" i="3" s="1"/>
  <c r="BK310" i="3" s="1"/>
  <c r="BK323" i="3" s="1"/>
  <c r="BK295" i="3"/>
  <c r="BK313" i="3" s="1"/>
  <c r="BK314" i="3" s="1"/>
  <c r="BK324" i="3" s="1"/>
  <c r="BL196" i="3"/>
  <c r="BM193" i="3" s="1"/>
  <c r="BL167" i="3"/>
  <c r="BL168" i="3" s="1"/>
  <c r="BL169" i="3" s="1"/>
  <c r="BL325" i="3"/>
  <c r="BH332" i="3"/>
  <c r="BI331" i="3" s="1"/>
  <c r="BL105" i="3"/>
  <c r="BL106" i="3" s="1"/>
  <c r="BL107" i="3" s="1"/>
  <c r="BL263" i="3"/>
  <c r="BL291" i="3"/>
  <c r="BL292" i="3" s="1"/>
  <c r="BL293" i="3" s="1"/>
  <c r="BL77" i="3"/>
  <c r="BK46" i="3"/>
  <c r="BK60" i="3" s="1"/>
  <c r="BK61" i="3" s="1"/>
  <c r="BK62" i="3" s="1"/>
  <c r="BK75" i="3" s="1"/>
  <c r="BL213" i="3"/>
  <c r="BL214" i="3" s="1"/>
  <c r="BL215" i="3" s="1"/>
  <c r="BL218" i="3"/>
  <c r="BL219" i="3" s="1"/>
  <c r="BJ328" i="3"/>
  <c r="BN64" i="4"/>
  <c r="BM58" i="4"/>
  <c r="BM59" i="4" s="1"/>
  <c r="BM80" i="4"/>
  <c r="BM27" i="7" s="1"/>
  <c r="BL229" i="3"/>
  <c r="BL230" i="3" s="1"/>
  <c r="BL231" i="3" s="1"/>
  <c r="BJ329" i="3"/>
  <c r="BL280" i="3"/>
  <c r="BL281" i="3" s="1"/>
  <c r="BL275" i="3"/>
  <c r="BL276" i="3" s="1"/>
  <c r="BL277" i="3" s="1"/>
  <c r="BK108" i="3"/>
  <c r="BK122" i="3" s="1"/>
  <c r="BK123" i="3" s="1"/>
  <c r="BK124" i="3" s="1"/>
  <c r="BK137" i="3" s="1"/>
  <c r="BK109" i="3"/>
  <c r="BK127" i="3" s="1"/>
  <c r="BK128" i="3" s="1"/>
  <c r="BK138" i="3" s="1"/>
  <c r="BM70" i="3"/>
  <c r="BM71" i="3"/>
  <c r="BM267" i="3"/>
  <c r="BM143" i="3"/>
  <c r="BM162" i="3"/>
  <c r="BM163" i="3" s="1"/>
  <c r="BN160" i="3" s="1"/>
  <c r="BM205" i="3"/>
  <c r="BM296" i="3"/>
  <c r="BM257" i="3"/>
  <c r="BM290" i="3"/>
  <c r="BM318" i="3"/>
  <c r="BM133" i="3"/>
  <c r="BM132" i="3"/>
  <c r="BM256" i="3"/>
  <c r="BM224" i="3"/>
  <c r="BM195" i="3"/>
  <c r="BM194" i="3"/>
  <c r="BM166" i="3"/>
  <c r="BM228" i="3"/>
  <c r="BM286" i="3"/>
  <c r="BM104" i="3"/>
  <c r="BM100" i="3"/>
  <c r="BM81" i="3"/>
  <c r="BM110" i="3"/>
  <c r="BM319" i="3"/>
  <c r="BM234" i="3"/>
  <c r="BM172" i="3"/>
  <c r="BL89" i="3"/>
  <c r="BL90" i="3" s="1"/>
  <c r="BL91" i="3" s="1"/>
  <c r="BL94" i="3"/>
  <c r="BL95" i="3" s="1"/>
  <c r="BK171" i="3"/>
  <c r="BK189" i="3" s="1"/>
  <c r="BK190" i="3" s="1"/>
  <c r="BK200" i="3" s="1"/>
  <c r="BK170" i="3"/>
  <c r="BK184" i="3" s="1"/>
  <c r="BK185" i="3" s="1"/>
  <c r="BK186" i="3" s="1"/>
  <c r="BK199" i="3" s="1"/>
  <c r="BK76" i="3"/>
  <c r="BL43" i="3"/>
  <c r="BL44" i="3" s="1"/>
  <c r="BL45" i="3" s="1"/>
  <c r="BL47" i="3" s="1"/>
  <c r="BL65" i="3" s="1"/>
  <c r="BL66" i="3" s="1"/>
  <c r="BM93" i="7"/>
  <c r="BM95" i="7"/>
  <c r="BL101" i="3"/>
  <c r="BM98" i="3" s="1"/>
  <c r="BL201" i="3"/>
  <c r="BL151" i="3"/>
  <c r="BL152" i="3" s="1"/>
  <c r="BL153" i="3" s="1"/>
  <c r="BL156" i="3"/>
  <c r="BL157" i="3" s="1"/>
  <c r="BL225" i="3"/>
  <c r="BM222" i="3" s="1"/>
  <c r="BN80" i="7"/>
  <c r="BN65" i="7"/>
  <c r="BN66" i="7" s="1"/>
  <c r="BN34" i="7"/>
  <c r="BN38" i="7"/>
  <c r="BN33" i="7"/>
  <c r="BN15" i="7"/>
  <c r="BN11" i="7"/>
  <c r="BO14" i="7"/>
  <c r="BM12" i="7"/>
  <c r="BM13" i="7" s="1"/>
  <c r="BM16" i="7" s="1"/>
  <c r="BO15" i="6"/>
  <c r="BN16" i="6"/>
  <c r="BN11" i="6"/>
  <c r="BN13" i="6" s="1"/>
  <c r="BM12" i="6"/>
  <c r="BM14" i="6" s="1"/>
  <c r="BM17" i="6" s="1"/>
  <c r="BN31" i="4"/>
  <c r="BN32" i="4"/>
  <c r="BN33" i="4"/>
  <c r="BN29" i="4"/>
  <c r="BN30" i="4"/>
  <c r="BK46" i="4"/>
  <c r="BM54" i="4"/>
  <c r="BL73" i="4"/>
  <c r="BL39" i="4"/>
  <c r="BL40" i="4" s="1"/>
  <c r="BL19" i="4"/>
  <c r="BL20" i="4" s="1"/>
  <c r="BL24" i="4"/>
  <c r="BL25" i="4" s="1"/>
  <c r="BL43" i="4"/>
  <c r="BL44" i="4" s="1"/>
  <c r="BM45" i="4"/>
  <c r="BM68" i="4"/>
  <c r="BM18" i="4"/>
  <c r="BM23" i="4"/>
  <c r="BM38" i="4"/>
  <c r="BM42" i="4"/>
  <c r="BM50" i="4"/>
  <c r="BO14" i="4"/>
  <c r="BN15" i="4"/>
  <c r="BN11" i="4"/>
  <c r="BN74" i="4" s="1"/>
  <c r="BM12" i="4"/>
  <c r="BM13" i="4" s="1"/>
  <c r="BM16" i="4" s="1"/>
  <c r="BM42" i="3"/>
  <c r="BM48" i="3"/>
  <c r="BM38" i="3"/>
  <c r="BM19" i="3"/>
  <c r="BL32" i="3"/>
  <c r="BL33" i="3" s="1"/>
  <c r="BL27" i="3"/>
  <c r="BL28" i="3" s="1"/>
  <c r="BL29" i="3" s="1"/>
  <c r="BN14" i="3"/>
  <c r="BM11" i="3"/>
  <c r="BM12" i="3" s="1"/>
  <c r="BM13" i="3" s="1"/>
  <c r="BM16" i="3" s="1"/>
  <c r="BM15" i="3"/>
  <c r="BO59" i="4" l="1"/>
  <c r="BO51" i="4"/>
  <c r="BO55" i="4"/>
  <c r="BO51" i="7"/>
  <c r="BO48" i="7"/>
  <c r="BO40" i="7"/>
  <c r="BO52" i="7"/>
  <c r="BO49" i="7"/>
  <c r="BO41" i="7"/>
  <c r="BM72" i="3"/>
  <c r="BN69" i="3" s="1"/>
  <c r="BM77" i="3"/>
  <c r="BG65" i="4"/>
  <c r="BG70" i="4" s="1"/>
  <c r="BM101" i="3"/>
  <c r="BN98" i="3" s="1"/>
  <c r="BM134" i="3"/>
  <c r="BN131" i="3" s="1"/>
  <c r="BM320" i="3"/>
  <c r="BN317" i="3" s="1"/>
  <c r="BM263" i="3"/>
  <c r="BM258" i="3"/>
  <c r="BN255" i="3" s="1"/>
  <c r="BL46" i="3"/>
  <c r="BL60" i="3" s="1"/>
  <c r="BL61" i="3" s="1"/>
  <c r="BL62" i="3" s="1"/>
  <c r="BL75" i="3" s="1"/>
  <c r="BL108" i="3"/>
  <c r="BL122" i="3" s="1"/>
  <c r="BL123" i="3" s="1"/>
  <c r="BL124" i="3" s="1"/>
  <c r="BL137" i="3" s="1"/>
  <c r="BL109" i="3"/>
  <c r="BL127" i="3" s="1"/>
  <c r="BL128" i="3" s="1"/>
  <c r="BL138" i="3" s="1"/>
  <c r="BL294" i="3"/>
  <c r="BL308" i="3" s="1"/>
  <c r="BL309" i="3" s="1"/>
  <c r="BL310" i="3" s="1"/>
  <c r="BL323" i="3" s="1"/>
  <c r="BL295" i="3"/>
  <c r="BL313" i="3" s="1"/>
  <c r="BL314" i="3" s="1"/>
  <c r="BL324" i="3" s="1"/>
  <c r="BL233" i="3"/>
  <c r="BL251" i="3" s="1"/>
  <c r="BL252" i="3" s="1"/>
  <c r="BL262" i="3" s="1"/>
  <c r="BL232" i="3"/>
  <c r="BL246" i="3" s="1"/>
  <c r="BL247" i="3" s="1"/>
  <c r="BL248" i="3" s="1"/>
  <c r="BL261" i="3" s="1"/>
  <c r="BO69" i="4"/>
  <c r="BO64" i="4"/>
  <c r="BM139" i="3"/>
  <c r="BL330" i="3"/>
  <c r="BL45" i="7" s="1"/>
  <c r="BM89" i="3"/>
  <c r="BM90" i="3" s="1"/>
  <c r="BM91" i="3" s="1"/>
  <c r="BM94" i="3"/>
  <c r="BM95" i="3" s="1"/>
  <c r="BN93" i="7"/>
  <c r="BM105" i="3"/>
  <c r="BM106" i="3" s="1"/>
  <c r="BM107" i="3" s="1"/>
  <c r="BM151" i="3"/>
  <c r="BM152" i="3" s="1"/>
  <c r="BM153" i="3" s="1"/>
  <c r="BM156" i="3"/>
  <c r="BM157" i="3" s="1"/>
  <c r="BM325" i="3"/>
  <c r="BM275" i="3"/>
  <c r="BM276" i="3" s="1"/>
  <c r="BM277" i="3" s="1"/>
  <c r="BM280" i="3"/>
  <c r="BM281" i="3" s="1"/>
  <c r="BI332" i="3"/>
  <c r="BJ331" i="3" s="1"/>
  <c r="BM225" i="3"/>
  <c r="BN222" i="3" s="1"/>
  <c r="BN71" i="3"/>
  <c r="BN70" i="3"/>
  <c r="BN143" i="3"/>
  <c r="BN267" i="3"/>
  <c r="BN162" i="3"/>
  <c r="BN163" i="3" s="1"/>
  <c r="BO160" i="3" s="1"/>
  <c r="BN228" i="3"/>
  <c r="BN318" i="3"/>
  <c r="BN256" i="3"/>
  <c r="BN257" i="3"/>
  <c r="BN319" i="3"/>
  <c r="BN296" i="3"/>
  <c r="BN290" i="3"/>
  <c r="BN100" i="3"/>
  <c r="BN110" i="3"/>
  <c r="BN132" i="3"/>
  <c r="BN104" i="3"/>
  <c r="BN224" i="3"/>
  <c r="BN133" i="3"/>
  <c r="BN195" i="3"/>
  <c r="BN166" i="3"/>
  <c r="BN194" i="3"/>
  <c r="BN205" i="3"/>
  <c r="BN286" i="3"/>
  <c r="BN81" i="3"/>
  <c r="BN234" i="3"/>
  <c r="BN172" i="3"/>
  <c r="BM39" i="3"/>
  <c r="BN36" i="3" s="1"/>
  <c r="BM43" i="3"/>
  <c r="BM44" i="3" s="1"/>
  <c r="BM45" i="3" s="1"/>
  <c r="BM47" i="3" s="1"/>
  <c r="BM65" i="3" s="1"/>
  <c r="BM66" i="3" s="1"/>
  <c r="BM229" i="3"/>
  <c r="BM230" i="3" s="1"/>
  <c r="BM231" i="3" s="1"/>
  <c r="BM196" i="3"/>
  <c r="BN193" i="3" s="1"/>
  <c r="BL170" i="3"/>
  <c r="BL184" i="3" s="1"/>
  <c r="BL185" i="3" s="1"/>
  <c r="BL186" i="3" s="1"/>
  <c r="BL199" i="3" s="1"/>
  <c r="BL171" i="3"/>
  <c r="BL189" i="3" s="1"/>
  <c r="BL190" i="3" s="1"/>
  <c r="BL200" i="3" s="1"/>
  <c r="BM167" i="3"/>
  <c r="BM168" i="3" s="1"/>
  <c r="BM169" i="3" s="1"/>
  <c r="BM291" i="3"/>
  <c r="BM292" i="3" s="1"/>
  <c r="BM293" i="3" s="1"/>
  <c r="BK329" i="3"/>
  <c r="BL76" i="3"/>
  <c r="BN54" i="4"/>
  <c r="BN80" i="4"/>
  <c r="BN27" i="7" s="1"/>
  <c r="BL46" i="4"/>
  <c r="BK328" i="3"/>
  <c r="BM218" i="3"/>
  <c r="BM219" i="3" s="1"/>
  <c r="BM213" i="3"/>
  <c r="BM214" i="3" s="1"/>
  <c r="BM215" i="3" s="1"/>
  <c r="BA75" i="4"/>
  <c r="BA76" i="4" s="1"/>
  <c r="BA78" i="4" s="1"/>
  <c r="BA19" i="7" s="1"/>
  <c r="BN95" i="7"/>
  <c r="BM201" i="3"/>
  <c r="BM287" i="3"/>
  <c r="BN284" i="3" s="1"/>
  <c r="BJ18" i="7"/>
  <c r="BH333" i="3"/>
  <c r="BH63" i="4" s="1"/>
  <c r="BH62" i="4" s="1"/>
  <c r="BN67" i="7"/>
  <c r="BO80" i="7"/>
  <c r="BO65" i="7"/>
  <c r="BO66" i="7" s="1"/>
  <c r="BO34" i="7"/>
  <c r="BO38" i="7"/>
  <c r="BO33" i="7"/>
  <c r="BN12" i="7"/>
  <c r="BN13" i="7" s="1"/>
  <c r="BN16" i="7" s="1"/>
  <c r="BO15" i="7"/>
  <c r="BO11" i="7"/>
  <c r="BP14" i="7"/>
  <c r="BN12" i="6"/>
  <c r="BN14" i="6" s="1"/>
  <c r="BN17" i="6" s="1"/>
  <c r="BP15" i="6"/>
  <c r="BO16" i="6"/>
  <c r="BO11" i="6"/>
  <c r="BO13" i="6" s="1"/>
  <c r="BO31" i="4"/>
  <c r="BO32" i="4"/>
  <c r="BO33" i="4"/>
  <c r="BO29" i="4"/>
  <c r="BO30" i="4"/>
  <c r="BN34" i="4"/>
  <c r="BM39" i="4"/>
  <c r="BM40" i="4" s="1"/>
  <c r="BM73" i="4"/>
  <c r="BM43" i="4"/>
  <c r="BM44" i="4" s="1"/>
  <c r="BM24" i="4"/>
  <c r="BM25" i="4" s="1"/>
  <c r="BM19" i="4"/>
  <c r="BM20" i="4" s="1"/>
  <c r="BN45" i="4"/>
  <c r="BN68" i="4"/>
  <c r="BN69" i="4" s="1"/>
  <c r="BN23" i="4"/>
  <c r="BN18" i="4"/>
  <c r="BN38" i="4"/>
  <c r="BN42" i="4"/>
  <c r="BN50" i="4"/>
  <c r="BN58" i="4"/>
  <c r="BN12" i="4"/>
  <c r="BN13" i="4" s="1"/>
  <c r="BN16" i="4" s="1"/>
  <c r="BP14" i="4"/>
  <c r="BO15" i="4"/>
  <c r="BO11" i="4"/>
  <c r="BO74" i="4" s="1"/>
  <c r="BN42" i="3"/>
  <c r="BN48" i="3"/>
  <c r="BN38" i="3"/>
  <c r="BN19" i="3"/>
  <c r="BM27" i="3"/>
  <c r="BM28" i="3" s="1"/>
  <c r="BM29" i="3" s="1"/>
  <c r="BM32" i="3"/>
  <c r="BM33" i="3" s="1"/>
  <c r="BO14" i="3"/>
  <c r="BN11" i="3"/>
  <c r="BN12" i="3" s="1"/>
  <c r="BN13" i="3" s="1"/>
  <c r="BN16" i="3" s="1"/>
  <c r="BN15" i="3"/>
  <c r="BN77" i="3" l="1"/>
  <c r="BM46" i="3"/>
  <c r="BM60" i="3" s="1"/>
  <c r="BM61" i="3" s="1"/>
  <c r="BM62" i="3" s="1"/>
  <c r="BM75" i="3" s="1"/>
  <c r="BN72" i="3"/>
  <c r="BO69" i="3" s="1"/>
  <c r="BN201" i="3"/>
  <c r="BO95" i="7"/>
  <c r="BN325" i="3"/>
  <c r="BN134" i="3"/>
  <c r="BO131" i="3" s="1"/>
  <c r="BN320" i="3"/>
  <c r="BO317" i="3" s="1"/>
  <c r="BL329" i="3"/>
  <c r="BN287" i="3"/>
  <c r="BO284" i="3" s="1"/>
  <c r="BN139" i="3"/>
  <c r="BK18" i="7"/>
  <c r="BN39" i="3"/>
  <c r="BO36" i="3" s="1"/>
  <c r="BN101" i="3"/>
  <c r="BO98" i="3" s="1"/>
  <c r="BN258" i="3"/>
  <c r="BO255" i="3" s="1"/>
  <c r="BN225" i="3"/>
  <c r="BO222" i="3" s="1"/>
  <c r="BM109" i="3"/>
  <c r="BM127" i="3" s="1"/>
  <c r="BM128" i="3" s="1"/>
  <c r="BM138" i="3" s="1"/>
  <c r="BM108" i="3"/>
  <c r="BM122" i="3" s="1"/>
  <c r="BM123" i="3" s="1"/>
  <c r="BM124" i="3" s="1"/>
  <c r="BM137" i="3" s="1"/>
  <c r="BM294" i="3"/>
  <c r="BM308" i="3" s="1"/>
  <c r="BM309" i="3" s="1"/>
  <c r="BM310" i="3" s="1"/>
  <c r="BM323" i="3" s="1"/>
  <c r="BM295" i="3"/>
  <c r="BM313" i="3" s="1"/>
  <c r="BM314" i="3" s="1"/>
  <c r="BM324" i="3" s="1"/>
  <c r="BM170" i="3"/>
  <c r="BM184" i="3" s="1"/>
  <c r="BM185" i="3" s="1"/>
  <c r="BM186" i="3" s="1"/>
  <c r="BM199" i="3" s="1"/>
  <c r="BM171" i="3"/>
  <c r="BM189" i="3" s="1"/>
  <c r="BM190" i="3" s="1"/>
  <c r="BM200" i="3" s="1"/>
  <c r="BN105" i="3"/>
  <c r="BN106" i="3" s="1"/>
  <c r="BN107" i="3" s="1"/>
  <c r="BO93" i="7"/>
  <c r="BI333" i="3"/>
  <c r="BI63" i="4" s="1"/>
  <c r="BI62" i="4" s="1"/>
  <c r="BL328" i="3"/>
  <c r="BM76" i="3"/>
  <c r="BO50" i="4"/>
  <c r="BO80" i="4"/>
  <c r="BO27" i="7" s="1"/>
  <c r="BN167" i="3"/>
  <c r="BN168" i="3" s="1"/>
  <c r="BN169" i="3" s="1"/>
  <c r="BN291" i="3"/>
  <c r="BN292" i="3" s="1"/>
  <c r="BN293" i="3" s="1"/>
  <c r="BN275" i="3"/>
  <c r="BN276" i="3" s="1"/>
  <c r="BN277" i="3" s="1"/>
  <c r="BN280" i="3"/>
  <c r="BN281" i="3" s="1"/>
  <c r="BO70" i="3"/>
  <c r="BO71" i="3"/>
  <c r="BO143" i="3"/>
  <c r="BO162" i="3"/>
  <c r="BO163" i="3" s="1"/>
  <c r="BP160" i="3" s="1"/>
  <c r="BO267" i="3"/>
  <c r="BO290" i="3"/>
  <c r="BO205" i="3"/>
  <c r="BO319" i="3"/>
  <c r="BO296" i="3"/>
  <c r="BO286" i="3"/>
  <c r="BO228" i="3"/>
  <c r="BO318" i="3"/>
  <c r="BO257" i="3"/>
  <c r="BO194" i="3"/>
  <c r="BO224" i="3"/>
  <c r="BO225" i="3" s="1"/>
  <c r="BP222" i="3" s="1"/>
  <c r="BO104" i="3"/>
  <c r="BO256" i="3"/>
  <c r="BO100" i="3"/>
  <c r="BO132" i="3"/>
  <c r="BO110" i="3"/>
  <c r="BO166" i="3"/>
  <c r="BO133" i="3"/>
  <c r="BO195" i="3"/>
  <c r="BO81" i="3"/>
  <c r="BO234" i="3"/>
  <c r="BO172" i="3"/>
  <c r="BN43" i="3"/>
  <c r="BN44" i="3" s="1"/>
  <c r="BN45" i="3" s="1"/>
  <c r="BN46" i="3" s="1"/>
  <c r="BN60" i="3" s="1"/>
  <c r="BN61" i="3" s="1"/>
  <c r="BN62" i="3" s="1"/>
  <c r="BH65" i="4"/>
  <c r="BH70" i="4" s="1"/>
  <c r="BN229" i="3"/>
  <c r="BN230" i="3" s="1"/>
  <c r="BN231" i="3" s="1"/>
  <c r="BO34" i="4"/>
  <c r="BP64" i="4"/>
  <c r="BN156" i="3"/>
  <c r="BN157" i="3" s="1"/>
  <c r="BN151" i="3"/>
  <c r="BN152" i="3" s="1"/>
  <c r="BN153" i="3" s="1"/>
  <c r="BM330" i="3"/>
  <c r="BM45" i="7" s="1"/>
  <c r="BB75" i="4"/>
  <c r="BB76" i="4" s="1"/>
  <c r="BB78" i="4" s="1"/>
  <c r="BB19" i="7" s="1"/>
  <c r="BM233" i="3"/>
  <c r="BM251" i="3" s="1"/>
  <c r="BM252" i="3" s="1"/>
  <c r="BM262" i="3" s="1"/>
  <c r="BM232" i="3"/>
  <c r="BM246" i="3" s="1"/>
  <c r="BM247" i="3" s="1"/>
  <c r="BM248" i="3" s="1"/>
  <c r="BM261" i="3" s="1"/>
  <c r="BN89" i="3"/>
  <c r="BN90" i="3" s="1"/>
  <c r="BN91" i="3" s="1"/>
  <c r="BN94" i="3"/>
  <c r="BN95" i="3" s="1"/>
  <c r="BN218" i="3"/>
  <c r="BN219" i="3" s="1"/>
  <c r="BN213" i="3"/>
  <c r="BN214" i="3" s="1"/>
  <c r="BN215" i="3" s="1"/>
  <c r="BJ332" i="3"/>
  <c r="BK331" i="3" s="1"/>
  <c r="BM46" i="4"/>
  <c r="BN196" i="3"/>
  <c r="BO193" i="3" s="1"/>
  <c r="BN263" i="3"/>
  <c r="BP80" i="7"/>
  <c r="BP65" i="7"/>
  <c r="BP66" i="7" s="1"/>
  <c r="BO67" i="7"/>
  <c r="BP34" i="7"/>
  <c r="BP38" i="7"/>
  <c r="BP33" i="7"/>
  <c r="BO12" i="7"/>
  <c r="BO13" i="7" s="1"/>
  <c r="BO16" i="7" s="1"/>
  <c r="BQ14" i="7"/>
  <c r="BP15" i="7"/>
  <c r="BP11" i="7"/>
  <c r="BP16" i="6"/>
  <c r="BP11" i="6"/>
  <c r="BP13" i="6" s="1"/>
  <c r="BQ15" i="6"/>
  <c r="BO12" i="6"/>
  <c r="BO14" i="6" s="1"/>
  <c r="BO17" i="6" s="1"/>
  <c r="BP32" i="4"/>
  <c r="BP33" i="4"/>
  <c r="BP29" i="4"/>
  <c r="BP30" i="4"/>
  <c r="BP31" i="4"/>
  <c r="BO58" i="4"/>
  <c r="BO45" i="4"/>
  <c r="BO68" i="4"/>
  <c r="BO18" i="4"/>
  <c r="BO23" i="4"/>
  <c r="BO38" i="4"/>
  <c r="BO42" i="4"/>
  <c r="BN73" i="4"/>
  <c r="BN39" i="4"/>
  <c r="BN40" i="4" s="1"/>
  <c r="BN19" i="4"/>
  <c r="BN20" i="4" s="1"/>
  <c r="BN43" i="4"/>
  <c r="BN44" i="4" s="1"/>
  <c r="BN24" i="4"/>
  <c r="BN25" i="4" s="1"/>
  <c r="BO54" i="4"/>
  <c r="BO12" i="4"/>
  <c r="BO13" i="4" s="1"/>
  <c r="BO16" i="4" s="1"/>
  <c r="BQ14" i="4"/>
  <c r="BP15" i="4"/>
  <c r="BP11" i="4"/>
  <c r="BP80" i="4" s="1"/>
  <c r="BP27" i="7" s="1"/>
  <c r="BO42" i="3"/>
  <c r="BO48" i="3"/>
  <c r="BO19" i="3"/>
  <c r="BO38" i="3"/>
  <c r="BN27" i="3"/>
  <c r="BN28" i="3" s="1"/>
  <c r="BN29" i="3" s="1"/>
  <c r="BN32" i="3"/>
  <c r="BN33" i="3" s="1"/>
  <c r="BP14" i="3"/>
  <c r="BO11" i="3"/>
  <c r="BO12" i="3" s="1"/>
  <c r="BO13" i="3" s="1"/>
  <c r="BO16" i="3" s="1"/>
  <c r="BO15" i="3"/>
  <c r="BN47" i="3" l="1"/>
  <c r="BN65" i="3" s="1"/>
  <c r="BN66" i="3" s="1"/>
  <c r="BN76" i="3" s="1"/>
  <c r="BQ59" i="4"/>
  <c r="BQ55" i="4"/>
  <c r="BQ51" i="7"/>
  <c r="BQ40" i="7"/>
  <c r="BQ48" i="7"/>
  <c r="BQ52" i="7"/>
  <c r="BQ49" i="7"/>
  <c r="BQ41" i="7"/>
  <c r="BL18" i="7"/>
  <c r="BO258" i="3"/>
  <c r="BP255" i="3" s="1"/>
  <c r="BO72" i="3"/>
  <c r="BP69" i="3" s="1"/>
  <c r="BO320" i="3"/>
  <c r="BP317" i="3" s="1"/>
  <c r="BN330" i="3"/>
  <c r="BN45" i="7" s="1"/>
  <c r="BO77" i="3"/>
  <c r="BN75" i="3"/>
  <c r="BO201" i="3"/>
  <c r="BO134" i="3"/>
  <c r="BP131" i="3" s="1"/>
  <c r="BP50" i="4"/>
  <c r="BP51" i="4" s="1"/>
  <c r="BQ51" i="4" s="1"/>
  <c r="BO291" i="3"/>
  <c r="BO292" i="3" s="1"/>
  <c r="BO293" i="3" s="1"/>
  <c r="BN294" i="3"/>
  <c r="BN308" i="3" s="1"/>
  <c r="BN309" i="3" s="1"/>
  <c r="BN310" i="3" s="1"/>
  <c r="BN323" i="3" s="1"/>
  <c r="BN295" i="3"/>
  <c r="BN313" i="3" s="1"/>
  <c r="BN314" i="3" s="1"/>
  <c r="BN324" i="3" s="1"/>
  <c r="BM329" i="3"/>
  <c r="BO39" i="3"/>
  <c r="BP36" i="3" s="1"/>
  <c r="BJ333" i="3"/>
  <c r="BJ63" i="4" s="1"/>
  <c r="BJ62" i="4" s="1"/>
  <c r="BO167" i="3"/>
  <c r="BO168" i="3" s="1"/>
  <c r="BO169" i="3" s="1"/>
  <c r="BO280" i="3"/>
  <c r="BO281" i="3" s="1"/>
  <c r="BO275" i="3"/>
  <c r="BO276" i="3" s="1"/>
  <c r="BO277" i="3" s="1"/>
  <c r="BM328" i="3"/>
  <c r="BN170" i="3"/>
  <c r="BN184" i="3" s="1"/>
  <c r="BN185" i="3" s="1"/>
  <c r="BN186" i="3" s="1"/>
  <c r="BN199" i="3" s="1"/>
  <c r="BN171" i="3"/>
  <c r="BN189" i="3" s="1"/>
  <c r="BN190" i="3" s="1"/>
  <c r="BN200" i="3" s="1"/>
  <c r="BN232" i="3"/>
  <c r="BN246" i="3" s="1"/>
  <c r="BN247" i="3" s="1"/>
  <c r="BN248" i="3" s="1"/>
  <c r="BN261" i="3" s="1"/>
  <c r="BN233" i="3"/>
  <c r="BN251" i="3" s="1"/>
  <c r="BN252" i="3" s="1"/>
  <c r="BN262" i="3" s="1"/>
  <c r="BO229" i="3"/>
  <c r="BO230" i="3" s="1"/>
  <c r="BO231" i="3" s="1"/>
  <c r="BO156" i="3"/>
  <c r="BO157" i="3" s="1"/>
  <c r="BO151" i="3"/>
  <c r="BO152" i="3" s="1"/>
  <c r="BO153" i="3" s="1"/>
  <c r="BN109" i="3"/>
  <c r="BN127" i="3" s="1"/>
  <c r="BN128" i="3" s="1"/>
  <c r="BN138" i="3" s="1"/>
  <c r="BN108" i="3"/>
  <c r="BN122" i="3" s="1"/>
  <c r="BN123" i="3" s="1"/>
  <c r="BN124" i="3" s="1"/>
  <c r="BN137" i="3" s="1"/>
  <c r="BO139" i="3"/>
  <c r="BO325" i="3"/>
  <c r="BO287" i="3"/>
  <c r="BP284" i="3" s="1"/>
  <c r="BQ64" i="4"/>
  <c r="BQ69" i="4"/>
  <c r="BK332" i="3"/>
  <c r="BL331" i="3" s="1"/>
  <c r="BC75" i="4"/>
  <c r="BC76" i="4" s="1"/>
  <c r="BC78" i="4" s="1"/>
  <c r="BC19" i="7" s="1"/>
  <c r="BP74" i="4"/>
  <c r="BP58" i="4"/>
  <c r="BP59" i="4" s="1"/>
  <c r="BO196" i="3"/>
  <c r="BP193" i="3" s="1"/>
  <c r="BO89" i="3"/>
  <c r="BO90" i="3" s="1"/>
  <c r="BO91" i="3" s="1"/>
  <c r="BO94" i="3"/>
  <c r="BO95" i="3" s="1"/>
  <c r="BO105" i="3"/>
  <c r="BO106" i="3" s="1"/>
  <c r="BO107" i="3" s="1"/>
  <c r="BP70" i="3"/>
  <c r="BP71" i="3"/>
  <c r="BP143" i="3"/>
  <c r="BP162" i="3"/>
  <c r="BP163" i="3" s="1"/>
  <c r="BQ160" i="3" s="1"/>
  <c r="BP267" i="3"/>
  <c r="BP296" i="3"/>
  <c r="BP290" i="3"/>
  <c r="BP286" i="3"/>
  <c r="BP257" i="3"/>
  <c r="BP318" i="3"/>
  <c r="BP224" i="3"/>
  <c r="BP225" i="3" s="1"/>
  <c r="BQ222" i="3" s="1"/>
  <c r="BP256" i="3"/>
  <c r="BP166" i="3"/>
  <c r="BP132" i="3"/>
  <c r="BP104" i="3"/>
  <c r="BP319" i="3"/>
  <c r="BP195" i="3"/>
  <c r="BP110" i="3"/>
  <c r="BP194" i="3"/>
  <c r="BP205" i="3"/>
  <c r="BP81" i="3"/>
  <c r="BP133" i="3"/>
  <c r="BP100" i="3"/>
  <c r="BP228" i="3"/>
  <c r="BP234" i="3"/>
  <c r="BP172" i="3"/>
  <c r="BO43" i="3"/>
  <c r="BO44" i="3" s="1"/>
  <c r="BO45" i="3" s="1"/>
  <c r="BO46" i="3" s="1"/>
  <c r="BO60" i="3" s="1"/>
  <c r="BO61" i="3" s="1"/>
  <c r="BO62" i="3" s="1"/>
  <c r="BP54" i="4"/>
  <c r="BP55" i="4" s="1"/>
  <c r="BI65" i="4"/>
  <c r="BI70" i="4" s="1"/>
  <c r="BO263" i="3"/>
  <c r="BO213" i="3"/>
  <c r="BO214" i="3" s="1"/>
  <c r="BO215" i="3" s="1"/>
  <c r="BO218" i="3"/>
  <c r="BO219" i="3" s="1"/>
  <c r="BO101" i="3"/>
  <c r="BP98" i="3" s="1"/>
  <c r="BQ80" i="7"/>
  <c r="BQ65" i="7"/>
  <c r="BQ66" i="7" s="1"/>
  <c r="BP67" i="7"/>
  <c r="BQ38" i="7"/>
  <c r="BQ33" i="7"/>
  <c r="BQ34" i="7"/>
  <c r="BP12" i="7"/>
  <c r="BP13" i="7" s="1"/>
  <c r="BP16" i="7" s="1"/>
  <c r="BR14" i="7"/>
  <c r="BQ15" i="7"/>
  <c r="BQ11" i="7"/>
  <c r="BQ16" i="6"/>
  <c r="BQ11" i="6"/>
  <c r="BQ13" i="6" s="1"/>
  <c r="BR15" i="6"/>
  <c r="BP12" i="6"/>
  <c r="BP14" i="6" s="1"/>
  <c r="BP17" i="6" s="1"/>
  <c r="BN46" i="4"/>
  <c r="BP68" i="4"/>
  <c r="BP69" i="4" s="1"/>
  <c r="BP45" i="4"/>
  <c r="BP23" i="4"/>
  <c r="BP38" i="4"/>
  <c r="BP18" i="4"/>
  <c r="BP42" i="4"/>
  <c r="BO19" i="4"/>
  <c r="BO20" i="4" s="1"/>
  <c r="BO24" i="4"/>
  <c r="BO25" i="4" s="1"/>
  <c r="BO39" i="4"/>
  <c r="BO40" i="4" s="1"/>
  <c r="BO73" i="4"/>
  <c r="BO43" i="4"/>
  <c r="BO44" i="4" s="1"/>
  <c r="BQ32" i="4"/>
  <c r="BQ33" i="4"/>
  <c r="BQ30" i="4"/>
  <c r="BQ31" i="4"/>
  <c r="BQ29" i="4"/>
  <c r="BP34" i="4"/>
  <c r="BP12" i="4"/>
  <c r="BP13" i="4" s="1"/>
  <c r="BP16" i="4" s="1"/>
  <c r="BR14" i="4"/>
  <c r="BQ15" i="4"/>
  <c r="BQ11" i="4"/>
  <c r="BQ58" i="4" s="1"/>
  <c r="BP42" i="3"/>
  <c r="BP48" i="3"/>
  <c r="BP19" i="3"/>
  <c r="BP38" i="3"/>
  <c r="BO32" i="3"/>
  <c r="BO33" i="3" s="1"/>
  <c r="BO27" i="3"/>
  <c r="BO28" i="3" s="1"/>
  <c r="BO29" i="3" s="1"/>
  <c r="BQ14" i="3"/>
  <c r="BP11" i="3"/>
  <c r="BP12" i="3" s="1"/>
  <c r="BP13" i="3" s="1"/>
  <c r="BP16" i="3" s="1"/>
  <c r="BP15" i="3"/>
  <c r="BR59" i="4" l="1"/>
  <c r="BR55" i="4"/>
  <c r="BR51" i="4"/>
  <c r="BO47" i="3"/>
  <c r="BO65" i="3" s="1"/>
  <c r="BO66" i="3" s="1"/>
  <c r="BO76" i="3" s="1"/>
  <c r="BR51" i="7"/>
  <c r="BR48" i="7"/>
  <c r="BR40" i="7"/>
  <c r="BR52" i="7"/>
  <c r="BR49" i="7"/>
  <c r="BR41" i="7"/>
  <c r="BM18" i="7"/>
  <c r="BP320" i="3"/>
  <c r="BQ317" i="3" s="1"/>
  <c r="BQ95" i="7"/>
  <c r="BP258" i="3"/>
  <c r="BQ255" i="3" s="1"/>
  <c r="BK333" i="3"/>
  <c r="BK63" i="4" s="1"/>
  <c r="BK62" i="4" s="1"/>
  <c r="BP72" i="3"/>
  <c r="BQ69" i="3" s="1"/>
  <c r="BP325" i="3"/>
  <c r="BP134" i="3"/>
  <c r="BQ131" i="3" s="1"/>
  <c r="BO294" i="3"/>
  <c r="BO308" i="3" s="1"/>
  <c r="BO309" i="3" s="1"/>
  <c r="BO310" i="3" s="1"/>
  <c r="BO323" i="3" s="1"/>
  <c r="BO295" i="3"/>
  <c r="BO313" i="3" s="1"/>
  <c r="BO314" i="3" s="1"/>
  <c r="BO324" i="3" s="1"/>
  <c r="BO233" i="3"/>
  <c r="BO251" i="3" s="1"/>
  <c r="BO252" i="3" s="1"/>
  <c r="BO262" i="3" s="1"/>
  <c r="BO232" i="3"/>
  <c r="BO246" i="3" s="1"/>
  <c r="BO247" i="3" s="1"/>
  <c r="BO248" i="3" s="1"/>
  <c r="BO261" i="3" s="1"/>
  <c r="BO171" i="3"/>
  <c r="BO189" i="3" s="1"/>
  <c r="BO190" i="3" s="1"/>
  <c r="BO200" i="3" s="1"/>
  <c r="BO170" i="3"/>
  <c r="BO184" i="3" s="1"/>
  <c r="BO185" i="3" s="1"/>
  <c r="BO186" i="3" s="1"/>
  <c r="BO199" i="3" s="1"/>
  <c r="BQ54" i="4"/>
  <c r="BQ80" i="4"/>
  <c r="BQ27" i="7" s="1"/>
  <c r="BO46" i="4"/>
  <c r="BP139" i="3"/>
  <c r="BP105" i="3"/>
  <c r="BP106" i="3" s="1"/>
  <c r="BP107" i="3" s="1"/>
  <c r="BP291" i="3"/>
  <c r="BP292" i="3" s="1"/>
  <c r="BP293" i="3" s="1"/>
  <c r="BL332" i="3"/>
  <c r="BM331" i="3" s="1"/>
  <c r="BJ65" i="4"/>
  <c r="BJ70" i="4" s="1"/>
  <c r="BP89" i="3"/>
  <c r="BP90" i="3" s="1"/>
  <c r="BP91" i="3" s="1"/>
  <c r="BP94" i="3"/>
  <c r="BP95" i="3" s="1"/>
  <c r="BP167" i="3"/>
  <c r="BP168" i="3" s="1"/>
  <c r="BP169" i="3" s="1"/>
  <c r="BP280" i="3"/>
  <c r="BP281" i="3" s="1"/>
  <c r="BP275" i="3"/>
  <c r="BP276" i="3" s="1"/>
  <c r="BP277" i="3" s="1"/>
  <c r="BQ74" i="4"/>
  <c r="BP43" i="3"/>
  <c r="BP44" i="3" s="1"/>
  <c r="BP45" i="3" s="1"/>
  <c r="BP46" i="3" s="1"/>
  <c r="BP60" i="3" s="1"/>
  <c r="BP61" i="3" s="1"/>
  <c r="BP62" i="3" s="1"/>
  <c r="BP229" i="3"/>
  <c r="BP230" i="3" s="1"/>
  <c r="BP231" i="3" s="1"/>
  <c r="BQ50" i="4"/>
  <c r="BP39" i="3"/>
  <c r="BQ36" i="3" s="1"/>
  <c r="BP77" i="3"/>
  <c r="BP101" i="3"/>
  <c r="BQ98" i="3" s="1"/>
  <c r="BP213" i="3"/>
  <c r="BP214" i="3" s="1"/>
  <c r="BP215" i="3" s="1"/>
  <c r="BP218" i="3"/>
  <c r="BP219" i="3" s="1"/>
  <c r="BN329" i="3"/>
  <c r="BR69" i="4"/>
  <c r="BR64" i="4"/>
  <c r="BQ34" i="4"/>
  <c r="BD75" i="4"/>
  <c r="BD76" i="4" s="1"/>
  <c r="BD78" i="4" s="1"/>
  <c r="BD19" i="7" s="1"/>
  <c r="BP263" i="3"/>
  <c r="BP151" i="3"/>
  <c r="BP152" i="3" s="1"/>
  <c r="BP153" i="3" s="1"/>
  <c r="BP156" i="3"/>
  <c r="BP157" i="3" s="1"/>
  <c r="BP196" i="3"/>
  <c r="BQ193" i="3" s="1"/>
  <c r="BN328" i="3"/>
  <c r="BP287" i="3"/>
  <c r="BQ284" i="3" s="1"/>
  <c r="BQ71" i="3"/>
  <c r="BQ70" i="3"/>
  <c r="BQ267" i="3"/>
  <c r="BQ162" i="3"/>
  <c r="BQ163" i="3" s="1"/>
  <c r="BR160" i="3" s="1"/>
  <c r="BQ143" i="3"/>
  <c r="BQ290" i="3"/>
  <c r="BQ228" i="3"/>
  <c r="BQ256" i="3"/>
  <c r="BQ224" i="3"/>
  <c r="BQ257" i="3"/>
  <c r="BQ286" i="3"/>
  <c r="BQ319" i="3"/>
  <c r="BQ318" i="3"/>
  <c r="BQ296" i="3"/>
  <c r="BQ205" i="3"/>
  <c r="BQ133" i="3"/>
  <c r="BQ100" i="3"/>
  <c r="BQ81" i="3"/>
  <c r="BQ195" i="3"/>
  <c r="BQ194" i="3"/>
  <c r="BQ132" i="3"/>
  <c r="BQ104" i="3"/>
  <c r="BQ110" i="3"/>
  <c r="BQ166" i="3"/>
  <c r="BQ172" i="3"/>
  <c r="BQ234" i="3"/>
  <c r="BO109" i="3"/>
  <c r="BO127" i="3" s="1"/>
  <c r="BO128" i="3" s="1"/>
  <c r="BO138" i="3" s="1"/>
  <c r="BO108" i="3"/>
  <c r="BO122" i="3" s="1"/>
  <c r="BO123" i="3" s="1"/>
  <c r="BO124" i="3" s="1"/>
  <c r="BO137" i="3" s="1"/>
  <c r="BO75" i="3"/>
  <c r="BP201" i="3"/>
  <c r="BO330" i="3"/>
  <c r="BO45" i="7" s="1"/>
  <c r="BQ93" i="7"/>
  <c r="BR80" i="7"/>
  <c r="BR65" i="7"/>
  <c r="BR66" i="7" s="1"/>
  <c r="BQ67" i="7"/>
  <c r="BR38" i="7"/>
  <c r="BR33" i="7"/>
  <c r="BR34" i="7"/>
  <c r="BS14" i="7"/>
  <c r="BR15" i="7"/>
  <c r="BR11" i="7"/>
  <c r="BQ12" i="7"/>
  <c r="BQ13" i="7" s="1"/>
  <c r="BQ16" i="7" s="1"/>
  <c r="BS15" i="6"/>
  <c r="BR11" i="6"/>
  <c r="BR13" i="6" s="1"/>
  <c r="BR16" i="6"/>
  <c r="BQ12" i="6"/>
  <c r="BQ14" i="6" s="1"/>
  <c r="BQ17" i="6" s="1"/>
  <c r="BR32" i="4"/>
  <c r="BR33" i="4"/>
  <c r="BR30" i="4"/>
  <c r="BR31" i="4"/>
  <c r="BR29" i="4"/>
  <c r="BP24" i="4"/>
  <c r="BP25" i="4" s="1"/>
  <c r="BP19" i="4"/>
  <c r="BP20" i="4" s="1"/>
  <c r="BP73" i="4"/>
  <c r="BE75" i="4" s="1"/>
  <c r="BE76" i="4" s="1"/>
  <c r="BE78" i="4" s="1"/>
  <c r="BE19" i="7" s="1"/>
  <c r="BP39" i="4"/>
  <c r="BP40" i="4" s="1"/>
  <c r="BP43" i="4"/>
  <c r="BP44" i="4" s="1"/>
  <c r="BQ68" i="4"/>
  <c r="BQ45" i="4"/>
  <c r="BQ38" i="4"/>
  <c r="BQ18" i="4"/>
  <c r="BQ23" i="4"/>
  <c r="BQ42" i="4"/>
  <c r="BS14" i="4"/>
  <c r="BR15" i="4"/>
  <c r="BR11" i="4"/>
  <c r="BR74" i="4" s="1"/>
  <c r="BQ12" i="4"/>
  <c r="BQ13" i="4" s="1"/>
  <c r="BQ16" i="4" s="1"/>
  <c r="BQ42" i="3"/>
  <c r="BQ48" i="3"/>
  <c r="BP27" i="3"/>
  <c r="BP28" i="3" s="1"/>
  <c r="BP29" i="3" s="1"/>
  <c r="BP32" i="3"/>
  <c r="BP33" i="3" s="1"/>
  <c r="BQ19" i="3"/>
  <c r="BQ38" i="3"/>
  <c r="BR14" i="3"/>
  <c r="BQ11" i="3"/>
  <c r="BQ12" i="3" s="1"/>
  <c r="BQ13" i="3" s="1"/>
  <c r="BQ16" i="3" s="1"/>
  <c r="BQ15" i="3"/>
  <c r="BS55" i="4" l="1"/>
  <c r="BS51" i="4"/>
  <c r="BS59" i="4"/>
  <c r="BS40" i="7"/>
  <c r="BS52" i="7"/>
  <c r="BS49" i="7"/>
  <c r="BS41" i="7"/>
  <c r="BS48" i="7"/>
  <c r="BS51" i="7"/>
  <c r="BN18" i="7"/>
  <c r="BQ134" i="3"/>
  <c r="BR131" i="3" s="1"/>
  <c r="BQ201" i="3"/>
  <c r="BL333" i="3"/>
  <c r="BL63" i="4" s="1"/>
  <c r="BL62" i="4" s="1"/>
  <c r="BQ139" i="3"/>
  <c r="BQ263" i="3"/>
  <c r="BQ320" i="3"/>
  <c r="BR317" i="3" s="1"/>
  <c r="BP330" i="3"/>
  <c r="BP45" i="7" s="1"/>
  <c r="BQ72" i="3"/>
  <c r="BR69" i="3" s="1"/>
  <c r="BQ101" i="3"/>
  <c r="BR98" i="3" s="1"/>
  <c r="BQ258" i="3"/>
  <c r="BR255" i="3" s="1"/>
  <c r="BP294" i="3"/>
  <c r="BP308" i="3" s="1"/>
  <c r="BP309" i="3" s="1"/>
  <c r="BP310" i="3" s="1"/>
  <c r="BP323" i="3" s="1"/>
  <c r="BP295" i="3"/>
  <c r="BP313" i="3" s="1"/>
  <c r="BP314" i="3" s="1"/>
  <c r="BP324" i="3" s="1"/>
  <c r="BP108" i="3"/>
  <c r="BP122" i="3" s="1"/>
  <c r="BP123" i="3" s="1"/>
  <c r="BP124" i="3" s="1"/>
  <c r="BP137" i="3" s="1"/>
  <c r="BP109" i="3"/>
  <c r="BP127" i="3" s="1"/>
  <c r="BP128" i="3" s="1"/>
  <c r="BP138" i="3" s="1"/>
  <c r="BP232" i="3"/>
  <c r="BP246" i="3" s="1"/>
  <c r="BP247" i="3" s="1"/>
  <c r="BP248" i="3" s="1"/>
  <c r="BP261" i="3" s="1"/>
  <c r="BP233" i="3"/>
  <c r="BP251" i="3" s="1"/>
  <c r="BP252" i="3" s="1"/>
  <c r="BP262" i="3" s="1"/>
  <c r="BQ105" i="3"/>
  <c r="BQ106" i="3" s="1"/>
  <c r="BQ107" i="3" s="1"/>
  <c r="BQ291" i="3"/>
  <c r="BQ292" i="3" s="1"/>
  <c r="BQ293" i="3" s="1"/>
  <c r="BR54" i="4"/>
  <c r="BR80" i="4"/>
  <c r="BR27" i="7" s="1"/>
  <c r="BQ151" i="3"/>
  <c r="BQ152" i="3" s="1"/>
  <c r="BQ153" i="3" s="1"/>
  <c r="BQ156" i="3"/>
  <c r="BQ157" i="3" s="1"/>
  <c r="BO329" i="3"/>
  <c r="BQ39" i="3"/>
  <c r="BR36" i="3" s="1"/>
  <c r="BQ77" i="3"/>
  <c r="BP75" i="3"/>
  <c r="BS69" i="4"/>
  <c r="BS64" i="4"/>
  <c r="BQ325" i="3"/>
  <c r="BQ275" i="3"/>
  <c r="BQ276" i="3" s="1"/>
  <c r="BQ277" i="3" s="1"/>
  <c r="BQ280" i="3"/>
  <c r="BQ281" i="3" s="1"/>
  <c r="BQ196" i="3"/>
  <c r="BR193" i="3" s="1"/>
  <c r="BQ225" i="3"/>
  <c r="BR222" i="3" s="1"/>
  <c r="BP47" i="3"/>
  <c r="BP65" i="3" s="1"/>
  <c r="BP66" i="3" s="1"/>
  <c r="BP76" i="3" s="1"/>
  <c r="BP46" i="4"/>
  <c r="BQ94" i="3"/>
  <c r="BQ95" i="3" s="1"/>
  <c r="BQ89" i="3"/>
  <c r="BQ90" i="3" s="1"/>
  <c r="BQ91" i="3" s="1"/>
  <c r="BK65" i="4"/>
  <c r="BK70" i="4" s="1"/>
  <c r="BQ167" i="3"/>
  <c r="BQ168" i="3" s="1"/>
  <c r="BQ169" i="3" s="1"/>
  <c r="BQ287" i="3"/>
  <c r="BR284" i="3" s="1"/>
  <c r="BP170" i="3"/>
  <c r="BP184" i="3" s="1"/>
  <c r="BP185" i="3" s="1"/>
  <c r="BP186" i="3" s="1"/>
  <c r="BP199" i="3" s="1"/>
  <c r="BP171" i="3"/>
  <c r="BP189" i="3" s="1"/>
  <c r="BP190" i="3" s="1"/>
  <c r="BP200" i="3" s="1"/>
  <c r="BM332" i="3"/>
  <c r="BN331" i="3" s="1"/>
  <c r="BO328" i="3"/>
  <c r="BR71" i="3"/>
  <c r="BR70" i="3"/>
  <c r="BR267" i="3"/>
  <c r="BR162" i="3"/>
  <c r="BR163" i="3" s="1"/>
  <c r="BS160" i="3" s="1"/>
  <c r="BR143" i="3"/>
  <c r="BR319" i="3"/>
  <c r="BR195" i="3"/>
  <c r="BR290" i="3"/>
  <c r="BR228" i="3"/>
  <c r="BR318" i="3"/>
  <c r="BR296" i="3"/>
  <c r="BR286" i="3"/>
  <c r="BR224" i="3"/>
  <c r="BR205" i="3"/>
  <c r="BR81" i="3"/>
  <c r="BR132" i="3"/>
  <c r="BR256" i="3"/>
  <c r="BR166" i="3"/>
  <c r="BR133" i="3"/>
  <c r="BR100" i="3"/>
  <c r="BR110" i="3"/>
  <c r="BR257" i="3"/>
  <c r="BR194" i="3"/>
  <c r="BR104" i="3"/>
  <c r="BR172" i="3"/>
  <c r="BR234" i="3"/>
  <c r="BQ43" i="3"/>
  <c r="BQ44" i="3" s="1"/>
  <c r="BQ45" i="3" s="1"/>
  <c r="BQ46" i="3" s="1"/>
  <c r="BQ60" i="3" s="1"/>
  <c r="BQ61" i="3" s="1"/>
  <c r="BQ62" i="3" s="1"/>
  <c r="BQ213" i="3"/>
  <c r="BQ214" i="3" s="1"/>
  <c r="BQ215" i="3" s="1"/>
  <c r="BQ218" i="3"/>
  <c r="BQ219" i="3" s="1"/>
  <c r="BQ229" i="3"/>
  <c r="BQ230" i="3" s="1"/>
  <c r="BQ231" i="3" s="1"/>
  <c r="BR95" i="7"/>
  <c r="BR93" i="7"/>
  <c r="BS65" i="7"/>
  <c r="BS66" i="7" s="1"/>
  <c r="BS80" i="7"/>
  <c r="BR67" i="7"/>
  <c r="BS38" i="7"/>
  <c r="BS33" i="7"/>
  <c r="BS34" i="7"/>
  <c r="BR12" i="7"/>
  <c r="BR13" i="7" s="1"/>
  <c r="BR16" i="7" s="1"/>
  <c r="BT14" i="7"/>
  <c r="BS15" i="7"/>
  <c r="BS11" i="7"/>
  <c r="BR12" i="6"/>
  <c r="BR14" i="6" s="1"/>
  <c r="BR17" i="6" s="1"/>
  <c r="BS11" i="6"/>
  <c r="BS13" i="6" s="1"/>
  <c r="BT15" i="6"/>
  <c r="BS16" i="6"/>
  <c r="BS33" i="4"/>
  <c r="BS31" i="4"/>
  <c r="BS30" i="4"/>
  <c r="BS32" i="4"/>
  <c r="BS29" i="4"/>
  <c r="BR58" i="4"/>
  <c r="BQ19" i="4"/>
  <c r="BQ20" i="4" s="1"/>
  <c r="BQ24" i="4"/>
  <c r="BQ25" i="4" s="1"/>
  <c r="BQ39" i="4"/>
  <c r="BQ40" i="4" s="1"/>
  <c r="BQ43" i="4"/>
  <c r="BQ44" i="4" s="1"/>
  <c r="BQ73" i="4"/>
  <c r="BF75" i="4" s="1"/>
  <c r="BF76" i="4" s="1"/>
  <c r="BF78" i="4" s="1"/>
  <c r="BF19" i="7" s="1"/>
  <c r="BR45" i="4"/>
  <c r="BR68" i="4"/>
  <c r="BR38" i="4"/>
  <c r="BR18" i="4"/>
  <c r="BR23" i="4"/>
  <c r="BR42" i="4"/>
  <c r="BR50" i="4"/>
  <c r="BR34" i="4"/>
  <c r="BR12" i="4"/>
  <c r="BR13" i="4" s="1"/>
  <c r="BR16" i="4" s="1"/>
  <c r="BT14" i="4"/>
  <c r="BS15" i="4"/>
  <c r="BS11" i="4"/>
  <c r="BS50" i="4" s="1"/>
  <c r="BR42" i="3"/>
  <c r="BR48" i="3"/>
  <c r="BR19" i="3"/>
  <c r="BR38" i="3"/>
  <c r="BQ32" i="3"/>
  <c r="BQ33" i="3" s="1"/>
  <c r="BQ27" i="3"/>
  <c r="BQ28" i="3" s="1"/>
  <c r="BQ29" i="3" s="1"/>
  <c r="BS14" i="3"/>
  <c r="BR11" i="3"/>
  <c r="BR12" i="3" s="1"/>
  <c r="BR13" i="3" s="1"/>
  <c r="BR16" i="3" s="1"/>
  <c r="BR15" i="3"/>
  <c r="BT51" i="4" l="1"/>
  <c r="BT59" i="4"/>
  <c r="BT52" i="7"/>
  <c r="BT49" i="7"/>
  <c r="BT41" i="7"/>
  <c r="BT51" i="7"/>
  <c r="BT48" i="7"/>
  <c r="BT40" i="7"/>
  <c r="BO18" i="7"/>
  <c r="BR134" i="3"/>
  <c r="BS131" i="3" s="1"/>
  <c r="BQ47" i="3"/>
  <c r="BQ65" i="3" s="1"/>
  <c r="BQ66" i="3" s="1"/>
  <c r="BQ76" i="3" s="1"/>
  <c r="BM333" i="3"/>
  <c r="BM63" i="4" s="1"/>
  <c r="BM62" i="4" s="1"/>
  <c r="BR320" i="3"/>
  <c r="BS317" i="3" s="1"/>
  <c r="BR72" i="3"/>
  <c r="BS69" i="3" s="1"/>
  <c r="BR263" i="3"/>
  <c r="BR287" i="3"/>
  <c r="BS284" i="3" s="1"/>
  <c r="BS287" i="3" s="1"/>
  <c r="BT284" i="3" s="1"/>
  <c r="BQ330" i="3"/>
  <c r="BQ45" i="7" s="1"/>
  <c r="BR258" i="3"/>
  <c r="BS255" i="3" s="1"/>
  <c r="BS74" i="4"/>
  <c r="BQ109" i="3"/>
  <c r="BQ127" i="3" s="1"/>
  <c r="BQ128" i="3" s="1"/>
  <c r="BQ138" i="3" s="1"/>
  <c r="BQ108" i="3"/>
  <c r="BQ122" i="3" s="1"/>
  <c r="BQ123" i="3" s="1"/>
  <c r="BQ124" i="3" s="1"/>
  <c r="BQ137" i="3" s="1"/>
  <c r="BQ294" i="3"/>
  <c r="BQ308" i="3" s="1"/>
  <c r="BQ309" i="3" s="1"/>
  <c r="BQ310" i="3" s="1"/>
  <c r="BQ323" i="3" s="1"/>
  <c r="BQ295" i="3"/>
  <c r="BQ313" i="3" s="1"/>
  <c r="BQ314" i="3" s="1"/>
  <c r="BQ324" i="3" s="1"/>
  <c r="BR139" i="3"/>
  <c r="BR325" i="3"/>
  <c r="BN332" i="3"/>
  <c r="BO331" i="3" s="1"/>
  <c r="BR167" i="3"/>
  <c r="BR168" i="3" s="1"/>
  <c r="BR169" i="3" s="1"/>
  <c r="BR225" i="3"/>
  <c r="BS222" i="3" s="1"/>
  <c r="BS71" i="3"/>
  <c r="BS70" i="3"/>
  <c r="BS162" i="3"/>
  <c r="BS163" i="3" s="1"/>
  <c r="BT160" i="3" s="1"/>
  <c r="BS143" i="3"/>
  <c r="BS267" i="3"/>
  <c r="BS228" i="3"/>
  <c r="BS319" i="3"/>
  <c r="BS286" i="3"/>
  <c r="BS290" i="3"/>
  <c r="BS205" i="3"/>
  <c r="BS224" i="3"/>
  <c r="BS296" i="3"/>
  <c r="BS257" i="3"/>
  <c r="BS318" i="3"/>
  <c r="BS81" i="3"/>
  <c r="BS110" i="3"/>
  <c r="BS195" i="3"/>
  <c r="BS194" i="3"/>
  <c r="BS104" i="3"/>
  <c r="BS133" i="3"/>
  <c r="BS100" i="3"/>
  <c r="BS132" i="3"/>
  <c r="BS166" i="3"/>
  <c r="BS256" i="3"/>
  <c r="BS234" i="3"/>
  <c r="BS172" i="3"/>
  <c r="BR43" i="3"/>
  <c r="BR44" i="3" s="1"/>
  <c r="BR45" i="3" s="1"/>
  <c r="BR46" i="3" s="1"/>
  <c r="BR60" i="3" s="1"/>
  <c r="BR61" i="3" s="1"/>
  <c r="BR62" i="3" s="1"/>
  <c r="BQ75" i="3"/>
  <c r="BS54" i="4"/>
  <c r="BS80" i="4"/>
  <c r="BS27" i="7" s="1"/>
  <c r="BR229" i="3"/>
  <c r="BR230" i="3" s="1"/>
  <c r="BR231" i="3" s="1"/>
  <c r="BL65" i="4"/>
  <c r="BL70" i="4" s="1"/>
  <c r="BQ232" i="3"/>
  <c r="BQ246" i="3" s="1"/>
  <c r="BQ247" i="3" s="1"/>
  <c r="BQ248" i="3" s="1"/>
  <c r="BQ261" i="3" s="1"/>
  <c r="BQ233" i="3"/>
  <c r="BQ251" i="3" s="1"/>
  <c r="BQ252" i="3" s="1"/>
  <c r="BQ262" i="3" s="1"/>
  <c r="BR105" i="3"/>
  <c r="BR106" i="3" s="1"/>
  <c r="BR107" i="3" s="1"/>
  <c r="BR291" i="3"/>
  <c r="BR292" i="3" s="1"/>
  <c r="BR293" i="3" s="1"/>
  <c r="BP329" i="3"/>
  <c r="BR89" i="3"/>
  <c r="BR90" i="3" s="1"/>
  <c r="BR91" i="3" s="1"/>
  <c r="BR94" i="3"/>
  <c r="BR95" i="3" s="1"/>
  <c r="BR201" i="3"/>
  <c r="BQ171" i="3"/>
  <c r="BQ189" i="3" s="1"/>
  <c r="BQ190" i="3" s="1"/>
  <c r="BQ200" i="3" s="1"/>
  <c r="BQ170" i="3"/>
  <c r="BQ184" i="3" s="1"/>
  <c r="BQ185" i="3" s="1"/>
  <c r="BQ186" i="3" s="1"/>
  <c r="BQ199" i="3" s="1"/>
  <c r="BR196" i="3"/>
  <c r="BS193" i="3" s="1"/>
  <c r="BR101" i="3"/>
  <c r="BS98" i="3" s="1"/>
  <c r="BS101" i="3" s="1"/>
  <c r="BT98" i="3" s="1"/>
  <c r="BP328" i="3"/>
  <c r="BR151" i="3"/>
  <c r="BR152" i="3" s="1"/>
  <c r="BR153" i="3" s="1"/>
  <c r="BR156" i="3"/>
  <c r="BR157" i="3" s="1"/>
  <c r="BR275" i="3"/>
  <c r="BR276" i="3" s="1"/>
  <c r="BR277" i="3" s="1"/>
  <c r="BR280" i="3"/>
  <c r="BR281" i="3" s="1"/>
  <c r="BR39" i="3"/>
  <c r="BS36" i="3" s="1"/>
  <c r="BR77" i="3"/>
  <c r="BT69" i="4"/>
  <c r="BT64" i="4"/>
  <c r="BR218" i="3"/>
  <c r="BR219" i="3" s="1"/>
  <c r="BR213" i="3"/>
  <c r="BR214" i="3" s="1"/>
  <c r="BR215" i="3" s="1"/>
  <c r="BS95" i="7"/>
  <c r="BS93" i="7"/>
  <c r="BS67" i="7"/>
  <c r="BT80" i="7"/>
  <c r="BT65" i="7"/>
  <c r="BT66" i="7" s="1"/>
  <c r="BT38" i="7"/>
  <c r="BT33" i="7"/>
  <c r="BT34" i="7"/>
  <c r="BS12" i="7"/>
  <c r="BS13" i="7" s="1"/>
  <c r="BS16" i="7" s="1"/>
  <c r="BU14" i="7"/>
  <c r="BT11" i="7"/>
  <c r="BT15" i="7"/>
  <c r="BT11" i="6"/>
  <c r="BT13" i="6" s="1"/>
  <c r="BT16" i="6"/>
  <c r="BU15" i="6"/>
  <c r="BS12" i="6"/>
  <c r="BS14" i="6" s="1"/>
  <c r="BS17" i="6" s="1"/>
  <c r="BQ46" i="4"/>
  <c r="BR39" i="4"/>
  <c r="BR40" i="4" s="1"/>
  <c r="BR24" i="4"/>
  <c r="BR25" i="4" s="1"/>
  <c r="BR19" i="4"/>
  <c r="BR20" i="4" s="1"/>
  <c r="BR43" i="4"/>
  <c r="BR44" i="4" s="1"/>
  <c r="BR73" i="4"/>
  <c r="BT33" i="4"/>
  <c r="BT31" i="4"/>
  <c r="BT32" i="4"/>
  <c r="BT29" i="4"/>
  <c r="BT30" i="4"/>
  <c r="BS45" i="4"/>
  <c r="BS68" i="4"/>
  <c r="BS38" i="4"/>
  <c r="BS23" i="4"/>
  <c r="BS18" i="4"/>
  <c r="BS42" i="4"/>
  <c r="BS58" i="4"/>
  <c r="BS34" i="4"/>
  <c r="BU14" i="4"/>
  <c r="BT15" i="4"/>
  <c r="BT11" i="4"/>
  <c r="BT80" i="4" s="1"/>
  <c r="BT27" i="7" s="1"/>
  <c r="BS12" i="4"/>
  <c r="BS13" i="4" s="1"/>
  <c r="BS16" i="4" s="1"/>
  <c r="BS42" i="3"/>
  <c r="BS48" i="3"/>
  <c r="BS19" i="3"/>
  <c r="BS38" i="3"/>
  <c r="BR27" i="3"/>
  <c r="BR28" i="3" s="1"/>
  <c r="BR29" i="3" s="1"/>
  <c r="BR32" i="3"/>
  <c r="BR33" i="3" s="1"/>
  <c r="BT14" i="3"/>
  <c r="BS11" i="3"/>
  <c r="BS12" i="3" s="1"/>
  <c r="BS13" i="3" s="1"/>
  <c r="BS16" i="3" s="1"/>
  <c r="BS15" i="3"/>
  <c r="BS77" i="3" l="1"/>
  <c r="BU59" i="4"/>
  <c r="BU51" i="4"/>
  <c r="BU55" i="4"/>
  <c r="BU52" i="7"/>
  <c r="BU49" i="7"/>
  <c r="BU41" i="7"/>
  <c r="BU51" i="7"/>
  <c r="BU48" i="7"/>
  <c r="BU40" i="7"/>
  <c r="BS196" i="3"/>
  <c r="BT193" i="3" s="1"/>
  <c r="BS134" i="3"/>
  <c r="BT131" i="3" s="1"/>
  <c r="BS320" i="3"/>
  <c r="BT317" i="3" s="1"/>
  <c r="BN333" i="3"/>
  <c r="BN63" i="4" s="1"/>
  <c r="BN62" i="4" s="1"/>
  <c r="BR46" i="4"/>
  <c r="BS139" i="3"/>
  <c r="BS72" i="3"/>
  <c r="BT69" i="3" s="1"/>
  <c r="BS258" i="3"/>
  <c r="BT255" i="3" s="1"/>
  <c r="BQ328" i="3"/>
  <c r="BR109" i="3"/>
  <c r="BR127" i="3" s="1"/>
  <c r="BR128" i="3" s="1"/>
  <c r="BR138" i="3" s="1"/>
  <c r="BR108" i="3"/>
  <c r="BR122" i="3" s="1"/>
  <c r="BR123" i="3" s="1"/>
  <c r="BR124" i="3" s="1"/>
  <c r="BR137" i="3" s="1"/>
  <c r="BR295" i="3"/>
  <c r="BR313" i="3" s="1"/>
  <c r="BR314" i="3" s="1"/>
  <c r="BR324" i="3" s="1"/>
  <c r="BR294" i="3"/>
  <c r="BR308" i="3" s="1"/>
  <c r="BR309" i="3" s="1"/>
  <c r="BR310" i="3" s="1"/>
  <c r="BR323" i="3" s="1"/>
  <c r="BR171" i="3"/>
  <c r="BR189" i="3" s="1"/>
  <c r="BR190" i="3" s="1"/>
  <c r="BR200" i="3" s="1"/>
  <c r="BR170" i="3"/>
  <c r="BR184" i="3" s="1"/>
  <c r="BR185" i="3" s="1"/>
  <c r="BR186" i="3" s="1"/>
  <c r="BR199" i="3" s="1"/>
  <c r="BS151" i="3"/>
  <c r="BS152" i="3" s="1"/>
  <c r="BS153" i="3" s="1"/>
  <c r="BS156" i="3"/>
  <c r="BS157" i="3" s="1"/>
  <c r="BS280" i="3"/>
  <c r="BS281" i="3" s="1"/>
  <c r="BS275" i="3"/>
  <c r="BS276" i="3" s="1"/>
  <c r="BS277" i="3" s="1"/>
  <c r="BS105" i="3"/>
  <c r="BS106" i="3" s="1"/>
  <c r="BS107" i="3" s="1"/>
  <c r="BU64" i="4"/>
  <c r="BT50" i="4"/>
  <c r="BS201" i="3"/>
  <c r="BS213" i="3"/>
  <c r="BS214" i="3" s="1"/>
  <c r="BS215" i="3" s="1"/>
  <c r="BS218" i="3"/>
  <c r="BS219" i="3" s="1"/>
  <c r="BR47" i="3"/>
  <c r="BR65" i="3" s="1"/>
  <c r="BR66" i="3" s="1"/>
  <c r="BR76" i="3" s="1"/>
  <c r="BT54" i="4"/>
  <c r="BT55" i="4" s="1"/>
  <c r="BG75" i="4"/>
  <c r="BG76" i="4" s="1"/>
  <c r="BG78" i="4" s="1"/>
  <c r="BG19" i="7" s="1"/>
  <c r="BR232" i="3"/>
  <c r="BR246" i="3" s="1"/>
  <c r="BR247" i="3" s="1"/>
  <c r="BR248" i="3" s="1"/>
  <c r="BR261" i="3" s="1"/>
  <c r="BR233" i="3"/>
  <c r="BR251" i="3" s="1"/>
  <c r="BR252" i="3" s="1"/>
  <c r="BR262" i="3" s="1"/>
  <c r="BS291" i="3"/>
  <c r="BS292" i="3" s="1"/>
  <c r="BS293" i="3" s="1"/>
  <c r="BO332" i="3"/>
  <c r="BP331" i="3" s="1"/>
  <c r="BT74" i="4"/>
  <c r="BS263" i="3"/>
  <c r="BS325" i="3"/>
  <c r="BR330" i="3"/>
  <c r="BR45" i="7" s="1"/>
  <c r="BT58" i="4"/>
  <c r="BT71" i="3"/>
  <c r="BT70" i="3"/>
  <c r="BT143" i="3"/>
  <c r="BT162" i="3"/>
  <c r="BT163" i="3" s="1"/>
  <c r="BU160" i="3" s="1"/>
  <c r="BT267" i="3"/>
  <c r="BT205" i="3"/>
  <c r="BT257" i="3"/>
  <c r="BT224" i="3"/>
  <c r="BT296" i="3"/>
  <c r="BT290" i="3"/>
  <c r="BT228" i="3"/>
  <c r="BT256" i="3"/>
  <c r="BT286" i="3"/>
  <c r="BT287" i="3" s="1"/>
  <c r="BU284" i="3" s="1"/>
  <c r="BT81" i="3"/>
  <c r="BT104" i="3"/>
  <c r="BT319" i="3"/>
  <c r="BT318" i="3"/>
  <c r="BT166" i="3"/>
  <c r="BT132" i="3"/>
  <c r="BT194" i="3"/>
  <c r="BT133" i="3"/>
  <c r="BT100" i="3"/>
  <c r="BT101" i="3" s="1"/>
  <c r="BU98" i="3" s="1"/>
  <c r="BT110" i="3"/>
  <c r="BT195" i="3"/>
  <c r="BT172" i="3"/>
  <c r="BT234" i="3"/>
  <c r="BS167" i="3"/>
  <c r="BS168" i="3" s="1"/>
  <c r="BS169" i="3" s="1"/>
  <c r="BS89" i="3"/>
  <c r="BS90" i="3" s="1"/>
  <c r="BS91" i="3" s="1"/>
  <c r="BS94" i="3"/>
  <c r="BS95" i="3" s="1"/>
  <c r="BM65" i="4"/>
  <c r="BM70" i="4" s="1"/>
  <c r="BR75" i="3"/>
  <c r="BS39" i="3"/>
  <c r="BT36" i="3" s="1"/>
  <c r="BS43" i="3"/>
  <c r="BS44" i="3" s="1"/>
  <c r="BS45" i="3" s="1"/>
  <c r="BS46" i="3" s="1"/>
  <c r="BS60" i="3" s="1"/>
  <c r="BS61" i="3" s="1"/>
  <c r="BS62" i="3" s="1"/>
  <c r="BP18" i="7"/>
  <c r="BS229" i="3"/>
  <c r="BS230" i="3" s="1"/>
  <c r="BS231" i="3" s="1"/>
  <c r="BS225" i="3"/>
  <c r="BT222" i="3" s="1"/>
  <c r="BQ329" i="3"/>
  <c r="BT95" i="7"/>
  <c r="BT93" i="7"/>
  <c r="BU65" i="7"/>
  <c r="BU66" i="7" s="1"/>
  <c r="BU80" i="7"/>
  <c r="BT67" i="7"/>
  <c r="BU34" i="7"/>
  <c r="BU38" i="7"/>
  <c r="BU33" i="7"/>
  <c r="BT12" i="7"/>
  <c r="BT13" i="7" s="1"/>
  <c r="BT16" i="7" s="1"/>
  <c r="BU15" i="7"/>
  <c r="BU11" i="7"/>
  <c r="BV14" i="7"/>
  <c r="BU11" i="6"/>
  <c r="BU13" i="6" s="1"/>
  <c r="BV15" i="6"/>
  <c r="BU16" i="6"/>
  <c r="BT12" i="6"/>
  <c r="BT14" i="6" s="1"/>
  <c r="BT17" i="6" s="1"/>
  <c r="BU33" i="4"/>
  <c r="BU31" i="4"/>
  <c r="BU32" i="4"/>
  <c r="BU29" i="4"/>
  <c r="BU30" i="4"/>
  <c r="BT45" i="4"/>
  <c r="BT68" i="4"/>
  <c r="BT18" i="4"/>
  <c r="BT23" i="4"/>
  <c r="BT38" i="4"/>
  <c r="BT42" i="4"/>
  <c r="BS19" i="4"/>
  <c r="BS20" i="4" s="1"/>
  <c r="BS73" i="4"/>
  <c r="BS24" i="4"/>
  <c r="BS25" i="4" s="1"/>
  <c r="BS39" i="4"/>
  <c r="BS40" i="4" s="1"/>
  <c r="BS43" i="4"/>
  <c r="BS44" i="4" s="1"/>
  <c r="BT34" i="4"/>
  <c r="BU15" i="4"/>
  <c r="BU11" i="4"/>
  <c r="BU50" i="4" s="1"/>
  <c r="BV14" i="4"/>
  <c r="BT12" i="4"/>
  <c r="BT13" i="4" s="1"/>
  <c r="BT16" i="4" s="1"/>
  <c r="BT42" i="3"/>
  <c r="BT48" i="3"/>
  <c r="BS27" i="3"/>
  <c r="BS28" i="3" s="1"/>
  <c r="BS29" i="3" s="1"/>
  <c r="BS32" i="3"/>
  <c r="BS33" i="3" s="1"/>
  <c r="BT19" i="3"/>
  <c r="BT38" i="3"/>
  <c r="BU14" i="3"/>
  <c r="BT11" i="3"/>
  <c r="BT12" i="3" s="1"/>
  <c r="BT13" i="3" s="1"/>
  <c r="BT16" i="3" s="1"/>
  <c r="BT15" i="3"/>
  <c r="BV55" i="4" l="1"/>
  <c r="BV59" i="4"/>
  <c r="BV52" i="7"/>
  <c r="BV49" i="7"/>
  <c r="BV41" i="7"/>
  <c r="BV51" i="7"/>
  <c r="BV48" i="7"/>
  <c r="BV40" i="7"/>
  <c r="BS47" i="3"/>
  <c r="BS65" i="3" s="1"/>
  <c r="BS66" i="3" s="1"/>
  <c r="BS76" i="3" s="1"/>
  <c r="BT201" i="3"/>
  <c r="BU58" i="4"/>
  <c r="BQ18" i="7"/>
  <c r="BT225" i="3"/>
  <c r="BU222" i="3" s="1"/>
  <c r="BT134" i="3"/>
  <c r="BU131" i="3" s="1"/>
  <c r="BR328" i="3"/>
  <c r="BT72" i="3"/>
  <c r="BU69" i="3" s="1"/>
  <c r="BT263" i="3"/>
  <c r="BT196" i="3"/>
  <c r="BU193" i="3" s="1"/>
  <c r="BT258" i="3"/>
  <c r="BU255" i="3" s="1"/>
  <c r="BT320" i="3"/>
  <c r="BU317" i="3" s="1"/>
  <c r="BS295" i="3"/>
  <c r="BS313" i="3" s="1"/>
  <c r="BS314" i="3" s="1"/>
  <c r="BS324" i="3" s="1"/>
  <c r="BS294" i="3"/>
  <c r="BS308" i="3" s="1"/>
  <c r="BS309" i="3" s="1"/>
  <c r="BS310" i="3" s="1"/>
  <c r="BS323" i="3" s="1"/>
  <c r="BT229" i="3"/>
  <c r="BT230" i="3" s="1"/>
  <c r="BT231" i="3" s="1"/>
  <c r="BT151" i="3"/>
  <c r="BT152" i="3" s="1"/>
  <c r="BT153" i="3" s="1"/>
  <c r="BT156" i="3"/>
  <c r="BT157" i="3" s="1"/>
  <c r="BP332" i="3"/>
  <c r="BQ331" i="3" s="1"/>
  <c r="BU54" i="4"/>
  <c r="BU80" i="4"/>
  <c r="BU27" i="7" s="1"/>
  <c r="BU67" i="7"/>
  <c r="BT167" i="3"/>
  <c r="BT168" i="3" s="1"/>
  <c r="BT169" i="3" s="1"/>
  <c r="BT291" i="3"/>
  <c r="BT292" i="3" s="1"/>
  <c r="BT293" i="3" s="1"/>
  <c r="BR329" i="3"/>
  <c r="BS233" i="3"/>
  <c r="BS251" i="3" s="1"/>
  <c r="BS252" i="3" s="1"/>
  <c r="BS262" i="3" s="1"/>
  <c r="BS232" i="3"/>
  <c r="BS246" i="3" s="1"/>
  <c r="BS247" i="3" s="1"/>
  <c r="BS248" i="3" s="1"/>
  <c r="BS261" i="3" s="1"/>
  <c r="BU74" i="4"/>
  <c r="BV69" i="4"/>
  <c r="BV64" i="4"/>
  <c r="BS75" i="3"/>
  <c r="BH75" i="4"/>
  <c r="BH76" i="4" s="1"/>
  <c r="BH78" i="4" s="1"/>
  <c r="BH19" i="7" s="1"/>
  <c r="BT105" i="3"/>
  <c r="BT106" i="3" s="1"/>
  <c r="BT107" i="3" s="1"/>
  <c r="BN65" i="4"/>
  <c r="BN70" i="4" s="1"/>
  <c r="BT139" i="3"/>
  <c r="BT89" i="3"/>
  <c r="BT90" i="3" s="1"/>
  <c r="BT91" i="3" s="1"/>
  <c r="BT94" i="3"/>
  <c r="BT95" i="3" s="1"/>
  <c r="BT218" i="3"/>
  <c r="BT219" i="3" s="1"/>
  <c r="BT213" i="3"/>
  <c r="BT214" i="3" s="1"/>
  <c r="BT215" i="3" s="1"/>
  <c r="BU71" i="3"/>
  <c r="BU70" i="3"/>
  <c r="BU143" i="3"/>
  <c r="BU267" i="3"/>
  <c r="BU162" i="3"/>
  <c r="BU163" i="3" s="1"/>
  <c r="BV160" i="3" s="1"/>
  <c r="BU224" i="3"/>
  <c r="BU290" i="3"/>
  <c r="BU256" i="3"/>
  <c r="BU319" i="3"/>
  <c r="BU296" i="3"/>
  <c r="BU318" i="3"/>
  <c r="BU286" i="3"/>
  <c r="BU228" i="3"/>
  <c r="BU81" i="3"/>
  <c r="BU205" i="3"/>
  <c r="BU132" i="3"/>
  <c r="BU194" i="3"/>
  <c r="BU166" i="3"/>
  <c r="BU133" i="3"/>
  <c r="BU257" i="3"/>
  <c r="BU195" i="3"/>
  <c r="BU100" i="3"/>
  <c r="BU110" i="3"/>
  <c r="BU104" i="3"/>
  <c r="BU234" i="3"/>
  <c r="BU172" i="3"/>
  <c r="BT43" i="3"/>
  <c r="BT44" i="3" s="1"/>
  <c r="BT45" i="3" s="1"/>
  <c r="BT47" i="3" s="1"/>
  <c r="BT65" i="3" s="1"/>
  <c r="BT66" i="3" s="1"/>
  <c r="BU93" i="7"/>
  <c r="BS170" i="3"/>
  <c r="BS184" i="3" s="1"/>
  <c r="BS185" i="3" s="1"/>
  <c r="BS186" i="3" s="1"/>
  <c r="BS199" i="3" s="1"/>
  <c r="BS171" i="3"/>
  <c r="BS189" i="3" s="1"/>
  <c r="BS190" i="3" s="1"/>
  <c r="BS200" i="3" s="1"/>
  <c r="BT325" i="3"/>
  <c r="BT280" i="3"/>
  <c r="BT281" i="3" s="1"/>
  <c r="BT275" i="3"/>
  <c r="BT276" i="3" s="1"/>
  <c r="BT277" i="3" s="1"/>
  <c r="BS330" i="3"/>
  <c r="BS45" i="7" s="1"/>
  <c r="BS108" i="3"/>
  <c r="BS122" i="3" s="1"/>
  <c r="BS123" i="3" s="1"/>
  <c r="BS124" i="3" s="1"/>
  <c r="BS137" i="3" s="1"/>
  <c r="BS109" i="3"/>
  <c r="BS127" i="3" s="1"/>
  <c r="BS128" i="3" s="1"/>
  <c r="BS138" i="3" s="1"/>
  <c r="BT39" i="3"/>
  <c r="BU36" i="3" s="1"/>
  <c r="BT77" i="3"/>
  <c r="BO333" i="3"/>
  <c r="BO63" i="4" s="1"/>
  <c r="BO62" i="4" s="1"/>
  <c r="BU95" i="7"/>
  <c r="BV80" i="7"/>
  <c r="BV65" i="7"/>
  <c r="BV66" i="7" s="1"/>
  <c r="BV34" i="7"/>
  <c r="BV38" i="7"/>
  <c r="BV33" i="7"/>
  <c r="BV15" i="7"/>
  <c r="BV11" i="7"/>
  <c r="BW14" i="7"/>
  <c r="BU12" i="7"/>
  <c r="BU13" i="7" s="1"/>
  <c r="BU16" i="7" s="1"/>
  <c r="BW15" i="6"/>
  <c r="BV16" i="6"/>
  <c r="BV11" i="6"/>
  <c r="BV13" i="6" s="1"/>
  <c r="BU12" i="6"/>
  <c r="BU14" i="6" s="1"/>
  <c r="BU17" i="6" s="1"/>
  <c r="BS46" i="4"/>
  <c r="BT73" i="4"/>
  <c r="BI75" i="4" s="1"/>
  <c r="BI76" i="4" s="1"/>
  <c r="BI78" i="4" s="1"/>
  <c r="BI19" i="7" s="1"/>
  <c r="BT24" i="4"/>
  <c r="BT25" i="4" s="1"/>
  <c r="BT19" i="4"/>
  <c r="BT20" i="4" s="1"/>
  <c r="BT39" i="4"/>
  <c r="BT40" i="4" s="1"/>
  <c r="BT43" i="4"/>
  <c r="BT44" i="4" s="1"/>
  <c r="BV31" i="4"/>
  <c r="BV32" i="4"/>
  <c r="BV29" i="4"/>
  <c r="BV30" i="4"/>
  <c r="BV33" i="4"/>
  <c r="BU45" i="4"/>
  <c r="BU68" i="4"/>
  <c r="BU69" i="4" s="1"/>
  <c r="BU18" i="4"/>
  <c r="BU23" i="4"/>
  <c r="BU38" i="4"/>
  <c r="BU42" i="4"/>
  <c r="BU34" i="4"/>
  <c r="BV15" i="4"/>
  <c r="BV11" i="4"/>
  <c r="BV50" i="4" s="1"/>
  <c r="BV51" i="4" s="1"/>
  <c r="BW14" i="4"/>
  <c r="BU12" i="4"/>
  <c r="BU13" i="4" s="1"/>
  <c r="BU16" i="4" s="1"/>
  <c r="BU42" i="3"/>
  <c r="BU48" i="3"/>
  <c r="BU19" i="3"/>
  <c r="BU38" i="3"/>
  <c r="BT27" i="3"/>
  <c r="BT28" i="3" s="1"/>
  <c r="BT29" i="3" s="1"/>
  <c r="BT32" i="3"/>
  <c r="BT33" i="3" s="1"/>
  <c r="BV14" i="3"/>
  <c r="BU11" i="3"/>
  <c r="BU12" i="3" s="1"/>
  <c r="BU13" i="3" s="1"/>
  <c r="BU16" i="3" s="1"/>
  <c r="BU15" i="3"/>
  <c r="BW59" i="4" l="1"/>
  <c r="BW51" i="4"/>
  <c r="BW55" i="4"/>
  <c r="BW51" i="7"/>
  <c r="BW48" i="7"/>
  <c r="BW40" i="7"/>
  <c r="BW49" i="7"/>
  <c r="BW41" i="7"/>
  <c r="BW52" i="7"/>
  <c r="BT46" i="3"/>
  <c r="BT60" i="3" s="1"/>
  <c r="BT61" i="3" s="1"/>
  <c r="BT62" i="3" s="1"/>
  <c r="BT75" i="3" s="1"/>
  <c r="BR18" i="7"/>
  <c r="BV58" i="4"/>
  <c r="BU134" i="3"/>
  <c r="BV131" i="3" s="1"/>
  <c r="BU225" i="3"/>
  <c r="BV222" i="3" s="1"/>
  <c r="BV95" i="7"/>
  <c r="BU72" i="3"/>
  <c r="BV69" i="3" s="1"/>
  <c r="BU320" i="3"/>
  <c r="BV317" i="3" s="1"/>
  <c r="BU139" i="3"/>
  <c r="BP333" i="3"/>
  <c r="BP63" i="4" s="1"/>
  <c r="BP62" i="4" s="1"/>
  <c r="BU325" i="3"/>
  <c r="BU258" i="3"/>
  <c r="BV255" i="3" s="1"/>
  <c r="BS328" i="3"/>
  <c r="BU196" i="3"/>
  <c r="BV193" i="3" s="1"/>
  <c r="BT109" i="3"/>
  <c r="BT127" i="3" s="1"/>
  <c r="BT128" i="3" s="1"/>
  <c r="BT138" i="3" s="1"/>
  <c r="BT108" i="3"/>
  <c r="BT122" i="3" s="1"/>
  <c r="BT123" i="3" s="1"/>
  <c r="BT124" i="3" s="1"/>
  <c r="BT137" i="3" s="1"/>
  <c r="BU275" i="3"/>
  <c r="BU276" i="3" s="1"/>
  <c r="BU277" i="3" s="1"/>
  <c r="BU280" i="3"/>
  <c r="BU281" i="3" s="1"/>
  <c r="BT294" i="3"/>
  <c r="BT308" i="3" s="1"/>
  <c r="BT309" i="3" s="1"/>
  <c r="BT310" i="3" s="1"/>
  <c r="BT323" i="3" s="1"/>
  <c r="BT295" i="3"/>
  <c r="BT313" i="3" s="1"/>
  <c r="BT314" i="3" s="1"/>
  <c r="BT324" i="3" s="1"/>
  <c r="BV71" i="3"/>
  <c r="BV70" i="3"/>
  <c r="BV143" i="3"/>
  <c r="BV162" i="3"/>
  <c r="BV163" i="3" s="1"/>
  <c r="BW160" i="3" s="1"/>
  <c r="BV267" i="3"/>
  <c r="BV319" i="3"/>
  <c r="BV318" i="3"/>
  <c r="BV286" i="3"/>
  <c r="BV256" i="3"/>
  <c r="BV205" i="3"/>
  <c r="BV296" i="3"/>
  <c r="BV228" i="3"/>
  <c r="BV290" i="3"/>
  <c r="BV100" i="3"/>
  <c r="BV166" i="3"/>
  <c r="BV110" i="3"/>
  <c r="BV195" i="3"/>
  <c r="BV257" i="3"/>
  <c r="BV133" i="3"/>
  <c r="BV224" i="3"/>
  <c r="BV225" i="3" s="1"/>
  <c r="BW222" i="3" s="1"/>
  <c r="BV194" i="3"/>
  <c r="BV81" i="3"/>
  <c r="BV132" i="3"/>
  <c r="BV104" i="3"/>
  <c r="BV172" i="3"/>
  <c r="BV234" i="3"/>
  <c r="BU43" i="3"/>
  <c r="BU44" i="3" s="1"/>
  <c r="BU45" i="3" s="1"/>
  <c r="BU46" i="3" s="1"/>
  <c r="BU60" i="3" s="1"/>
  <c r="BU61" i="3" s="1"/>
  <c r="BU62" i="3" s="1"/>
  <c r="BU151" i="3"/>
  <c r="BU152" i="3" s="1"/>
  <c r="BU153" i="3" s="1"/>
  <c r="BU156" i="3"/>
  <c r="BU157" i="3" s="1"/>
  <c r="BU287" i="3"/>
  <c r="BV284" i="3" s="1"/>
  <c r="BS329" i="3"/>
  <c r="BU167" i="3"/>
  <c r="BU168" i="3" s="1"/>
  <c r="BU169" i="3" s="1"/>
  <c r="BT170" i="3"/>
  <c r="BT184" i="3" s="1"/>
  <c r="BT185" i="3" s="1"/>
  <c r="BT186" i="3" s="1"/>
  <c r="BT199" i="3" s="1"/>
  <c r="BT171" i="3"/>
  <c r="BT189" i="3" s="1"/>
  <c r="BT190" i="3" s="1"/>
  <c r="BT200" i="3" s="1"/>
  <c r="BO65" i="4"/>
  <c r="BO70" i="4" s="1"/>
  <c r="BV74" i="4"/>
  <c r="BQ332" i="3"/>
  <c r="BR331" i="3" s="1"/>
  <c r="BU39" i="3"/>
  <c r="BV36" i="3" s="1"/>
  <c r="BU77" i="3"/>
  <c r="BW69" i="4"/>
  <c r="BW64" i="4"/>
  <c r="BT330" i="3"/>
  <c r="BT45" i="7" s="1"/>
  <c r="BU105" i="3"/>
  <c r="BU106" i="3" s="1"/>
  <c r="BU107" i="3" s="1"/>
  <c r="BU101" i="3"/>
  <c r="BV98" i="3" s="1"/>
  <c r="BV54" i="4"/>
  <c r="BV80" i="4"/>
  <c r="BV27" i="7" s="1"/>
  <c r="BT46" i="4"/>
  <c r="BU218" i="3"/>
  <c r="BU219" i="3" s="1"/>
  <c r="BU213" i="3"/>
  <c r="BU214" i="3" s="1"/>
  <c r="BU215" i="3" s="1"/>
  <c r="BU291" i="3"/>
  <c r="BU292" i="3" s="1"/>
  <c r="BU293" i="3" s="1"/>
  <c r="BU89" i="3"/>
  <c r="BU90" i="3" s="1"/>
  <c r="BU91" i="3" s="1"/>
  <c r="BU94" i="3"/>
  <c r="BU95" i="3" s="1"/>
  <c r="BU263" i="3"/>
  <c r="BT233" i="3"/>
  <c r="BT251" i="3" s="1"/>
  <c r="BT252" i="3" s="1"/>
  <c r="BT262" i="3" s="1"/>
  <c r="BT232" i="3"/>
  <c r="BT246" i="3" s="1"/>
  <c r="BT247" i="3" s="1"/>
  <c r="BT248" i="3" s="1"/>
  <c r="BT261" i="3" s="1"/>
  <c r="BT76" i="3"/>
  <c r="BU229" i="3"/>
  <c r="BU230" i="3" s="1"/>
  <c r="BU231" i="3" s="1"/>
  <c r="BU201" i="3"/>
  <c r="BV93" i="7"/>
  <c r="BV67" i="7"/>
  <c r="BW80" i="7"/>
  <c r="BW65" i="7"/>
  <c r="BW66" i="7" s="1"/>
  <c r="BW34" i="7"/>
  <c r="BW38" i="7"/>
  <c r="BW33" i="7"/>
  <c r="BW15" i="7"/>
  <c r="BW11" i="7"/>
  <c r="BX14" i="7"/>
  <c r="BV12" i="7"/>
  <c r="BV13" i="7" s="1"/>
  <c r="BV16" i="7" s="1"/>
  <c r="BV12" i="6"/>
  <c r="BV14" i="6" s="1"/>
  <c r="BV17" i="6" s="1"/>
  <c r="BX15" i="6"/>
  <c r="BW16" i="6"/>
  <c r="BW11" i="6"/>
  <c r="BW13" i="6" s="1"/>
  <c r="BW31" i="4"/>
  <c r="BW32" i="4"/>
  <c r="BW29" i="4"/>
  <c r="BW30" i="4"/>
  <c r="BW33" i="4"/>
  <c r="BV45" i="4"/>
  <c r="BV68" i="4"/>
  <c r="BV18" i="4"/>
  <c r="BV38" i="4"/>
  <c r="BV23" i="4"/>
  <c r="BV42" i="4"/>
  <c r="BV34" i="4"/>
  <c r="BU39" i="4"/>
  <c r="BU40" i="4" s="1"/>
  <c r="BU19" i="4"/>
  <c r="BU20" i="4" s="1"/>
  <c r="BU73" i="4"/>
  <c r="BJ75" i="4" s="1"/>
  <c r="BJ76" i="4" s="1"/>
  <c r="BJ78" i="4" s="1"/>
  <c r="BJ19" i="7" s="1"/>
  <c r="BU24" i="4"/>
  <c r="BU25" i="4" s="1"/>
  <c r="BU43" i="4"/>
  <c r="BU44" i="4" s="1"/>
  <c r="BW15" i="4"/>
  <c r="BW11" i="4"/>
  <c r="BW80" i="4" s="1"/>
  <c r="BW27" i="7" s="1"/>
  <c r="BX14" i="4"/>
  <c r="BV12" i="4"/>
  <c r="BV13" i="4" s="1"/>
  <c r="BV16" i="4" s="1"/>
  <c r="BV42" i="3"/>
  <c r="BV48" i="3"/>
  <c r="BV38" i="3"/>
  <c r="BV19" i="3"/>
  <c r="BU32" i="3"/>
  <c r="BU33" i="3" s="1"/>
  <c r="BU27" i="3"/>
  <c r="BU28" i="3" s="1"/>
  <c r="BU29" i="3" s="1"/>
  <c r="BW14" i="3"/>
  <c r="BV11" i="3"/>
  <c r="BV12" i="3" s="1"/>
  <c r="BV13" i="3" s="1"/>
  <c r="BV16" i="3" s="1"/>
  <c r="BV15" i="3"/>
  <c r="BX59" i="4" l="1"/>
  <c r="BX55" i="4"/>
  <c r="BX51" i="4"/>
  <c r="BX51" i="7"/>
  <c r="BX48" i="7"/>
  <c r="BX40" i="7"/>
  <c r="BX52" i="7"/>
  <c r="BX49" i="7"/>
  <c r="BX41" i="7"/>
  <c r="BV72" i="3"/>
  <c r="BW69" i="3" s="1"/>
  <c r="BV320" i="3"/>
  <c r="BW317" i="3" s="1"/>
  <c r="BV287" i="3"/>
  <c r="BW284" i="3" s="1"/>
  <c r="BP65" i="4"/>
  <c r="BP70" i="4" s="1"/>
  <c r="BV101" i="3"/>
  <c r="BW98" i="3" s="1"/>
  <c r="BS18" i="7"/>
  <c r="BW93" i="7"/>
  <c r="BU46" i="4"/>
  <c r="BV196" i="3"/>
  <c r="BW193" i="3" s="1"/>
  <c r="BV258" i="3"/>
  <c r="BW255" i="3" s="1"/>
  <c r="BV325" i="3"/>
  <c r="BU330" i="3"/>
  <c r="BU45" i="7" s="1"/>
  <c r="BV134" i="3"/>
  <c r="BW131" i="3" s="1"/>
  <c r="BU170" i="3"/>
  <c r="BU184" i="3" s="1"/>
  <c r="BU185" i="3" s="1"/>
  <c r="BU186" i="3" s="1"/>
  <c r="BU199" i="3" s="1"/>
  <c r="BU171" i="3"/>
  <c r="BU189" i="3" s="1"/>
  <c r="BU190" i="3" s="1"/>
  <c r="BU200" i="3" s="1"/>
  <c r="BU233" i="3"/>
  <c r="BU251" i="3" s="1"/>
  <c r="BU252" i="3" s="1"/>
  <c r="BU262" i="3" s="1"/>
  <c r="BU232" i="3"/>
  <c r="BU246" i="3" s="1"/>
  <c r="BU247" i="3" s="1"/>
  <c r="BU248" i="3" s="1"/>
  <c r="BU261" i="3" s="1"/>
  <c r="BU294" i="3"/>
  <c r="BU308" i="3" s="1"/>
  <c r="BU309" i="3" s="1"/>
  <c r="BU310" i="3" s="1"/>
  <c r="BU323" i="3" s="1"/>
  <c r="BU295" i="3"/>
  <c r="BU313" i="3" s="1"/>
  <c r="BU314" i="3" s="1"/>
  <c r="BU324" i="3" s="1"/>
  <c r="BV151" i="3"/>
  <c r="BV152" i="3" s="1"/>
  <c r="BV153" i="3" s="1"/>
  <c r="BV156" i="3"/>
  <c r="BV157" i="3" s="1"/>
  <c r="BV218" i="3"/>
  <c r="BV219" i="3" s="1"/>
  <c r="BV213" i="3"/>
  <c r="BV214" i="3" s="1"/>
  <c r="BV215" i="3" s="1"/>
  <c r="BX69" i="4"/>
  <c r="BX64" i="4"/>
  <c r="BU47" i="3"/>
  <c r="BU65" i="3" s="1"/>
  <c r="BU66" i="3" s="1"/>
  <c r="BU76" i="3" s="1"/>
  <c r="BW74" i="4"/>
  <c r="BV105" i="3"/>
  <c r="BV106" i="3" s="1"/>
  <c r="BV107" i="3" s="1"/>
  <c r="BT329" i="3"/>
  <c r="BV39" i="3"/>
  <c r="BW36" i="3" s="1"/>
  <c r="BV77" i="3"/>
  <c r="BW50" i="4"/>
  <c r="BQ333" i="3"/>
  <c r="BQ63" i="4" s="1"/>
  <c r="BQ62" i="4" s="1"/>
  <c r="BV167" i="3"/>
  <c r="BV168" i="3" s="1"/>
  <c r="BV169" i="3" s="1"/>
  <c r="BT328" i="3"/>
  <c r="BR332" i="3"/>
  <c r="BS331" i="3" s="1"/>
  <c r="BV94" i="3"/>
  <c r="BV95" i="3" s="1"/>
  <c r="BV89" i="3"/>
  <c r="BV90" i="3" s="1"/>
  <c r="BV91" i="3" s="1"/>
  <c r="BV139" i="3"/>
  <c r="BW70" i="3"/>
  <c r="BW71" i="3"/>
  <c r="BW162" i="3"/>
  <c r="BW163" i="3" s="1"/>
  <c r="BX160" i="3" s="1"/>
  <c r="BW267" i="3"/>
  <c r="BW286" i="3"/>
  <c r="BW296" i="3"/>
  <c r="BW319" i="3"/>
  <c r="BW228" i="3"/>
  <c r="BW224" i="3"/>
  <c r="BW225" i="3" s="1"/>
  <c r="BX222" i="3" s="1"/>
  <c r="BW256" i="3"/>
  <c r="BW290" i="3"/>
  <c r="BW205" i="3"/>
  <c r="BW194" i="3"/>
  <c r="BW166" i="3"/>
  <c r="BW81" i="3"/>
  <c r="BW132" i="3"/>
  <c r="BW195" i="3"/>
  <c r="BW143" i="3"/>
  <c r="BW100" i="3"/>
  <c r="BW257" i="3"/>
  <c r="BW104" i="3"/>
  <c r="BW318" i="3"/>
  <c r="BW133" i="3"/>
  <c r="BW110" i="3"/>
  <c r="BW234" i="3"/>
  <c r="BW172" i="3"/>
  <c r="BV43" i="3"/>
  <c r="BV44" i="3" s="1"/>
  <c r="BV45" i="3" s="1"/>
  <c r="BV46" i="3" s="1"/>
  <c r="BV60" i="3" s="1"/>
  <c r="BV61" i="3" s="1"/>
  <c r="BV62" i="3" s="1"/>
  <c r="BW58" i="4"/>
  <c r="BV291" i="3"/>
  <c r="BV292" i="3" s="1"/>
  <c r="BV293" i="3" s="1"/>
  <c r="BV275" i="3"/>
  <c r="BV276" i="3" s="1"/>
  <c r="BV277" i="3" s="1"/>
  <c r="BV280" i="3"/>
  <c r="BV281" i="3" s="1"/>
  <c r="BU108" i="3"/>
  <c r="BU122" i="3" s="1"/>
  <c r="BU123" i="3" s="1"/>
  <c r="BU124" i="3" s="1"/>
  <c r="BU137" i="3" s="1"/>
  <c r="BU109" i="3"/>
  <c r="BU127" i="3" s="1"/>
  <c r="BU128" i="3" s="1"/>
  <c r="BU138" i="3" s="1"/>
  <c r="BU75" i="3"/>
  <c r="BV263" i="3"/>
  <c r="BV229" i="3"/>
  <c r="BV230" i="3" s="1"/>
  <c r="BV231" i="3" s="1"/>
  <c r="BV201" i="3"/>
  <c r="BW95" i="7"/>
  <c r="BX80" i="7"/>
  <c r="BX65" i="7"/>
  <c r="BX66" i="7" s="1"/>
  <c r="BW67" i="7"/>
  <c r="BX34" i="7"/>
  <c r="BX38" i="7"/>
  <c r="BX33" i="7"/>
  <c r="BY14" i="7"/>
  <c r="BX15" i="7"/>
  <c r="BX11" i="7"/>
  <c r="BW12" i="7"/>
  <c r="BW13" i="7" s="1"/>
  <c r="BW16" i="7" s="1"/>
  <c r="BW12" i="6"/>
  <c r="BW14" i="6" s="1"/>
  <c r="BW17" i="6" s="1"/>
  <c r="BX16" i="6"/>
  <c r="BX11" i="6"/>
  <c r="BX13" i="6" s="1"/>
  <c r="BY15" i="6"/>
  <c r="BV73" i="4"/>
  <c r="BK75" i="4" s="1"/>
  <c r="BK76" i="4" s="1"/>
  <c r="BK78" i="4" s="1"/>
  <c r="BK19" i="7" s="1"/>
  <c r="BV39" i="4"/>
  <c r="BV40" i="4" s="1"/>
  <c r="BV24" i="4"/>
  <c r="BV25" i="4" s="1"/>
  <c r="BV19" i="4"/>
  <c r="BV20" i="4" s="1"/>
  <c r="BV43" i="4"/>
  <c r="BV44" i="4" s="1"/>
  <c r="BX32" i="4"/>
  <c r="BX29" i="4"/>
  <c r="BX31" i="4"/>
  <c r="BX33" i="4"/>
  <c r="BX30" i="4"/>
  <c r="BW34" i="4"/>
  <c r="BW45" i="4"/>
  <c r="BW68" i="4"/>
  <c r="BW18" i="4"/>
  <c r="BW23" i="4"/>
  <c r="BW38" i="4"/>
  <c r="BW42" i="4"/>
  <c r="BW54" i="4"/>
  <c r="BX11" i="4"/>
  <c r="BX80" i="4" s="1"/>
  <c r="BX27" i="7" s="1"/>
  <c r="BY14" i="4"/>
  <c r="BX15" i="4"/>
  <c r="BW12" i="4"/>
  <c r="BW13" i="4" s="1"/>
  <c r="BW16" i="4" s="1"/>
  <c r="BW42" i="3"/>
  <c r="BW48" i="3"/>
  <c r="BW38" i="3"/>
  <c r="BW19" i="3"/>
  <c r="BV27" i="3"/>
  <c r="BV28" i="3" s="1"/>
  <c r="BV29" i="3" s="1"/>
  <c r="BV32" i="3"/>
  <c r="BV33" i="3" s="1"/>
  <c r="BX14" i="3"/>
  <c r="BW11" i="3"/>
  <c r="BW12" i="3" s="1"/>
  <c r="BW13" i="3" s="1"/>
  <c r="BW16" i="3" s="1"/>
  <c r="BW15" i="3"/>
  <c r="BY55" i="4" l="1"/>
  <c r="BY51" i="4"/>
  <c r="BY51" i="7"/>
  <c r="BY48" i="7"/>
  <c r="BY52" i="7"/>
  <c r="BY49" i="7"/>
  <c r="BY41" i="7"/>
  <c r="BY40" i="7"/>
  <c r="BV47" i="3"/>
  <c r="BV65" i="3" s="1"/>
  <c r="BV66" i="3" s="1"/>
  <c r="BV76" i="3" s="1"/>
  <c r="BT18" i="7"/>
  <c r="BW258" i="3"/>
  <c r="BX255" i="3" s="1"/>
  <c r="BX95" i="7"/>
  <c r="BW134" i="3"/>
  <c r="BX131" i="3" s="1"/>
  <c r="BW201" i="3"/>
  <c r="BW320" i="3"/>
  <c r="BX317" i="3" s="1"/>
  <c r="BV330" i="3"/>
  <c r="BV45" i="7" s="1"/>
  <c r="BW325" i="3"/>
  <c r="BW139" i="3"/>
  <c r="BX50" i="4"/>
  <c r="BW72" i="3"/>
  <c r="BX69" i="3" s="1"/>
  <c r="BV171" i="3"/>
  <c r="BV189" i="3" s="1"/>
  <c r="BV190" i="3" s="1"/>
  <c r="BV200" i="3" s="1"/>
  <c r="BV170" i="3"/>
  <c r="BV184" i="3" s="1"/>
  <c r="BV185" i="3" s="1"/>
  <c r="BV186" i="3" s="1"/>
  <c r="BV199" i="3" s="1"/>
  <c r="BV232" i="3"/>
  <c r="BV246" i="3" s="1"/>
  <c r="BV247" i="3" s="1"/>
  <c r="BV248" i="3" s="1"/>
  <c r="BV261" i="3" s="1"/>
  <c r="BV233" i="3"/>
  <c r="BV251" i="3" s="1"/>
  <c r="BV252" i="3" s="1"/>
  <c r="BV262" i="3" s="1"/>
  <c r="BW218" i="3"/>
  <c r="BW219" i="3" s="1"/>
  <c r="BW213" i="3"/>
  <c r="BW214" i="3" s="1"/>
  <c r="BW215" i="3" s="1"/>
  <c r="BW280" i="3"/>
  <c r="BW281" i="3" s="1"/>
  <c r="BW275" i="3"/>
  <c r="BW276" i="3" s="1"/>
  <c r="BW277" i="3" s="1"/>
  <c r="BR333" i="3"/>
  <c r="BR63" i="4" s="1"/>
  <c r="BR62" i="4" s="1"/>
  <c r="BW287" i="3"/>
  <c r="BX284" i="3" s="1"/>
  <c r="BV46" i="4"/>
  <c r="BX70" i="3"/>
  <c r="BX71" i="3"/>
  <c r="BX143" i="3"/>
  <c r="BX162" i="3"/>
  <c r="BX163" i="3" s="1"/>
  <c r="BY160" i="3" s="1"/>
  <c r="BX267" i="3"/>
  <c r="BX318" i="3"/>
  <c r="BX286" i="3"/>
  <c r="BX319" i="3"/>
  <c r="BX205" i="3"/>
  <c r="BX290" i="3"/>
  <c r="BX224" i="3"/>
  <c r="BX257" i="3"/>
  <c r="BX133" i="3"/>
  <c r="BX194" i="3"/>
  <c r="BX166" i="3"/>
  <c r="BX104" i="3"/>
  <c r="BX256" i="3"/>
  <c r="BX110" i="3"/>
  <c r="BX132" i="3"/>
  <c r="BX296" i="3"/>
  <c r="BX100" i="3"/>
  <c r="BX228" i="3"/>
  <c r="BX195" i="3"/>
  <c r="BX81" i="3"/>
  <c r="BX234" i="3"/>
  <c r="BX172" i="3"/>
  <c r="BW291" i="3"/>
  <c r="BW292" i="3" s="1"/>
  <c r="BW293" i="3" s="1"/>
  <c r="BX58" i="4"/>
  <c r="BW156" i="3"/>
  <c r="BW157" i="3" s="1"/>
  <c r="BW151" i="3"/>
  <c r="BW152" i="3" s="1"/>
  <c r="BW153" i="3" s="1"/>
  <c r="BV109" i="3"/>
  <c r="BV127" i="3" s="1"/>
  <c r="BV128" i="3" s="1"/>
  <c r="BV138" i="3" s="1"/>
  <c r="BV108" i="3"/>
  <c r="BV122" i="3" s="1"/>
  <c r="BV123" i="3" s="1"/>
  <c r="BV124" i="3" s="1"/>
  <c r="BV137" i="3" s="1"/>
  <c r="BV75" i="3"/>
  <c r="BW263" i="3"/>
  <c r="BX74" i="4"/>
  <c r="BW196" i="3"/>
  <c r="BX193" i="3" s="1"/>
  <c r="BQ65" i="4"/>
  <c r="BQ70" i="4" s="1"/>
  <c r="BV294" i="3"/>
  <c r="BV308" i="3" s="1"/>
  <c r="BV309" i="3" s="1"/>
  <c r="BV310" i="3" s="1"/>
  <c r="BV323" i="3" s="1"/>
  <c r="BV295" i="3"/>
  <c r="BV313" i="3" s="1"/>
  <c r="BV314" i="3" s="1"/>
  <c r="BV324" i="3" s="1"/>
  <c r="BW229" i="3"/>
  <c r="BW230" i="3" s="1"/>
  <c r="BW231" i="3" s="1"/>
  <c r="BW43" i="3"/>
  <c r="BW44" i="3" s="1"/>
  <c r="BW45" i="3" s="1"/>
  <c r="BW46" i="3" s="1"/>
  <c r="BW60" i="3" s="1"/>
  <c r="BW61" i="3" s="1"/>
  <c r="BW62" i="3" s="1"/>
  <c r="BS332" i="3"/>
  <c r="BT331" i="3" s="1"/>
  <c r="BY69" i="4"/>
  <c r="BY64" i="4"/>
  <c r="BW89" i="3"/>
  <c r="BW90" i="3" s="1"/>
  <c r="BW91" i="3" s="1"/>
  <c r="BW94" i="3"/>
  <c r="BW95" i="3" s="1"/>
  <c r="BU329" i="3"/>
  <c r="BW105" i="3"/>
  <c r="BW106" i="3" s="1"/>
  <c r="BW107" i="3" s="1"/>
  <c r="BW39" i="3"/>
  <c r="BX36" i="3" s="1"/>
  <c r="BW77" i="3"/>
  <c r="BW101" i="3"/>
  <c r="BX98" i="3" s="1"/>
  <c r="BW167" i="3"/>
  <c r="BW168" i="3" s="1"/>
  <c r="BW169" i="3" s="1"/>
  <c r="BU328" i="3"/>
  <c r="BX93" i="7"/>
  <c r="BY80" i="7"/>
  <c r="BY65" i="7"/>
  <c r="BY66" i="7" s="1"/>
  <c r="BX67" i="7"/>
  <c r="BY38" i="7"/>
  <c r="F38" i="7" s="1"/>
  <c r="BY33" i="7"/>
  <c r="BY34" i="7"/>
  <c r="F34" i="7" s="1"/>
  <c r="BX12" i="7"/>
  <c r="BX13" i="7" s="1"/>
  <c r="BX16" i="7" s="1"/>
  <c r="BY15" i="7"/>
  <c r="BY11" i="7"/>
  <c r="BY16" i="6"/>
  <c r="BY11" i="6"/>
  <c r="BY13" i="6" s="1"/>
  <c r="BZ15" i="6"/>
  <c r="BX12" i="6"/>
  <c r="BX14" i="6" s="1"/>
  <c r="BX17" i="6" s="1"/>
  <c r="BW43" i="4"/>
  <c r="BW44" i="4" s="1"/>
  <c r="BW19" i="4"/>
  <c r="BW20" i="4" s="1"/>
  <c r="BW24" i="4"/>
  <c r="BW25" i="4" s="1"/>
  <c r="BW39" i="4"/>
  <c r="BW40" i="4" s="1"/>
  <c r="BW73" i="4"/>
  <c r="BL75" i="4" s="1"/>
  <c r="BL76" i="4" s="1"/>
  <c r="BL78" i="4" s="1"/>
  <c r="BL19" i="7" s="1"/>
  <c r="BZ14" i="4"/>
  <c r="BY32" i="4"/>
  <c r="BY33" i="4"/>
  <c r="BY31" i="4"/>
  <c r="BY30" i="4"/>
  <c r="BY29" i="4"/>
  <c r="BX68" i="4"/>
  <c r="BX45" i="4"/>
  <c r="BX18" i="4"/>
  <c r="BX38" i="4"/>
  <c r="BX23" i="4"/>
  <c r="BX42" i="4"/>
  <c r="BX34" i="4"/>
  <c r="BX54" i="4"/>
  <c r="BY11" i="4"/>
  <c r="BY80" i="4" s="1"/>
  <c r="BY27" i="7" s="1"/>
  <c r="F27" i="7" s="1"/>
  <c r="BY15" i="4"/>
  <c r="BX12" i="4"/>
  <c r="BX13" i="4" s="1"/>
  <c r="BX16" i="4" s="1"/>
  <c r="BX42" i="3"/>
  <c r="BX48" i="3"/>
  <c r="BX38" i="3"/>
  <c r="BX19" i="3"/>
  <c r="BW27" i="3"/>
  <c r="BW28" i="3" s="1"/>
  <c r="BW29" i="3" s="1"/>
  <c r="BW32" i="3"/>
  <c r="BW33" i="3" s="1"/>
  <c r="BY14" i="3"/>
  <c r="BX11" i="3"/>
  <c r="BX12" i="3" s="1"/>
  <c r="BX13" i="3" s="1"/>
  <c r="BX16" i="3" s="1"/>
  <c r="BX15" i="3"/>
  <c r="BY58" i="4" l="1"/>
  <c r="BY59" i="4" s="1"/>
  <c r="BZ59" i="4"/>
  <c r="BZ55" i="4"/>
  <c r="BZ51" i="4"/>
  <c r="J108" i="1"/>
  <c r="J141" i="1" s="1"/>
  <c r="H93" i="1"/>
  <c r="I102" i="1"/>
  <c r="N109" i="1"/>
  <c r="N150" i="1" s="1"/>
  <c r="E109" i="1"/>
  <c r="E150" i="1" s="1"/>
  <c r="M93" i="1"/>
  <c r="O120" i="1"/>
  <c r="L113" i="1"/>
  <c r="K93" i="1"/>
  <c r="M120" i="1"/>
  <c r="O108" i="1"/>
  <c r="O141" i="1" s="1"/>
  <c r="L120" i="1"/>
  <c r="G113" i="1"/>
  <c r="O113" i="1"/>
  <c r="N102" i="1"/>
  <c r="H108" i="1"/>
  <c r="H141" i="1" s="1"/>
  <c r="O93" i="1"/>
  <c r="N93" i="1"/>
  <c r="M109" i="1"/>
  <c r="M150" i="1" s="1"/>
  <c r="K102" i="1"/>
  <c r="O102" i="1"/>
  <c r="G93" i="1"/>
  <c r="M108" i="1"/>
  <c r="M141" i="1" s="1"/>
  <c r="N94" i="1"/>
  <c r="L94" i="1"/>
  <c r="I94" i="1"/>
  <c r="L109" i="1"/>
  <c r="L150" i="1" s="1"/>
  <c r="H113" i="1"/>
  <c r="M113" i="1"/>
  <c r="F102" i="1"/>
  <c r="J120" i="1"/>
  <c r="I120" i="1"/>
  <c r="L108" i="1"/>
  <c r="L141" i="1" s="1"/>
  <c r="K94" i="1"/>
  <c r="K109" i="1"/>
  <c r="K150" i="1" s="1"/>
  <c r="K120" i="1"/>
  <c r="F109" i="1"/>
  <c r="F150" i="1" s="1"/>
  <c r="J113" i="1"/>
  <c r="O109" i="1"/>
  <c r="O150" i="1" s="1"/>
  <c r="K108" i="1"/>
  <c r="K141" i="1" s="1"/>
  <c r="I109" i="1"/>
  <c r="I150" i="1" s="1"/>
  <c r="K113" i="1"/>
  <c r="M102" i="1"/>
  <c r="H94" i="1"/>
  <c r="I108" i="1"/>
  <c r="I141" i="1" s="1"/>
  <c r="E102" i="1"/>
  <c r="N113" i="1"/>
  <c r="H109" i="1"/>
  <c r="H150" i="1" s="1"/>
  <c r="J109" i="1"/>
  <c r="J150" i="1" s="1"/>
  <c r="L102" i="1"/>
  <c r="E108" i="1"/>
  <c r="E141" i="1" s="1"/>
  <c r="M94" i="1"/>
  <c r="F108" i="1"/>
  <c r="F141" i="1" s="1"/>
  <c r="F113" i="1"/>
  <c r="N108" i="1"/>
  <c r="N141" i="1" s="1"/>
  <c r="H120" i="1"/>
  <c r="L93" i="1"/>
  <c r="G109" i="1"/>
  <c r="G150" i="1" s="1"/>
  <c r="I113" i="1"/>
  <c r="J102" i="1"/>
  <c r="E113" i="1"/>
  <c r="G102" i="1"/>
  <c r="H102" i="1"/>
  <c r="G108" i="1"/>
  <c r="G141" i="1" s="1"/>
  <c r="J94" i="1"/>
  <c r="I93" i="1"/>
  <c r="J93" i="1"/>
  <c r="N120" i="1"/>
  <c r="BW47" i="3"/>
  <c r="BW65" i="3" s="1"/>
  <c r="BW66" i="3" s="1"/>
  <c r="BW76" i="3" s="1"/>
  <c r="BX101" i="3"/>
  <c r="BY98" i="3" s="1"/>
  <c r="BX258" i="3"/>
  <c r="BY255" i="3" s="1"/>
  <c r="BX72" i="3"/>
  <c r="BY69" i="3" s="1"/>
  <c r="BX320" i="3"/>
  <c r="BY317" i="3" s="1"/>
  <c r="BX196" i="3"/>
  <c r="BY193" i="3" s="1"/>
  <c r="BW46" i="4"/>
  <c r="BX134" i="3"/>
  <c r="BY131" i="3" s="1"/>
  <c r="BX263" i="3"/>
  <c r="BX201" i="3"/>
  <c r="BW330" i="3"/>
  <c r="BW45" i="7" s="1"/>
  <c r="BW233" i="3"/>
  <c r="BW251" i="3" s="1"/>
  <c r="BW252" i="3" s="1"/>
  <c r="BW262" i="3" s="1"/>
  <c r="BW232" i="3"/>
  <c r="BW246" i="3" s="1"/>
  <c r="BW247" i="3" s="1"/>
  <c r="BW248" i="3" s="1"/>
  <c r="BW261" i="3" s="1"/>
  <c r="BY95" i="7"/>
  <c r="BY74" i="4"/>
  <c r="BX291" i="3"/>
  <c r="BX292" i="3" s="1"/>
  <c r="BX293" i="3" s="1"/>
  <c r="BX151" i="3"/>
  <c r="BX152" i="3" s="1"/>
  <c r="BX153" i="3" s="1"/>
  <c r="BX156" i="3"/>
  <c r="BX157" i="3" s="1"/>
  <c r="BW109" i="3"/>
  <c r="BW127" i="3" s="1"/>
  <c r="BW128" i="3" s="1"/>
  <c r="BW138" i="3" s="1"/>
  <c r="BW108" i="3"/>
  <c r="BW122" i="3" s="1"/>
  <c r="BW123" i="3" s="1"/>
  <c r="BW124" i="3" s="1"/>
  <c r="BW137" i="3" s="1"/>
  <c r="BV329" i="3"/>
  <c r="BX89" i="3"/>
  <c r="BX90" i="3" s="1"/>
  <c r="BX91" i="3" s="1"/>
  <c r="BX94" i="3"/>
  <c r="BX95" i="3" s="1"/>
  <c r="BX105" i="3"/>
  <c r="BX106" i="3" s="1"/>
  <c r="BX107" i="3" s="1"/>
  <c r="BZ64" i="4"/>
  <c r="BU18" i="7"/>
  <c r="BS333" i="3"/>
  <c r="BS63" i="4" s="1"/>
  <c r="BS62" i="4" s="1"/>
  <c r="BV328" i="3"/>
  <c r="BX167" i="3"/>
  <c r="BX168" i="3" s="1"/>
  <c r="BX169" i="3" s="1"/>
  <c r="BX325" i="3"/>
  <c r="BX287" i="3"/>
  <c r="BY284" i="3" s="1"/>
  <c r="BY54" i="4"/>
  <c r="BW170" i="3"/>
  <c r="BW184" i="3" s="1"/>
  <c r="BW185" i="3" s="1"/>
  <c r="BW186" i="3" s="1"/>
  <c r="BW199" i="3" s="1"/>
  <c r="BW171" i="3"/>
  <c r="BW189" i="3" s="1"/>
  <c r="BW190" i="3" s="1"/>
  <c r="BW200" i="3" s="1"/>
  <c r="BT332" i="3"/>
  <c r="BU331" i="3" s="1"/>
  <c r="BX225" i="3"/>
  <c r="BY222" i="3" s="1"/>
  <c r="BX229" i="3"/>
  <c r="BX230" i="3" s="1"/>
  <c r="BX231" i="3" s="1"/>
  <c r="BR65" i="4"/>
  <c r="BR70" i="4" s="1"/>
  <c r="BY70" i="3"/>
  <c r="BY71" i="3"/>
  <c r="BY143" i="3"/>
  <c r="BY162" i="3"/>
  <c r="BY163" i="3" s="1"/>
  <c r="BY267" i="3"/>
  <c r="BY296" i="3"/>
  <c r="BY257" i="3"/>
  <c r="BY224" i="3"/>
  <c r="BY290" i="3"/>
  <c r="BY256" i="3"/>
  <c r="BY286" i="3"/>
  <c r="BY195" i="3"/>
  <c r="BY205" i="3"/>
  <c r="BY194" i="3"/>
  <c r="BY166" i="3"/>
  <c r="BY133" i="3"/>
  <c r="BY104" i="3"/>
  <c r="BY228" i="3"/>
  <c r="BY319" i="3"/>
  <c r="BY100" i="3"/>
  <c r="BY81" i="3"/>
  <c r="BY110" i="3"/>
  <c r="BY132" i="3"/>
  <c r="BY318" i="3"/>
  <c r="BY172" i="3"/>
  <c r="BY234" i="3"/>
  <c r="BX213" i="3"/>
  <c r="BX214" i="3" s="1"/>
  <c r="BX215" i="3" s="1"/>
  <c r="BX218" i="3"/>
  <c r="BX219" i="3" s="1"/>
  <c r="BW75" i="3"/>
  <c r="BW294" i="3"/>
  <c r="BW308" i="3" s="1"/>
  <c r="BW309" i="3" s="1"/>
  <c r="BW310" i="3" s="1"/>
  <c r="BW323" i="3" s="1"/>
  <c r="BW295" i="3"/>
  <c r="BW313" i="3" s="1"/>
  <c r="BW314" i="3" s="1"/>
  <c r="BW324" i="3" s="1"/>
  <c r="BX139" i="3"/>
  <c r="BX280" i="3"/>
  <c r="BX281" i="3" s="1"/>
  <c r="BX275" i="3"/>
  <c r="BX276" i="3" s="1"/>
  <c r="BX277" i="3" s="1"/>
  <c r="BX43" i="3"/>
  <c r="BX44" i="3" s="1"/>
  <c r="BX45" i="3" s="1"/>
  <c r="BX47" i="3" s="1"/>
  <c r="BX65" i="3" s="1"/>
  <c r="BX66" i="3" s="1"/>
  <c r="BX39" i="3"/>
  <c r="BY36" i="3" s="1"/>
  <c r="BX77" i="3"/>
  <c r="BY34" i="4"/>
  <c r="F33" i="7"/>
  <c r="BY93" i="7"/>
  <c r="BY67" i="7"/>
  <c r="BY12" i="7"/>
  <c r="BY13" i="7" s="1"/>
  <c r="BY16" i="7" s="1"/>
  <c r="BZ11" i="6"/>
  <c r="BZ13" i="6" s="1"/>
  <c r="BZ16" i="6"/>
  <c r="BY12" i="6"/>
  <c r="BY14" i="6" s="1"/>
  <c r="BY17" i="6" s="1"/>
  <c r="BX24" i="4"/>
  <c r="BX25" i="4" s="1"/>
  <c r="BX19" i="4"/>
  <c r="BX20" i="4" s="1"/>
  <c r="BX39" i="4"/>
  <c r="BX40" i="4" s="1"/>
  <c r="BX43" i="4"/>
  <c r="BX44" i="4" s="1"/>
  <c r="BX73" i="4"/>
  <c r="BY68" i="4"/>
  <c r="BY45" i="4"/>
  <c r="BY18" i="4"/>
  <c r="BY38" i="4"/>
  <c r="BY23" i="4"/>
  <c r="BY42" i="4"/>
  <c r="BZ11" i="4"/>
  <c r="BZ80" i="4" s="1"/>
  <c r="F80" i="4" s="1"/>
  <c r="BZ15" i="4"/>
  <c r="BZ32" i="4"/>
  <c r="BZ29" i="4"/>
  <c r="BZ31" i="4"/>
  <c r="BZ30" i="4"/>
  <c r="BZ33" i="4"/>
  <c r="BY50" i="4"/>
  <c r="BY12" i="4"/>
  <c r="BY13" i="4" s="1"/>
  <c r="BY16" i="4" s="1"/>
  <c r="BY42" i="3"/>
  <c r="BY48" i="3"/>
  <c r="BY38" i="3"/>
  <c r="BY19" i="3"/>
  <c r="BX32" i="3"/>
  <c r="BX33" i="3" s="1"/>
  <c r="BX27" i="3"/>
  <c r="BX28" i="3" s="1"/>
  <c r="BX29" i="3" s="1"/>
  <c r="BY11" i="3"/>
  <c r="BY12" i="3" s="1"/>
  <c r="BY13" i="3" s="1"/>
  <c r="BY16" i="3" s="1"/>
  <c r="BY15" i="3"/>
  <c r="BY258" i="3" l="1"/>
  <c r="BV18" i="7"/>
  <c r="AD43" i="1"/>
  <c r="V44" i="1"/>
  <c r="AB44" i="1"/>
  <c r="Y44" i="1"/>
  <c r="AC43" i="1"/>
  <c r="Y43" i="1"/>
  <c r="W43" i="1"/>
  <c r="AA44" i="1"/>
  <c r="AC44" i="1"/>
  <c r="AD44" i="1"/>
  <c r="AA43" i="1"/>
  <c r="Z43" i="1"/>
  <c r="X43" i="1"/>
  <c r="AB43" i="1"/>
  <c r="W44" i="1"/>
  <c r="X44" i="1"/>
  <c r="V43" i="1"/>
  <c r="Z44" i="1"/>
  <c r="BX46" i="3"/>
  <c r="BX60" i="3" s="1"/>
  <c r="BX61" i="3" s="1"/>
  <c r="BX62" i="3" s="1"/>
  <c r="BX75" i="3" s="1"/>
  <c r="BZ58" i="4"/>
  <c r="F58" i="4" s="1"/>
  <c r="BY134" i="3"/>
  <c r="BZ50" i="4"/>
  <c r="J22" i="9" s="1"/>
  <c r="BY139" i="3"/>
  <c r="BY72" i="3"/>
  <c r="BY320" i="3"/>
  <c r="BX294" i="3"/>
  <c r="BX308" i="3" s="1"/>
  <c r="BX309" i="3" s="1"/>
  <c r="BX310" i="3" s="1"/>
  <c r="BX323" i="3" s="1"/>
  <c r="BX295" i="3"/>
  <c r="BX313" i="3" s="1"/>
  <c r="BX314" i="3" s="1"/>
  <c r="BX324" i="3" s="1"/>
  <c r="BX170" i="3"/>
  <c r="BX184" i="3" s="1"/>
  <c r="BX185" i="3" s="1"/>
  <c r="BX186" i="3" s="1"/>
  <c r="BX199" i="3" s="1"/>
  <c r="BX171" i="3"/>
  <c r="BX189" i="3" s="1"/>
  <c r="BX190" i="3" s="1"/>
  <c r="BX200" i="3" s="1"/>
  <c r="BX330" i="3"/>
  <c r="BX45" i="7" s="1"/>
  <c r="BX76" i="3"/>
  <c r="BZ54" i="4"/>
  <c r="F54" i="4" s="1"/>
  <c r="BY325" i="3"/>
  <c r="BY151" i="3"/>
  <c r="BY152" i="3" s="1"/>
  <c r="BY153" i="3" s="1"/>
  <c r="BY156" i="3"/>
  <c r="BY157" i="3" s="1"/>
  <c r="BT333" i="3"/>
  <c r="BT63" i="4" s="1"/>
  <c r="BT62" i="4" s="1"/>
  <c r="BZ74" i="4"/>
  <c r="BW329" i="3"/>
  <c r="BY105" i="3"/>
  <c r="BY106" i="3" s="1"/>
  <c r="BY107" i="3" s="1"/>
  <c r="BY291" i="3"/>
  <c r="BY292" i="3" s="1"/>
  <c r="BY293" i="3" s="1"/>
  <c r="BX108" i="3"/>
  <c r="BX122" i="3" s="1"/>
  <c r="BX123" i="3" s="1"/>
  <c r="BX124" i="3" s="1"/>
  <c r="BX137" i="3" s="1"/>
  <c r="BX109" i="3"/>
  <c r="BX127" i="3" s="1"/>
  <c r="BX128" i="3" s="1"/>
  <c r="BX138" i="3" s="1"/>
  <c r="BM75" i="4"/>
  <c r="BM76" i="4" s="1"/>
  <c r="BM78" i="4" s="1"/>
  <c r="BM19" i="7" s="1"/>
  <c r="BW328" i="3"/>
  <c r="BY263" i="3"/>
  <c r="BS65" i="4"/>
  <c r="BS70" i="4" s="1"/>
  <c r="BY229" i="3"/>
  <c r="BY230" i="3" s="1"/>
  <c r="BY231" i="3" s="1"/>
  <c r="BU332" i="3"/>
  <c r="BV331" i="3" s="1"/>
  <c r="BY39" i="3"/>
  <c r="BY77" i="3"/>
  <c r="BY167" i="3"/>
  <c r="BY168" i="3" s="1"/>
  <c r="BY169" i="3" s="1"/>
  <c r="BX233" i="3"/>
  <c r="BX251" i="3" s="1"/>
  <c r="BX252" i="3" s="1"/>
  <c r="BX262" i="3" s="1"/>
  <c r="BX232" i="3"/>
  <c r="BX246" i="3" s="1"/>
  <c r="BX247" i="3" s="1"/>
  <c r="BX248" i="3" s="1"/>
  <c r="BX261" i="3" s="1"/>
  <c r="J24" i="9"/>
  <c r="R20" i="9"/>
  <c r="K35" i="9"/>
  <c r="K19" i="9"/>
  <c r="P22" i="9"/>
  <c r="S25" i="9"/>
  <c r="L23" i="9"/>
  <c r="Q19" i="9"/>
  <c r="R25" i="9"/>
  <c r="Q17" i="9"/>
  <c r="R23" i="9"/>
  <c r="S27" i="9"/>
  <c r="O18" i="9"/>
  <c r="K24" i="9"/>
  <c r="M22" i="9"/>
  <c r="L17" i="9"/>
  <c r="N20" i="9"/>
  <c r="S35" i="9"/>
  <c r="K22" i="9"/>
  <c r="Q18" i="9"/>
  <c r="R22" i="9"/>
  <c r="P17" i="9"/>
  <c r="M27" i="9"/>
  <c r="P27" i="9"/>
  <c r="O25" i="9"/>
  <c r="S20" i="9"/>
  <c r="N27" i="9"/>
  <c r="K23" i="9"/>
  <c r="O22" i="9"/>
  <c r="L22" i="9"/>
  <c r="M18" i="9"/>
  <c r="S26" i="9"/>
  <c r="P19" i="9"/>
  <c r="Q24" i="9"/>
  <c r="L24" i="9"/>
  <c r="S17" i="9"/>
  <c r="R19" i="9"/>
  <c r="S22" i="9"/>
  <c r="K25" i="9"/>
  <c r="M35" i="9"/>
  <c r="S24" i="9"/>
  <c r="O23" i="9"/>
  <c r="M20" i="9"/>
  <c r="N26" i="9"/>
  <c r="N25" i="9"/>
  <c r="Q27" i="9"/>
  <c r="K18" i="9"/>
  <c r="N35" i="9"/>
  <c r="Q25" i="9"/>
  <c r="R26" i="9"/>
  <c r="Q35" i="9"/>
  <c r="R35" i="9"/>
  <c r="P23" i="9"/>
  <c r="N23" i="9"/>
  <c r="R27" i="9"/>
  <c r="Q20" i="9"/>
  <c r="O20" i="9"/>
  <c r="L25" i="9"/>
  <c r="R24" i="9"/>
  <c r="O35" i="9"/>
  <c r="R17" i="9"/>
  <c r="N17" i="9"/>
  <c r="S19" i="9"/>
  <c r="M24" i="9"/>
  <c r="S23" i="9"/>
  <c r="K27" i="9"/>
  <c r="M25" i="9"/>
  <c r="M23" i="9"/>
  <c r="O17" i="9"/>
  <c r="K26" i="9"/>
  <c r="M26" i="9"/>
  <c r="S18" i="9"/>
  <c r="O26" i="9"/>
  <c r="Q22" i="9"/>
  <c r="L20" i="9"/>
  <c r="Q23" i="9"/>
  <c r="P25" i="9"/>
  <c r="L18" i="9"/>
  <c r="P35" i="9"/>
  <c r="M19" i="9"/>
  <c r="N19" i="9"/>
  <c r="N24" i="9"/>
  <c r="N18" i="9"/>
  <c r="M17" i="9"/>
  <c r="L27" i="9"/>
  <c r="J23" i="9"/>
  <c r="P18" i="9"/>
  <c r="Q26" i="9"/>
  <c r="O19" i="9"/>
  <c r="L26" i="9"/>
  <c r="P20" i="9"/>
  <c r="N22" i="9"/>
  <c r="L19" i="9"/>
  <c r="P24" i="9"/>
  <c r="R18" i="9"/>
  <c r="L35" i="9"/>
  <c r="O24" i="9"/>
  <c r="O27" i="9"/>
  <c r="P26" i="9"/>
  <c r="J35" i="9"/>
  <c r="BY201" i="3"/>
  <c r="BY196" i="3"/>
  <c r="L15" i="9"/>
  <c r="N14" i="9"/>
  <c r="Q15" i="9"/>
  <c r="S15" i="9"/>
  <c r="Q14" i="9"/>
  <c r="P14" i="9"/>
  <c r="R14" i="9"/>
  <c r="R15" i="9"/>
  <c r="P15" i="9"/>
  <c r="J15" i="9"/>
  <c r="J14" i="9"/>
  <c r="O14" i="9"/>
  <c r="K14" i="9"/>
  <c r="L14" i="9"/>
  <c r="S14" i="9"/>
  <c r="K15" i="9"/>
  <c r="O15" i="9"/>
  <c r="N15" i="9"/>
  <c r="BY43" i="3"/>
  <c r="BY44" i="3" s="1"/>
  <c r="BY45" i="3" s="1"/>
  <c r="BY46" i="3" s="1"/>
  <c r="BY60" i="3" s="1"/>
  <c r="BY61" i="3" s="1"/>
  <c r="BY62" i="3" s="1"/>
  <c r="BY101" i="3"/>
  <c r="BY89" i="3"/>
  <c r="BY90" i="3" s="1"/>
  <c r="BY91" i="3" s="1"/>
  <c r="BY94" i="3"/>
  <c r="BY95" i="3" s="1"/>
  <c r="BY218" i="3"/>
  <c r="BY219" i="3" s="1"/>
  <c r="BY213" i="3"/>
  <c r="BY214" i="3" s="1"/>
  <c r="BY215" i="3" s="1"/>
  <c r="BY275" i="3"/>
  <c r="BY276" i="3" s="1"/>
  <c r="BY277" i="3" s="1"/>
  <c r="BY280" i="3"/>
  <c r="BY281" i="3" s="1"/>
  <c r="BY225" i="3"/>
  <c r="BY287" i="3"/>
  <c r="BZ12" i="6"/>
  <c r="BZ14" i="6" s="1"/>
  <c r="BZ17" i="6" s="1"/>
  <c r="BX46" i="4"/>
  <c r="BY43" i="4"/>
  <c r="BY44" i="4" s="1"/>
  <c r="BY19" i="4"/>
  <c r="BY20" i="4" s="1"/>
  <c r="BY24" i="4"/>
  <c r="BY25" i="4" s="1"/>
  <c r="BY39" i="4"/>
  <c r="BY40" i="4" s="1"/>
  <c r="BY73" i="4"/>
  <c r="BZ23" i="4"/>
  <c r="BZ45" i="4"/>
  <c r="F45" i="4" s="1"/>
  <c r="BZ63" i="4"/>
  <c r="BZ38" i="4"/>
  <c r="BZ18" i="4"/>
  <c r="BZ68" i="4"/>
  <c r="BZ42" i="4"/>
  <c r="BZ12" i="4"/>
  <c r="BZ13" i="4" s="1"/>
  <c r="BZ16" i="4" s="1"/>
  <c r="BZ34" i="4"/>
  <c r="BY32" i="3"/>
  <c r="BY33" i="3" s="1"/>
  <c r="BY27" i="3"/>
  <c r="BY28" i="3" s="1"/>
  <c r="BY29" i="3" s="1"/>
  <c r="V42" i="1" l="1"/>
  <c r="AB42" i="1"/>
  <c r="Y42" i="1"/>
  <c r="F59" i="4"/>
  <c r="W42" i="1"/>
  <c r="X42" i="1"/>
  <c r="AC42" i="1"/>
  <c r="AD51" i="1"/>
  <c r="Z48" i="1"/>
  <c r="AD46" i="1"/>
  <c r="AA47" i="1"/>
  <c r="Z46" i="1"/>
  <c r="AC50" i="1"/>
  <c r="Z50" i="1"/>
  <c r="U48" i="1"/>
  <c r="V48" i="1"/>
  <c r="AC48" i="1"/>
  <c r="AD50" i="1"/>
  <c r="X48" i="1"/>
  <c r="W49" i="1"/>
  <c r="V49" i="1"/>
  <c r="Z49" i="1"/>
  <c r="X50" i="1"/>
  <c r="Y46" i="1"/>
  <c r="AB48" i="1"/>
  <c r="Z47" i="1"/>
  <c r="AA49" i="1"/>
  <c r="AC51" i="1"/>
  <c r="Y47" i="1"/>
  <c r="AC46" i="1"/>
  <c r="AA51" i="1"/>
  <c r="Y49" i="1"/>
  <c r="R69" i="1" s="1"/>
  <c r="AA46" i="1"/>
  <c r="Z51" i="1"/>
  <c r="AD49" i="1"/>
  <c r="AD47" i="1"/>
  <c r="AB50" i="1"/>
  <c r="X46" i="1"/>
  <c r="W50" i="1"/>
  <c r="Y50" i="1"/>
  <c r="AD48" i="1"/>
  <c r="AC49" i="1"/>
  <c r="W47" i="1"/>
  <c r="AA48" i="1"/>
  <c r="W51" i="1"/>
  <c r="AB46" i="1"/>
  <c r="AA50" i="1"/>
  <c r="X47" i="1"/>
  <c r="AB51" i="1"/>
  <c r="AB49" i="1"/>
  <c r="AB47" i="1"/>
  <c r="Y48" i="1"/>
  <c r="V46" i="1"/>
  <c r="V51" i="1"/>
  <c r="V50" i="1"/>
  <c r="X51" i="1"/>
  <c r="AC47" i="1"/>
  <c r="X49" i="1"/>
  <c r="W46" i="1"/>
  <c r="V47" i="1"/>
  <c r="W48" i="1"/>
  <c r="Z42" i="1"/>
  <c r="AA42" i="1"/>
  <c r="L13" i="9"/>
  <c r="AD42" i="1"/>
  <c r="F55" i="4"/>
  <c r="C55" i="4" s="1"/>
  <c r="J83" i="4" s="1"/>
  <c r="J13" i="1" s="1"/>
  <c r="F50" i="4"/>
  <c r="K13" i="9"/>
  <c r="C59" i="4"/>
  <c r="K83" i="4" s="1"/>
  <c r="K13" i="1" s="1"/>
  <c r="BY46" i="4"/>
  <c r="P13" i="9"/>
  <c r="BT65" i="4"/>
  <c r="BT70" i="4" s="1"/>
  <c r="O13" i="9"/>
  <c r="R13" i="9"/>
  <c r="N21" i="9"/>
  <c r="Q13" i="9"/>
  <c r="BW18" i="7"/>
  <c r="BY233" i="3"/>
  <c r="BY251" i="3" s="1"/>
  <c r="BY252" i="3" s="1"/>
  <c r="BY262" i="3" s="1"/>
  <c r="BY232" i="3"/>
  <c r="BY246" i="3" s="1"/>
  <c r="BY247" i="3" s="1"/>
  <c r="BY248" i="3" s="1"/>
  <c r="BY261" i="3" s="1"/>
  <c r="BY170" i="3"/>
  <c r="BY184" i="3" s="1"/>
  <c r="BY185" i="3" s="1"/>
  <c r="BY186" i="3" s="1"/>
  <c r="BY199" i="3" s="1"/>
  <c r="BY171" i="3"/>
  <c r="BY189" i="3" s="1"/>
  <c r="BY190" i="3" s="1"/>
  <c r="BY200" i="3" s="1"/>
  <c r="H22" i="9"/>
  <c r="F34" i="4"/>
  <c r="E34" i="4" s="1"/>
  <c r="H83" i="4" s="1"/>
  <c r="H13" i="1" s="1"/>
  <c r="J19" i="9"/>
  <c r="H19" i="9" s="1"/>
  <c r="Q42" i="9"/>
  <c r="Q41" i="9"/>
  <c r="Q40" i="9"/>
  <c r="Q39" i="9"/>
  <c r="Q38" i="9"/>
  <c r="Q45" i="9"/>
  <c r="Q37" i="9"/>
  <c r="Q44" i="9"/>
  <c r="Q36" i="9"/>
  <c r="Q43" i="9"/>
  <c r="K21" i="9"/>
  <c r="K40" i="9"/>
  <c r="K39" i="9"/>
  <c r="K38" i="9"/>
  <c r="K45" i="9"/>
  <c r="K37" i="9"/>
  <c r="K44" i="9"/>
  <c r="K36" i="9"/>
  <c r="K43" i="9"/>
  <c r="K42" i="9"/>
  <c r="K41" i="9"/>
  <c r="BN75" i="4"/>
  <c r="BN76" i="4" s="1"/>
  <c r="BN78" i="4" s="1"/>
  <c r="BN19" i="7" s="1"/>
  <c r="J13" i="9"/>
  <c r="H24" i="9"/>
  <c r="G24" i="9" s="1"/>
  <c r="BY295" i="3"/>
  <c r="BY313" i="3" s="1"/>
  <c r="BY314" i="3" s="1"/>
  <c r="BY324" i="3" s="1"/>
  <c r="BY294" i="3"/>
  <c r="BY308" i="3" s="1"/>
  <c r="BY309" i="3" s="1"/>
  <c r="BY310" i="3" s="1"/>
  <c r="BY323" i="3" s="1"/>
  <c r="BY75" i="3"/>
  <c r="Q21" i="9"/>
  <c r="N13" i="9"/>
  <c r="L39" i="9"/>
  <c r="L38" i="9"/>
  <c r="L45" i="9"/>
  <c r="L37" i="9"/>
  <c r="L44" i="9"/>
  <c r="L36" i="9"/>
  <c r="L43" i="9"/>
  <c r="L42" i="9"/>
  <c r="L41" i="9"/>
  <c r="L40" i="9"/>
  <c r="N45" i="9"/>
  <c r="N37" i="9"/>
  <c r="N44" i="9"/>
  <c r="N36" i="9"/>
  <c r="N43" i="9"/>
  <c r="N42" i="9"/>
  <c r="N41" i="9"/>
  <c r="N40" i="9"/>
  <c r="N39" i="9"/>
  <c r="N38" i="9"/>
  <c r="M38" i="9"/>
  <c r="M45" i="9"/>
  <c r="M37" i="9"/>
  <c r="M44" i="9"/>
  <c r="M36" i="9"/>
  <c r="M43" i="9"/>
  <c r="M42" i="9"/>
  <c r="M41" i="9"/>
  <c r="M40" i="9"/>
  <c r="M39" i="9"/>
  <c r="BU333" i="3"/>
  <c r="BU63" i="4" s="1"/>
  <c r="BU62" i="4" s="1"/>
  <c r="BY330" i="3"/>
  <c r="BY45" i="7" s="1"/>
  <c r="J42" i="9"/>
  <c r="J41" i="9"/>
  <c r="J40" i="9"/>
  <c r="J39" i="9"/>
  <c r="J38" i="9"/>
  <c r="J45" i="9"/>
  <c r="J37" i="9"/>
  <c r="J44" i="9"/>
  <c r="J36" i="9"/>
  <c r="J43" i="9"/>
  <c r="R41" i="9"/>
  <c r="R40" i="9"/>
  <c r="R39" i="9"/>
  <c r="R38" i="9"/>
  <c r="R45" i="9"/>
  <c r="R37" i="9"/>
  <c r="R44" i="9"/>
  <c r="R36" i="9"/>
  <c r="R43" i="9"/>
  <c r="R42" i="9"/>
  <c r="BY47" i="3"/>
  <c r="BY65" i="3" s="1"/>
  <c r="BY66" i="3" s="1"/>
  <c r="BY76" i="3" s="1"/>
  <c r="F68" i="4"/>
  <c r="J26" i="9"/>
  <c r="H26" i="9" s="1"/>
  <c r="P43" i="9"/>
  <c r="P42" i="9"/>
  <c r="P41" i="9"/>
  <c r="P40" i="9"/>
  <c r="P39" i="9"/>
  <c r="P38" i="9"/>
  <c r="P45" i="9"/>
  <c r="P37" i="9"/>
  <c r="P36" i="9"/>
  <c r="P44" i="9"/>
  <c r="M21" i="9"/>
  <c r="BV332" i="3"/>
  <c r="BW331" i="3" s="1"/>
  <c r="BY109" i="3"/>
  <c r="BY127" i="3" s="1"/>
  <c r="BY128" i="3" s="1"/>
  <c r="BY138" i="3" s="1"/>
  <c r="BY108" i="3"/>
  <c r="BY122" i="3" s="1"/>
  <c r="BY123" i="3" s="1"/>
  <c r="BY124" i="3" s="1"/>
  <c r="BY137" i="3" s="1"/>
  <c r="BZ69" i="4"/>
  <c r="F69" i="4" s="1"/>
  <c r="S40" i="9"/>
  <c r="S39" i="9"/>
  <c r="S38" i="9"/>
  <c r="S45" i="9"/>
  <c r="S37" i="9"/>
  <c r="S44" i="9"/>
  <c r="S36" i="9"/>
  <c r="S43" i="9"/>
  <c r="S42" i="9"/>
  <c r="S41" i="9"/>
  <c r="H23" i="9"/>
  <c r="G23" i="9" s="1"/>
  <c r="S21" i="9"/>
  <c r="L21" i="9"/>
  <c r="BX329" i="3"/>
  <c r="O44" i="9"/>
  <c r="O36" i="9"/>
  <c r="O43" i="9"/>
  <c r="O42" i="9"/>
  <c r="O41" i="9"/>
  <c r="O40" i="9"/>
  <c r="O39" i="9"/>
  <c r="O38" i="9"/>
  <c r="O37" i="9"/>
  <c r="O45" i="9"/>
  <c r="S13" i="9"/>
  <c r="O21" i="9"/>
  <c r="R21" i="9"/>
  <c r="P21" i="9"/>
  <c r="BX328" i="3"/>
  <c r="BZ73" i="4"/>
  <c r="BZ43" i="4"/>
  <c r="BZ44" i="4" s="1"/>
  <c r="F44" i="4" s="1"/>
  <c r="BZ24" i="4"/>
  <c r="BZ25" i="4" s="1"/>
  <c r="U47" i="1" s="1"/>
  <c r="BZ19" i="4"/>
  <c r="BZ20" i="4" s="1"/>
  <c r="U46" i="1" s="1"/>
  <c r="BZ39" i="4"/>
  <c r="BZ40" i="4" s="1"/>
  <c r="BZ62" i="4"/>
  <c r="J25" i="9" s="1"/>
  <c r="H25" i="9" s="1"/>
  <c r="R70" i="1" l="1"/>
  <c r="R68" i="1"/>
  <c r="S68" i="1" s="1"/>
  <c r="T68" i="1" s="1"/>
  <c r="F45" i="7"/>
  <c r="F120" i="1"/>
  <c r="G120" i="1"/>
  <c r="E120" i="1"/>
  <c r="C69" i="4"/>
  <c r="M83" i="4" s="1"/>
  <c r="M13" i="1" s="1"/>
  <c r="T46" i="1"/>
  <c r="AD45" i="1"/>
  <c r="AD52" i="1" s="1"/>
  <c r="AD53" i="1" s="1"/>
  <c r="AA45" i="1"/>
  <c r="AA52" i="1" s="1"/>
  <c r="AA53" i="1" s="1"/>
  <c r="R67" i="1"/>
  <c r="S67" i="1" s="1"/>
  <c r="T47" i="1"/>
  <c r="T48" i="1"/>
  <c r="S48" i="1" s="1"/>
  <c r="AB45" i="1"/>
  <c r="AB52" i="1" s="1"/>
  <c r="AB53" i="1" s="1"/>
  <c r="X45" i="1"/>
  <c r="X52" i="1" s="1"/>
  <c r="X53" i="1" s="1"/>
  <c r="AC45" i="1"/>
  <c r="AC52" i="1" s="1"/>
  <c r="AC53" i="1" s="1"/>
  <c r="V45" i="1"/>
  <c r="V52" i="1" s="1"/>
  <c r="V53" i="1" s="1"/>
  <c r="G22" i="9"/>
  <c r="Z45" i="1"/>
  <c r="Z52" i="1" s="1"/>
  <c r="Z53" i="1" s="1"/>
  <c r="W45" i="1"/>
  <c r="W52" i="1" s="1"/>
  <c r="W53" i="1" s="1"/>
  <c r="G19" i="9"/>
  <c r="BU65" i="4"/>
  <c r="BU70" i="4" s="1"/>
  <c r="H38" i="9"/>
  <c r="L33" i="9" s="1"/>
  <c r="BV333" i="3"/>
  <c r="BV63" i="4" s="1"/>
  <c r="BV62" i="4" s="1"/>
  <c r="F20" i="4"/>
  <c r="J17" i="9"/>
  <c r="K17" i="9"/>
  <c r="F73" i="4"/>
  <c r="J27" i="9"/>
  <c r="H27" i="9" s="1"/>
  <c r="BO75" i="4"/>
  <c r="BO76" i="4" s="1"/>
  <c r="BO78" i="4" s="1"/>
  <c r="BO19" i="7" s="1"/>
  <c r="BP75" i="4"/>
  <c r="BP76" i="4" s="1"/>
  <c r="BP78" i="4" s="1"/>
  <c r="BP19" i="7" s="1"/>
  <c r="BR75" i="4"/>
  <c r="BR76" i="4" s="1"/>
  <c r="BR78" i="4" s="1"/>
  <c r="BR19" i="7" s="1"/>
  <c r="BQ75" i="4"/>
  <c r="BQ76" i="4" s="1"/>
  <c r="BQ78" i="4" s="1"/>
  <c r="BQ19" i="7" s="1"/>
  <c r="BS75" i="4"/>
  <c r="BS76" i="4" s="1"/>
  <c r="BS78" i="4" s="1"/>
  <c r="BS19" i="7" s="1"/>
  <c r="BT75" i="4"/>
  <c r="BT76" i="4" s="1"/>
  <c r="BT78" i="4" s="1"/>
  <c r="BT19" i="7" s="1"/>
  <c r="BU75" i="4"/>
  <c r="BU76" i="4" s="1"/>
  <c r="BX75" i="4"/>
  <c r="BX76" i="4" s="1"/>
  <c r="BX18" i="7"/>
  <c r="BV75" i="4"/>
  <c r="BV76" i="4" s="1"/>
  <c r="BZ75" i="4"/>
  <c r="H37" i="9"/>
  <c r="K33" i="9" s="1"/>
  <c r="H40" i="9"/>
  <c r="N33" i="9" s="1"/>
  <c r="H45" i="9"/>
  <c r="S33" i="9" s="1"/>
  <c r="BY329" i="3"/>
  <c r="U44" i="1" s="1"/>
  <c r="T44" i="1" s="1"/>
  <c r="BW332" i="3"/>
  <c r="BX331" i="3" s="1"/>
  <c r="H39" i="9"/>
  <c r="M33" i="9" s="1"/>
  <c r="H43" i="9"/>
  <c r="Q33" i="9" s="1"/>
  <c r="H41" i="9"/>
  <c r="O33" i="9" s="1"/>
  <c r="F25" i="4"/>
  <c r="J18" i="9"/>
  <c r="H18" i="9" s="1"/>
  <c r="H36" i="9"/>
  <c r="J33" i="9" s="1"/>
  <c r="H42" i="9"/>
  <c r="P33" i="9" s="1"/>
  <c r="BW75" i="4"/>
  <c r="BW76" i="4" s="1"/>
  <c r="BY328" i="3"/>
  <c r="U43" i="1" s="1"/>
  <c r="BY75" i="4"/>
  <c r="BY76" i="4" s="1"/>
  <c r="G26" i="9"/>
  <c r="H44" i="9"/>
  <c r="R33" i="9" s="1"/>
  <c r="J21" i="9"/>
  <c r="H21" i="9" s="1"/>
  <c r="BZ46" i="4"/>
  <c r="U49" i="1" s="1"/>
  <c r="F40" i="4"/>
  <c r="F51" i="4"/>
  <c r="C51" i="4" s="1"/>
  <c r="I83" i="4" s="1"/>
  <c r="I13" i="1" s="1"/>
  <c r="BV65" i="4" l="1"/>
  <c r="BV70" i="4" s="1"/>
  <c r="BV78" i="4" s="1"/>
  <c r="BV19" i="7" s="1"/>
  <c r="Y51" i="1"/>
  <c r="R71" i="1" s="1"/>
  <c r="R72" i="1" s="1"/>
  <c r="U42" i="1"/>
  <c r="T43" i="1"/>
  <c r="BW333" i="3"/>
  <c r="BW63" i="4" s="1"/>
  <c r="BW62" i="4" s="1"/>
  <c r="T49" i="1"/>
  <c r="S69" i="1"/>
  <c r="T69" i="1" s="1"/>
  <c r="BU78" i="4"/>
  <c r="BU19" i="7" s="1"/>
  <c r="S47" i="1"/>
  <c r="T67" i="1"/>
  <c r="S46" i="1"/>
  <c r="G18" i="9"/>
  <c r="F46" i="4"/>
  <c r="K20" i="9"/>
  <c r="J20" i="9"/>
  <c r="H17" i="9"/>
  <c r="G17" i="9" s="1"/>
  <c r="BZ76" i="4"/>
  <c r="U51" i="1" s="1"/>
  <c r="F75" i="4"/>
  <c r="C75" i="4" s="1"/>
  <c r="N83" i="4" s="1"/>
  <c r="N13" i="1" s="1"/>
  <c r="BY18" i="7"/>
  <c r="F328" i="3"/>
  <c r="M14" i="9"/>
  <c r="BX332" i="3"/>
  <c r="BY331" i="3" s="1"/>
  <c r="F329" i="3"/>
  <c r="S44" i="1" s="1"/>
  <c r="L11" i="1" s="1"/>
  <c r="M15" i="9"/>
  <c r="H15" i="9" s="1"/>
  <c r="G27" i="9"/>
  <c r="H81" i="7"/>
  <c r="I81" i="7"/>
  <c r="J81" i="7"/>
  <c r="K81" i="7"/>
  <c r="L81" i="7"/>
  <c r="M81" i="7"/>
  <c r="N81" i="7"/>
  <c r="O81" i="7"/>
  <c r="P81" i="7"/>
  <c r="Q81" i="7"/>
  <c r="R81" i="7"/>
  <c r="S81" i="7"/>
  <c r="T81" i="7"/>
  <c r="U81" i="7"/>
  <c r="V81" i="7"/>
  <c r="W81" i="7"/>
  <c r="X81" i="7"/>
  <c r="Y81" i="7"/>
  <c r="Z81" i="7"/>
  <c r="AA81" i="7"/>
  <c r="AB81" i="7"/>
  <c r="AC81" i="7"/>
  <c r="AD81" i="7"/>
  <c r="AE81" i="7"/>
  <c r="AF81" i="7"/>
  <c r="AG81" i="7"/>
  <c r="AH81" i="7"/>
  <c r="AI81" i="7"/>
  <c r="AJ81" i="7"/>
  <c r="AK81" i="7"/>
  <c r="AL81" i="7"/>
  <c r="AM81" i="7"/>
  <c r="AN81" i="7"/>
  <c r="AO81" i="7"/>
  <c r="AP81" i="7"/>
  <c r="AQ81" i="7"/>
  <c r="AR81" i="7"/>
  <c r="AS81" i="7"/>
  <c r="AT81" i="7"/>
  <c r="AU81" i="7"/>
  <c r="AV81" i="7"/>
  <c r="AW81" i="7"/>
  <c r="AX81" i="7"/>
  <c r="AY81" i="7"/>
  <c r="AZ81" i="7"/>
  <c r="BA81" i="7"/>
  <c r="BB81" i="7"/>
  <c r="BC81" i="7"/>
  <c r="BD81" i="7"/>
  <c r="BE81" i="7"/>
  <c r="BF81" i="7"/>
  <c r="BG81" i="7"/>
  <c r="BH81" i="7"/>
  <c r="BI81" i="7"/>
  <c r="BJ81" i="7"/>
  <c r="BK81" i="7"/>
  <c r="BL81" i="7"/>
  <c r="BM81" i="7"/>
  <c r="BN81" i="7"/>
  <c r="BO81" i="7"/>
  <c r="BP81" i="7"/>
  <c r="BQ81" i="7"/>
  <c r="BR81" i="7"/>
  <c r="BS81" i="7"/>
  <c r="BT81" i="7"/>
  <c r="BU81" i="7"/>
  <c r="BV81" i="7"/>
  <c r="BW81" i="7"/>
  <c r="BX81" i="7"/>
  <c r="BY81" i="7"/>
  <c r="F18" i="7" l="1"/>
  <c r="F93" i="1"/>
  <c r="E93" i="1"/>
  <c r="Y45" i="1"/>
  <c r="Y52" i="1" s="1"/>
  <c r="Y53" i="1" s="1"/>
  <c r="T51" i="1"/>
  <c r="S71" i="1"/>
  <c r="T71" i="1" s="1"/>
  <c r="S49" i="1"/>
  <c r="S43" i="1"/>
  <c r="K11" i="1" s="1"/>
  <c r="T42" i="1"/>
  <c r="G15" i="9"/>
  <c r="G93" i="9" s="1"/>
  <c r="I14" i="1" s="1"/>
  <c r="BX333" i="3"/>
  <c r="BX63" i="4" s="1"/>
  <c r="BX62" i="4" s="1"/>
  <c r="H20" i="9"/>
  <c r="G20" i="9" s="1"/>
  <c r="J93" i="9" s="1" a="1"/>
  <c r="M13" i="9"/>
  <c r="H13" i="9" s="1"/>
  <c r="H14" i="9"/>
  <c r="G14" i="9" s="1"/>
  <c r="F93" i="9" s="1"/>
  <c r="H14" i="1" s="1"/>
  <c r="BW65" i="4"/>
  <c r="BW70" i="4" s="1"/>
  <c r="BW78" i="4" s="1"/>
  <c r="BW19" i="7" s="1"/>
  <c r="BY332" i="3"/>
  <c r="BY333" i="3" s="1"/>
  <c r="BY63" i="4" s="1"/>
  <c r="F76" i="4"/>
  <c r="J93" i="9" l="1"/>
  <c r="J14" i="1" s="1"/>
  <c r="M93" i="9"/>
  <c r="M14" i="1" s="1"/>
  <c r="L93" i="9"/>
  <c r="L14" i="1" s="1"/>
  <c r="K93" i="9"/>
  <c r="K14" i="1" s="1"/>
  <c r="S51" i="1"/>
  <c r="BY62" i="4"/>
  <c r="F63" i="4"/>
  <c r="BX65" i="4"/>
  <c r="BX70" i="4" s="1"/>
  <c r="BX78" i="4" s="1"/>
  <c r="BX19" i="7" s="1"/>
  <c r="BY65" i="4" l="1"/>
  <c r="BY70" i="4" s="1"/>
  <c r="BY78" i="4" s="1"/>
  <c r="BY19" i="7" s="1"/>
  <c r="F62" i="4"/>
  <c r="G25" i="9" s="1"/>
  <c r="F19" i="7" l="1"/>
  <c r="G94" i="1"/>
  <c r="F94" i="1"/>
  <c r="O94" i="1"/>
  <c r="E94" i="1"/>
  <c r="BZ65" i="4"/>
  <c r="F65" i="4" s="1"/>
  <c r="C65" i="4" s="1"/>
  <c r="L83" i="4" s="1"/>
  <c r="L13" i="1" s="1"/>
  <c r="BZ70" i="4" l="1"/>
  <c r="BZ78" i="4" s="1"/>
  <c r="F78" i="4" s="1"/>
  <c r="U50" i="1"/>
  <c r="F70" i="4" l="1"/>
  <c r="T50" i="1"/>
  <c r="S70" i="1"/>
  <c r="T70" i="1" s="1"/>
  <c r="T72" i="1" s="1"/>
  <c r="AC71" i="1" s="1"/>
  <c r="U45" i="1"/>
  <c r="U54" i="1" s="1"/>
  <c r="AD54" i="1" s="1"/>
  <c r="G44" i="1" s="1"/>
  <c r="M23" i="1" s="1"/>
  <c r="S50" i="1" l="1"/>
  <c r="H12" i="1" s="1" a="1"/>
  <c r="H12" i="1" s="1"/>
  <c r="T45" i="1"/>
  <c r="U52" i="1"/>
  <c r="AC72" i="1"/>
  <c r="AC75" i="1"/>
  <c r="K12" i="1" l="1"/>
  <c r="M12" i="1"/>
  <c r="I12" i="1"/>
  <c r="L12" i="1"/>
  <c r="J12" i="1"/>
  <c r="X79" i="1"/>
  <c r="X80" i="1"/>
  <c r="AC76" i="1"/>
  <c r="U53" i="1"/>
  <c r="T52" i="1"/>
  <c r="I40" i="7" l="1"/>
  <c r="O40" i="7"/>
  <c r="U40" i="7"/>
  <c r="AA40" i="7"/>
  <c r="AG40" i="7"/>
  <c r="AM40" i="7"/>
  <c r="AS40" i="7"/>
  <c r="AY40" i="7"/>
  <c r="BE40" i="7"/>
  <c r="BK40" i="7"/>
  <c r="I41" i="7"/>
  <c r="O41" i="7"/>
  <c r="U41" i="7"/>
  <c r="AA41" i="7"/>
  <c r="AG41" i="7"/>
  <c r="AM41" i="7"/>
  <c r="AS41" i="7"/>
  <c r="AY41" i="7"/>
  <c r="BE41" i="7"/>
  <c r="BK41" i="7"/>
  <c r="I48" i="7"/>
  <c r="O48" i="7"/>
  <c r="U48" i="7"/>
  <c r="AA48" i="7"/>
  <c r="AG48" i="7"/>
  <c r="AM48" i="7"/>
  <c r="AS48" i="7"/>
  <c r="AY48" i="7"/>
  <c r="BE48" i="7"/>
  <c r="BK48" i="7"/>
  <c r="I49" i="7"/>
  <c r="O49" i="7"/>
  <c r="U49" i="7"/>
  <c r="AA49" i="7"/>
  <c r="AG49" i="7"/>
  <c r="AM49" i="7"/>
  <c r="AS49" i="7"/>
  <c r="AY49" i="7"/>
  <c r="BE49" i="7"/>
  <c r="BK49" i="7"/>
  <c r="I51" i="7"/>
  <c r="O51" i="7"/>
  <c r="U51" i="7"/>
  <c r="AA51" i="7"/>
  <c r="AG51" i="7"/>
  <c r="AM51" i="7"/>
  <c r="AS51" i="7"/>
  <c r="AY51" i="7"/>
  <c r="BE51" i="7"/>
  <c r="BK51" i="7"/>
  <c r="I52" i="7"/>
  <c r="O52" i="7"/>
  <c r="U52" i="7"/>
  <c r="AA52" i="7"/>
  <c r="AG52" i="7"/>
  <c r="AM52" i="7"/>
  <c r="AS52" i="7"/>
  <c r="AY52" i="7"/>
  <c r="BE52" i="7"/>
  <c r="BK52" i="7"/>
  <c r="I93" i="7"/>
  <c r="O93" i="7"/>
  <c r="U93" i="7"/>
  <c r="AA93" i="7"/>
  <c r="AG93" i="7"/>
  <c r="AM93" i="7"/>
  <c r="AS93" i="7"/>
  <c r="AY93" i="7"/>
  <c r="BE93" i="7"/>
  <c r="BK93" i="7"/>
  <c r="I95" i="7"/>
  <c r="O95" i="7"/>
  <c r="U95" i="7"/>
  <c r="AA95" i="7"/>
  <c r="AG95" i="7"/>
  <c r="AM95" i="7"/>
  <c r="AS95" i="7"/>
  <c r="AY95" i="7"/>
  <c r="BE95" i="7"/>
  <c r="BK95" i="7"/>
  <c r="E116" i="1"/>
  <c r="E153" i="1" s="1"/>
  <c r="E124" i="1"/>
  <c r="E151" i="1" s="1"/>
  <c r="E126" i="1"/>
  <c r="E143" i="1" s="1"/>
  <c r="E127" i="1"/>
  <c r="E152" i="1" s="1"/>
  <c r="E123" i="1"/>
  <c r="E142" i="1" s="1"/>
  <c r="E115" i="1"/>
  <c r="E144" i="1" s="1"/>
  <c r="E145" i="1" l="1"/>
  <c r="E154" i="1"/>
  <c r="J94" i="9" a="1"/>
  <c r="L94" i="9"/>
  <c r="J15" i="1"/>
  <c r="K94" i="9"/>
  <c r="I15" i="1"/>
  <c r="O94" i="9"/>
  <c r="M15" i="1"/>
  <c r="N94" i="9"/>
  <c r="L15" i="1"/>
  <c r="J94" i="9"/>
  <c r="H15" i="1"/>
  <c r="M94" i="9"/>
  <c r="K15" i="1" s="1"/>
  <c r="I10" i="1"/>
  <c r="H11" i="1"/>
  <c r="I11" i="1"/>
  <c r="J11" i="1"/>
  <c r="M11" i="1"/>
  <c r="N11" i="1"/>
  <c r="O11" i="1"/>
  <c r="N12" i="1"/>
  <c r="O12" i="1"/>
  <c r="O13" i="1"/>
  <c r="N14" i="1"/>
  <c r="O14" i="1"/>
  <c r="N15" i="1"/>
  <c r="U36" i="1"/>
  <c r="U37" i="1"/>
  <c r="U38" i="1"/>
  <c r="I44" i="1"/>
  <c r="I46" i="1"/>
  <c r="I47" i="1"/>
  <c r="E57" i="1"/>
  <c r="I57" i="1"/>
  <c r="L57" i="1"/>
  <c r="M57" i="1"/>
  <c r="N57" i="1"/>
  <c r="E59" i="1"/>
  <c r="L59" i="1"/>
  <c r="M59" i="1"/>
  <c r="N59" i="1"/>
  <c r="E61" i="1"/>
  <c r="G61" i="1"/>
  <c r="I61" i="1"/>
  <c r="L61" i="1"/>
  <c r="M61" i="1"/>
  <c r="N61" i="1"/>
  <c r="I62" i="1"/>
  <c r="E66" i="1"/>
  <c r="I66" i="1"/>
  <c r="L66" i="1"/>
  <c r="M66" i="1"/>
  <c r="N66" i="1"/>
  <c r="E67" i="1"/>
  <c r="G67" i="1"/>
  <c r="I67" i="1"/>
  <c r="J67" i="1"/>
  <c r="L67" i="1"/>
  <c r="M67" i="1"/>
  <c r="N67" i="1"/>
  <c r="E71" i="1"/>
  <c r="E72" i="1"/>
  <c r="E73" i="1"/>
  <c r="E80" i="1"/>
  <c r="M80" i="1"/>
  <c r="N80" i="1"/>
  <c r="E81" i="1"/>
  <c r="N81" i="1"/>
  <c r="X81" i="1"/>
  <c r="AC81" i="1"/>
  <c r="X82" i="1"/>
  <c r="E83" i="1"/>
  <c r="N83" i="1"/>
  <c r="AC83" i="1"/>
  <c r="E84" i="1"/>
  <c r="AC84" i="1"/>
  <c r="AC85" i="1"/>
  <c r="H86" i="1"/>
  <c r="AC86" i="1"/>
  <c r="R91" i="1"/>
  <c r="E95" i="1"/>
  <c r="F95" i="1"/>
  <c r="G95" i="1"/>
  <c r="H95" i="1"/>
  <c r="I95" i="1"/>
  <c r="J95" i="1"/>
  <c r="K95" i="1"/>
  <c r="L95" i="1"/>
  <c r="M95" i="1"/>
  <c r="N95" i="1"/>
  <c r="O95" i="1"/>
  <c r="E96" i="1"/>
  <c r="F96" i="1"/>
  <c r="G96" i="1"/>
  <c r="H96" i="1"/>
  <c r="I96" i="1"/>
  <c r="J96" i="1"/>
  <c r="K96" i="1"/>
  <c r="L96" i="1"/>
  <c r="M96" i="1"/>
  <c r="N96" i="1"/>
  <c r="O96" i="1"/>
  <c r="R96" i="1"/>
  <c r="D97" i="1"/>
  <c r="E97" i="1"/>
  <c r="F97" i="1"/>
  <c r="G97" i="1"/>
  <c r="H97" i="1"/>
  <c r="I97" i="1"/>
  <c r="J97" i="1"/>
  <c r="K97" i="1"/>
  <c r="L97" i="1"/>
  <c r="M97" i="1"/>
  <c r="N97" i="1"/>
  <c r="O97" i="1"/>
  <c r="E100" i="1"/>
  <c r="F100" i="1"/>
  <c r="G100" i="1"/>
  <c r="H100" i="1"/>
  <c r="I100" i="1"/>
  <c r="J100" i="1"/>
  <c r="K100" i="1"/>
  <c r="L100" i="1"/>
  <c r="M100" i="1"/>
  <c r="N100" i="1"/>
  <c r="O100" i="1"/>
  <c r="E101" i="1"/>
  <c r="F101" i="1"/>
  <c r="G101" i="1"/>
  <c r="H101" i="1"/>
  <c r="I101" i="1"/>
  <c r="J101" i="1"/>
  <c r="K101" i="1"/>
  <c r="L101" i="1"/>
  <c r="M101" i="1"/>
  <c r="N101" i="1"/>
  <c r="O101" i="1"/>
  <c r="E103" i="1"/>
  <c r="F103" i="1"/>
  <c r="G103" i="1"/>
  <c r="H103" i="1"/>
  <c r="I103" i="1"/>
  <c r="J103" i="1"/>
  <c r="K103" i="1"/>
  <c r="L103" i="1"/>
  <c r="M103" i="1"/>
  <c r="N103" i="1"/>
  <c r="O103" i="1"/>
  <c r="R103" i="1"/>
  <c r="D104" i="1"/>
  <c r="E104" i="1"/>
  <c r="F104" i="1"/>
  <c r="G104" i="1"/>
  <c r="H104" i="1"/>
  <c r="I104" i="1"/>
  <c r="J104" i="1"/>
  <c r="K104" i="1"/>
  <c r="L104" i="1"/>
  <c r="M104" i="1"/>
  <c r="N104" i="1"/>
  <c r="O104" i="1"/>
  <c r="E111" i="1"/>
  <c r="F111" i="1"/>
  <c r="G111" i="1"/>
  <c r="H111" i="1"/>
  <c r="I111" i="1"/>
  <c r="J111" i="1"/>
  <c r="K111" i="1"/>
  <c r="L111" i="1"/>
  <c r="M111" i="1"/>
  <c r="N111" i="1"/>
  <c r="O111" i="1"/>
  <c r="E112" i="1"/>
  <c r="F112" i="1"/>
  <c r="G112" i="1"/>
  <c r="H112" i="1"/>
  <c r="I112" i="1"/>
  <c r="J112" i="1"/>
  <c r="K112" i="1"/>
  <c r="L112" i="1"/>
  <c r="M112" i="1"/>
  <c r="N112" i="1"/>
  <c r="O112" i="1"/>
  <c r="F115" i="1"/>
  <c r="G115" i="1"/>
  <c r="H115" i="1"/>
  <c r="I115" i="1"/>
  <c r="J115" i="1"/>
  <c r="K115" i="1"/>
  <c r="L115" i="1"/>
  <c r="M115" i="1"/>
  <c r="N115" i="1"/>
  <c r="O115" i="1"/>
  <c r="F116" i="1"/>
  <c r="G116" i="1"/>
  <c r="H116" i="1"/>
  <c r="I116" i="1"/>
  <c r="J116" i="1"/>
  <c r="K116" i="1"/>
  <c r="L116" i="1"/>
  <c r="M116" i="1"/>
  <c r="N116" i="1"/>
  <c r="O116" i="1"/>
  <c r="R116" i="1"/>
  <c r="E118" i="1"/>
  <c r="F118" i="1"/>
  <c r="G118" i="1"/>
  <c r="H118" i="1"/>
  <c r="I118" i="1"/>
  <c r="J118" i="1"/>
  <c r="K118" i="1"/>
  <c r="L118" i="1"/>
  <c r="M118" i="1"/>
  <c r="N118" i="1"/>
  <c r="O118" i="1"/>
  <c r="E119" i="1"/>
  <c r="F119" i="1"/>
  <c r="G119" i="1"/>
  <c r="H119" i="1"/>
  <c r="I119" i="1"/>
  <c r="J119" i="1"/>
  <c r="K119" i="1"/>
  <c r="L119" i="1"/>
  <c r="M119" i="1"/>
  <c r="N119" i="1"/>
  <c r="O119" i="1"/>
  <c r="E121" i="1"/>
  <c r="F121" i="1"/>
  <c r="G121" i="1"/>
  <c r="H121" i="1"/>
  <c r="I121" i="1"/>
  <c r="J121" i="1"/>
  <c r="K121" i="1"/>
  <c r="L121" i="1"/>
  <c r="M121" i="1"/>
  <c r="N121" i="1"/>
  <c r="O121" i="1"/>
  <c r="F123" i="1"/>
  <c r="G123" i="1"/>
  <c r="H123" i="1"/>
  <c r="I123" i="1"/>
  <c r="J123" i="1"/>
  <c r="K123" i="1"/>
  <c r="L123" i="1"/>
  <c r="M123" i="1"/>
  <c r="N123" i="1"/>
  <c r="O123" i="1"/>
  <c r="F124" i="1"/>
  <c r="G124" i="1"/>
  <c r="H124" i="1"/>
  <c r="I124" i="1"/>
  <c r="J124" i="1"/>
  <c r="K124" i="1"/>
  <c r="L124" i="1"/>
  <c r="M124" i="1"/>
  <c r="N124" i="1"/>
  <c r="O124" i="1"/>
  <c r="F126" i="1"/>
  <c r="G126" i="1"/>
  <c r="H126" i="1"/>
  <c r="I126" i="1"/>
  <c r="J126" i="1"/>
  <c r="K126" i="1"/>
  <c r="L126" i="1"/>
  <c r="M126" i="1"/>
  <c r="N126" i="1"/>
  <c r="O126" i="1"/>
  <c r="F127" i="1"/>
  <c r="G127" i="1"/>
  <c r="H127" i="1"/>
  <c r="I127" i="1"/>
  <c r="J127" i="1"/>
  <c r="K127" i="1"/>
  <c r="L127" i="1"/>
  <c r="M127" i="1"/>
  <c r="N127" i="1"/>
  <c r="O127" i="1"/>
  <c r="D128" i="1"/>
  <c r="E128" i="1"/>
  <c r="F128" i="1"/>
  <c r="G128" i="1"/>
  <c r="H128" i="1"/>
  <c r="I128" i="1"/>
  <c r="J128" i="1"/>
  <c r="K128" i="1"/>
  <c r="L128" i="1"/>
  <c r="M128" i="1"/>
  <c r="N128" i="1"/>
  <c r="O128" i="1"/>
  <c r="R129" i="1"/>
  <c r="E130" i="1"/>
  <c r="F130" i="1"/>
  <c r="G130" i="1"/>
  <c r="H130" i="1"/>
  <c r="I130" i="1"/>
  <c r="J130" i="1"/>
  <c r="K130" i="1"/>
  <c r="L130" i="1"/>
  <c r="M130" i="1"/>
  <c r="N130" i="1"/>
  <c r="O130" i="1"/>
  <c r="F131" i="1"/>
  <c r="G131" i="1"/>
  <c r="H131" i="1"/>
  <c r="I131" i="1"/>
  <c r="J131" i="1"/>
  <c r="K131" i="1"/>
  <c r="L131" i="1"/>
  <c r="M131" i="1"/>
  <c r="N131" i="1"/>
  <c r="O131" i="1"/>
  <c r="E132" i="1"/>
  <c r="F132" i="1"/>
  <c r="G132" i="1"/>
  <c r="H132" i="1"/>
  <c r="I132" i="1"/>
  <c r="J132" i="1"/>
  <c r="K132" i="1"/>
  <c r="L132" i="1"/>
  <c r="M132" i="1"/>
  <c r="N132" i="1"/>
  <c r="O132" i="1"/>
  <c r="E134" i="1"/>
  <c r="F134" i="1"/>
  <c r="G134" i="1"/>
  <c r="H134" i="1"/>
  <c r="I134" i="1"/>
  <c r="J134" i="1"/>
  <c r="K134" i="1"/>
  <c r="L134" i="1"/>
  <c r="M134" i="1"/>
  <c r="N134" i="1"/>
  <c r="O134" i="1"/>
  <c r="D135" i="1"/>
  <c r="D136" i="1"/>
  <c r="D142" i="1"/>
  <c r="F142" i="1"/>
  <c r="G142" i="1"/>
  <c r="H142" i="1"/>
  <c r="I142" i="1"/>
  <c r="J142" i="1"/>
  <c r="K142" i="1"/>
  <c r="L142" i="1"/>
  <c r="M142" i="1"/>
  <c r="N142" i="1"/>
  <c r="O142" i="1"/>
  <c r="D143" i="1"/>
  <c r="F143" i="1"/>
  <c r="G143" i="1"/>
  <c r="H143" i="1"/>
  <c r="I143" i="1"/>
  <c r="J143" i="1"/>
  <c r="K143" i="1"/>
  <c r="L143" i="1"/>
  <c r="M143" i="1"/>
  <c r="N143" i="1"/>
  <c r="O143" i="1"/>
  <c r="F144" i="1"/>
  <c r="G144" i="1"/>
  <c r="H144" i="1"/>
  <c r="I144" i="1"/>
  <c r="J144" i="1"/>
  <c r="K144" i="1"/>
  <c r="L144" i="1"/>
  <c r="M144" i="1"/>
  <c r="N144" i="1"/>
  <c r="O144" i="1"/>
  <c r="R144" i="1"/>
  <c r="F145" i="1"/>
  <c r="G145" i="1"/>
  <c r="H145" i="1"/>
  <c r="I145" i="1"/>
  <c r="J145" i="1"/>
  <c r="K145" i="1"/>
  <c r="L145" i="1"/>
  <c r="M145" i="1"/>
  <c r="N145" i="1"/>
  <c r="O145" i="1"/>
  <c r="F146" i="1"/>
  <c r="G146" i="1"/>
  <c r="H146" i="1"/>
  <c r="I146" i="1"/>
  <c r="J146" i="1"/>
  <c r="K146" i="1"/>
  <c r="L146" i="1"/>
  <c r="M146" i="1"/>
  <c r="N146" i="1"/>
  <c r="O146" i="1"/>
  <c r="E147" i="1"/>
  <c r="E148" i="1"/>
  <c r="D151" i="1"/>
  <c r="F151" i="1"/>
  <c r="G151" i="1"/>
  <c r="H151" i="1"/>
  <c r="I151" i="1"/>
  <c r="J151" i="1"/>
  <c r="K151" i="1"/>
  <c r="L151" i="1"/>
  <c r="M151" i="1"/>
  <c r="N151" i="1"/>
  <c r="O151" i="1"/>
  <c r="D152" i="1"/>
  <c r="F152" i="1"/>
  <c r="G152" i="1"/>
  <c r="H152" i="1"/>
  <c r="I152" i="1"/>
  <c r="J152" i="1"/>
  <c r="K152" i="1"/>
  <c r="L152" i="1"/>
  <c r="M152" i="1"/>
  <c r="N152" i="1"/>
  <c r="O152" i="1"/>
  <c r="D153" i="1"/>
  <c r="F153" i="1"/>
  <c r="G153" i="1"/>
  <c r="H153" i="1"/>
  <c r="I153" i="1"/>
  <c r="J153" i="1"/>
  <c r="K153" i="1"/>
  <c r="L153" i="1"/>
  <c r="M153" i="1"/>
  <c r="N153" i="1"/>
  <c r="O153" i="1"/>
  <c r="F154" i="1"/>
  <c r="G154" i="1"/>
  <c r="H154" i="1"/>
  <c r="I154" i="1"/>
  <c r="J154" i="1"/>
  <c r="K154" i="1"/>
  <c r="L154" i="1"/>
  <c r="M154" i="1"/>
  <c r="N154" i="1"/>
  <c r="O154" i="1"/>
  <c r="F155" i="1"/>
  <c r="G155" i="1"/>
  <c r="H155" i="1"/>
  <c r="I155" i="1"/>
  <c r="J155" i="1"/>
  <c r="K155" i="1"/>
  <c r="L155" i="1"/>
  <c r="M155" i="1"/>
  <c r="N155" i="1"/>
  <c r="O155" i="1"/>
  <c r="E156" i="1"/>
  <c r="E157" i="1"/>
  <c r="R157" i="1"/>
  <c r="F162" i="1"/>
  <c r="G162" i="1"/>
  <c r="H162" i="1"/>
  <c r="I162" i="1"/>
  <c r="J162" i="1"/>
  <c r="K162" i="1"/>
  <c r="L162" i="1"/>
  <c r="M162" i="1"/>
  <c r="N162" i="1"/>
  <c r="O162" i="1"/>
  <c r="F163" i="1"/>
  <c r="G163" i="1"/>
  <c r="H163" i="1"/>
  <c r="I163" i="1"/>
  <c r="J163" i="1"/>
  <c r="K163" i="1"/>
  <c r="L163" i="1"/>
  <c r="M163" i="1"/>
  <c r="N163" i="1"/>
  <c r="O163" i="1"/>
  <c r="E27" i="10"/>
  <c r="E28" i="10"/>
  <c r="E30" i="10"/>
  <c r="E31" i="10"/>
  <c r="E32" i="10"/>
  <c r="E34" i="10"/>
  <c r="E35" i="10"/>
  <c r="H16" i="9"/>
  <c r="J16" i="9"/>
  <c r="K16" i="9"/>
  <c r="L16" i="9"/>
  <c r="M16" i="9"/>
  <c r="N16" i="9"/>
  <c r="O16" i="9"/>
  <c r="P16" i="9"/>
  <c r="Q16" i="9"/>
  <c r="R16" i="9"/>
  <c r="S16" i="9"/>
  <c r="G28" i="9"/>
  <c r="H28" i="9"/>
  <c r="J28" i="9"/>
  <c r="K28" i="9"/>
  <c r="L28" i="9"/>
  <c r="M28" i="9"/>
  <c r="N28" i="9"/>
  <c r="O28" i="9"/>
  <c r="P28" i="9"/>
  <c r="Q28" i="9"/>
  <c r="R28" i="9"/>
  <c r="S28" i="9"/>
  <c r="G29" i="9"/>
  <c r="H29" i="9"/>
  <c r="J29" i="9"/>
  <c r="K29" i="9"/>
  <c r="L29" i="9"/>
  <c r="M29" i="9"/>
  <c r="N29" i="9"/>
  <c r="O29" i="9"/>
  <c r="P29" i="9"/>
  <c r="Q29" i="9"/>
  <c r="R29" i="9"/>
  <c r="S29" i="9"/>
  <c r="G30" i="9"/>
  <c r="H30" i="9"/>
  <c r="J30" i="9"/>
  <c r="K30" i="9"/>
  <c r="L30" i="9"/>
  <c r="M30" i="9"/>
  <c r="N30" i="9"/>
  <c r="O30" i="9"/>
  <c r="P30" i="9"/>
  <c r="Q30" i="9"/>
  <c r="R30" i="9"/>
  <c r="S30" i="9"/>
  <c r="H31" i="9"/>
  <c r="J31" i="9"/>
  <c r="K31" i="9"/>
  <c r="L31" i="9"/>
  <c r="M31" i="9"/>
  <c r="N31" i="9"/>
  <c r="O31" i="9"/>
  <c r="P31" i="9"/>
  <c r="Q31" i="9"/>
  <c r="R31" i="9"/>
  <c r="S31" i="9"/>
  <c r="J32" i="9"/>
  <c r="K32" i="9"/>
  <c r="L32" i="9"/>
  <c r="M32" i="9"/>
  <c r="N32" i="9"/>
  <c r="O32" i="9"/>
  <c r="P32" i="9"/>
  <c r="Q32" i="9"/>
  <c r="R32" i="9"/>
  <c r="S32" i="9"/>
  <c r="G34" i="9"/>
  <c r="H46" i="9"/>
  <c r="J46" i="9"/>
  <c r="K46" i="9"/>
  <c r="L46" i="9"/>
  <c r="M46" i="9"/>
  <c r="N46" i="9"/>
  <c r="O46" i="9"/>
  <c r="P46" i="9"/>
  <c r="Q46" i="9"/>
  <c r="R46" i="9"/>
  <c r="S46" i="9"/>
  <c r="H47" i="9"/>
  <c r="J47" i="9"/>
  <c r="K47" i="9"/>
  <c r="L47" i="9"/>
  <c r="M47" i="9"/>
  <c r="N47" i="9"/>
  <c r="O47" i="9"/>
  <c r="P47" i="9"/>
  <c r="Q47" i="9"/>
  <c r="R47" i="9"/>
  <c r="S47" i="9"/>
  <c r="H49" i="9"/>
  <c r="J49" i="9"/>
  <c r="K49" i="9"/>
  <c r="L49" i="9"/>
  <c r="M49" i="9"/>
  <c r="N49" i="9"/>
  <c r="O49" i="9"/>
  <c r="P49" i="9"/>
  <c r="Q49" i="9"/>
  <c r="R49" i="9"/>
  <c r="S49" i="9"/>
  <c r="J52" i="9"/>
  <c r="K52" i="9"/>
  <c r="L52" i="9"/>
  <c r="M52" i="9"/>
  <c r="N52" i="9"/>
  <c r="O52" i="9"/>
  <c r="P52" i="9"/>
  <c r="Q52" i="9"/>
  <c r="R52" i="9"/>
  <c r="S52" i="9"/>
  <c r="K54" i="9"/>
  <c r="L54" i="9"/>
  <c r="M54" i="9"/>
  <c r="N54" i="9"/>
  <c r="O54" i="9"/>
  <c r="P54" i="9"/>
  <c r="Q54" i="9"/>
  <c r="R54" i="9"/>
  <c r="S54" i="9"/>
  <c r="J55" i="9"/>
  <c r="K55" i="9"/>
  <c r="L55" i="9"/>
  <c r="M55" i="9"/>
  <c r="N55" i="9"/>
  <c r="O55" i="9"/>
  <c r="P55" i="9"/>
  <c r="Q55" i="9"/>
  <c r="R55" i="9"/>
  <c r="S55" i="9"/>
  <c r="J56" i="9"/>
  <c r="K56" i="9"/>
  <c r="L56" i="9"/>
  <c r="M56" i="9"/>
  <c r="N56" i="9"/>
  <c r="O56" i="9"/>
  <c r="P56" i="9"/>
  <c r="Q56" i="9"/>
  <c r="R56" i="9"/>
  <c r="S56" i="9"/>
  <c r="J57" i="9"/>
  <c r="K57" i="9"/>
  <c r="L57" i="9"/>
  <c r="M57" i="9"/>
  <c r="N57" i="9"/>
  <c r="O57" i="9"/>
  <c r="P57" i="9"/>
  <c r="Q57" i="9"/>
  <c r="R57" i="9"/>
  <c r="S57" i="9"/>
  <c r="J60" i="9"/>
  <c r="K60" i="9"/>
  <c r="L60" i="9"/>
  <c r="M60" i="9"/>
  <c r="N60" i="9"/>
  <c r="O60" i="9"/>
  <c r="P60" i="9"/>
  <c r="Q60" i="9"/>
  <c r="R60" i="9"/>
  <c r="S60" i="9"/>
  <c r="J61" i="9"/>
  <c r="K61" i="9"/>
  <c r="L61" i="9"/>
  <c r="M61" i="9"/>
  <c r="N61" i="9"/>
  <c r="O61" i="9"/>
  <c r="P61" i="9"/>
  <c r="Q61" i="9"/>
  <c r="R61" i="9"/>
  <c r="S61" i="9"/>
  <c r="G65" i="9"/>
  <c r="J67" i="9"/>
  <c r="K67" i="9"/>
  <c r="L67" i="9"/>
  <c r="M67" i="9"/>
  <c r="N67" i="9"/>
  <c r="O67" i="9"/>
  <c r="P67" i="9"/>
  <c r="Q67" i="9"/>
  <c r="R67" i="9"/>
  <c r="S67" i="9"/>
  <c r="J69" i="9"/>
  <c r="K69" i="9"/>
  <c r="L69" i="9"/>
  <c r="M69" i="9"/>
  <c r="N69" i="9"/>
  <c r="O69" i="9"/>
  <c r="P69" i="9"/>
  <c r="Q69" i="9"/>
  <c r="R69" i="9"/>
  <c r="S69" i="9"/>
  <c r="J70" i="9"/>
  <c r="K70" i="9"/>
  <c r="L70" i="9"/>
  <c r="M70" i="9"/>
  <c r="N70" i="9"/>
  <c r="O70" i="9"/>
  <c r="P70" i="9"/>
  <c r="Q70" i="9"/>
  <c r="R70" i="9"/>
  <c r="S70" i="9"/>
  <c r="J72" i="9"/>
  <c r="K72" i="9"/>
  <c r="L72" i="9"/>
  <c r="M72" i="9"/>
  <c r="N72" i="9"/>
  <c r="O72" i="9"/>
  <c r="P72" i="9"/>
  <c r="Q72" i="9"/>
  <c r="R72" i="9"/>
  <c r="S72" i="9"/>
  <c r="F73" i="9"/>
  <c r="J73" i="9"/>
  <c r="K73" i="9"/>
  <c r="L73" i="9"/>
  <c r="M73" i="9"/>
  <c r="N73" i="9"/>
  <c r="O73" i="9"/>
  <c r="P73" i="9"/>
  <c r="Q73" i="9"/>
  <c r="R73" i="9"/>
  <c r="S73" i="9"/>
  <c r="J74" i="9"/>
  <c r="K74" i="9"/>
  <c r="L74" i="9"/>
  <c r="M74" i="9"/>
  <c r="N74" i="9"/>
  <c r="O74" i="9"/>
  <c r="P74" i="9"/>
  <c r="Q74" i="9"/>
  <c r="R74" i="9"/>
  <c r="S74" i="9"/>
  <c r="J76" i="9"/>
  <c r="K76" i="9"/>
  <c r="L76" i="9"/>
  <c r="M76" i="9"/>
  <c r="N76" i="9"/>
  <c r="O76" i="9"/>
  <c r="P76" i="9"/>
  <c r="Q76" i="9"/>
  <c r="R76" i="9"/>
  <c r="S76" i="9"/>
  <c r="J78" i="9"/>
  <c r="K78" i="9"/>
  <c r="L78" i="9"/>
  <c r="M78" i="9"/>
  <c r="N78" i="9"/>
  <c r="O78" i="9"/>
  <c r="P78" i="9"/>
  <c r="Q78" i="9"/>
  <c r="R78" i="9"/>
  <c r="S78" i="9"/>
  <c r="J80" i="9"/>
  <c r="K80" i="9"/>
  <c r="L80" i="9"/>
  <c r="M80" i="9"/>
  <c r="N80" i="9"/>
  <c r="O80" i="9"/>
  <c r="P80" i="9"/>
  <c r="Q80" i="9"/>
  <c r="R80" i="9"/>
  <c r="S80" i="9"/>
  <c r="F81" i="9"/>
  <c r="J81" i="9"/>
  <c r="K81" i="9"/>
  <c r="L81" i="9"/>
  <c r="M81" i="9"/>
  <c r="N81" i="9"/>
  <c r="O81" i="9"/>
  <c r="P81" i="9"/>
  <c r="Q81" i="9"/>
  <c r="R81" i="9"/>
  <c r="S81" i="9"/>
  <c r="J82" i="9"/>
  <c r="K82" i="9"/>
  <c r="L82" i="9"/>
  <c r="M82" i="9"/>
  <c r="N82" i="9"/>
  <c r="O82" i="9"/>
  <c r="P82" i="9"/>
  <c r="Q82" i="9"/>
  <c r="R82" i="9"/>
  <c r="S82" i="9"/>
  <c r="J84" i="9"/>
  <c r="K84" i="9"/>
  <c r="L84" i="9"/>
  <c r="M84" i="9"/>
  <c r="N84" i="9"/>
  <c r="O84" i="9"/>
  <c r="P84" i="9"/>
  <c r="Q84" i="9"/>
  <c r="R84" i="9"/>
  <c r="S84" i="9"/>
  <c r="J85" i="9"/>
  <c r="K85" i="9"/>
  <c r="L85" i="9"/>
  <c r="M85" i="9"/>
  <c r="N85" i="9"/>
  <c r="O85" i="9"/>
  <c r="P85" i="9"/>
  <c r="Q85" i="9"/>
  <c r="R85" i="9"/>
  <c r="S85" i="9"/>
  <c r="J87" i="9"/>
  <c r="K87" i="9"/>
  <c r="L87" i="9"/>
  <c r="M87" i="9"/>
  <c r="N87" i="9"/>
  <c r="O87" i="9"/>
  <c r="P87" i="9"/>
  <c r="Q87" i="9"/>
  <c r="R87" i="9"/>
  <c r="S87" i="9"/>
  <c r="J88" i="9"/>
  <c r="K88" i="9"/>
  <c r="L88" i="9"/>
  <c r="M88" i="9"/>
  <c r="N88" i="9"/>
  <c r="O88" i="9"/>
  <c r="P88" i="9"/>
  <c r="Q88" i="9"/>
  <c r="R88" i="9"/>
  <c r="S88" i="9"/>
  <c r="J90" i="9"/>
  <c r="K90" i="9"/>
  <c r="L90" i="9"/>
  <c r="M90" i="9"/>
  <c r="N90" i="9"/>
  <c r="O90" i="9"/>
  <c r="P90" i="9"/>
  <c r="Q90" i="9"/>
  <c r="R90" i="9"/>
  <c r="S90" i="9"/>
  <c r="J91" i="9"/>
  <c r="K91" i="9"/>
  <c r="L91" i="9"/>
  <c r="M91" i="9"/>
  <c r="N91" i="9"/>
  <c r="O91" i="9"/>
  <c r="P91" i="9"/>
  <c r="Q91" i="9"/>
  <c r="R91" i="9"/>
  <c r="S91" i="9"/>
  <c r="P94" i="9"/>
  <c r="Q94" i="9"/>
  <c r="R94" i="9"/>
  <c r="F19" i="6"/>
  <c r="H19" i="6"/>
  <c r="I19" i="6"/>
  <c r="J19" i="6"/>
  <c r="K19" i="6"/>
  <c r="L19" i="6"/>
  <c r="M19" i="6"/>
  <c r="N19" i="6"/>
  <c r="O19" i="6"/>
  <c r="P19" i="6"/>
  <c r="Q19" i="6"/>
  <c r="R19" i="6"/>
  <c r="S19" i="6"/>
  <c r="T19" i="6"/>
  <c r="U19" i="6"/>
  <c r="V19" i="6"/>
  <c r="W19" i="6"/>
  <c r="X19" i="6"/>
  <c r="Y19" i="6"/>
  <c r="Z19" i="6"/>
  <c r="AA19" i="6"/>
  <c r="AB19" i="6"/>
  <c r="AC19" i="6"/>
  <c r="AD19" i="6"/>
  <c r="AE19" i="6"/>
  <c r="AF19" i="6"/>
  <c r="AG19" i="6"/>
  <c r="AH19" i="6"/>
  <c r="AI19" i="6"/>
  <c r="AJ19" i="6"/>
  <c r="AK19" i="6"/>
  <c r="AL19" i="6"/>
  <c r="AM19" i="6"/>
  <c r="AN19" i="6"/>
  <c r="AO19" i="6"/>
  <c r="AP19" i="6"/>
  <c r="AQ19" i="6"/>
  <c r="AR19" i="6"/>
  <c r="AS19" i="6"/>
  <c r="AT19" i="6"/>
  <c r="AU19" i="6"/>
  <c r="AV19" i="6"/>
  <c r="AW19" i="6"/>
  <c r="AX19" i="6"/>
  <c r="AY19" i="6"/>
  <c r="AZ19" i="6"/>
  <c r="BA19" i="6"/>
  <c r="BB19" i="6"/>
  <c r="BC19" i="6"/>
  <c r="BD19" i="6"/>
  <c r="BE19" i="6"/>
  <c r="BF19" i="6"/>
  <c r="BG19" i="6"/>
  <c r="BH19" i="6"/>
  <c r="BI19" i="6"/>
  <c r="BJ19" i="6"/>
  <c r="BK19" i="6"/>
  <c r="BL19" i="6"/>
  <c r="BM19" i="6"/>
  <c r="BN19" i="6"/>
  <c r="BO19" i="6"/>
  <c r="BP19" i="6"/>
  <c r="BQ19" i="6"/>
  <c r="BR19" i="6"/>
  <c r="BS19" i="6"/>
  <c r="BT19" i="6"/>
  <c r="BU19" i="6"/>
  <c r="BV19" i="6"/>
  <c r="BW19" i="6"/>
  <c r="BX19" i="6"/>
  <c r="BY19" i="6"/>
  <c r="BZ19" i="6"/>
  <c r="D20" i="6"/>
  <c r="F20" i="6"/>
  <c r="H20" i="6"/>
  <c r="I20" i="6"/>
  <c r="J20" i="6"/>
  <c r="K20" i="6"/>
  <c r="L20" i="6"/>
  <c r="M20" i="6"/>
  <c r="N20" i="6"/>
  <c r="O20" i="6"/>
  <c r="P20" i="6"/>
  <c r="Q20" i="6"/>
  <c r="R20" i="6"/>
  <c r="S20" i="6"/>
  <c r="T20" i="6"/>
  <c r="U20" i="6"/>
  <c r="V20" i="6"/>
  <c r="W20" i="6"/>
  <c r="X20" i="6"/>
  <c r="Y20" i="6"/>
  <c r="Z20" i="6"/>
  <c r="AA20" i="6"/>
  <c r="AB20" i="6"/>
  <c r="AC20" i="6"/>
  <c r="AD20" i="6"/>
  <c r="AE20" i="6"/>
  <c r="AF20" i="6"/>
  <c r="AG20" i="6"/>
  <c r="AH20" i="6"/>
  <c r="AI20" i="6"/>
  <c r="AJ20" i="6"/>
  <c r="AK20" i="6"/>
  <c r="AL20" i="6"/>
  <c r="AM20" i="6"/>
  <c r="AN20" i="6"/>
  <c r="AO20" i="6"/>
  <c r="AP20" i="6"/>
  <c r="AQ20" i="6"/>
  <c r="AR20" i="6"/>
  <c r="AS20" i="6"/>
  <c r="AT20" i="6"/>
  <c r="AU20" i="6"/>
  <c r="AV20" i="6"/>
  <c r="AW20" i="6"/>
  <c r="AX20" i="6"/>
  <c r="AY20" i="6"/>
  <c r="AZ20" i="6"/>
  <c r="BA20" i="6"/>
  <c r="BB20" i="6"/>
  <c r="BC20" i="6"/>
  <c r="BD20" i="6"/>
  <c r="BE20" i="6"/>
  <c r="BF20" i="6"/>
  <c r="BG20" i="6"/>
  <c r="BH20" i="6"/>
  <c r="BI20" i="6"/>
  <c r="BJ20" i="6"/>
  <c r="BK20" i="6"/>
  <c r="BL20" i="6"/>
  <c r="BM20" i="6"/>
  <c r="BN20" i="6"/>
  <c r="BO20" i="6"/>
  <c r="BP20" i="6"/>
  <c r="BQ20" i="6"/>
  <c r="BR20" i="6"/>
  <c r="BS20" i="6"/>
  <c r="BT20" i="6"/>
  <c r="BU20" i="6"/>
  <c r="BV20" i="6"/>
  <c r="BW20" i="6"/>
  <c r="BX20" i="6"/>
  <c r="BY20" i="6"/>
  <c r="BZ20" i="6"/>
  <c r="F23" i="6"/>
  <c r="H23" i="6"/>
  <c r="I23" i="6"/>
  <c r="J23" i="6"/>
  <c r="K23" i="6"/>
  <c r="L23" i="6"/>
  <c r="M23" i="6"/>
  <c r="N23" i="6"/>
  <c r="O23" i="6"/>
  <c r="P23" i="6"/>
  <c r="Q23" i="6"/>
  <c r="R23" i="6"/>
  <c r="S23" i="6"/>
  <c r="T23" i="6"/>
  <c r="U23" i="6"/>
  <c r="V23" i="6"/>
  <c r="W23" i="6"/>
  <c r="X23" i="6"/>
  <c r="Y23" i="6"/>
  <c r="Z23" i="6"/>
  <c r="AA23" i="6"/>
  <c r="AB23" i="6"/>
  <c r="AC23" i="6"/>
  <c r="AD23" i="6"/>
  <c r="AE23" i="6"/>
  <c r="AF23" i="6"/>
  <c r="AG23" i="6"/>
  <c r="AH23" i="6"/>
  <c r="AI23" i="6"/>
  <c r="AJ23" i="6"/>
  <c r="AK23" i="6"/>
  <c r="AL23" i="6"/>
  <c r="AM23" i="6"/>
  <c r="AN23" i="6"/>
  <c r="AO23" i="6"/>
  <c r="AP23" i="6"/>
  <c r="AQ23" i="6"/>
  <c r="AR23" i="6"/>
  <c r="AS23" i="6"/>
  <c r="AT23" i="6"/>
  <c r="AU23" i="6"/>
  <c r="AV23" i="6"/>
  <c r="AW23" i="6"/>
  <c r="AX23" i="6"/>
  <c r="AY23" i="6"/>
  <c r="AZ23" i="6"/>
  <c r="BA23" i="6"/>
  <c r="BB23" i="6"/>
  <c r="BC23" i="6"/>
  <c r="BD23" i="6"/>
  <c r="BE23" i="6"/>
  <c r="BF23" i="6"/>
  <c r="BG23" i="6"/>
  <c r="BH23" i="6"/>
  <c r="BI23" i="6"/>
  <c r="BJ23" i="6"/>
  <c r="BK23" i="6"/>
  <c r="BL23" i="6"/>
  <c r="BM23" i="6"/>
  <c r="BN23" i="6"/>
  <c r="BO23" i="6"/>
  <c r="BP23" i="6"/>
  <c r="BQ23" i="6"/>
  <c r="BR23" i="6"/>
  <c r="BS23" i="6"/>
  <c r="BT23" i="6"/>
  <c r="BU23" i="6"/>
  <c r="BV23" i="6"/>
  <c r="BW23" i="6"/>
  <c r="BX23" i="6"/>
  <c r="BY23" i="6"/>
  <c r="BZ23" i="6"/>
  <c r="D24" i="6"/>
  <c r="F24" i="6"/>
  <c r="H24" i="6"/>
  <c r="I24" i="6"/>
  <c r="J24" i="6"/>
  <c r="K24" i="6"/>
  <c r="L24" i="6"/>
  <c r="M24" i="6"/>
  <c r="N24" i="6"/>
  <c r="O24" i="6"/>
  <c r="P24" i="6"/>
  <c r="Q24" i="6"/>
  <c r="R24" i="6"/>
  <c r="S24" i="6"/>
  <c r="T24" i="6"/>
  <c r="U24" i="6"/>
  <c r="V24" i="6"/>
  <c r="W24" i="6"/>
  <c r="X24" i="6"/>
  <c r="Y24" i="6"/>
  <c r="Z24" i="6"/>
  <c r="AA24" i="6"/>
  <c r="AB24" i="6"/>
  <c r="AC24" i="6"/>
  <c r="AD24" i="6"/>
  <c r="AE24" i="6"/>
  <c r="AF24" i="6"/>
  <c r="AG24" i="6"/>
  <c r="AH24" i="6"/>
  <c r="AI24" i="6"/>
  <c r="AJ24" i="6"/>
  <c r="AK24" i="6"/>
  <c r="AL24" i="6"/>
  <c r="AM24" i="6"/>
  <c r="AN24" i="6"/>
  <c r="AO24" i="6"/>
  <c r="AP24" i="6"/>
  <c r="AQ24" i="6"/>
  <c r="AR24" i="6"/>
  <c r="AS24" i="6"/>
  <c r="AT24" i="6"/>
  <c r="AU24" i="6"/>
  <c r="AV24" i="6"/>
  <c r="AW24" i="6"/>
  <c r="AX24" i="6"/>
  <c r="AY24" i="6"/>
  <c r="AZ24" i="6"/>
  <c r="BA24" i="6"/>
  <c r="BB24" i="6"/>
  <c r="BC24" i="6"/>
  <c r="BD24" i="6"/>
  <c r="BE24" i="6"/>
  <c r="BF24" i="6"/>
  <c r="BG24" i="6"/>
  <c r="BH24" i="6"/>
  <c r="BI24" i="6"/>
  <c r="BJ24" i="6"/>
  <c r="BK24" i="6"/>
  <c r="BL24" i="6"/>
  <c r="BM24" i="6"/>
  <c r="BN24" i="6"/>
  <c r="BO24" i="6"/>
  <c r="BP24" i="6"/>
  <c r="BQ24" i="6"/>
  <c r="BR24" i="6"/>
  <c r="BS24" i="6"/>
  <c r="BT24" i="6"/>
  <c r="BU24" i="6"/>
  <c r="BV24" i="6"/>
  <c r="BW24" i="6"/>
  <c r="BX24" i="6"/>
  <c r="BY24" i="6"/>
  <c r="BZ24" i="6"/>
  <c r="F27" i="6"/>
  <c r="H27" i="6"/>
  <c r="I27" i="6"/>
  <c r="J27" i="6"/>
  <c r="K27" i="6"/>
  <c r="L27" i="6"/>
  <c r="M27" i="6"/>
  <c r="N27" i="6"/>
  <c r="O27" i="6"/>
  <c r="P27" i="6"/>
  <c r="Q27" i="6"/>
  <c r="R27" i="6"/>
  <c r="S27" i="6"/>
  <c r="T27" i="6"/>
  <c r="U27" i="6"/>
  <c r="V27" i="6"/>
  <c r="W27" i="6"/>
  <c r="X27" i="6"/>
  <c r="Y27" i="6"/>
  <c r="Z27" i="6"/>
  <c r="AA27" i="6"/>
  <c r="AB27" i="6"/>
  <c r="AC27" i="6"/>
  <c r="AD27" i="6"/>
  <c r="AE27" i="6"/>
  <c r="AF27" i="6"/>
  <c r="AG27" i="6"/>
  <c r="AH27" i="6"/>
  <c r="AI27" i="6"/>
  <c r="AJ27" i="6"/>
  <c r="AK27" i="6"/>
  <c r="AL27" i="6"/>
  <c r="AM27" i="6"/>
  <c r="AN27" i="6"/>
  <c r="AO27" i="6"/>
  <c r="AP27" i="6"/>
  <c r="AQ27" i="6"/>
  <c r="AR27" i="6"/>
  <c r="AS27" i="6"/>
  <c r="AT27" i="6"/>
  <c r="AU27" i="6"/>
  <c r="AV27" i="6"/>
  <c r="AW27" i="6"/>
  <c r="AX27" i="6"/>
  <c r="AY27" i="6"/>
  <c r="AZ27" i="6"/>
  <c r="BA27" i="6"/>
  <c r="BB27" i="6"/>
  <c r="BC27" i="6"/>
  <c r="BD27" i="6"/>
  <c r="BE27" i="6"/>
  <c r="BF27" i="6"/>
  <c r="BG27" i="6"/>
  <c r="BH27" i="6"/>
  <c r="BI27" i="6"/>
  <c r="BJ27" i="6"/>
  <c r="BK27" i="6"/>
  <c r="BL27" i="6"/>
  <c r="BM27" i="6"/>
  <c r="BN27" i="6"/>
  <c r="BO27" i="6"/>
  <c r="BP27" i="6"/>
  <c r="BQ27" i="6"/>
  <c r="BR27" i="6"/>
  <c r="BS27" i="6"/>
  <c r="BT27" i="6"/>
  <c r="BU27" i="6"/>
  <c r="BV27" i="6"/>
  <c r="BW27" i="6"/>
  <c r="BX27" i="6"/>
  <c r="BY27" i="6"/>
  <c r="BZ27" i="6"/>
  <c r="D28" i="6"/>
  <c r="F28" i="6"/>
  <c r="H28" i="6"/>
  <c r="I28" i="6"/>
  <c r="J28" i="6"/>
  <c r="K28" i="6"/>
  <c r="L28" i="6"/>
  <c r="M28" i="6"/>
  <c r="N28" i="6"/>
  <c r="O28" i="6"/>
  <c r="P28" i="6"/>
  <c r="Q28" i="6"/>
  <c r="R28" i="6"/>
  <c r="S28" i="6"/>
  <c r="T28" i="6"/>
  <c r="U28" i="6"/>
  <c r="V28" i="6"/>
  <c r="W28" i="6"/>
  <c r="X28" i="6"/>
  <c r="Y28" i="6"/>
  <c r="Z28" i="6"/>
  <c r="AA28" i="6"/>
  <c r="AB28" i="6"/>
  <c r="AC28" i="6"/>
  <c r="AD28" i="6"/>
  <c r="AE28" i="6"/>
  <c r="AF28" i="6"/>
  <c r="AG28" i="6"/>
  <c r="AH28" i="6"/>
  <c r="AI28" i="6"/>
  <c r="AJ28" i="6"/>
  <c r="AK28" i="6"/>
  <c r="AL28" i="6"/>
  <c r="AM28" i="6"/>
  <c r="AN28" i="6"/>
  <c r="AO28" i="6"/>
  <c r="AP28" i="6"/>
  <c r="AQ28" i="6"/>
  <c r="AR28" i="6"/>
  <c r="AS28" i="6"/>
  <c r="AT28" i="6"/>
  <c r="AU28" i="6"/>
  <c r="AV28" i="6"/>
  <c r="AW28" i="6"/>
  <c r="AX28" i="6"/>
  <c r="AY28" i="6"/>
  <c r="AZ28" i="6"/>
  <c r="BA28" i="6"/>
  <c r="BB28" i="6"/>
  <c r="BC28" i="6"/>
  <c r="BD28" i="6"/>
  <c r="BE28" i="6"/>
  <c r="BF28" i="6"/>
  <c r="BG28" i="6"/>
  <c r="BH28" i="6"/>
  <c r="BI28" i="6"/>
  <c r="BJ28" i="6"/>
  <c r="BK28" i="6"/>
  <c r="BL28" i="6"/>
  <c r="BM28" i="6"/>
  <c r="BN28" i="6"/>
  <c r="BO28" i="6"/>
  <c r="BP28" i="6"/>
  <c r="BQ28" i="6"/>
  <c r="BR28" i="6"/>
  <c r="BS28" i="6"/>
  <c r="BT28" i="6"/>
  <c r="BU28" i="6"/>
  <c r="BV28" i="6"/>
  <c r="BW28" i="6"/>
  <c r="BX28" i="6"/>
  <c r="BY28" i="6"/>
  <c r="BZ28" i="6"/>
  <c r="F30" i="6"/>
  <c r="H30" i="6"/>
  <c r="I30" i="6"/>
  <c r="J30" i="6"/>
  <c r="K30" i="6"/>
  <c r="L30" i="6"/>
  <c r="M30" i="6"/>
  <c r="N30" i="6"/>
  <c r="O30" i="6"/>
  <c r="P30" i="6"/>
  <c r="Q30" i="6"/>
  <c r="R30" i="6"/>
  <c r="S30" i="6"/>
  <c r="T30" i="6"/>
  <c r="U30" i="6"/>
  <c r="V30" i="6"/>
  <c r="W30" i="6"/>
  <c r="X30" i="6"/>
  <c r="Y30" i="6"/>
  <c r="Z30" i="6"/>
  <c r="AA30" i="6"/>
  <c r="AB30" i="6"/>
  <c r="AC30" i="6"/>
  <c r="AD30" i="6"/>
  <c r="AE30" i="6"/>
  <c r="AF30" i="6"/>
  <c r="AG30" i="6"/>
  <c r="AH30" i="6"/>
  <c r="AI30" i="6"/>
  <c r="AJ30" i="6"/>
  <c r="AK30" i="6"/>
  <c r="AL30" i="6"/>
  <c r="AM30" i="6"/>
  <c r="AN30" i="6"/>
  <c r="AO30" i="6"/>
  <c r="AP30" i="6"/>
  <c r="AQ30" i="6"/>
  <c r="AR30" i="6"/>
  <c r="AS30" i="6"/>
  <c r="AT30" i="6"/>
  <c r="AU30" i="6"/>
  <c r="AV30" i="6"/>
  <c r="AW30" i="6"/>
  <c r="AX30" i="6"/>
  <c r="AY30" i="6"/>
  <c r="AZ30" i="6"/>
  <c r="BA30" i="6"/>
  <c r="BB30" i="6"/>
  <c r="BC30" i="6"/>
  <c r="BD30" i="6"/>
  <c r="BE30" i="6"/>
  <c r="BF30" i="6"/>
  <c r="BG30" i="6"/>
  <c r="BH30" i="6"/>
  <c r="BI30" i="6"/>
  <c r="BJ30" i="6"/>
  <c r="BK30" i="6"/>
  <c r="BL30" i="6"/>
  <c r="BM30" i="6"/>
  <c r="BN30" i="6"/>
  <c r="BO30" i="6"/>
  <c r="BP30" i="6"/>
  <c r="BQ30" i="6"/>
  <c r="BR30" i="6"/>
  <c r="BS30" i="6"/>
  <c r="BT30" i="6"/>
  <c r="BU30" i="6"/>
  <c r="BV30" i="6"/>
  <c r="BW30" i="6"/>
  <c r="BX30" i="6"/>
  <c r="BY30" i="6"/>
  <c r="BZ30" i="6"/>
  <c r="H33" i="6"/>
  <c r="I33" i="6"/>
  <c r="J33" i="6"/>
  <c r="F20" i="7"/>
  <c r="H20" i="7"/>
  <c r="I20" i="7"/>
  <c r="J20" i="7"/>
  <c r="K20" i="7"/>
  <c r="L20" i="7"/>
  <c r="M20" i="7"/>
  <c r="N20" i="7"/>
  <c r="O20" i="7"/>
  <c r="P20" i="7"/>
  <c r="Q20" i="7"/>
  <c r="R20" i="7"/>
  <c r="S20" i="7"/>
  <c r="T20" i="7"/>
  <c r="U20" i="7"/>
  <c r="V20" i="7"/>
  <c r="W20" i="7"/>
  <c r="X20" i="7"/>
  <c r="Y20" i="7"/>
  <c r="Z20" i="7"/>
  <c r="AA20" i="7"/>
  <c r="AB20" i="7"/>
  <c r="AC20" i="7"/>
  <c r="AD20" i="7"/>
  <c r="AE20" i="7"/>
  <c r="AF20" i="7"/>
  <c r="AG20" i="7"/>
  <c r="AH20" i="7"/>
  <c r="AI20" i="7"/>
  <c r="AJ20" i="7"/>
  <c r="AK20" i="7"/>
  <c r="AL20" i="7"/>
  <c r="AM20" i="7"/>
  <c r="AN20" i="7"/>
  <c r="AO20" i="7"/>
  <c r="AP20" i="7"/>
  <c r="AQ20" i="7"/>
  <c r="AR20" i="7"/>
  <c r="AS20" i="7"/>
  <c r="AT20" i="7"/>
  <c r="AU20" i="7"/>
  <c r="AV20" i="7"/>
  <c r="AW20" i="7"/>
  <c r="AX20" i="7"/>
  <c r="AY20" i="7"/>
  <c r="AZ20" i="7"/>
  <c r="BA20" i="7"/>
  <c r="BB20" i="7"/>
  <c r="BC20" i="7"/>
  <c r="BD20" i="7"/>
  <c r="BE20" i="7"/>
  <c r="BF20" i="7"/>
  <c r="BG20" i="7"/>
  <c r="BH20" i="7"/>
  <c r="BI20" i="7"/>
  <c r="BJ20" i="7"/>
  <c r="BK20" i="7"/>
  <c r="BL20" i="7"/>
  <c r="BM20" i="7"/>
  <c r="BN20" i="7"/>
  <c r="BO20" i="7"/>
  <c r="BP20" i="7"/>
  <c r="BQ20" i="7"/>
  <c r="BR20" i="7"/>
  <c r="BS20" i="7"/>
  <c r="BT20" i="7"/>
  <c r="BU20" i="7"/>
  <c r="BV20" i="7"/>
  <c r="BW20" i="7"/>
  <c r="BX20" i="7"/>
  <c r="BY20" i="7"/>
  <c r="F21" i="7"/>
  <c r="H21" i="7"/>
  <c r="I21" i="7"/>
  <c r="J21" i="7"/>
  <c r="K21" i="7"/>
  <c r="L21" i="7"/>
  <c r="M21" i="7"/>
  <c r="N21" i="7"/>
  <c r="O21" i="7"/>
  <c r="P21" i="7"/>
  <c r="Q21" i="7"/>
  <c r="R21" i="7"/>
  <c r="S21" i="7"/>
  <c r="T21" i="7"/>
  <c r="U21" i="7"/>
  <c r="V21" i="7"/>
  <c r="W21" i="7"/>
  <c r="X21" i="7"/>
  <c r="Y21" i="7"/>
  <c r="Z21" i="7"/>
  <c r="AA21" i="7"/>
  <c r="AB21" i="7"/>
  <c r="AC21" i="7"/>
  <c r="AD21" i="7"/>
  <c r="AE21" i="7"/>
  <c r="AF21" i="7"/>
  <c r="AG21" i="7"/>
  <c r="AH21" i="7"/>
  <c r="AI21" i="7"/>
  <c r="AJ21" i="7"/>
  <c r="AK21" i="7"/>
  <c r="AL21" i="7"/>
  <c r="AM21" i="7"/>
  <c r="AN21" i="7"/>
  <c r="AO21" i="7"/>
  <c r="AP21" i="7"/>
  <c r="AQ21" i="7"/>
  <c r="AR21" i="7"/>
  <c r="AS21" i="7"/>
  <c r="AT21" i="7"/>
  <c r="AU21" i="7"/>
  <c r="AV21" i="7"/>
  <c r="AW21" i="7"/>
  <c r="AX21" i="7"/>
  <c r="AY21" i="7"/>
  <c r="AZ21" i="7"/>
  <c r="BA21" i="7"/>
  <c r="BB21" i="7"/>
  <c r="BC21" i="7"/>
  <c r="BD21" i="7"/>
  <c r="BE21" i="7"/>
  <c r="BF21" i="7"/>
  <c r="BG21" i="7"/>
  <c r="BH21" i="7"/>
  <c r="BI21" i="7"/>
  <c r="BJ21" i="7"/>
  <c r="BK21" i="7"/>
  <c r="BL21" i="7"/>
  <c r="BM21" i="7"/>
  <c r="BN21" i="7"/>
  <c r="BO21" i="7"/>
  <c r="BP21" i="7"/>
  <c r="BQ21" i="7"/>
  <c r="BR21" i="7"/>
  <c r="BS21" i="7"/>
  <c r="BT21" i="7"/>
  <c r="BU21" i="7"/>
  <c r="BV21" i="7"/>
  <c r="BW21" i="7"/>
  <c r="BX21" i="7"/>
  <c r="BY21" i="7"/>
  <c r="F22" i="7"/>
  <c r="H22" i="7"/>
  <c r="I22" i="7"/>
  <c r="J22" i="7"/>
  <c r="K22" i="7"/>
  <c r="L22" i="7"/>
  <c r="M22" i="7"/>
  <c r="N22" i="7"/>
  <c r="O22" i="7"/>
  <c r="P22" i="7"/>
  <c r="Q22" i="7"/>
  <c r="R22" i="7"/>
  <c r="S22" i="7"/>
  <c r="T22" i="7"/>
  <c r="U22" i="7"/>
  <c r="V22" i="7"/>
  <c r="W22" i="7"/>
  <c r="X22" i="7"/>
  <c r="Y22" i="7"/>
  <c r="Z22" i="7"/>
  <c r="AA22" i="7"/>
  <c r="AB22" i="7"/>
  <c r="AC22" i="7"/>
  <c r="AD22" i="7"/>
  <c r="AE22" i="7"/>
  <c r="AF22" i="7"/>
  <c r="AG22" i="7"/>
  <c r="AH22" i="7"/>
  <c r="AI22" i="7"/>
  <c r="AJ22" i="7"/>
  <c r="AK22" i="7"/>
  <c r="AL22" i="7"/>
  <c r="AM22" i="7"/>
  <c r="AN22" i="7"/>
  <c r="AO22" i="7"/>
  <c r="AP22" i="7"/>
  <c r="AQ22" i="7"/>
  <c r="AR22" i="7"/>
  <c r="AS22" i="7"/>
  <c r="AT22" i="7"/>
  <c r="AU22" i="7"/>
  <c r="AV22" i="7"/>
  <c r="AW22" i="7"/>
  <c r="AX22" i="7"/>
  <c r="AY22" i="7"/>
  <c r="AZ22" i="7"/>
  <c r="BA22" i="7"/>
  <c r="BB22" i="7"/>
  <c r="BC22" i="7"/>
  <c r="BD22" i="7"/>
  <c r="BE22" i="7"/>
  <c r="BF22" i="7"/>
  <c r="BG22" i="7"/>
  <c r="BH22" i="7"/>
  <c r="BI22" i="7"/>
  <c r="BJ22" i="7"/>
  <c r="BK22" i="7"/>
  <c r="BL22" i="7"/>
  <c r="BM22" i="7"/>
  <c r="BN22" i="7"/>
  <c r="BO22" i="7"/>
  <c r="BP22" i="7"/>
  <c r="BQ22" i="7"/>
  <c r="BR22" i="7"/>
  <c r="BS22" i="7"/>
  <c r="BT22" i="7"/>
  <c r="BU22" i="7"/>
  <c r="BV22" i="7"/>
  <c r="BW22" i="7"/>
  <c r="BX22" i="7"/>
  <c r="BY22" i="7"/>
  <c r="F25" i="7"/>
  <c r="H25" i="7"/>
  <c r="I25" i="7"/>
  <c r="J25" i="7"/>
  <c r="K25" i="7"/>
  <c r="L25" i="7"/>
  <c r="M25" i="7"/>
  <c r="N25" i="7"/>
  <c r="O25" i="7"/>
  <c r="P25" i="7"/>
  <c r="Q25" i="7"/>
  <c r="R25" i="7"/>
  <c r="S25" i="7"/>
  <c r="T25" i="7"/>
  <c r="U25" i="7"/>
  <c r="V25" i="7"/>
  <c r="W25" i="7"/>
  <c r="X25" i="7"/>
  <c r="Y25" i="7"/>
  <c r="Z25" i="7"/>
  <c r="AA25" i="7"/>
  <c r="AB25" i="7"/>
  <c r="AC25" i="7"/>
  <c r="AD25" i="7"/>
  <c r="AE25" i="7"/>
  <c r="AF25" i="7"/>
  <c r="AG25" i="7"/>
  <c r="AH25" i="7"/>
  <c r="AI25" i="7"/>
  <c r="AJ25" i="7"/>
  <c r="AK25" i="7"/>
  <c r="AL25" i="7"/>
  <c r="AM25" i="7"/>
  <c r="AN25" i="7"/>
  <c r="AO25" i="7"/>
  <c r="AP25" i="7"/>
  <c r="AQ25" i="7"/>
  <c r="AR25" i="7"/>
  <c r="AS25" i="7"/>
  <c r="AT25" i="7"/>
  <c r="AU25" i="7"/>
  <c r="AV25" i="7"/>
  <c r="AW25" i="7"/>
  <c r="AX25" i="7"/>
  <c r="AY25" i="7"/>
  <c r="AZ25" i="7"/>
  <c r="BA25" i="7"/>
  <c r="BB25" i="7"/>
  <c r="BC25" i="7"/>
  <c r="BD25" i="7"/>
  <c r="BE25" i="7"/>
  <c r="BF25" i="7"/>
  <c r="BG25" i="7"/>
  <c r="BH25" i="7"/>
  <c r="BI25" i="7"/>
  <c r="BJ25" i="7"/>
  <c r="BK25" i="7"/>
  <c r="BL25" i="7"/>
  <c r="BM25" i="7"/>
  <c r="BN25" i="7"/>
  <c r="BO25" i="7"/>
  <c r="BP25" i="7"/>
  <c r="BQ25" i="7"/>
  <c r="BR25" i="7"/>
  <c r="BS25" i="7"/>
  <c r="BT25" i="7"/>
  <c r="BU25" i="7"/>
  <c r="BV25" i="7"/>
  <c r="BW25" i="7"/>
  <c r="BX25" i="7"/>
  <c r="BY25" i="7"/>
  <c r="F26" i="7"/>
  <c r="H26" i="7"/>
  <c r="I26" i="7"/>
  <c r="J26" i="7"/>
  <c r="K26" i="7"/>
  <c r="L26" i="7"/>
  <c r="M26" i="7"/>
  <c r="N26" i="7"/>
  <c r="O26" i="7"/>
  <c r="P26" i="7"/>
  <c r="Q26" i="7"/>
  <c r="R26" i="7"/>
  <c r="S26" i="7"/>
  <c r="T26" i="7"/>
  <c r="U26" i="7"/>
  <c r="V26" i="7"/>
  <c r="W26" i="7"/>
  <c r="X26" i="7"/>
  <c r="Y26" i="7"/>
  <c r="Z26" i="7"/>
  <c r="AA26" i="7"/>
  <c r="AB26" i="7"/>
  <c r="AC26" i="7"/>
  <c r="AD26" i="7"/>
  <c r="AE26" i="7"/>
  <c r="AF26" i="7"/>
  <c r="AG26" i="7"/>
  <c r="AH26" i="7"/>
  <c r="AI26" i="7"/>
  <c r="AJ26" i="7"/>
  <c r="AK26" i="7"/>
  <c r="AL26" i="7"/>
  <c r="AM26" i="7"/>
  <c r="AN26" i="7"/>
  <c r="AO26" i="7"/>
  <c r="AP26" i="7"/>
  <c r="AQ26" i="7"/>
  <c r="AR26" i="7"/>
  <c r="AS26" i="7"/>
  <c r="AT26" i="7"/>
  <c r="AU26" i="7"/>
  <c r="AV26" i="7"/>
  <c r="AW26" i="7"/>
  <c r="AX26" i="7"/>
  <c r="AY26" i="7"/>
  <c r="AZ26" i="7"/>
  <c r="BA26" i="7"/>
  <c r="BB26" i="7"/>
  <c r="BC26" i="7"/>
  <c r="BD26" i="7"/>
  <c r="BE26" i="7"/>
  <c r="BF26" i="7"/>
  <c r="BG26" i="7"/>
  <c r="BH26" i="7"/>
  <c r="BI26" i="7"/>
  <c r="BJ26" i="7"/>
  <c r="BK26" i="7"/>
  <c r="BL26" i="7"/>
  <c r="BM26" i="7"/>
  <c r="BN26" i="7"/>
  <c r="BO26" i="7"/>
  <c r="BP26" i="7"/>
  <c r="BQ26" i="7"/>
  <c r="BR26" i="7"/>
  <c r="BS26" i="7"/>
  <c r="BT26" i="7"/>
  <c r="BU26" i="7"/>
  <c r="BV26" i="7"/>
  <c r="BW26" i="7"/>
  <c r="BX26" i="7"/>
  <c r="BY26" i="7"/>
  <c r="F28" i="7"/>
  <c r="H28" i="7"/>
  <c r="I28" i="7"/>
  <c r="J28" i="7"/>
  <c r="K28" i="7"/>
  <c r="L28" i="7"/>
  <c r="M28" i="7"/>
  <c r="N28" i="7"/>
  <c r="O28" i="7"/>
  <c r="P28" i="7"/>
  <c r="Q28" i="7"/>
  <c r="R28" i="7"/>
  <c r="S28" i="7"/>
  <c r="T28" i="7"/>
  <c r="U28" i="7"/>
  <c r="V28" i="7"/>
  <c r="W28" i="7"/>
  <c r="X28" i="7"/>
  <c r="Y28" i="7"/>
  <c r="Z28" i="7"/>
  <c r="AA28" i="7"/>
  <c r="AB28" i="7"/>
  <c r="AC28" i="7"/>
  <c r="AD28" i="7"/>
  <c r="AE28" i="7"/>
  <c r="AF28" i="7"/>
  <c r="AG28" i="7"/>
  <c r="AH28" i="7"/>
  <c r="AI28" i="7"/>
  <c r="AJ28" i="7"/>
  <c r="AK28" i="7"/>
  <c r="AL28" i="7"/>
  <c r="AM28" i="7"/>
  <c r="AN28" i="7"/>
  <c r="AO28" i="7"/>
  <c r="AP28" i="7"/>
  <c r="AQ28" i="7"/>
  <c r="AR28" i="7"/>
  <c r="AS28" i="7"/>
  <c r="AT28" i="7"/>
  <c r="AU28" i="7"/>
  <c r="AV28" i="7"/>
  <c r="AW28" i="7"/>
  <c r="AX28" i="7"/>
  <c r="AY28" i="7"/>
  <c r="AZ28" i="7"/>
  <c r="BA28" i="7"/>
  <c r="BB28" i="7"/>
  <c r="BC28" i="7"/>
  <c r="BD28" i="7"/>
  <c r="BE28" i="7"/>
  <c r="BF28" i="7"/>
  <c r="BG28" i="7"/>
  <c r="BH28" i="7"/>
  <c r="BI28" i="7"/>
  <c r="BJ28" i="7"/>
  <c r="BK28" i="7"/>
  <c r="BL28" i="7"/>
  <c r="BM28" i="7"/>
  <c r="BN28" i="7"/>
  <c r="BO28" i="7"/>
  <c r="BP28" i="7"/>
  <c r="BQ28" i="7"/>
  <c r="BR28" i="7"/>
  <c r="BS28" i="7"/>
  <c r="BT28" i="7"/>
  <c r="BU28" i="7"/>
  <c r="BV28" i="7"/>
  <c r="BW28" i="7"/>
  <c r="BX28" i="7"/>
  <c r="BY28" i="7"/>
  <c r="F29" i="7"/>
  <c r="H29" i="7"/>
  <c r="I29" i="7"/>
  <c r="J29" i="7"/>
  <c r="K29" i="7"/>
  <c r="L29" i="7"/>
  <c r="M29" i="7"/>
  <c r="N29" i="7"/>
  <c r="O29" i="7"/>
  <c r="P29" i="7"/>
  <c r="Q29" i="7"/>
  <c r="R29" i="7"/>
  <c r="S29" i="7"/>
  <c r="T29" i="7"/>
  <c r="U29" i="7"/>
  <c r="V29" i="7"/>
  <c r="W29" i="7"/>
  <c r="X29" i="7"/>
  <c r="Y29" i="7"/>
  <c r="Z29" i="7"/>
  <c r="AA29" i="7"/>
  <c r="AB29" i="7"/>
  <c r="AC29" i="7"/>
  <c r="AD29" i="7"/>
  <c r="AE29" i="7"/>
  <c r="AF29" i="7"/>
  <c r="AG29" i="7"/>
  <c r="AH29" i="7"/>
  <c r="AI29" i="7"/>
  <c r="AJ29" i="7"/>
  <c r="AK29" i="7"/>
  <c r="AL29" i="7"/>
  <c r="AM29" i="7"/>
  <c r="AN29" i="7"/>
  <c r="AO29" i="7"/>
  <c r="AP29" i="7"/>
  <c r="AQ29" i="7"/>
  <c r="AR29" i="7"/>
  <c r="AS29" i="7"/>
  <c r="AT29" i="7"/>
  <c r="AU29" i="7"/>
  <c r="AV29" i="7"/>
  <c r="AW29" i="7"/>
  <c r="AX29" i="7"/>
  <c r="AY29" i="7"/>
  <c r="AZ29" i="7"/>
  <c r="BA29" i="7"/>
  <c r="BB29" i="7"/>
  <c r="BC29" i="7"/>
  <c r="BD29" i="7"/>
  <c r="BE29" i="7"/>
  <c r="BF29" i="7"/>
  <c r="BG29" i="7"/>
  <c r="BH29" i="7"/>
  <c r="BI29" i="7"/>
  <c r="BJ29" i="7"/>
  <c r="BK29" i="7"/>
  <c r="BL29" i="7"/>
  <c r="BM29" i="7"/>
  <c r="BN29" i="7"/>
  <c r="BO29" i="7"/>
  <c r="BP29" i="7"/>
  <c r="BQ29" i="7"/>
  <c r="BR29" i="7"/>
  <c r="BS29" i="7"/>
  <c r="BT29" i="7"/>
  <c r="BU29" i="7"/>
  <c r="BV29" i="7"/>
  <c r="BW29" i="7"/>
  <c r="BX29" i="7"/>
  <c r="BY29" i="7"/>
  <c r="F36" i="7"/>
  <c r="H36" i="7"/>
  <c r="I36" i="7"/>
  <c r="J36" i="7"/>
  <c r="K36" i="7"/>
  <c r="L36" i="7"/>
  <c r="M36" i="7"/>
  <c r="N36" i="7"/>
  <c r="O36" i="7"/>
  <c r="P36" i="7"/>
  <c r="Q36" i="7"/>
  <c r="R36" i="7"/>
  <c r="S36" i="7"/>
  <c r="T36" i="7"/>
  <c r="U36" i="7"/>
  <c r="V36" i="7"/>
  <c r="W36" i="7"/>
  <c r="X36" i="7"/>
  <c r="Y36" i="7"/>
  <c r="Z36" i="7"/>
  <c r="AA36" i="7"/>
  <c r="AB36" i="7"/>
  <c r="AC36" i="7"/>
  <c r="AD36" i="7"/>
  <c r="AE36" i="7"/>
  <c r="AF36" i="7"/>
  <c r="AG36" i="7"/>
  <c r="AH36" i="7"/>
  <c r="AI36" i="7"/>
  <c r="AJ36" i="7"/>
  <c r="AK36" i="7"/>
  <c r="AL36" i="7"/>
  <c r="AM36" i="7"/>
  <c r="AN36" i="7"/>
  <c r="AO36" i="7"/>
  <c r="AP36" i="7"/>
  <c r="AQ36" i="7"/>
  <c r="AR36" i="7"/>
  <c r="AS36" i="7"/>
  <c r="AT36" i="7"/>
  <c r="AU36" i="7"/>
  <c r="AV36" i="7"/>
  <c r="AW36" i="7"/>
  <c r="AX36" i="7"/>
  <c r="AY36" i="7"/>
  <c r="AZ36" i="7"/>
  <c r="BA36" i="7"/>
  <c r="BB36" i="7"/>
  <c r="BC36" i="7"/>
  <c r="BD36" i="7"/>
  <c r="BE36" i="7"/>
  <c r="BF36" i="7"/>
  <c r="BG36" i="7"/>
  <c r="BH36" i="7"/>
  <c r="BI36" i="7"/>
  <c r="BJ36" i="7"/>
  <c r="BK36" i="7"/>
  <c r="BL36" i="7"/>
  <c r="BM36" i="7"/>
  <c r="BN36" i="7"/>
  <c r="BO36" i="7"/>
  <c r="BP36" i="7"/>
  <c r="BQ36" i="7"/>
  <c r="BR36" i="7"/>
  <c r="BS36" i="7"/>
  <c r="BT36" i="7"/>
  <c r="BU36" i="7"/>
  <c r="BV36" i="7"/>
  <c r="BW36" i="7"/>
  <c r="BX36" i="7"/>
  <c r="BY36" i="7"/>
  <c r="F37" i="7"/>
  <c r="H37" i="7"/>
  <c r="I37" i="7"/>
  <c r="J37" i="7"/>
  <c r="K37" i="7"/>
  <c r="L37" i="7"/>
  <c r="M37" i="7"/>
  <c r="N37" i="7"/>
  <c r="O37" i="7"/>
  <c r="P37" i="7"/>
  <c r="Q37" i="7"/>
  <c r="R37" i="7"/>
  <c r="S37" i="7"/>
  <c r="T37" i="7"/>
  <c r="U37" i="7"/>
  <c r="V37" i="7"/>
  <c r="W37" i="7"/>
  <c r="X37" i="7"/>
  <c r="Y37" i="7"/>
  <c r="Z37" i="7"/>
  <c r="AA37" i="7"/>
  <c r="AB37" i="7"/>
  <c r="AC37" i="7"/>
  <c r="AD37" i="7"/>
  <c r="AE37" i="7"/>
  <c r="AF37" i="7"/>
  <c r="AG37" i="7"/>
  <c r="AH37" i="7"/>
  <c r="AI37" i="7"/>
  <c r="AJ37" i="7"/>
  <c r="AK37" i="7"/>
  <c r="AL37" i="7"/>
  <c r="AM37" i="7"/>
  <c r="AN37" i="7"/>
  <c r="AO37" i="7"/>
  <c r="AP37" i="7"/>
  <c r="AQ37" i="7"/>
  <c r="AR37" i="7"/>
  <c r="AS37" i="7"/>
  <c r="AT37" i="7"/>
  <c r="AU37" i="7"/>
  <c r="AV37" i="7"/>
  <c r="AW37" i="7"/>
  <c r="AX37" i="7"/>
  <c r="AY37" i="7"/>
  <c r="AZ37" i="7"/>
  <c r="BA37" i="7"/>
  <c r="BB37" i="7"/>
  <c r="BC37" i="7"/>
  <c r="BD37" i="7"/>
  <c r="BE37" i="7"/>
  <c r="BF37" i="7"/>
  <c r="BG37" i="7"/>
  <c r="BH37" i="7"/>
  <c r="BI37" i="7"/>
  <c r="BJ37" i="7"/>
  <c r="BK37" i="7"/>
  <c r="BL37" i="7"/>
  <c r="BM37" i="7"/>
  <c r="BN37" i="7"/>
  <c r="BO37" i="7"/>
  <c r="BP37" i="7"/>
  <c r="BQ37" i="7"/>
  <c r="BR37" i="7"/>
  <c r="BS37" i="7"/>
  <c r="BT37" i="7"/>
  <c r="BU37" i="7"/>
  <c r="BV37" i="7"/>
  <c r="BW37" i="7"/>
  <c r="BX37" i="7"/>
  <c r="BY37" i="7"/>
  <c r="F40" i="7"/>
  <c r="N40" i="7"/>
  <c r="T40" i="7"/>
  <c r="Z40" i="7"/>
  <c r="AF40" i="7"/>
  <c r="AL40" i="7"/>
  <c r="AR40" i="7"/>
  <c r="AX40" i="7"/>
  <c r="BD40" i="7"/>
  <c r="BJ40" i="7"/>
  <c r="BP40" i="7"/>
  <c r="F41" i="7"/>
  <c r="N41" i="7"/>
  <c r="T41" i="7"/>
  <c r="Z41" i="7"/>
  <c r="AF41" i="7"/>
  <c r="AL41" i="7"/>
  <c r="AR41" i="7"/>
  <c r="AX41" i="7"/>
  <c r="BD41" i="7"/>
  <c r="BJ41" i="7"/>
  <c r="BP41" i="7"/>
  <c r="F43" i="7"/>
  <c r="H43" i="7"/>
  <c r="I43" i="7"/>
  <c r="J43" i="7"/>
  <c r="K43" i="7"/>
  <c r="L43" i="7"/>
  <c r="M43" i="7"/>
  <c r="N43" i="7"/>
  <c r="O43" i="7"/>
  <c r="P43" i="7"/>
  <c r="Q43" i="7"/>
  <c r="R43" i="7"/>
  <c r="S43" i="7"/>
  <c r="T43" i="7"/>
  <c r="U43" i="7"/>
  <c r="V43" i="7"/>
  <c r="W43" i="7"/>
  <c r="X43" i="7"/>
  <c r="Y43" i="7"/>
  <c r="Z43" i="7"/>
  <c r="AA43" i="7"/>
  <c r="AB43" i="7"/>
  <c r="AC43" i="7"/>
  <c r="AD43" i="7"/>
  <c r="AE43" i="7"/>
  <c r="AF43" i="7"/>
  <c r="AG43" i="7"/>
  <c r="AH43" i="7"/>
  <c r="AI43" i="7"/>
  <c r="AJ43" i="7"/>
  <c r="AK43" i="7"/>
  <c r="AL43" i="7"/>
  <c r="AM43" i="7"/>
  <c r="AN43" i="7"/>
  <c r="AO43" i="7"/>
  <c r="AP43" i="7"/>
  <c r="AQ43" i="7"/>
  <c r="AR43" i="7"/>
  <c r="AS43" i="7"/>
  <c r="AT43" i="7"/>
  <c r="AU43" i="7"/>
  <c r="AV43" i="7"/>
  <c r="AW43" i="7"/>
  <c r="AX43" i="7"/>
  <c r="AY43" i="7"/>
  <c r="AZ43" i="7"/>
  <c r="BA43" i="7"/>
  <c r="BB43" i="7"/>
  <c r="BC43" i="7"/>
  <c r="BD43" i="7"/>
  <c r="BE43" i="7"/>
  <c r="BF43" i="7"/>
  <c r="BG43" i="7"/>
  <c r="BH43" i="7"/>
  <c r="BI43" i="7"/>
  <c r="BJ43" i="7"/>
  <c r="BK43" i="7"/>
  <c r="BL43" i="7"/>
  <c r="BM43" i="7"/>
  <c r="BN43" i="7"/>
  <c r="BO43" i="7"/>
  <c r="BP43" i="7"/>
  <c r="BQ43" i="7"/>
  <c r="BR43" i="7"/>
  <c r="BS43" i="7"/>
  <c r="BT43" i="7"/>
  <c r="BU43" i="7"/>
  <c r="BV43" i="7"/>
  <c r="BW43" i="7"/>
  <c r="BX43" i="7"/>
  <c r="BY43" i="7"/>
  <c r="F44" i="7"/>
  <c r="H44" i="7"/>
  <c r="I44" i="7"/>
  <c r="J44" i="7"/>
  <c r="K44" i="7"/>
  <c r="L44" i="7"/>
  <c r="M44" i="7"/>
  <c r="N44" i="7"/>
  <c r="O44" i="7"/>
  <c r="P44" i="7"/>
  <c r="Q44" i="7"/>
  <c r="R44" i="7"/>
  <c r="S44" i="7"/>
  <c r="T44" i="7"/>
  <c r="U44" i="7"/>
  <c r="V44" i="7"/>
  <c r="W44" i="7"/>
  <c r="X44" i="7"/>
  <c r="Y44" i="7"/>
  <c r="Z44" i="7"/>
  <c r="AA44" i="7"/>
  <c r="AB44" i="7"/>
  <c r="AC44" i="7"/>
  <c r="AD44" i="7"/>
  <c r="AE44" i="7"/>
  <c r="AF44" i="7"/>
  <c r="AG44" i="7"/>
  <c r="AH44" i="7"/>
  <c r="AI44" i="7"/>
  <c r="AJ44" i="7"/>
  <c r="AK44" i="7"/>
  <c r="AL44" i="7"/>
  <c r="AM44" i="7"/>
  <c r="AN44" i="7"/>
  <c r="AO44" i="7"/>
  <c r="AP44" i="7"/>
  <c r="AQ44" i="7"/>
  <c r="AR44" i="7"/>
  <c r="AS44" i="7"/>
  <c r="AT44" i="7"/>
  <c r="AU44" i="7"/>
  <c r="AV44" i="7"/>
  <c r="AW44" i="7"/>
  <c r="AX44" i="7"/>
  <c r="AY44" i="7"/>
  <c r="AZ44" i="7"/>
  <c r="BA44" i="7"/>
  <c r="BB44" i="7"/>
  <c r="BC44" i="7"/>
  <c r="BD44" i="7"/>
  <c r="BE44" i="7"/>
  <c r="BF44" i="7"/>
  <c r="BG44" i="7"/>
  <c r="BH44" i="7"/>
  <c r="BI44" i="7"/>
  <c r="BJ44" i="7"/>
  <c r="BK44" i="7"/>
  <c r="BL44" i="7"/>
  <c r="BM44" i="7"/>
  <c r="BN44" i="7"/>
  <c r="BO44" i="7"/>
  <c r="BP44" i="7"/>
  <c r="BQ44" i="7"/>
  <c r="BR44" i="7"/>
  <c r="BS44" i="7"/>
  <c r="BT44" i="7"/>
  <c r="BU44" i="7"/>
  <c r="BV44" i="7"/>
  <c r="BW44" i="7"/>
  <c r="BX44" i="7"/>
  <c r="BY44" i="7"/>
  <c r="F46" i="7"/>
  <c r="H46" i="7"/>
  <c r="I46" i="7"/>
  <c r="J46" i="7"/>
  <c r="K46" i="7"/>
  <c r="L46" i="7"/>
  <c r="M46" i="7"/>
  <c r="N46" i="7"/>
  <c r="O46" i="7"/>
  <c r="P46" i="7"/>
  <c r="Q46" i="7"/>
  <c r="R46" i="7"/>
  <c r="S46" i="7"/>
  <c r="T46" i="7"/>
  <c r="U46" i="7"/>
  <c r="V46" i="7"/>
  <c r="W46" i="7"/>
  <c r="X46" i="7"/>
  <c r="Y46" i="7"/>
  <c r="Z46" i="7"/>
  <c r="AA46" i="7"/>
  <c r="AB46" i="7"/>
  <c r="AC46" i="7"/>
  <c r="AD46" i="7"/>
  <c r="AE46" i="7"/>
  <c r="AF46" i="7"/>
  <c r="AG46" i="7"/>
  <c r="AH46" i="7"/>
  <c r="AI46" i="7"/>
  <c r="AJ46" i="7"/>
  <c r="AK46" i="7"/>
  <c r="AL46" i="7"/>
  <c r="AM46" i="7"/>
  <c r="AN46" i="7"/>
  <c r="AO46" i="7"/>
  <c r="AP46" i="7"/>
  <c r="AQ46" i="7"/>
  <c r="AR46" i="7"/>
  <c r="AS46" i="7"/>
  <c r="AT46" i="7"/>
  <c r="AU46" i="7"/>
  <c r="AV46" i="7"/>
  <c r="AW46" i="7"/>
  <c r="AX46" i="7"/>
  <c r="AY46" i="7"/>
  <c r="AZ46" i="7"/>
  <c r="BA46" i="7"/>
  <c r="BB46" i="7"/>
  <c r="BC46" i="7"/>
  <c r="BD46" i="7"/>
  <c r="BE46" i="7"/>
  <c r="BF46" i="7"/>
  <c r="BG46" i="7"/>
  <c r="BH46" i="7"/>
  <c r="BI46" i="7"/>
  <c r="BJ46" i="7"/>
  <c r="BK46" i="7"/>
  <c r="BL46" i="7"/>
  <c r="BM46" i="7"/>
  <c r="BN46" i="7"/>
  <c r="BO46" i="7"/>
  <c r="BP46" i="7"/>
  <c r="BQ46" i="7"/>
  <c r="BR46" i="7"/>
  <c r="BS46" i="7"/>
  <c r="BT46" i="7"/>
  <c r="BU46" i="7"/>
  <c r="BV46" i="7"/>
  <c r="BW46" i="7"/>
  <c r="BX46" i="7"/>
  <c r="BY46" i="7"/>
  <c r="F48" i="7"/>
  <c r="N48" i="7"/>
  <c r="T48" i="7"/>
  <c r="Z48" i="7"/>
  <c r="AF48" i="7"/>
  <c r="AL48" i="7"/>
  <c r="AR48" i="7"/>
  <c r="AX48" i="7"/>
  <c r="BD48" i="7"/>
  <c r="BJ48" i="7"/>
  <c r="BP48" i="7"/>
  <c r="F49" i="7"/>
  <c r="N49" i="7"/>
  <c r="T49" i="7"/>
  <c r="Z49" i="7"/>
  <c r="AF49" i="7"/>
  <c r="AL49" i="7"/>
  <c r="AR49" i="7"/>
  <c r="AX49" i="7"/>
  <c r="BD49" i="7"/>
  <c r="BJ49" i="7"/>
  <c r="BP49" i="7"/>
  <c r="F51" i="7"/>
  <c r="N51" i="7"/>
  <c r="T51" i="7"/>
  <c r="Z51" i="7"/>
  <c r="AF51" i="7"/>
  <c r="AL51" i="7"/>
  <c r="AR51" i="7"/>
  <c r="AX51" i="7"/>
  <c r="BD51" i="7"/>
  <c r="BJ51" i="7"/>
  <c r="BP51" i="7"/>
  <c r="F52" i="7"/>
  <c r="N52" i="7"/>
  <c r="T52" i="7"/>
  <c r="Z52" i="7"/>
  <c r="AF52" i="7"/>
  <c r="AL52" i="7"/>
  <c r="AR52" i="7"/>
  <c r="AX52" i="7"/>
  <c r="BD52" i="7"/>
  <c r="BJ52" i="7"/>
  <c r="BP52" i="7"/>
  <c r="F53" i="7"/>
  <c r="H53" i="7"/>
  <c r="I53" i="7"/>
  <c r="J53" i="7"/>
  <c r="K53" i="7"/>
  <c r="L53" i="7"/>
  <c r="M53" i="7"/>
  <c r="N53" i="7"/>
  <c r="O53" i="7"/>
  <c r="P53" i="7"/>
  <c r="Q53" i="7"/>
  <c r="R53" i="7"/>
  <c r="S53" i="7"/>
  <c r="T53" i="7"/>
  <c r="U53" i="7"/>
  <c r="V53" i="7"/>
  <c r="W53" i="7"/>
  <c r="X53" i="7"/>
  <c r="Y53" i="7"/>
  <c r="Z53" i="7"/>
  <c r="AA53" i="7"/>
  <c r="AB53" i="7"/>
  <c r="AC53" i="7"/>
  <c r="AD53" i="7"/>
  <c r="AE53" i="7"/>
  <c r="AF53" i="7"/>
  <c r="AG53" i="7"/>
  <c r="AH53" i="7"/>
  <c r="AI53" i="7"/>
  <c r="AJ53" i="7"/>
  <c r="AK53" i="7"/>
  <c r="AL53" i="7"/>
  <c r="AM53" i="7"/>
  <c r="AN53" i="7"/>
  <c r="AO53" i="7"/>
  <c r="AP53" i="7"/>
  <c r="AQ53" i="7"/>
  <c r="AR53" i="7"/>
  <c r="AS53" i="7"/>
  <c r="AT53" i="7"/>
  <c r="AU53" i="7"/>
  <c r="AV53" i="7"/>
  <c r="AW53" i="7"/>
  <c r="AX53" i="7"/>
  <c r="AY53" i="7"/>
  <c r="AZ53" i="7"/>
  <c r="BA53" i="7"/>
  <c r="BB53" i="7"/>
  <c r="BC53" i="7"/>
  <c r="BD53" i="7"/>
  <c r="BE53" i="7"/>
  <c r="BF53" i="7"/>
  <c r="BG53" i="7"/>
  <c r="BH53" i="7"/>
  <c r="BI53" i="7"/>
  <c r="BJ53" i="7"/>
  <c r="BK53" i="7"/>
  <c r="BL53" i="7"/>
  <c r="BM53" i="7"/>
  <c r="BN53" i="7"/>
  <c r="BO53" i="7"/>
  <c r="BP53" i="7"/>
  <c r="BQ53" i="7"/>
  <c r="BR53" i="7"/>
  <c r="BS53" i="7"/>
  <c r="BT53" i="7"/>
  <c r="BU53" i="7"/>
  <c r="BV53" i="7"/>
  <c r="BW53" i="7"/>
  <c r="BX53" i="7"/>
  <c r="BY53" i="7"/>
  <c r="F55" i="7"/>
  <c r="H55" i="7"/>
  <c r="I55" i="7"/>
  <c r="J55" i="7"/>
  <c r="K55" i="7"/>
  <c r="L55" i="7"/>
  <c r="M55" i="7"/>
  <c r="N55" i="7"/>
  <c r="O55" i="7"/>
  <c r="P55" i="7"/>
  <c r="Q55" i="7"/>
  <c r="R55" i="7"/>
  <c r="S55" i="7"/>
  <c r="T55" i="7"/>
  <c r="U55" i="7"/>
  <c r="V55" i="7"/>
  <c r="W55" i="7"/>
  <c r="X55" i="7"/>
  <c r="Y55" i="7"/>
  <c r="Z55" i="7"/>
  <c r="AA55" i="7"/>
  <c r="AB55" i="7"/>
  <c r="AC55" i="7"/>
  <c r="AD55" i="7"/>
  <c r="AE55" i="7"/>
  <c r="AF55" i="7"/>
  <c r="AG55" i="7"/>
  <c r="AH55" i="7"/>
  <c r="AI55" i="7"/>
  <c r="AJ55" i="7"/>
  <c r="AK55" i="7"/>
  <c r="AL55" i="7"/>
  <c r="AM55" i="7"/>
  <c r="AN55" i="7"/>
  <c r="AO55" i="7"/>
  <c r="AP55" i="7"/>
  <c r="AQ55" i="7"/>
  <c r="AR55" i="7"/>
  <c r="AS55" i="7"/>
  <c r="AT55" i="7"/>
  <c r="AU55" i="7"/>
  <c r="AV55" i="7"/>
  <c r="AW55" i="7"/>
  <c r="AX55" i="7"/>
  <c r="AY55" i="7"/>
  <c r="AZ55" i="7"/>
  <c r="BA55" i="7"/>
  <c r="BB55" i="7"/>
  <c r="BC55" i="7"/>
  <c r="BD55" i="7"/>
  <c r="BE55" i="7"/>
  <c r="BF55" i="7"/>
  <c r="BG55" i="7"/>
  <c r="BH55" i="7"/>
  <c r="BI55" i="7"/>
  <c r="BJ55" i="7"/>
  <c r="BK55" i="7"/>
  <c r="BL55" i="7"/>
  <c r="BM55" i="7"/>
  <c r="BN55" i="7"/>
  <c r="BO55" i="7"/>
  <c r="BP55" i="7"/>
  <c r="BQ55" i="7"/>
  <c r="BR55" i="7"/>
  <c r="BS55" i="7"/>
  <c r="BT55" i="7"/>
  <c r="BU55" i="7"/>
  <c r="BV55" i="7"/>
  <c r="BW55" i="7"/>
  <c r="BX55" i="7"/>
  <c r="BY55" i="7"/>
  <c r="I56" i="7"/>
  <c r="J56" i="7"/>
  <c r="K56" i="7"/>
  <c r="L56" i="7"/>
  <c r="M56" i="7"/>
  <c r="N56" i="7"/>
  <c r="O56" i="7"/>
  <c r="P56" i="7"/>
  <c r="Q56" i="7"/>
  <c r="R56" i="7"/>
  <c r="S56" i="7"/>
  <c r="T56" i="7"/>
  <c r="U56" i="7"/>
  <c r="V56" i="7"/>
  <c r="W56" i="7"/>
  <c r="X56" i="7"/>
  <c r="Y56" i="7"/>
  <c r="Z56" i="7"/>
  <c r="AA56" i="7"/>
  <c r="AB56" i="7"/>
  <c r="AC56" i="7"/>
  <c r="AD56" i="7"/>
  <c r="AE56" i="7"/>
  <c r="AF56" i="7"/>
  <c r="AG56" i="7"/>
  <c r="AH56" i="7"/>
  <c r="AI56" i="7"/>
  <c r="AJ56" i="7"/>
  <c r="AK56" i="7"/>
  <c r="AL56" i="7"/>
  <c r="AM56" i="7"/>
  <c r="AN56" i="7"/>
  <c r="AO56" i="7"/>
  <c r="AP56" i="7"/>
  <c r="AQ56" i="7"/>
  <c r="AR56" i="7"/>
  <c r="AS56" i="7"/>
  <c r="AT56" i="7"/>
  <c r="AU56" i="7"/>
  <c r="AV56" i="7"/>
  <c r="AW56" i="7"/>
  <c r="AX56" i="7"/>
  <c r="AY56" i="7"/>
  <c r="AZ56" i="7"/>
  <c r="BA56" i="7"/>
  <c r="BB56" i="7"/>
  <c r="BC56" i="7"/>
  <c r="BD56" i="7"/>
  <c r="BE56" i="7"/>
  <c r="BF56" i="7"/>
  <c r="BG56" i="7"/>
  <c r="BH56" i="7"/>
  <c r="BI56" i="7"/>
  <c r="BJ56" i="7"/>
  <c r="BK56" i="7"/>
  <c r="BL56" i="7"/>
  <c r="BM56" i="7"/>
  <c r="BN56" i="7"/>
  <c r="BO56" i="7"/>
  <c r="BP56" i="7"/>
  <c r="BQ56" i="7"/>
  <c r="BR56" i="7"/>
  <c r="BS56" i="7"/>
  <c r="BT56" i="7"/>
  <c r="BU56" i="7"/>
  <c r="BV56" i="7"/>
  <c r="BW56" i="7"/>
  <c r="BX56" i="7"/>
  <c r="BY56" i="7"/>
  <c r="F57" i="7"/>
  <c r="H57" i="7"/>
  <c r="I57" i="7"/>
  <c r="J57" i="7"/>
  <c r="K57" i="7"/>
  <c r="L57" i="7"/>
  <c r="M57" i="7"/>
  <c r="N57" i="7"/>
  <c r="O57" i="7"/>
  <c r="P57" i="7"/>
  <c r="Q57" i="7"/>
  <c r="R57" i="7"/>
  <c r="S57" i="7"/>
  <c r="T57" i="7"/>
  <c r="U57" i="7"/>
  <c r="V57" i="7"/>
  <c r="W57" i="7"/>
  <c r="X57" i="7"/>
  <c r="Y57" i="7"/>
  <c r="Z57" i="7"/>
  <c r="AA57" i="7"/>
  <c r="AB57" i="7"/>
  <c r="AC57" i="7"/>
  <c r="AD57" i="7"/>
  <c r="AE57" i="7"/>
  <c r="AF57" i="7"/>
  <c r="AG57" i="7"/>
  <c r="AH57" i="7"/>
  <c r="AI57" i="7"/>
  <c r="AJ57" i="7"/>
  <c r="AK57" i="7"/>
  <c r="AL57" i="7"/>
  <c r="AM57" i="7"/>
  <c r="AN57" i="7"/>
  <c r="AO57" i="7"/>
  <c r="AP57" i="7"/>
  <c r="AQ57" i="7"/>
  <c r="AR57" i="7"/>
  <c r="AS57" i="7"/>
  <c r="AT57" i="7"/>
  <c r="AU57" i="7"/>
  <c r="AV57" i="7"/>
  <c r="AW57" i="7"/>
  <c r="AX57" i="7"/>
  <c r="AY57" i="7"/>
  <c r="AZ57" i="7"/>
  <c r="BA57" i="7"/>
  <c r="BB57" i="7"/>
  <c r="BC57" i="7"/>
  <c r="BD57" i="7"/>
  <c r="BE57" i="7"/>
  <c r="BF57" i="7"/>
  <c r="BG57" i="7"/>
  <c r="BH57" i="7"/>
  <c r="BI57" i="7"/>
  <c r="BJ57" i="7"/>
  <c r="BK57" i="7"/>
  <c r="BL57" i="7"/>
  <c r="BM57" i="7"/>
  <c r="BN57" i="7"/>
  <c r="BO57" i="7"/>
  <c r="BP57" i="7"/>
  <c r="BQ57" i="7"/>
  <c r="BR57" i="7"/>
  <c r="BS57" i="7"/>
  <c r="BT57" i="7"/>
  <c r="BU57" i="7"/>
  <c r="BV57" i="7"/>
  <c r="BW57" i="7"/>
  <c r="BX57" i="7"/>
  <c r="BY57" i="7"/>
  <c r="H58" i="7"/>
  <c r="I58" i="7"/>
  <c r="J58" i="7"/>
  <c r="K58" i="7"/>
  <c r="L58" i="7"/>
  <c r="M58" i="7"/>
  <c r="N58" i="7"/>
  <c r="O58" i="7"/>
  <c r="P58" i="7"/>
  <c r="Q58" i="7"/>
  <c r="R58" i="7"/>
  <c r="S58" i="7"/>
  <c r="T58" i="7"/>
  <c r="U58" i="7"/>
  <c r="V58" i="7"/>
  <c r="W58" i="7"/>
  <c r="X58" i="7"/>
  <c r="Y58" i="7"/>
  <c r="Z58" i="7"/>
  <c r="AA58" i="7"/>
  <c r="AB58" i="7"/>
  <c r="AC58" i="7"/>
  <c r="AD58" i="7"/>
  <c r="AE58" i="7"/>
  <c r="AF58" i="7"/>
  <c r="AG58" i="7"/>
  <c r="AH58" i="7"/>
  <c r="AI58" i="7"/>
  <c r="AJ58" i="7"/>
  <c r="AK58" i="7"/>
  <c r="AL58" i="7"/>
  <c r="AM58" i="7"/>
  <c r="AN58" i="7"/>
  <c r="AO58" i="7"/>
  <c r="AP58" i="7"/>
  <c r="AQ58" i="7"/>
  <c r="AR58" i="7"/>
  <c r="AS58" i="7"/>
  <c r="AT58" i="7"/>
  <c r="AU58" i="7"/>
  <c r="AV58" i="7"/>
  <c r="AW58" i="7"/>
  <c r="AX58" i="7"/>
  <c r="AY58" i="7"/>
  <c r="AZ58" i="7"/>
  <c r="BA58" i="7"/>
  <c r="BB58" i="7"/>
  <c r="BC58" i="7"/>
  <c r="BD58" i="7"/>
  <c r="BE58" i="7"/>
  <c r="BF58" i="7"/>
  <c r="BG58" i="7"/>
  <c r="BH58" i="7"/>
  <c r="BI58" i="7"/>
  <c r="BJ58" i="7"/>
  <c r="BK58" i="7"/>
  <c r="BL58" i="7"/>
  <c r="BM58" i="7"/>
  <c r="BN58" i="7"/>
  <c r="BO58" i="7"/>
  <c r="BP58" i="7"/>
  <c r="BQ58" i="7"/>
  <c r="BR58" i="7"/>
  <c r="BS58" i="7"/>
  <c r="BT58" i="7"/>
  <c r="BU58" i="7"/>
  <c r="BV58" i="7"/>
  <c r="BW58" i="7"/>
  <c r="BX58" i="7"/>
  <c r="BY58" i="7"/>
  <c r="I69" i="7"/>
  <c r="J69" i="7"/>
  <c r="K69" i="7"/>
  <c r="L69" i="7"/>
  <c r="M69" i="7"/>
  <c r="N69" i="7"/>
  <c r="O69" i="7"/>
  <c r="P69" i="7"/>
  <c r="Q69" i="7"/>
  <c r="R69" i="7"/>
  <c r="S69" i="7"/>
  <c r="T69" i="7"/>
  <c r="U69" i="7"/>
  <c r="V69" i="7"/>
  <c r="W69" i="7"/>
  <c r="X69" i="7"/>
  <c r="Y69" i="7"/>
  <c r="Z69" i="7"/>
  <c r="AA69" i="7"/>
  <c r="AB69" i="7"/>
  <c r="AC69" i="7"/>
  <c r="AD69" i="7"/>
  <c r="AE69" i="7"/>
  <c r="AF69" i="7"/>
  <c r="AG69" i="7"/>
  <c r="AH69" i="7"/>
  <c r="AI69" i="7"/>
  <c r="AJ69" i="7"/>
  <c r="AK69" i="7"/>
  <c r="AL69" i="7"/>
  <c r="AM69" i="7"/>
  <c r="AN69" i="7"/>
  <c r="AO69" i="7"/>
  <c r="AP69" i="7"/>
  <c r="AQ69" i="7"/>
  <c r="AR69" i="7"/>
  <c r="AS69" i="7"/>
  <c r="AT69" i="7"/>
  <c r="AU69" i="7"/>
  <c r="AV69" i="7"/>
  <c r="AW69" i="7"/>
  <c r="AX69" i="7"/>
  <c r="AY69" i="7"/>
  <c r="AZ69" i="7"/>
  <c r="BA69" i="7"/>
  <c r="BB69" i="7"/>
  <c r="BC69" i="7"/>
  <c r="BD69" i="7"/>
  <c r="BE69" i="7"/>
  <c r="BF69" i="7"/>
  <c r="BG69" i="7"/>
  <c r="BH69" i="7"/>
  <c r="BI69" i="7"/>
  <c r="BJ69" i="7"/>
  <c r="BK69" i="7"/>
  <c r="BL69" i="7"/>
  <c r="BM69" i="7"/>
  <c r="BN69" i="7"/>
  <c r="BO69" i="7"/>
  <c r="BP69" i="7"/>
  <c r="BQ69" i="7"/>
  <c r="BR69" i="7"/>
  <c r="BS69" i="7"/>
  <c r="BT69" i="7"/>
  <c r="BU69" i="7"/>
  <c r="BV69" i="7"/>
  <c r="BW69" i="7"/>
  <c r="BX69" i="7"/>
  <c r="BY69" i="7"/>
  <c r="H70" i="7"/>
  <c r="I70" i="7"/>
  <c r="J70" i="7"/>
  <c r="K70" i="7"/>
  <c r="L70" i="7"/>
  <c r="M70" i="7"/>
  <c r="N70" i="7"/>
  <c r="O70" i="7"/>
  <c r="P70" i="7"/>
  <c r="Q70" i="7"/>
  <c r="R70" i="7"/>
  <c r="S70" i="7"/>
  <c r="T70" i="7"/>
  <c r="U70" i="7"/>
  <c r="V70" i="7"/>
  <c r="W70" i="7"/>
  <c r="X70" i="7"/>
  <c r="Y70" i="7"/>
  <c r="Z70" i="7"/>
  <c r="AA70" i="7"/>
  <c r="AB70" i="7"/>
  <c r="AC70" i="7"/>
  <c r="AD70" i="7"/>
  <c r="AE70" i="7"/>
  <c r="AF70" i="7"/>
  <c r="AG70" i="7"/>
  <c r="AH70" i="7"/>
  <c r="AI70" i="7"/>
  <c r="AJ70" i="7"/>
  <c r="AK70" i="7"/>
  <c r="AL70" i="7"/>
  <c r="AM70" i="7"/>
  <c r="AN70" i="7"/>
  <c r="AO70" i="7"/>
  <c r="AP70" i="7"/>
  <c r="AQ70" i="7"/>
  <c r="AR70" i="7"/>
  <c r="AS70" i="7"/>
  <c r="AT70" i="7"/>
  <c r="AU70" i="7"/>
  <c r="AV70" i="7"/>
  <c r="AW70" i="7"/>
  <c r="AX70" i="7"/>
  <c r="AY70" i="7"/>
  <c r="AZ70" i="7"/>
  <c r="BA70" i="7"/>
  <c r="BB70" i="7"/>
  <c r="BC70" i="7"/>
  <c r="BD70" i="7"/>
  <c r="BE70" i="7"/>
  <c r="BF70" i="7"/>
  <c r="BG70" i="7"/>
  <c r="BH70" i="7"/>
  <c r="BI70" i="7"/>
  <c r="BJ70" i="7"/>
  <c r="BK70" i="7"/>
  <c r="BL70" i="7"/>
  <c r="BM70" i="7"/>
  <c r="BN70" i="7"/>
  <c r="BO70" i="7"/>
  <c r="BP70" i="7"/>
  <c r="BQ70" i="7"/>
  <c r="BR70" i="7"/>
  <c r="BS70" i="7"/>
  <c r="BT70" i="7"/>
  <c r="BU70" i="7"/>
  <c r="BV70" i="7"/>
  <c r="BW70" i="7"/>
  <c r="BX70" i="7"/>
  <c r="BY70" i="7"/>
  <c r="H71" i="7"/>
  <c r="I71" i="7"/>
  <c r="J71" i="7"/>
  <c r="K71" i="7"/>
  <c r="L71" i="7"/>
  <c r="M71" i="7"/>
  <c r="N71" i="7"/>
  <c r="O71" i="7"/>
  <c r="P71" i="7"/>
  <c r="Q71" i="7"/>
  <c r="R71" i="7"/>
  <c r="S71" i="7"/>
  <c r="T71" i="7"/>
  <c r="U71" i="7"/>
  <c r="V71" i="7"/>
  <c r="W71" i="7"/>
  <c r="X71" i="7"/>
  <c r="Y71" i="7"/>
  <c r="Z71" i="7"/>
  <c r="AA71" i="7"/>
  <c r="AB71" i="7"/>
  <c r="AC71" i="7"/>
  <c r="AD71" i="7"/>
  <c r="AE71" i="7"/>
  <c r="AF71" i="7"/>
  <c r="AG71" i="7"/>
  <c r="AH71" i="7"/>
  <c r="AI71" i="7"/>
  <c r="AJ71" i="7"/>
  <c r="AK71" i="7"/>
  <c r="AL71" i="7"/>
  <c r="AM71" i="7"/>
  <c r="AN71" i="7"/>
  <c r="AO71" i="7"/>
  <c r="AP71" i="7"/>
  <c r="AQ71" i="7"/>
  <c r="AR71" i="7"/>
  <c r="AS71" i="7"/>
  <c r="AT71" i="7"/>
  <c r="AU71" i="7"/>
  <c r="AV71" i="7"/>
  <c r="AW71" i="7"/>
  <c r="AX71" i="7"/>
  <c r="AY71" i="7"/>
  <c r="AZ71" i="7"/>
  <c r="BA71" i="7"/>
  <c r="BB71" i="7"/>
  <c r="BC71" i="7"/>
  <c r="BD71" i="7"/>
  <c r="BE71" i="7"/>
  <c r="BF71" i="7"/>
  <c r="BG71" i="7"/>
  <c r="BH71" i="7"/>
  <c r="BI71" i="7"/>
  <c r="BJ71" i="7"/>
  <c r="BK71" i="7"/>
  <c r="BL71" i="7"/>
  <c r="BM71" i="7"/>
  <c r="BN71" i="7"/>
  <c r="BO71" i="7"/>
  <c r="BP71" i="7"/>
  <c r="BQ71" i="7"/>
  <c r="BR71" i="7"/>
  <c r="BS71" i="7"/>
  <c r="BT71" i="7"/>
  <c r="BU71" i="7"/>
  <c r="BV71" i="7"/>
  <c r="BW71" i="7"/>
  <c r="BX71" i="7"/>
  <c r="BY71" i="7"/>
  <c r="H72" i="7"/>
  <c r="I72" i="7"/>
  <c r="J72" i="7"/>
  <c r="K72" i="7"/>
  <c r="L72" i="7"/>
  <c r="M72" i="7"/>
  <c r="N72" i="7"/>
  <c r="O72" i="7"/>
  <c r="P72" i="7"/>
  <c r="Q72" i="7"/>
  <c r="R72" i="7"/>
  <c r="S72" i="7"/>
  <c r="T72" i="7"/>
  <c r="U72" i="7"/>
  <c r="V72" i="7"/>
  <c r="W72" i="7"/>
  <c r="X72" i="7"/>
  <c r="Y72" i="7"/>
  <c r="Z72" i="7"/>
  <c r="AA72" i="7"/>
  <c r="AB72" i="7"/>
  <c r="AC72" i="7"/>
  <c r="AD72" i="7"/>
  <c r="AE72" i="7"/>
  <c r="AF72" i="7"/>
  <c r="AG72" i="7"/>
  <c r="AH72" i="7"/>
  <c r="AI72" i="7"/>
  <c r="AJ72" i="7"/>
  <c r="AK72" i="7"/>
  <c r="AL72" i="7"/>
  <c r="AM72" i="7"/>
  <c r="AN72" i="7"/>
  <c r="AO72" i="7"/>
  <c r="AP72" i="7"/>
  <c r="AQ72" i="7"/>
  <c r="AR72" i="7"/>
  <c r="AS72" i="7"/>
  <c r="AT72" i="7"/>
  <c r="AU72" i="7"/>
  <c r="AV72" i="7"/>
  <c r="AW72" i="7"/>
  <c r="AX72" i="7"/>
  <c r="AY72" i="7"/>
  <c r="AZ72" i="7"/>
  <c r="BA72" i="7"/>
  <c r="BB72" i="7"/>
  <c r="BC72" i="7"/>
  <c r="BD72" i="7"/>
  <c r="BE72" i="7"/>
  <c r="BF72" i="7"/>
  <c r="BG72" i="7"/>
  <c r="BH72" i="7"/>
  <c r="BI72" i="7"/>
  <c r="BJ72" i="7"/>
  <c r="BK72" i="7"/>
  <c r="BL72" i="7"/>
  <c r="BM72" i="7"/>
  <c r="BN72" i="7"/>
  <c r="BO72" i="7"/>
  <c r="BP72" i="7"/>
  <c r="BQ72" i="7"/>
  <c r="BR72" i="7"/>
  <c r="BS72" i="7"/>
  <c r="BT72" i="7"/>
  <c r="BU72" i="7"/>
  <c r="BV72" i="7"/>
  <c r="BW72" i="7"/>
  <c r="BX72" i="7"/>
  <c r="BY72" i="7"/>
  <c r="F73" i="7"/>
  <c r="H73" i="7"/>
  <c r="I73" i="7"/>
  <c r="J73" i="7"/>
  <c r="K73" i="7"/>
  <c r="L73" i="7"/>
  <c r="M73" i="7"/>
  <c r="N73" i="7"/>
  <c r="O73" i="7"/>
  <c r="P73" i="7"/>
  <c r="Q73" i="7"/>
  <c r="R73" i="7"/>
  <c r="S73" i="7"/>
  <c r="T73" i="7"/>
  <c r="U73" i="7"/>
  <c r="V73" i="7"/>
  <c r="W73" i="7"/>
  <c r="X73" i="7"/>
  <c r="Y73" i="7"/>
  <c r="Z73" i="7"/>
  <c r="AA73" i="7"/>
  <c r="AB73" i="7"/>
  <c r="AC73" i="7"/>
  <c r="AD73" i="7"/>
  <c r="AE73" i="7"/>
  <c r="AF73" i="7"/>
  <c r="AG73" i="7"/>
  <c r="AH73" i="7"/>
  <c r="AI73" i="7"/>
  <c r="AJ73" i="7"/>
  <c r="AK73" i="7"/>
  <c r="AL73" i="7"/>
  <c r="AM73" i="7"/>
  <c r="AN73" i="7"/>
  <c r="AO73" i="7"/>
  <c r="AP73" i="7"/>
  <c r="AQ73" i="7"/>
  <c r="AR73" i="7"/>
  <c r="AS73" i="7"/>
  <c r="AT73" i="7"/>
  <c r="AU73" i="7"/>
  <c r="AV73" i="7"/>
  <c r="AW73" i="7"/>
  <c r="AX73" i="7"/>
  <c r="AY73" i="7"/>
  <c r="AZ73" i="7"/>
  <c r="BA73" i="7"/>
  <c r="BB73" i="7"/>
  <c r="BC73" i="7"/>
  <c r="BD73" i="7"/>
  <c r="BE73" i="7"/>
  <c r="BF73" i="7"/>
  <c r="BG73" i="7"/>
  <c r="BH73" i="7"/>
  <c r="BI73" i="7"/>
  <c r="BJ73" i="7"/>
  <c r="BK73" i="7"/>
  <c r="BL73" i="7"/>
  <c r="BM73" i="7"/>
  <c r="BN73" i="7"/>
  <c r="BO73" i="7"/>
  <c r="BP73" i="7"/>
  <c r="BQ73" i="7"/>
  <c r="BR73" i="7"/>
  <c r="BS73" i="7"/>
  <c r="BT73" i="7"/>
  <c r="BU73" i="7"/>
  <c r="BV73" i="7"/>
  <c r="BW73" i="7"/>
  <c r="BX73" i="7"/>
  <c r="BY73" i="7"/>
  <c r="E74" i="7"/>
  <c r="F74" i="7"/>
  <c r="H74" i="7"/>
  <c r="I74" i="7"/>
  <c r="J74" i="7"/>
  <c r="K74" i="7"/>
  <c r="L74" i="7"/>
  <c r="M74" i="7"/>
  <c r="N74" i="7"/>
  <c r="O74" i="7"/>
  <c r="P74" i="7"/>
  <c r="Q74" i="7"/>
  <c r="R74" i="7"/>
  <c r="S74" i="7"/>
  <c r="T74" i="7"/>
  <c r="U74" i="7"/>
  <c r="V74" i="7"/>
  <c r="W74" i="7"/>
  <c r="X74" i="7"/>
  <c r="Y74" i="7"/>
  <c r="Z74" i="7"/>
  <c r="AA74" i="7"/>
  <c r="AB74" i="7"/>
  <c r="AC74" i="7"/>
  <c r="AD74" i="7"/>
  <c r="AE74" i="7"/>
  <c r="AF74" i="7"/>
  <c r="AG74" i="7"/>
  <c r="AH74" i="7"/>
  <c r="AI74" i="7"/>
  <c r="AJ74" i="7"/>
  <c r="AK74" i="7"/>
  <c r="AL74" i="7"/>
  <c r="AM74" i="7"/>
  <c r="AN74" i="7"/>
  <c r="AO74" i="7"/>
  <c r="AP74" i="7"/>
  <c r="AQ74" i="7"/>
  <c r="AR74" i="7"/>
  <c r="AS74" i="7"/>
  <c r="AT74" i="7"/>
  <c r="AU74" i="7"/>
  <c r="AV74" i="7"/>
  <c r="AW74" i="7"/>
  <c r="AX74" i="7"/>
  <c r="AY74" i="7"/>
  <c r="AZ74" i="7"/>
  <c r="BA74" i="7"/>
  <c r="BB74" i="7"/>
  <c r="BC74" i="7"/>
  <c r="BD74" i="7"/>
  <c r="BE74" i="7"/>
  <c r="BF74" i="7"/>
  <c r="BG74" i="7"/>
  <c r="BH74" i="7"/>
  <c r="BI74" i="7"/>
  <c r="BJ74" i="7"/>
  <c r="BK74" i="7"/>
  <c r="BL74" i="7"/>
  <c r="BM74" i="7"/>
  <c r="BN74" i="7"/>
  <c r="BO74" i="7"/>
  <c r="BP74" i="7"/>
  <c r="BQ74" i="7"/>
  <c r="BR74" i="7"/>
  <c r="BS74" i="7"/>
  <c r="BT74" i="7"/>
  <c r="BU74" i="7"/>
  <c r="BV74" i="7"/>
  <c r="BW74" i="7"/>
  <c r="BX74" i="7"/>
  <c r="BY74" i="7"/>
  <c r="I82" i="7"/>
  <c r="J82" i="7"/>
  <c r="K82" i="7"/>
  <c r="L82" i="7"/>
  <c r="M82" i="7"/>
  <c r="N82" i="7"/>
  <c r="O82" i="7"/>
  <c r="P82" i="7"/>
  <c r="Q82" i="7"/>
  <c r="R82" i="7"/>
  <c r="S82" i="7"/>
  <c r="T82" i="7"/>
  <c r="U82" i="7"/>
  <c r="V82" i="7"/>
  <c r="W82" i="7"/>
  <c r="X82" i="7"/>
  <c r="Y82" i="7"/>
  <c r="Z82" i="7"/>
  <c r="AA82" i="7"/>
  <c r="AB82" i="7"/>
  <c r="AC82" i="7"/>
  <c r="AD82" i="7"/>
  <c r="AE82" i="7"/>
  <c r="AF82" i="7"/>
  <c r="AG82" i="7"/>
  <c r="AH82" i="7"/>
  <c r="AI82" i="7"/>
  <c r="AJ82" i="7"/>
  <c r="AK82" i="7"/>
  <c r="AL82" i="7"/>
  <c r="AM82" i="7"/>
  <c r="AN82" i="7"/>
  <c r="AO82" i="7"/>
  <c r="AP82" i="7"/>
  <c r="AQ82" i="7"/>
  <c r="AR82" i="7"/>
  <c r="AS82" i="7"/>
  <c r="AT82" i="7"/>
  <c r="AU82" i="7"/>
  <c r="AV82" i="7"/>
  <c r="AW82" i="7"/>
  <c r="AX82" i="7"/>
  <c r="AY82" i="7"/>
  <c r="AZ82" i="7"/>
  <c r="BA82" i="7"/>
  <c r="BB82" i="7"/>
  <c r="BC82" i="7"/>
  <c r="BD82" i="7"/>
  <c r="BE82" i="7"/>
  <c r="BF82" i="7"/>
  <c r="BG82" i="7"/>
  <c r="BH82" i="7"/>
  <c r="BI82" i="7"/>
  <c r="BJ82" i="7"/>
  <c r="BK82" i="7"/>
  <c r="BL82" i="7"/>
  <c r="BM82" i="7"/>
  <c r="BN82" i="7"/>
  <c r="BO82" i="7"/>
  <c r="BP82" i="7"/>
  <c r="BQ82" i="7"/>
  <c r="BR82" i="7"/>
  <c r="BS82" i="7"/>
  <c r="BT82" i="7"/>
  <c r="BU82" i="7"/>
  <c r="BV82" i="7"/>
  <c r="BW82" i="7"/>
  <c r="BX82" i="7"/>
  <c r="BY82" i="7"/>
  <c r="I84" i="7"/>
  <c r="J84" i="7"/>
  <c r="K84" i="7"/>
  <c r="L84" i="7"/>
  <c r="M84" i="7"/>
  <c r="N84" i="7"/>
  <c r="O84" i="7"/>
  <c r="P84" i="7"/>
  <c r="Q84" i="7"/>
  <c r="R84" i="7"/>
  <c r="S84" i="7"/>
  <c r="T84" i="7"/>
  <c r="U84" i="7"/>
  <c r="V84" i="7"/>
  <c r="W84" i="7"/>
  <c r="X84" i="7"/>
  <c r="Y84" i="7"/>
  <c r="Z84" i="7"/>
  <c r="AA84" i="7"/>
  <c r="AB84" i="7"/>
  <c r="AC84" i="7"/>
  <c r="AD84" i="7"/>
  <c r="AE84" i="7"/>
  <c r="AF84" i="7"/>
  <c r="AG84" i="7"/>
  <c r="AH84" i="7"/>
  <c r="AI84" i="7"/>
  <c r="AJ84" i="7"/>
  <c r="AK84" i="7"/>
  <c r="AL84" i="7"/>
  <c r="AM84" i="7"/>
  <c r="AN84" i="7"/>
  <c r="AO84" i="7"/>
  <c r="AP84" i="7"/>
  <c r="AQ84" i="7"/>
  <c r="AR84" i="7"/>
  <c r="AS84" i="7"/>
  <c r="AT84" i="7"/>
  <c r="AU84" i="7"/>
  <c r="AV84" i="7"/>
  <c r="AW84" i="7"/>
  <c r="AX84" i="7"/>
  <c r="AY84" i="7"/>
  <c r="AZ84" i="7"/>
  <c r="BA84" i="7"/>
  <c r="BB84" i="7"/>
  <c r="BC84" i="7"/>
  <c r="BD84" i="7"/>
  <c r="BE84" i="7"/>
  <c r="BF84" i="7"/>
  <c r="BG84" i="7"/>
  <c r="BH84" i="7"/>
  <c r="BI84" i="7"/>
  <c r="BJ84" i="7"/>
  <c r="BK84" i="7"/>
  <c r="BL84" i="7"/>
  <c r="BM84" i="7"/>
  <c r="BN84" i="7"/>
  <c r="BO84" i="7"/>
  <c r="BP84" i="7"/>
  <c r="BQ84" i="7"/>
  <c r="BR84" i="7"/>
  <c r="BS84" i="7"/>
  <c r="BT84" i="7"/>
  <c r="BU84" i="7"/>
  <c r="BV84" i="7"/>
  <c r="BW84" i="7"/>
  <c r="BX84" i="7"/>
  <c r="BY84" i="7"/>
  <c r="H85" i="7"/>
  <c r="I85" i="7"/>
  <c r="J85" i="7"/>
  <c r="K85" i="7"/>
  <c r="L85" i="7"/>
  <c r="M85" i="7"/>
  <c r="N85" i="7"/>
  <c r="O85" i="7"/>
  <c r="P85" i="7"/>
  <c r="Q85" i="7"/>
  <c r="R85" i="7"/>
  <c r="S85" i="7"/>
  <c r="T85" i="7"/>
  <c r="U85" i="7"/>
  <c r="V85" i="7"/>
  <c r="W85" i="7"/>
  <c r="X85" i="7"/>
  <c r="Y85" i="7"/>
  <c r="Z85" i="7"/>
  <c r="AA85" i="7"/>
  <c r="AB85" i="7"/>
  <c r="AC85" i="7"/>
  <c r="AD85" i="7"/>
  <c r="AE85" i="7"/>
  <c r="AF85" i="7"/>
  <c r="AG85" i="7"/>
  <c r="AH85" i="7"/>
  <c r="AI85" i="7"/>
  <c r="AJ85" i="7"/>
  <c r="AK85" i="7"/>
  <c r="AL85" i="7"/>
  <c r="AM85" i="7"/>
  <c r="AN85" i="7"/>
  <c r="AO85" i="7"/>
  <c r="AP85" i="7"/>
  <c r="AQ85" i="7"/>
  <c r="AR85" i="7"/>
  <c r="AS85" i="7"/>
  <c r="AT85" i="7"/>
  <c r="AU85" i="7"/>
  <c r="AV85" i="7"/>
  <c r="AW85" i="7"/>
  <c r="AX85" i="7"/>
  <c r="AY85" i="7"/>
  <c r="AZ85" i="7"/>
  <c r="BA85" i="7"/>
  <c r="BB85" i="7"/>
  <c r="BC85" i="7"/>
  <c r="BD85" i="7"/>
  <c r="BE85" i="7"/>
  <c r="BF85" i="7"/>
  <c r="BG85" i="7"/>
  <c r="BH85" i="7"/>
  <c r="BI85" i="7"/>
  <c r="BJ85" i="7"/>
  <c r="BK85" i="7"/>
  <c r="BL85" i="7"/>
  <c r="BM85" i="7"/>
  <c r="BN85" i="7"/>
  <c r="BO85" i="7"/>
  <c r="BP85" i="7"/>
  <c r="BQ85" i="7"/>
  <c r="BR85" i="7"/>
  <c r="BS85" i="7"/>
  <c r="BT85" i="7"/>
  <c r="BU85" i="7"/>
  <c r="BV85" i="7"/>
  <c r="BW85" i="7"/>
  <c r="BX85" i="7"/>
  <c r="BY85" i="7"/>
  <c r="H86" i="7"/>
  <c r="I86" i="7"/>
  <c r="J86" i="7"/>
  <c r="K86" i="7"/>
  <c r="L86" i="7"/>
  <c r="M86" i="7"/>
  <c r="N86" i="7"/>
  <c r="O86" i="7"/>
  <c r="P86" i="7"/>
  <c r="Q86" i="7"/>
  <c r="R86" i="7"/>
  <c r="S86" i="7"/>
  <c r="T86" i="7"/>
  <c r="U86" i="7"/>
  <c r="V86" i="7"/>
  <c r="W86" i="7"/>
  <c r="X86" i="7"/>
  <c r="Y86" i="7"/>
  <c r="Z86" i="7"/>
  <c r="AA86" i="7"/>
  <c r="AB86" i="7"/>
  <c r="AC86" i="7"/>
  <c r="AD86" i="7"/>
  <c r="AE86" i="7"/>
  <c r="AF86" i="7"/>
  <c r="AG86" i="7"/>
  <c r="AH86" i="7"/>
  <c r="AI86" i="7"/>
  <c r="AJ86" i="7"/>
  <c r="AK86" i="7"/>
  <c r="AL86" i="7"/>
  <c r="AM86" i="7"/>
  <c r="AN86" i="7"/>
  <c r="AO86" i="7"/>
  <c r="AP86" i="7"/>
  <c r="AQ86" i="7"/>
  <c r="AR86" i="7"/>
  <c r="AS86" i="7"/>
  <c r="AT86" i="7"/>
  <c r="AU86" i="7"/>
  <c r="AV86" i="7"/>
  <c r="AW86" i="7"/>
  <c r="AX86" i="7"/>
  <c r="AY86" i="7"/>
  <c r="AZ86" i="7"/>
  <c r="BA86" i="7"/>
  <c r="BB86" i="7"/>
  <c r="BC86" i="7"/>
  <c r="BD86" i="7"/>
  <c r="BE86" i="7"/>
  <c r="BF86" i="7"/>
  <c r="BG86" i="7"/>
  <c r="BH86" i="7"/>
  <c r="BI86" i="7"/>
  <c r="BJ86" i="7"/>
  <c r="BK86" i="7"/>
  <c r="BL86" i="7"/>
  <c r="BM86" i="7"/>
  <c r="BN86" i="7"/>
  <c r="BO86" i="7"/>
  <c r="BP86" i="7"/>
  <c r="BQ86" i="7"/>
  <c r="BR86" i="7"/>
  <c r="BS86" i="7"/>
  <c r="BT86" i="7"/>
  <c r="BU86" i="7"/>
  <c r="BV86" i="7"/>
  <c r="BW86" i="7"/>
  <c r="BX86" i="7"/>
  <c r="BY86" i="7"/>
  <c r="H87" i="7"/>
  <c r="I87" i="7"/>
  <c r="J87" i="7"/>
  <c r="K87" i="7"/>
  <c r="L87" i="7"/>
  <c r="M87" i="7"/>
  <c r="N87" i="7"/>
  <c r="O87" i="7"/>
  <c r="P87" i="7"/>
  <c r="Q87" i="7"/>
  <c r="R87" i="7"/>
  <c r="S87" i="7"/>
  <c r="T87" i="7"/>
  <c r="U87" i="7"/>
  <c r="V87" i="7"/>
  <c r="W87" i="7"/>
  <c r="X87" i="7"/>
  <c r="Y87" i="7"/>
  <c r="Z87" i="7"/>
  <c r="AA87" i="7"/>
  <c r="AB87" i="7"/>
  <c r="AC87" i="7"/>
  <c r="AD87" i="7"/>
  <c r="AE87" i="7"/>
  <c r="AF87" i="7"/>
  <c r="AG87" i="7"/>
  <c r="AH87" i="7"/>
  <c r="AI87" i="7"/>
  <c r="AJ87" i="7"/>
  <c r="AK87" i="7"/>
  <c r="AL87" i="7"/>
  <c r="AM87" i="7"/>
  <c r="AN87" i="7"/>
  <c r="AO87" i="7"/>
  <c r="AP87" i="7"/>
  <c r="AQ87" i="7"/>
  <c r="AR87" i="7"/>
  <c r="AS87" i="7"/>
  <c r="AT87" i="7"/>
  <c r="AU87" i="7"/>
  <c r="AV87" i="7"/>
  <c r="AW87" i="7"/>
  <c r="AX87" i="7"/>
  <c r="AY87" i="7"/>
  <c r="AZ87" i="7"/>
  <c r="BA87" i="7"/>
  <c r="BB87" i="7"/>
  <c r="BC87" i="7"/>
  <c r="BD87" i="7"/>
  <c r="BE87" i="7"/>
  <c r="BF87" i="7"/>
  <c r="BG87" i="7"/>
  <c r="BH87" i="7"/>
  <c r="BI87" i="7"/>
  <c r="BJ87" i="7"/>
  <c r="BK87" i="7"/>
  <c r="BL87" i="7"/>
  <c r="BM87" i="7"/>
  <c r="BN87" i="7"/>
  <c r="BO87" i="7"/>
  <c r="BP87" i="7"/>
  <c r="BQ87" i="7"/>
  <c r="BR87" i="7"/>
  <c r="BS87" i="7"/>
  <c r="BT87" i="7"/>
  <c r="BU87" i="7"/>
  <c r="BV87" i="7"/>
  <c r="BW87" i="7"/>
  <c r="BX87" i="7"/>
  <c r="BY87" i="7"/>
  <c r="F88" i="7"/>
  <c r="H88" i="7"/>
  <c r="I88" i="7"/>
  <c r="J88" i="7"/>
  <c r="K88" i="7"/>
  <c r="L88" i="7"/>
  <c r="M88" i="7"/>
  <c r="N88" i="7"/>
  <c r="O88" i="7"/>
  <c r="P88" i="7"/>
  <c r="Q88" i="7"/>
  <c r="R88" i="7"/>
  <c r="S88" i="7"/>
  <c r="T88" i="7"/>
  <c r="U88" i="7"/>
  <c r="V88" i="7"/>
  <c r="W88" i="7"/>
  <c r="X88" i="7"/>
  <c r="Y88" i="7"/>
  <c r="Z88" i="7"/>
  <c r="AA88" i="7"/>
  <c r="AB88" i="7"/>
  <c r="AC88" i="7"/>
  <c r="AD88" i="7"/>
  <c r="AE88" i="7"/>
  <c r="AF88" i="7"/>
  <c r="AG88" i="7"/>
  <c r="AH88" i="7"/>
  <c r="AI88" i="7"/>
  <c r="AJ88" i="7"/>
  <c r="AK88" i="7"/>
  <c r="AL88" i="7"/>
  <c r="AM88" i="7"/>
  <c r="AN88" i="7"/>
  <c r="AO88" i="7"/>
  <c r="AP88" i="7"/>
  <c r="AQ88" i="7"/>
  <c r="AR88" i="7"/>
  <c r="AS88" i="7"/>
  <c r="AT88" i="7"/>
  <c r="AU88" i="7"/>
  <c r="AV88" i="7"/>
  <c r="AW88" i="7"/>
  <c r="AX88" i="7"/>
  <c r="AY88" i="7"/>
  <c r="AZ88" i="7"/>
  <c r="BA88" i="7"/>
  <c r="BB88" i="7"/>
  <c r="BC88" i="7"/>
  <c r="BD88" i="7"/>
  <c r="BE88" i="7"/>
  <c r="BF88" i="7"/>
  <c r="BG88" i="7"/>
  <c r="BH88" i="7"/>
  <c r="BI88" i="7"/>
  <c r="BJ88" i="7"/>
  <c r="BK88" i="7"/>
  <c r="BL88" i="7"/>
  <c r="BM88" i="7"/>
  <c r="BN88" i="7"/>
  <c r="BO88" i="7"/>
  <c r="BP88" i="7"/>
  <c r="BQ88" i="7"/>
  <c r="BR88" i="7"/>
  <c r="BS88" i="7"/>
  <c r="BT88" i="7"/>
  <c r="BU88" i="7"/>
  <c r="BV88" i="7"/>
  <c r="BW88" i="7"/>
  <c r="BX88" i="7"/>
  <c r="BY88" i="7"/>
  <c r="E89" i="7"/>
  <c r="F89" i="7"/>
  <c r="H89" i="7"/>
  <c r="I89" i="7"/>
  <c r="J89" i="7"/>
  <c r="K89" i="7"/>
  <c r="L89" i="7"/>
  <c r="M89" i="7"/>
  <c r="N89" i="7"/>
  <c r="O89" i="7"/>
  <c r="P89" i="7"/>
  <c r="Q89" i="7"/>
  <c r="R89" i="7"/>
  <c r="S89" i="7"/>
  <c r="T89" i="7"/>
  <c r="U89" i="7"/>
  <c r="V89" i="7"/>
  <c r="W89" i="7"/>
  <c r="X89" i="7"/>
  <c r="Y89" i="7"/>
  <c r="Z89" i="7"/>
  <c r="AA89" i="7"/>
  <c r="AB89" i="7"/>
  <c r="AC89" i="7"/>
  <c r="AD89" i="7"/>
  <c r="AE89" i="7"/>
  <c r="AF89" i="7"/>
  <c r="AG89" i="7"/>
  <c r="AH89" i="7"/>
  <c r="AI89" i="7"/>
  <c r="AJ89" i="7"/>
  <c r="AK89" i="7"/>
  <c r="AL89" i="7"/>
  <c r="AM89" i="7"/>
  <c r="AN89" i="7"/>
  <c r="AO89" i="7"/>
  <c r="AP89" i="7"/>
  <c r="AQ89" i="7"/>
  <c r="AR89" i="7"/>
  <c r="AS89" i="7"/>
  <c r="AT89" i="7"/>
  <c r="AU89" i="7"/>
  <c r="AV89" i="7"/>
  <c r="AW89" i="7"/>
  <c r="AX89" i="7"/>
  <c r="AY89" i="7"/>
  <c r="AZ89" i="7"/>
  <c r="BA89" i="7"/>
  <c r="BB89" i="7"/>
  <c r="BC89" i="7"/>
  <c r="BD89" i="7"/>
  <c r="BE89" i="7"/>
  <c r="BF89" i="7"/>
  <c r="BG89" i="7"/>
  <c r="BH89" i="7"/>
  <c r="BI89" i="7"/>
  <c r="BJ89" i="7"/>
  <c r="BK89" i="7"/>
  <c r="BL89" i="7"/>
  <c r="BM89" i="7"/>
  <c r="BN89" i="7"/>
  <c r="BO89" i="7"/>
  <c r="BP89" i="7"/>
  <c r="BQ89" i="7"/>
  <c r="BR89" i="7"/>
  <c r="BS89" i="7"/>
  <c r="BT89" i="7"/>
  <c r="BU89" i="7"/>
  <c r="BV89" i="7"/>
  <c r="BW89" i="7"/>
  <c r="BX89" i="7"/>
  <c r="BY89" i="7"/>
  <c r="H92" i="7"/>
  <c r="I92" i="7"/>
  <c r="J92" i="7"/>
  <c r="K92" i="7"/>
  <c r="L92" i="7"/>
  <c r="M92" i="7"/>
  <c r="N92" i="7"/>
  <c r="O92" i="7"/>
  <c r="P92" i="7"/>
  <c r="Q92" i="7"/>
  <c r="R92" i="7"/>
  <c r="S92" i="7"/>
  <c r="T92" i="7"/>
  <c r="U92" i="7"/>
  <c r="V92" i="7"/>
  <c r="W92" i="7"/>
  <c r="X92" i="7"/>
  <c r="Y92" i="7"/>
  <c r="Z92" i="7"/>
  <c r="AA92" i="7"/>
  <c r="AB92" i="7"/>
  <c r="AC92" i="7"/>
  <c r="AD92" i="7"/>
  <c r="AE92" i="7"/>
  <c r="AF92" i="7"/>
  <c r="AG92" i="7"/>
  <c r="AH92" i="7"/>
  <c r="AI92" i="7"/>
  <c r="AJ92" i="7"/>
  <c r="AK92" i="7"/>
  <c r="AL92" i="7"/>
  <c r="AM92" i="7"/>
  <c r="AN92" i="7"/>
  <c r="AO92" i="7"/>
  <c r="AP92" i="7"/>
  <c r="AQ92" i="7"/>
  <c r="AR92" i="7"/>
  <c r="AS92" i="7"/>
  <c r="AT92" i="7"/>
  <c r="AU92" i="7"/>
  <c r="AV92" i="7"/>
  <c r="AW92" i="7"/>
  <c r="AX92" i="7"/>
  <c r="AY92" i="7"/>
  <c r="AZ92" i="7"/>
  <c r="BA92" i="7"/>
  <c r="BB92" i="7"/>
  <c r="BC92" i="7"/>
  <c r="BD92" i="7"/>
  <c r="BE92" i="7"/>
  <c r="BF92" i="7"/>
  <c r="BG92" i="7"/>
  <c r="BH92" i="7"/>
  <c r="BI92" i="7"/>
  <c r="BJ92" i="7"/>
  <c r="BK92" i="7"/>
  <c r="BL92" i="7"/>
  <c r="BM92" i="7"/>
  <c r="BN92" i="7"/>
  <c r="BO92" i="7"/>
  <c r="BP92" i="7"/>
  <c r="BQ92" i="7"/>
  <c r="BR92" i="7"/>
  <c r="BS92" i="7"/>
  <c r="BT92" i="7"/>
  <c r="BU92" i="7"/>
  <c r="BV92" i="7"/>
  <c r="BW92" i="7"/>
  <c r="BX92" i="7"/>
  <c r="BY92" i="7"/>
  <c r="N93" i="7"/>
  <c r="T93" i="7"/>
  <c r="Z93" i="7"/>
  <c r="AF93" i="7"/>
  <c r="AL93" i="7"/>
  <c r="AR93" i="7"/>
  <c r="AX93" i="7"/>
  <c r="BD93" i="7"/>
  <c r="BJ93" i="7"/>
  <c r="BP93" i="7"/>
  <c r="H94" i="7"/>
  <c r="I94" i="7"/>
  <c r="J94" i="7"/>
  <c r="K94" i="7"/>
  <c r="L94" i="7"/>
  <c r="M94" i="7"/>
  <c r="N94" i="7"/>
  <c r="O94" i="7"/>
  <c r="P94" i="7"/>
  <c r="Q94" i="7"/>
  <c r="R94" i="7"/>
  <c r="S94" i="7"/>
  <c r="T94" i="7"/>
  <c r="U94" i="7"/>
  <c r="V94" i="7"/>
  <c r="W94" i="7"/>
  <c r="X94" i="7"/>
  <c r="Y94" i="7"/>
  <c r="Z94" i="7"/>
  <c r="AA94" i="7"/>
  <c r="AB94" i="7"/>
  <c r="AC94" i="7"/>
  <c r="AD94" i="7"/>
  <c r="AE94" i="7"/>
  <c r="AF94" i="7"/>
  <c r="AG94" i="7"/>
  <c r="AH94" i="7"/>
  <c r="AI94" i="7"/>
  <c r="AJ94" i="7"/>
  <c r="AK94" i="7"/>
  <c r="AL94" i="7"/>
  <c r="AM94" i="7"/>
  <c r="AN94" i="7"/>
  <c r="AO94" i="7"/>
  <c r="AP94" i="7"/>
  <c r="AQ94" i="7"/>
  <c r="AR94" i="7"/>
  <c r="AS94" i="7"/>
  <c r="AT94" i="7"/>
  <c r="AU94" i="7"/>
  <c r="AV94" i="7"/>
  <c r="AW94" i="7"/>
  <c r="AX94" i="7"/>
  <c r="AY94" i="7"/>
  <c r="AZ94" i="7"/>
  <c r="BA94" i="7"/>
  <c r="BB94" i="7"/>
  <c r="BC94" i="7"/>
  <c r="BD94" i="7"/>
  <c r="BE94" i="7"/>
  <c r="BF94" i="7"/>
  <c r="BG94" i="7"/>
  <c r="BH94" i="7"/>
  <c r="BI94" i="7"/>
  <c r="BJ94" i="7"/>
  <c r="BK94" i="7"/>
  <c r="BL94" i="7"/>
  <c r="BM94" i="7"/>
  <c r="BN94" i="7"/>
  <c r="BO94" i="7"/>
  <c r="BP94" i="7"/>
  <c r="BQ94" i="7"/>
  <c r="BR94" i="7"/>
  <c r="BS94" i="7"/>
  <c r="BT94" i="7"/>
  <c r="BU94" i="7"/>
  <c r="BV94" i="7"/>
  <c r="BW94" i="7"/>
  <c r="BX94" i="7"/>
  <c r="BY94" i="7"/>
  <c r="N95" i="7"/>
  <c r="T95" i="7"/>
  <c r="Z95" i="7"/>
  <c r="AF95" i="7"/>
  <c r="AL95" i="7"/>
  <c r="AR95" i="7"/>
  <c r="AX95" i="7"/>
  <c r="BD95" i="7"/>
  <c r="BJ95" i="7"/>
  <c r="BP95" i="7"/>
  <c r="I96" i="7"/>
  <c r="J96" i="7"/>
  <c r="K96" i="7"/>
  <c r="L96" i="7"/>
  <c r="M96" i="7"/>
  <c r="N96" i="7"/>
  <c r="O96" i="7"/>
  <c r="P96" i="7"/>
  <c r="Q96" i="7"/>
  <c r="R96" i="7"/>
  <c r="S96" i="7"/>
  <c r="T96" i="7"/>
  <c r="U96" i="7"/>
  <c r="V96" i="7"/>
  <c r="W96" i="7"/>
  <c r="X96" i="7"/>
  <c r="Y96" i="7"/>
  <c r="Z96" i="7"/>
  <c r="AA96" i="7"/>
  <c r="AB96" i="7"/>
  <c r="AC96" i="7"/>
  <c r="AD96" i="7"/>
  <c r="AE96" i="7"/>
  <c r="AF96" i="7"/>
  <c r="AG96" i="7"/>
  <c r="AH96" i="7"/>
  <c r="AI96" i="7"/>
  <c r="AJ96" i="7"/>
  <c r="AK96" i="7"/>
  <c r="AL96" i="7"/>
  <c r="AM96" i="7"/>
  <c r="AN96" i="7"/>
  <c r="AO96" i="7"/>
  <c r="AP96" i="7"/>
  <c r="AQ96" i="7"/>
  <c r="AR96" i="7"/>
  <c r="AS96" i="7"/>
  <c r="AT96" i="7"/>
  <c r="AU96" i="7"/>
  <c r="AV96" i="7"/>
  <c r="AW96" i="7"/>
  <c r="AX96" i="7"/>
  <c r="AY96" i="7"/>
  <c r="AZ96" i="7"/>
  <c r="BA96" i="7"/>
  <c r="BB96" i="7"/>
  <c r="BC96" i="7"/>
  <c r="BD96" i="7"/>
  <c r="BE96" i="7"/>
  <c r="BF96" i="7"/>
  <c r="BG96" i="7"/>
  <c r="BH96" i="7"/>
  <c r="BI96" i="7"/>
  <c r="BJ96" i="7"/>
  <c r="BK96" i="7"/>
  <c r="BL96" i="7"/>
  <c r="BM96" i="7"/>
  <c r="BN96" i="7"/>
  <c r="BO96" i="7"/>
  <c r="BP96" i="7"/>
  <c r="BQ96" i="7"/>
  <c r="BR96" i="7"/>
  <c r="BS96" i="7"/>
  <c r="BT96" i="7"/>
  <c r="BU96" i="7"/>
  <c r="BV96" i="7"/>
  <c r="BW96" i="7"/>
  <c r="BX96" i="7"/>
  <c r="BY96" i="7"/>
  <c r="H97" i="7"/>
  <c r="I97" i="7"/>
  <c r="J97" i="7"/>
  <c r="K97" i="7"/>
  <c r="L97" i="7"/>
  <c r="M97" i="7"/>
  <c r="N97" i="7"/>
  <c r="O97" i="7"/>
  <c r="P97" i="7"/>
  <c r="Q97" i="7"/>
  <c r="R97" i="7"/>
  <c r="S97" i="7"/>
  <c r="T97" i="7"/>
  <c r="U97" i="7"/>
  <c r="V97" i="7"/>
  <c r="W97" i="7"/>
  <c r="X97" i="7"/>
  <c r="Y97" i="7"/>
  <c r="Z97" i="7"/>
  <c r="AA97" i="7"/>
  <c r="AB97" i="7"/>
  <c r="AC97" i="7"/>
  <c r="AD97" i="7"/>
  <c r="AE97" i="7"/>
  <c r="AF97" i="7"/>
  <c r="AG97" i="7"/>
  <c r="AH97" i="7"/>
  <c r="AI97" i="7"/>
  <c r="AJ97" i="7"/>
  <c r="AK97" i="7"/>
  <c r="AL97" i="7"/>
  <c r="AM97" i="7"/>
  <c r="AN97" i="7"/>
  <c r="AO97" i="7"/>
  <c r="AP97" i="7"/>
  <c r="AQ97" i="7"/>
  <c r="AR97" i="7"/>
  <c r="AS97" i="7"/>
  <c r="AT97" i="7"/>
  <c r="AU97" i="7"/>
  <c r="AV97" i="7"/>
  <c r="AW97" i="7"/>
  <c r="AX97" i="7"/>
  <c r="AY97" i="7"/>
  <c r="AZ97" i="7"/>
  <c r="BA97" i="7"/>
  <c r="BB97" i="7"/>
  <c r="BC97" i="7"/>
  <c r="BD97" i="7"/>
  <c r="BE97" i="7"/>
  <c r="BF97" i="7"/>
  <c r="BG97" i="7"/>
  <c r="BH97" i="7"/>
  <c r="BI97" i="7"/>
  <c r="BJ97" i="7"/>
  <c r="BK97" i="7"/>
  <c r="BL97" i="7"/>
  <c r="BM97" i="7"/>
  <c r="BN97" i="7"/>
  <c r="BO97" i="7"/>
  <c r="BP97" i="7"/>
  <c r="BQ97" i="7"/>
  <c r="BR97" i="7"/>
  <c r="BS97" i="7"/>
  <c r="BT97" i="7"/>
  <c r="BU97" i="7"/>
  <c r="BV97" i="7"/>
  <c r="BW97" i="7"/>
  <c r="BX97" i="7"/>
  <c r="BY97" i="7"/>
  <c r="I99" i="7"/>
  <c r="J99" i="7"/>
  <c r="K99" i="7"/>
  <c r="L99" i="7"/>
  <c r="M99" i="7"/>
  <c r="N99" i="7"/>
  <c r="O99" i="7"/>
  <c r="P99" i="7"/>
  <c r="Q99" i="7"/>
  <c r="R99" i="7"/>
  <c r="S99" i="7"/>
  <c r="T99" i="7"/>
  <c r="U99" i="7"/>
  <c r="V99" i="7"/>
  <c r="W99" i="7"/>
  <c r="X99" i="7"/>
  <c r="Y99" i="7"/>
  <c r="Z99" i="7"/>
  <c r="AA99" i="7"/>
  <c r="AB99" i="7"/>
  <c r="AC99" i="7"/>
  <c r="AD99" i="7"/>
  <c r="AE99" i="7"/>
  <c r="AF99" i="7"/>
  <c r="AG99" i="7"/>
  <c r="AH99" i="7"/>
  <c r="AI99" i="7"/>
  <c r="AJ99" i="7"/>
  <c r="AK99" i="7"/>
  <c r="AL99" i="7"/>
  <c r="AM99" i="7"/>
  <c r="AN99" i="7"/>
  <c r="AO99" i="7"/>
  <c r="AP99" i="7"/>
  <c r="AQ99" i="7"/>
  <c r="AR99" i="7"/>
  <c r="AS99" i="7"/>
  <c r="AT99" i="7"/>
  <c r="AU99" i="7"/>
  <c r="AV99" i="7"/>
  <c r="AW99" i="7"/>
  <c r="AX99" i="7"/>
  <c r="AY99" i="7"/>
  <c r="AZ99" i="7"/>
  <c r="BA99" i="7"/>
  <c r="BB99" i="7"/>
  <c r="BC99" i="7"/>
  <c r="BD99" i="7"/>
  <c r="BE99" i="7"/>
  <c r="BF99" i="7"/>
  <c r="BG99" i="7"/>
  <c r="BH99" i="7"/>
  <c r="BI99" i="7"/>
  <c r="BJ99" i="7"/>
  <c r="BK99" i="7"/>
  <c r="BL99" i="7"/>
  <c r="BM99" i="7"/>
  <c r="BN99" i="7"/>
  <c r="BO99" i="7"/>
  <c r="BP99" i="7"/>
  <c r="BQ99" i="7"/>
  <c r="BR99" i="7"/>
  <c r="BS99" i="7"/>
  <c r="BT99" i="7"/>
  <c r="BU99" i="7"/>
  <c r="BV99" i="7"/>
  <c r="BW99" i="7"/>
  <c r="BX99" i="7"/>
  <c r="BY99" i="7"/>
  <c r="F100" i="7"/>
  <c r="H100" i="7"/>
  <c r="I100" i="7"/>
  <c r="J100" i="7"/>
  <c r="K100" i="7"/>
  <c r="L100" i="7"/>
  <c r="M100" i="7"/>
  <c r="N100" i="7"/>
  <c r="O100" i="7"/>
  <c r="P100" i="7"/>
  <c r="Q100" i="7"/>
  <c r="R100" i="7"/>
  <c r="S100" i="7"/>
  <c r="T100" i="7"/>
  <c r="U100" i="7"/>
  <c r="V100" i="7"/>
  <c r="W100" i="7"/>
  <c r="X100" i="7"/>
  <c r="Y100" i="7"/>
  <c r="Z100" i="7"/>
  <c r="AA100" i="7"/>
  <c r="AB100" i="7"/>
  <c r="AC100" i="7"/>
  <c r="AD100" i="7"/>
  <c r="AE100" i="7"/>
  <c r="AF100" i="7"/>
  <c r="AG100" i="7"/>
  <c r="AH100" i="7"/>
  <c r="AI100" i="7"/>
  <c r="AJ100" i="7"/>
  <c r="AK100" i="7"/>
  <c r="AL100" i="7"/>
  <c r="AM100" i="7"/>
  <c r="AN100" i="7"/>
  <c r="AO100" i="7"/>
  <c r="AP100" i="7"/>
  <c r="AQ100" i="7"/>
  <c r="AR100" i="7"/>
  <c r="AS100" i="7"/>
  <c r="AT100" i="7"/>
  <c r="AU100" i="7"/>
  <c r="AV100" i="7"/>
  <c r="AW100" i="7"/>
  <c r="AX100" i="7"/>
  <c r="AY100" i="7"/>
  <c r="AZ100" i="7"/>
  <c r="BA100" i="7"/>
  <c r="BB100" i="7"/>
  <c r="BC100" i="7"/>
  <c r="BD100" i="7"/>
  <c r="BE100" i="7"/>
  <c r="BF100" i="7"/>
  <c r="BG100" i="7"/>
  <c r="BH100" i="7"/>
  <c r="BI100" i="7"/>
  <c r="BJ100" i="7"/>
  <c r="BK100" i="7"/>
  <c r="BL100" i="7"/>
  <c r="BM100" i="7"/>
  <c r="BN100" i="7"/>
  <c r="BO100" i="7"/>
  <c r="BP100" i="7"/>
  <c r="BQ100" i="7"/>
  <c r="BR100" i="7"/>
  <c r="BS100" i="7"/>
  <c r="BT100" i="7"/>
  <c r="BU100" i="7"/>
  <c r="BV100" i="7"/>
  <c r="BW100" i="7"/>
  <c r="BX100" i="7"/>
  <c r="BY100" i="7"/>
  <c r="E101" i="7"/>
  <c r="H101" i="7"/>
  <c r="I101" i="7"/>
  <c r="J101" i="7"/>
  <c r="K101" i="7"/>
  <c r="L101" i="7"/>
  <c r="M101" i="7"/>
  <c r="N101" i="7"/>
  <c r="O101" i="7"/>
  <c r="P101" i="7"/>
  <c r="Q101" i="7"/>
  <c r="R101" i="7"/>
  <c r="S101" i="7"/>
  <c r="T101" i="7"/>
  <c r="U101" i="7"/>
  <c r="V101" i="7"/>
  <c r="W101" i="7"/>
  <c r="X101" i="7"/>
  <c r="Y101" i="7"/>
  <c r="Z101" i="7"/>
  <c r="AA101" i="7"/>
  <c r="AB101" i="7"/>
  <c r="AC101" i="7"/>
  <c r="AD101" i="7"/>
  <c r="AE101" i="7"/>
  <c r="AF101" i="7"/>
  <c r="AG101" i="7"/>
  <c r="AH101" i="7"/>
  <c r="AI101" i="7"/>
  <c r="AJ101" i="7"/>
  <c r="AK101" i="7"/>
  <c r="AL101" i="7"/>
  <c r="AM101" i="7"/>
  <c r="AN101" i="7"/>
  <c r="AO101" i="7"/>
  <c r="AP101" i="7"/>
  <c r="AQ101" i="7"/>
  <c r="AR101" i="7"/>
  <c r="AS101" i="7"/>
  <c r="AT101" i="7"/>
  <c r="AU101" i="7"/>
  <c r="AV101" i="7"/>
  <c r="AW101" i="7"/>
  <c r="AX101" i="7"/>
  <c r="AY101" i="7"/>
  <c r="AZ101" i="7"/>
  <c r="BA101" i="7"/>
  <c r="BB101" i="7"/>
  <c r="BC101" i="7"/>
  <c r="BD101" i="7"/>
  <c r="BE101" i="7"/>
  <c r="BF101" i="7"/>
  <c r="BG101" i="7"/>
  <c r="BH101" i="7"/>
  <c r="BI101" i="7"/>
  <c r="BJ101" i="7"/>
  <c r="BK101" i="7"/>
  <c r="BL101" i="7"/>
  <c r="BM101" i="7"/>
  <c r="BN101" i="7"/>
  <c r="BO101" i="7"/>
  <c r="BP101" i="7"/>
  <c r="BQ101" i="7"/>
  <c r="BR101" i="7"/>
  <c r="BS101" i="7"/>
  <c r="BT101" i="7"/>
  <c r="BU101" i="7"/>
  <c r="BV101" i="7"/>
  <c r="BW101" i="7"/>
  <c r="BX101" i="7"/>
  <c r="BY101" i="7"/>
  <c r="H102" i="7"/>
  <c r="I102" i="7"/>
  <c r="J102" i="7"/>
  <c r="K102" i="7"/>
  <c r="L102" i="7"/>
  <c r="M102" i="7"/>
  <c r="N102" i="7"/>
  <c r="O102" i="7"/>
  <c r="P102" i="7"/>
  <c r="Q102" i="7"/>
  <c r="R102" i="7"/>
  <c r="S102" i="7"/>
  <c r="T102" i="7"/>
  <c r="U102" i="7"/>
  <c r="V102" i="7"/>
  <c r="W102" i="7"/>
  <c r="X102" i="7"/>
  <c r="Y102" i="7"/>
  <c r="Z102" i="7"/>
  <c r="AA102" i="7"/>
  <c r="AB102" i="7"/>
  <c r="AC102" i="7"/>
  <c r="AD102" i="7"/>
  <c r="AE102" i="7"/>
  <c r="AF102" i="7"/>
  <c r="AG102" i="7"/>
  <c r="AH102" i="7"/>
  <c r="AI102" i="7"/>
  <c r="AJ102" i="7"/>
  <c r="AK102" i="7"/>
  <c r="AL102" i="7"/>
  <c r="AM102" i="7"/>
  <c r="AN102" i="7"/>
  <c r="AO102" i="7"/>
  <c r="AP102" i="7"/>
  <c r="AQ102" i="7"/>
  <c r="AR102" i="7"/>
  <c r="AS102" i="7"/>
  <c r="AT102" i="7"/>
  <c r="AU102" i="7"/>
  <c r="AV102" i="7"/>
  <c r="AW102" i="7"/>
  <c r="AX102" i="7"/>
  <c r="AY102" i="7"/>
  <c r="AZ102" i="7"/>
  <c r="BA102" i="7"/>
  <c r="BB102" i="7"/>
  <c r="BC102" i="7"/>
  <c r="BD102" i="7"/>
  <c r="BE102" i="7"/>
  <c r="BF102" i="7"/>
  <c r="BG102" i="7"/>
  <c r="BH102" i="7"/>
  <c r="BI102" i="7"/>
  <c r="BJ102" i="7"/>
  <c r="BK102" i="7"/>
  <c r="BL102" i="7"/>
  <c r="BM102" i="7"/>
  <c r="BN102" i="7"/>
  <c r="BO102" i="7"/>
  <c r="BP102" i="7"/>
  <c r="BQ102" i="7"/>
  <c r="BR102" i="7"/>
  <c r="BS102" i="7"/>
  <c r="BT102" i="7"/>
  <c r="BU102" i="7"/>
  <c r="BV102" i="7"/>
  <c r="BW102" i="7"/>
  <c r="BX102" i="7"/>
  <c r="BY102" i="7"/>
  <c r="F103" i="7"/>
  <c r="H103" i="7"/>
  <c r="I103" i="7"/>
  <c r="J103" i="7"/>
  <c r="K103" i="7"/>
  <c r="L103" i="7"/>
  <c r="M103" i="7"/>
  <c r="N103" i="7"/>
  <c r="O103" i="7"/>
  <c r="P103" i="7"/>
  <c r="Q103" i="7"/>
  <c r="R103" i="7"/>
  <c r="S103" i="7"/>
  <c r="T103" i="7"/>
  <c r="U103" i="7"/>
  <c r="V103" i="7"/>
  <c r="W103" i="7"/>
  <c r="X103" i="7"/>
  <c r="Y103" i="7"/>
  <c r="Z103" i="7"/>
  <c r="AA103" i="7"/>
  <c r="AB103" i="7"/>
  <c r="AC103" i="7"/>
  <c r="AD103" i="7"/>
  <c r="AE103" i="7"/>
  <c r="AF103" i="7"/>
  <c r="AG103" i="7"/>
  <c r="AH103" i="7"/>
  <c r="AI103" i="7"/>
  <c r="AJ103" i="7"/>
  <c r="AK103" i="7"/>
  <c r="AL103" i="7"/>
  <c r="AM103" i="7"/>
  <c r="AN103" i="7"/>
  <c r="AO103" i="7"/>
  <c r="AP103" i="7"/>
  <c r="AQ103" i="7"/>
  <c r="AR103" i="7"/>
  <c r="AS103" i="7"/>
  <c r="AT103" i="7"/>
  <c r="AU103" i="7"/>
  <c r="AV103" i="7"/>
  <c r="AW103" i="7"/>
  <c r="AX103" i="7"/>
  <c r="AY103" i="7"/>
  <c r="AZ103" i="7"/>
  <c r="BA103" i="7"/>
  <c r="BB103" i="7"/>
  <c r="BC103" i="7"/>
  <c r="BD103" i="7"/>
  <c r="BE103" i="7"/>
  <c r="BF103" i="7"/>
  <c r="BG103" i="7"/>
  <c r="BH103" i="7"/>
  <c r="BI103" i="7"/>
  <c r="BJ103" i="7"/>
  <c r="BK103" i="7"/>
  <c r="BL103" i="7"/>
  <c r="BM103" i="7"/>
  <c r="BN103" i="7"/>
  <c r="BO103" i="7"/>
  <c r="BP103" i="7"/>
  <c r="BQ103" i="7"/>
  <c r="BR103" i="7"/>
  <c r="BS103" i="7"/>
  <c r="BT103" i="7"/>
  <c r="BU103" i="7"/>
  <c r="BV103" i="7"/>
  <c r="BW103" i="7"/>
  <c r="BX103" i="7"/>
  <c r="BY103" i="7"/>
  <c r="F105" i="7"/>
  <c r="H105" i="7"/>
  <c r="I105" i="7"/>
  <c r="J105" i="7"/>
  <c r="K105" i="7"/>
  <c r="L105" i="7"/>
  <c r="M105" i="7"/>
  <c r="N105" i="7"/>
  <c r="O105" i="7"/>
  <c r="P105" i="7"/>
  <c r="Q105" i="7"/>
  <c r="R105" i="7"/>
  <c r="S105" i="7"/>
  <c r="T105" i="7"/>
  <c r="U105" i="7"/>
  <c r="V105" i="7"/>
  <c r="W105" i="7"/>
  <c r="X105" i="7"/>
  <c r="Y105" i="7"/>
  <c r="Z105" i="7"/>
  <c r="AA105" i="7"/>
  <c r="AB105" i="7"/>
  <c r="AC105" i="7"/>
  <c r="AD105" i="7"/>
  <c r="AE105" i="7"/>
  <c r="AF105" i="7"/>
  <c r="AG105" i="7"/>
  <c r="AH105" i="7"/>
  <c r="AI105" i="7"/>
  <c r="AJ105" i="7"/>
  <c r="AK105" i="7"/>
  <c r="AL105" i="7"/>
  <c r="AM105" i="7"/>
  <c r="AN105" i="7"/>
  <c r="AO105" i="7"/>
  <c r="AP105" i="7"/>
  <c r="AQ105" i="7"/>
  <c r="AR105" i="7"/>
  <c r="AS105" i="7"/>
  <c r="AT105" i="7"/>
  <c r="AU105" i="7"/>
  <c r="AV105" i="7"/>
  <c r="AW105" i="7"/>
  <c r="AX105" i="7"/>
  <c r="AY105" i="7"/>
  <c r="AZ105" i="7"/>
  <c r="BA105" i="7"/>
  <c r="BB105" i="7"/>
  <c r="BC105" i="7"/>
  <c r="BD105" i="7"/>
  <c r="BE105" i="7"/>
  <c r="BF105" i="7"/>
  <c r="BG105" i="7"/>
  <c r="BH105" i="7"/>
  <c r="BI105" i="7"/>
  <c r="BJ105" i="7"/>
  <c r="BK105" i="7"/>
  <c r="BL105" i="7"/>
  <c r="BM105" i="7"/>
  <c r="BN105" i="7"/>
  <c r="BO105" i="7"/>
  <c r="BP105" i="7"/>
  <c r="BQ105" i="7"/>
  <c r="BR105" i="7"/>
  <c r="BS105" i="7"/>
  <c r="BT105" i="7"/>
  <c r="BU105" i="7"/>
  <c r="BV105" i="7"/>
  <c r="BW105" i="7"/>
  <c r="BX105" i="7"/>
  <c r="BY105" i="7"/>
  <c r="H108" i="7"/>
  <c r="I108" i="7"/>
  <c r="J108" i="7"/>
  <c r="K108" i="7"/>
  <c r="L108" i="7"/>
  <c r="M108" i="7"/>
  <c r="N108" i="7"/>
  <c r="O108" i="7"/>
  <c r="P108" i="7"/>
  <c r="Q108" i="7"/>
  <c r="R108" i="7"/>
  <c r="S108" i="7"/>
  <c r="T108" i="7"/>
  <c r="U108" i="7"/>
  <c r="V108" i="7"/>
  <c r="W108" i="7"/>
  <c r="X108" i="7"/>
  <c r="Y108" i="7"/>
  <c r="Z108" i="7"/>
  <c r="AA108" i="7"/>
  <c r="AB108" i="7"/>
  <c r="AC108" i="7"/>
  <c r="AD108" i="7"/>
  <c r="AE108" i="7"/>
  <c r="AF108" i="7"/>
  <c r="AG108" i="7"/>
  <c r="AH108" i="7"/>
  <c r="AI108" i="7"/>
  <c r="AJ108" i="7"/>
  <c r="AK108" i="7"/>
  <c r="AL108" i="7"/>
  <c r="AM108" i="7"/>
  <c r="AN108" i="7"/>
  <c r="AO108" i="7"/>
  <c r="AP108" i="7"/>
  <c r="AQ108" i="7"/>
  <c r="AR108" i="7"/>
  <c r="AS108" i="7"/>
  <c r="AT108" i="7"/>
  <c r="AU108" i="7"/>
  <c r="AV108" i="7"/>
  <c r="AW108" i="7"/>
  <c r="AX108" i="7"/>
  <c r="AY108" i="7"/>
  <c r="AZ108" i="7"/>
  <c r="BA108" i="7"/>
  <c r="BB108" i="7"/>
  <c r="BC108" i="7"/>
  <c r="BD108" i="7"/>
  <c r="BE108" i="7"/>
  <c r="BF108" i="7"/>
  <c r="BG108" i="7"/>
  <c r="BH108" i="7"/>
  <c r="BI108" i="7"/>
  <c r="BJ108" i="7"/>
  <c r="BK108" i="7"/>
  <c r="BL108" i="7"/>
  <c r="BM108" i="7"/>
  <c r="BN108" i="7"/>
  <c r="BO108" i="7"/>
  <c r="BP108" i="7"/>
  <c r="BQ108" i="7"/>
  <c r="BR108" i="7"/>
  <c r="BS108" i="7"/>
  <c r="BT108" i="7"/>
  <c r="BU108" i="7"/>
  <c r="BV108" i="7"/>
  <c r="BW108" i="7"/>
  <c r="BX108" i="7"/>
  <c r="BY108" i="7"/>
  <c r="H109" i="7"/>
  <c r="I109" i="7"/>
  <c r="J109" i="7"/>
  <c r="K109" i="7"/>
  <c r="L109" i="7"/>
  <c r="M109" i="7"/>
  <c r="N109" i="7"/>
  <c r="O109" i="7"/>
  <c r="P109" i="7"/>
  <c r="Q109" i="7"/>
  <c r="R109" i="7"/>
  <c r="S109" i="7"/>
  <c r="T109" i="7"/>
  <c r="U109" i="7"/>
  <c r="V109" i="7"/>
  <c r="W109" i="7"/>
  <c r="X109" i="7"/>
  <c r="Y109" i="7"/>
  <c r="Z109" i="7"/>
  <c r="AA109" i="7"/>
  <c r="AB109" i="7"/>
  <c r="AC109" i="7"/>
  <c r="AD109" i="7"/>
  <c r="AE109" i="7"/>
  <c r="AF109" i="7"/>
  <c r="AG109" i="7"/>
  <c r="AH109" i="7"/>
  <c r="AI109" i="7"/>
  <c r="AJ109" i="7"/>
  <c r="AK109" i="7"/>
  <c r="AL109" i="7"/>
  <c r="AM109" i="7"/>
  <c r="AN109" i="7"/>
  <c r="AO109" i="7"/>
  <c r="AP109" i="7"/>
  <c r="AQ109" i="7"/>
  <c r="AR109" i="7"/>
  <c r="AS109" i="7"/>
  <c r="AT109" i="7"/>
  <c r="AU109" i="7"/>
  <c r="AV109" i="7"/>
  <c r="AW109" i="7"/>
  <c r="AX109" i="7"/>
  <c r="AY109" i="7"/>
  <c r="AZ109" i="7"/>
  <c r="BA109" i="7"/>
  <c r="BB109" i="7"/>
  <c r="BC109" i="7"/>
  <c r="BD109" i="7"/>
  <c r="BE109" i="7"/>
  <c r="BF109" i="7"/>
  <c r="BG109" i="7"/>
  <c r="BH109" i="7"/>
  <c r="BI109" i="7"/>
  <c r="BJ109" i="7"/>
  <c r="BK109" i="7"/>
  <c r="BL109" i="7"/>
  <c r="BM109" i="7"/>
  <c r="BN109" i="7"/>
  <c r="BO109" i="7"/>
  <c r="BP109" i="7"/>
  <c r="BQ109" i="7"/>
  <c r="BR109" i="7"/>
  <c r="BS109" i="7"/>
  <c r="BT109" i="7"/>
  <c r="BU109" i="7"/>
  <c r="BV109" i="7"/>
  <c r="BW109" i="7"/>
  <c r="BX109" i="7"/>
  <c r="BY109" i="7"/>
  <c r="H110" i="7"/>
  <c r="I110" i="7"/>
  <c r="J110" i="7"/>
  <c r="K110" i="7"/>
  <c r="L110" i="7"/>
  <c r="M110" i="7"/>
  <c r="N110" i="7"/>
  <c r="O110" i="7"/>
  <c r="P110" i="7"/>
  <c r="Q110" i="7"/>
  <c r="R110" i="7"/>
  <c r="S110" i="7"/>
  <c r="T110" i="7"/>
  <c r="U110" i="7"/>
  <c r="V110" i="7"/>
  <c r="W110" i="7"/>
  <c r="X110" i="7"/>
  <c r="Y110" i="7"/>
  <c r="Z110" i="7"/>
  <c r="AA110" i="7"/>
  <c r="AB110" i="7"/>
  <c r="AC110" i="7"/>
  <c r="AD110" i="7"/>
  <c r="AE110" i="7"/>
  <c r="AF110" i="7"/>
  <c r="AG110" i="7"/>
  <c r="AH110" i="7"/>
  <c r="AI110" i="7"/>
  <c r="AJ110" i="7"/>
  <c r="AK110" i="7"/>
  <c r="AL110" i="7"/>
  <c r="AM110" i="7"/>
  <c r="AN110" i="7"/>
  <c r="AO110" i="7"/>
  <c r="AP110" i="7"/>
  <c r="AQ110" i="7"/>
  <c r="AR110" i="7"/>
  <c r="AS110" i="7"/>
  <c r="AT110" i="7"/>
  <c r="AU110" i="7"/>
  <c r="AV110" i="7"/>
  <c r="AW110" i="7"/>
  <c r="AX110" i="7"/>
  <c r="AY110" i="7"/>
  <c r="AZ110" i="7"/>
  <c r="BA110" i="7"/>
  <c r="BB110" i="7"/>
  <c r="BC110" i="7"/>
  <c r="BD110" i="7"/>
  <c r="BE110" i="7"/>
  <c r="BF110" i="7"/>
  <c r="BG110" i="7"/>
  <c r="BH110" i="7"/>
  <c r="BI110" i="7"/>
  <c r="BJ110" i="7"/>
  <c r="BK110" i="7"/>
  <c r="BL110" i="7"/>
  <c r="BM110" i="7"/>
  <c r="BN110" i="7"/>
  <c r="BO110" i="7"/>
  <c r="BP110" i="7"/>
  <c r="BQ110" i="7"/>
  <c r="BR110" i="7"/>
  <c r="BS110" i="7"/>
  <c r="BT110" i="7"/>
  <c r="BU110" i="7"/>
  <c r="BV110" i="7"/>
  <c r="BW110" i="7"/>
  <c r="BX110" i="7"/>
  <c r="BY110" i="7"/>
  <c r="H111" i="7"/>
  <c r="I111" i="7"/>
  <c r="J111" i="7"/>
  <c r="K111" i="7"/>
  <c r="L111" i="7"/>
  <c r="M111" i="7"/>
  <c r="N111" i="7"/>
  <c r="O111" i="7"/>
  <c r="P111" i="7"/>
  <c r="Q111" i="7"/>
  <c r="R111" i="7"/>
  <c r="S111" i="7"/>
  <c r="T111" i="7"/>
  <c r="U111" i="7"/>
  <c r="V111" i="7"/>
  <c r="W111" i="7"/>
  <c r="X111" i="7"/>
  <c r="Y111" i="7"/>
  <c r="Z111" i="7"/>
  <c r="AA111" i="7"/>
  <c r="AB111" i="7"/>
  <c r="AC111" i="7"/>
  <c r="AD111" i="7"/>
  <c r="AE111" i="7"/>
  <c r="AF111" i="7"/>
  <c r="AG111" i="7"/>
  <c r="AH111" i="7"/>
  <c r="AI111" i="7"/>
  <c r="AJ111" i="7"/>
  <c r="AK111" i="7"/>
  <c r="AL111" i="7"/>
  <c r="AM111" i="7"/>
  <c r="AN111" i="7"/>
  <c r="AO111" i="7"/>
  <c r="AP111" i="7"/>
  <c r="AQ111" i="7"/>
  <c r="AR111" i="7"/>
  <c r="AS111" i="7"/>
  <c r="AT111" i="7"/>
  <c r="AU111" i="7"/>
  <c r="AV111" i="7"/>
  <c r="AW111" i="7"/>
  <c r="AX111" i="7"/>
  <c r="AY111" i="7"/>
  <c r="AZ111" i="7"/>
  <c r="BA111" i="7"/>
  <c r="BB111" i="7"/>
  <c r="BC111" i="7"/>
  <c r="BD111" i="7"/>
  <c r="BE111" i="7"/>
  <c r="BF111" i="7"/>
  <c r="BG111" i="7"/>
  <c r="BH111" i="7"/>
  <c r="BI111" i="7"/>
  <c r="BJ111" i="7"/>
  <c r="BK111" i="7"/>
  <c r="BL111" i="7"/>
  <c r="BM111" i="7"/>
  <c r="BN111" i="7"/>
  <c r="BO111" i="7"/>
  <c r="BP111" i="7"/>
  <c r="BQ111" i="7"/>
  <c r="BR111" i="7"/>
  <c r="BS111" i="7"/>
  <c r="BT111" i="7"/>
  <c r="BU111" i="7"/>
  <c r="BV111" i="7"/>
  <c r="BW111" i="7"/>
  <c r="BX111" i="7"/>
  <c r="BY111" i="7"/>
  <c r="H115" i="7"/>
  <c r="I115" i="7"/>
  <c r="J115" i="7"/>
  <c r="H118" i="7"/>
  <c r="I118" i="7"/>
  <c r="J118" i="7"/>
  <c r="K118" i="7"/>
  <c r="L118" i="7"/>
  <c r="M118" i="7"/>
  <c r="N118" i="7"/>
  <c r="O118" i="7"/>
  <c r="P118" i="7"/>
  <c r="Q118" i="7"/>
  <c r="R118" i="7"/>
  <c r="S118" i="7"/>
  <c r="T118" i="7"/>
  <c r="U118" i="7"/>
  <c r="V118" i="7"/>
  <c r="W118" i="7"/>
  <c r="X118" i="7"/>
  <c r="Y118" i="7"/>
  <c r="Z118" i="7"/>
  <c r="AA118" i="7"/>
  <c r="AB118" i="7"/>
  <c r="AC118" i="7"/>
  <c r="AD118" i="7"/>
  <c r="AE118" i="7"/>
  <c r="AF118" i="7"/>
  <c r="AG118" i="7"/>
  <c r="AH118" i="7"/>
  <c r="AI118" i="7"/>
  <c r="AJ118" i="7"/>
  <c r="AK118" i="7"/>
  <c r="AL118" i="7"/>
  <c r="AM118" i="7"/>
  <c r="AN118" i="7"/>
  <c r="AO118" i="7"/>
  <c r="AP118" i="7"/>
  <c r="AQ118" i="7"/>
  <c r="AR118" i="7"/>
  <c r="AS118" i="7"/>
  <c r="AT118" i="7"/>
  <c r="AU118" i="7"/>
  <c r="AV118" i="7"/>
  <c r="AW118" i="7"/>
  <c r="AX118" i="7"/>
  <c r="AY118" i="7"/>
  <c r="AZ118" i="7"/>
  <c r="BA118" i="7"/>
  <c r="BB118" i="7"/>
  <c r="BC118" i="7"/>
  <c r="BD118" i="7"/>
  <c r="BE118" i="7"/>
  <c r="BF118" i="7"/>
  <c r="BG118" i="7"/>
  <c r="BH118" i="7"/>
  <c r="BI118" i="7"/>
  <c r="BJ118" i="7"/>
  <c r="BK118" i="7"/>
  <c r="BL118" i="7"/>
  <c r="BM118" i="7"/>
  <c r="BN118" i="7"/>
  <c r="BO118" i="7"/>
  <c r="BP118" i="7"/>
  <c r="BQ118" i="7"/>
  <c r="BR118" i="7"/>
  <c r="BS118" i="7"/>
  <c r="BT118" i="7"/>
  <c r="BU118" i="7"/>
  <c r="BV118" i="7"/>
  <c r="BW118" i="7"/>
  <c r="BX118" i="7"/>
  <c r="BY118" i="7"/>
  <c r="H119" i="7"/>
  <c r="I119" i="7"/>
  <c r="J119" i="7"/>
  <c r="K119" i="7"/>
  <c r="L119" i="7"/>
  <c r="M119" i="7"/>
  <c r="N119" i="7"/>
  <c r="O119" i="7"/>
  <c r="P119" i="7"/>
  <c r="Q119" i="7"/>
  <c r="R119" i="7"/>
  <c r="S119" i="7"/>
  <c r="T119" i="7"/>
  <c r="U119" i="7"/>
  <c r="V119" i="7"/>
  <c r="W119" i="7"/>
  <c r="X119" i="7"/>
  <c r="Y119" i="7"/>
  <c r="Z119" i="7"/>
  <c r="AA119" i="7"/>
  <c r="AB119" i="7"/>
  <c r="AC119" i="7"/>
  <c r="AD119" i="7"/>
  <c r="AE119" i="7"/>
  <c r="AF119" i="7"/>
  <c r="AG119" i="7"/>
  <c r="AH119" i="7"/>
  <c r="AI119" i="7"/>
  <c r="AJ119" i="7"/>
  <c r="AK119" i="7"/>
  <c r="AL119" i="7"/>
  <c r="AM119" i="7"/>
  <c r="AN119" i="7"/>
  <c r="AO119" i="7"/>
  <c r="AP119" i="7"/>
  <c r="AQ119" i="7"/>
  <c r="AR119" i="7"/>
  <c r="AS119" i="7"/>
  <c r="AT119" i="7"/>
  <c r="AU119" i="7"/>
  <c r="AV119" i="7"/>
  <c r="AW119" i="7"/>
  <c r="AX119" i="7"/>
  <c r="AY119" i="7"/>
  <c r="AZ119" i="7"/>
  <c r="BA119" i="7"/>
  <c r="BB119" i="7"/>
  <c r="BC119" i="7"/>
  <c r="BD119" i="7"/>
  <c r="BE119" i="7"/>
  <c r="BF119" i="7"/>
  <c r="BG119" i="7"/>
  <c r="BH119" i="7"/>
  <c r="BI119" i="7"/>
  <c r="BJ119" i="7"/>
  <c r="BK119" i="7"/>
  <c r="BL119" i="7"/>
  <c r="BM119" i="7"/>
  <c r="BN119" i="7"/>
  <c r="BO119" i="7"/>
  <c r="BP119" i="7"/>
  <c r="BQ119" i="7"/>
  <c r="BR119" i="7"/>
  <c r="BS119" i="7"/>
  <c r="BT119" i="7"/>
  <c r="BU119" i="7"/>
  <c r="BV119" i="7"/>
  <c r="BW119" i="7"/>
  <c r="BX119" i="7"/>
  <c r="BY119" i="7"/>
  <c r="H120" i="7"/>
  <c r="I120" i="7"/>
  <c r="J120" i="7"/>
  <c r="K120" i="7"/>
  <c r="L120" i="7"/>
  <c r="M120" i="7"/>
  <c r="N120" i="7"/>
  <c r="O120" i="7"/>
  <c r="P120" i="7"/>
  <c r="Q120" i="7"/>
  <c r="R120" i="7"/>
  <c r="S120" i="7"/>
  <c r="T120" i="7"/>
  <c r="U120" i="7"/>
  <c r="V120" i="7"/>
  <c r="W120" i="7"/>
  <c r="X120" i="7"/>
  <c r="Y120" i="7"/>
  <c r="Z120" i="7"/>
  <c r="AA120" i="7"/>
  <c r="AB120" i="7"/>
  <c r="AC120" i="7"/>
  <c r="AD120" i="7"/>
  <c r="AE120" i="7"/>
  <c r="AF120" i="7"/>
  <c r="AG120" i="7"/>
  <c r="AH120" i="7"/>
  <c r="AI120" i="7"/>
  <c r="AJ120" i="7"/>
  <c r="AK120" i="7"/>
  <c r="AL120" i="7"/>
  <c r="AM120" i="7"/>
  <c r="AN120" i="7"/>
  <c r="AO120" i="7"/>
  <c r="AP120" i="7"/>
  <c r="AQ120" i="7"/>
  <c r="AR120" i="7"/>
  <c r="AS120" i="7"/>
  <c r="AT120" i="7"/>
  <c r="AU120" i="7"/>
  <c r="AV120" i="7"/>
  <c r="AW120" i="7"/>
  <c r="AX120" i="7"/>
  <c r="AY120" i="7"/>
  <c r="AZ120" i="7"/>
  <c r="BA120" i="7"/>
  <c r="BB120" i="7"/>
  <c r="BC120" i="7"/>
  <c r="BD120" i="7"/>
  <c r="BE120" i="7"/>
  <c r="BF120" i="7"/>
  <c r="BG120" i="7"/>
  <c r="BH120" i="7"/>
  <c r="BI120" i="7"/>
  <c r="BJ120" i="7"/>
  <c r="BK120" i="7"/>
  <c r="BL120" i="7"/>
  <c r="BM120" i="7"/>
  <c r="BN120" i="7"/>
  <c r="BO120" i="7"/>
  <c r="BP120" i="7"/>
  <c r="BQ120" i="7"/>
  <c r="BR120" i="7"/>
  <c r="BS120" i="7"/>
  <c r="BT120" i="7"/>
  <c r="BU120" i="7"/>
  <c r="BV120" i="7"/>
  <c r="BW120" i="7"/>
  <c r="BX120" i="7"/>
  <c r="BY120" i="7"/>
  <c r="H121" i="7"/>
  <c r="I121" i="7"/>
  <c r="J121" i="7"/>
  <c r="K121" i="7"/>
  <c r="L121" i="7"/>
  <c r="M121" i="7"/>
  <c r="N121" i="7"/>
  <c r="O121" i="7"/>
  <c r="P121" i="7"/>
  <c r="Q121" i="7"/>
  <c r="R121" i="7"/>
  <c r="S121" i="7"/>
  <c r="T121" i="7"/>
  <c r="U121" i="7"/>
  <c r="V121" i="7"/>
  <c r="W121" i="7"/>
  <c r="X121" i="7"/>
  <c r="Y121" i="7"/>
  <c r="Z121" i="7"/>
  <c r="AA121" i="7"/>
  <c r="AB121" i="7"/>
  <c r="AC121" i="7"/>
  <c r="AD121" i="7"/>
  <c r="AE121" i="7"/>
  <c r="AF121" i="7"/>
  <c r="AG121" i="7"/>
  <c r="AH121" i="7"/>
  <c r="AI121" i="7"/>
  <c r="AJ121" i="7"/>
  <c r="AK121" i="7"/>
  <c r="AL121" i="7"/>
  <c r="AM121" i="7"/>
  <c r="AN121" i="7"/>
  <c r="AO121" i="7"/>
  <c r="AP121" i="7"/>
  <c r="AQ121" i="7"/>
  <c r="AR121" i="7"/>
  <c r="AS121" i="7"/>
  <c r="AT121" i="7"/>
  <c r="AU121" i="7"/>
  <c r="AV121" i="7"/>
  <c r="AW121" i="7"/>
  <c r="AX121" i="7"/>
  <c r="AY121" i="7"/>
  <c r="AZ121" i="7"/>
  <c r="BA121" i="7"/>
  <c r="BB121" i="7"/>
  <c r="BC121" i="7"/>
  <c r="BD121" i="7"/>
  <c r="BE121" i="7"/>
  <c r="BF121" i="7"/>
  <c r="BG121" i="7"/>
  <c r="BH121" i="7"/>
  <c r="BI121" i="7"/>
  <c r="BJ121" i="7"/>
  <c r="BK121" i="7"/>
  <c r="BL121" i="7"/>
  <c r="BM121" i="7"/>
  <c r="BN121" i="7"/>
  <c r="BO121" i="7"/>
  <c r="BP121" i="7"/>
  <c r="BQ121" i="7"/>
  <c r="BR121" i="7"/>
  <c r="BS121" i="7"/>
  <c r="BT121" i="7"/>
  <c r="BU121" i="7"/>
  <c r="BV121" i="7"/>
  <c r="BW121" i="7"/>
  <c r="BX121" i="7"/>
  <c r="BY121" i="7"/>
  <c r="F122" i="7"/>
  <c r="F123" i="7"/>
</calcChain>
</file>

<file path=xl/sharedStrings.xml><?xml version="1.0" encoding="utf-8"?>
<sst xmlns="http://schemas.openxmlformats.org/spreadsheetml/2006/main" count="1127" uniqueCount="557">
  <si>
    <t>00물류센터 투자모델</t>
    <phoneticPr fontId="2" type="noConversion"/>
  </si>
  <si>
    <t>변수입력</t>
    <phoneticPr fontId="2" type="noConversion"/>
  </si>
  <si>
    <t>적정성확인</t>
    <phoneticPr fontId="2" type="noConversion"/>
  </si>
  <si>
    <t>오류확인</t>
    <phoneticPr fontId="2" type="noConversion"/>
  </si>
  <si>
    <t>합계1</t>
    <phoneticPr fontId="2" type="noConversion"/>
  </si>
  <si>
    <t>합계2</t>
    <phoneticPr fontId="2" type="noConversion"/>
  </si>
  <si>
    <t>합계3</t>
    <phoneticPr fontId="2" type="noConversion"/>
  </si>
  <si>
    <t>제목</t>
    <phoneticPr fontId="2" type="noConversion"/>
  </si>
  <si>
    <t>표제목</t>
    <phoneticPr fontId="2" type="noConversion"/>
  </si>
  <si>
    <t>작성자참고</t>
    <phoneticPr fontId="2" type="noConversion"/>
  </si>
  <si>
    <t>단위: 백만원</t>
    <phoneticPr fontId="2" type="noConversion"/>
  </si>
  <si>
    <t>Assumption &amp; Result</t>
    <phoneticPr fontId="2" type="noConversion"/>
  </si>
  <si>
    <t>운영수입</t>
    <phoneticPr fontId="2" type="noConversion"/>
  </si>
  <si>
    <t>운영비용</t>
    <phoneticPr fontId="2" type="noConversion"/>
  </si>
  <si>
    <t>보유세</t>
    <phoneticPr fontId="2" type="noConversion"/>
  </si>
  <si>
    <t>펀드비용</t>
    <phoneticPr fontId="2" type="noConversion"/>
  </si>
  <si>
    <t>현금흐름</t>
    <phoneticPr fontId="2" type="noConversion"/>
  </si>
  <si>
    <t>매각가치</t>
    <phoneticPr fontId="2" type="noConversion"/>
  </si>
  <si>
    <t>배당</t>
    <phoneticPr fontId="2" type="noConversion"/>
  </si>
  <si>
    <t>민감도분석</t>
    <phoneticPr fontId="2" type="noConversion"/>
  </si>
  <si>
    <t>기본 가정</t>
    <phoneticPr fontId="2" type="noConversion"/>
  </si>
  <si>
    <t>▪투자 Vehicle:</t>
    <phoneticPr fontId="2" type="noConversion"/>
  </si>
  <si>
    <t>부동산투자회사(REITs)</t>
    <phoneticPr fontId="2" type="noConversion"/>
  </si>
  <si>
    <t>▪화폐단위:</t>
    <phoneticPr fontId="2" type="noConversion"/>
  </si>
  <si>
    <t>원</t>
    <phoneticPr fontId="2" type="noConversion"/>
  </si>
  <si>
    <r>
      <rPr>
        <sz val="9"/>
        <color theme="1"/>
        <rFont val="Segoe UI Symbol"/>
        <family val="3"/>
      </rPr>
      <t>▪</t>
    </r>
    <r>
      <rPr>
        <sz val="9"/>
        <color theme="1"/>
        <rFont val="맑은 고딕"/>
        <family val="3"/>
        <charset val="129"/>
      </rPr>
      <t>1m2 =</t>
    </r>
    <phoneticPr fontId="2" type="noConversion"/>
  </si>
  <si>
    <t>평</t>
    <phoneticPr fontId="2" type="noConversion"/>
  </si>
  <si>
    <r>
      <rPr>
        <sz val="9"/>
        <color theme="1"/>
        <rFont val="Spoqa Han Sans Neo"/>
        <family val="3"/>
        <charset val="129"/>
      </rPr>
      <t>▪</t>
    </r>
    <r>
      <rPr>
        <sz val="9"/>
        <color theme="1"/>
        <rFont val="맑은 고딕"/>
        <family val="3"/>
        <charset val="129"/>
      </rPr>
      <t>날짜입력:</t>
    </r>
    <phoneticPr fontId="2" type="noConversion"/>
  </si>
  <si>
    <t>월말기준</t>
    <phoneticPr fontId="2" type="noConversion"/>
  </si>
  <si>
    <r>
      <rPr>
        <sz val="9"/>
        <color theme="1"/>
        <rFont val="Spoqa Han Sans Neo"/>
        <family val="3"/>
        <charset val="129"/>
      </rPr>
      <t>▪</t>
    </r>
    <r>
      <rPr>
        <sz val="9"/>
        <color theme="1"/>
        <rFont val="맑은 고딕"/>
        <family val="3"/>
        <charset val="129"/>
      </rPr>
      <t>자산취득월:</t>
    </r>
    <phoneticPr fontId="2" type="noConversion"/>
  </si>
  <si>
    <r>
      <rPr>
        <sz val="9"/>
        <color theme="1"/>
        <rFont val="Spoqa Han Sans Neo"/>
        <family val="3"/>
        <charset val="129"/>
      </rPr>
      <t>▪</t>
    </r>
    <r>
      <rPr>
        <sz val="9"/>
        <color theme="1"/>
        <rFont val="맑은 고딕"/>
        <family val="3"/>
        <charset val="129"/>
      </rPr>
      <t>자산운용시작월:</t>
    </r>
    <phoneticPr fontId="2" type="noConversion"/>
  </si>
  <si>
    <r>
      <rPr>
        <sz val="9"/>
        <color theme="1"/>
        <rFont val="Segoe UI Symbol"/>
        <family val="3"/>
      </rPr>
      <t>▪</t>
    </r>
    <r>
      <rPr>
        <sz val="9"/>
        <color theme="1"/>
        <rFont val="맑은 고딕"/>
        <family val="3"/>
        <charset val="129"/>
      </rPr>
      <t>자산운용기간:</t>
    </r>
    <phoneticPr fontId="2" type="noConversion"/>
  </si>
  <si>
    <r>
      <rPr>
        <sz val="9"/>
        <color theme="1"/>
        <rFont val="Segoe UI Symbol"/>
        <family val="3"/>
      </rPr>
      <t>▪</t>
    </r>
    <r>
      <rPr>
        <sz val="9"/>
        <color theme="1"/>
        <rFont val="맑은 고딕"/>
        <family val="3"/>
        <charset val="129"/>
      </rPr>
      <t>자산매각월:</t>
    </r>
    <phoneticPr fontId="2" type="noConversion"/>
  </si>
  <si>
    <r>
      <rPr>
        <sz val="9"/>
        <color theme="1"/>
        <rFont val="Segoe UI Symbol"/>
        <family val="3"/>
      </rPr>
      <t>▪</t>
    </r>
    <r>
      <rPr>
        <sz val="9"/>
        <color theme="1"/>
        <rFont val="맑은 고딕"/>
        <family val="3"/>
        <charset val="129"/>
      </rPr>
      <t>회계기간:</t>
    </r>
    <phoneticPr fontId="2" type="noConversion"/>
  </si>
  <si>
    <t>자산 개요</t>
    <phoneticPr fontId="2" type="noConversion"/>
  </si>
  <si>
    <r>
      <rPr>
        <sz val="9"/>
        <color theme="1"/>
        <rFont val="Spoqa Han Sans Neo"/>
        <family val="3"/>
        <charset val="129"/>
      </rPr>
      <t>▪</t>
    </r>
    <r>
      <rPr>
        <sz val="9"/>
        <color theme="1"/>
        <rFont val="맑은 고딕"/>
        <family val="3"/>
        <charset val="129"/>
      </rPr>
      <t>자산명:</t>
    </r>
    <phoneticPr fontId="2" type="noConversion"/>
  </si>
  <si>
    <t>00물류센터</t>
    <phoneticPr fontId="2" type="noConversion"/>
  </si>
  <si>
    <r>
      <rPr>
        <sz val="9"/>
        <color theme="1"/>
        <rFont val="Spoqa Han Sans Neo"/>
        <family val="3"/>
        <charset val="129"/>
      </rPr>
      <t>▪</t>
    </r>
    <r>
      <rPr>
        <sz val="9"/>
        <color theme="1"/>
        <rFont val="맑은 고딕"/>
        <family val="3"/>
        <charset val="129"/>
      </rPr>
      <t>위치:</t>
    </r>
    <phoneticPr fontId="2" type="noConversion"/>
  </si>
  <si>
    <t>경기도 00시 00면 00리</t>
    <phoneticPr fontId="2" type="noConversion"/>
  </si>
  <si>
    <t>▪용도지역:</t>
    <phoneticPr fontId="2" type="noConversion"/>
  </si>
  <si>
    <t>자연녹지지역</t>
    <phoneticPr fontId="2" type="noConversion"/>
  </si>
  <si>
    <r>
      <rPr>
        <sz val="9"/>
        <color theme="1"/>
        <rFont val="Spoqa Han Sans Neo"/>
        <family val="3"/>
        <charset val="129"/>
      </rPr>
      <t>▪</t>
    </r>
    <r>
      <rPr>
        <sz val="9"/>
        <color theme="1"/>
        <rFont val="맑은 고딕"/>
        <family val="3"/>
        <charset val="129"/>
      </rPr>
      <t>대지면적:</t>
    </r>
    <phoneticPr fontId="2" type="noConversion"/>
  </si>
  <si>
    <t>m2</t>
    <phoneticPr fontId="2" type="noConversion"/>
  </si>
  <si>
    <r>
      <rPr>
        <sz val="9"/>
        <color theme="1"/>
        <rFont val="Spoqa Han Sans Neo"/>
        <family val="3"/>
        <charset val="129"/>
      </rPr>
      <t>▪</t>
    </r>
    <r>
      <rPr>
        <sz val="9"/>
        <color theme="1"/>
        <rFont val="맑은 고딕"/>
        <family val="3"/>
        <charset val="129"/>
      </rPr>
      <t>공시지가:</t>
    </r>
    <phoneticPr fontId="2" type="noConversion"/>
  </si>
  <si>
    <r>
      <t xml:space="preserve">원/m2 (2020.01) </t>
    </r>
    <r>
      <rPr>
        <sz val="9"/>
        <color theme="1"/>
        <rFont val="맑은 고딕"/>
        <family val="3"/>
        <charset val="129"/>
      </rPr>
      <t>→</t>
    </r>
    <phoneticPr fontId="2" type="noConversion"/>
  </si>
  <si>
    <t>백만원</t>
    <phoneticPr fontId="2" type="noConversion"/>
  </si>
  <si>
    <r>
      <rPr>
        <sz val="9"/>
        <color theme="1"/>
        <rFont val="Spoqa Han Sans Neo"/>
        <family val="3"/>
        <charset val="129"/>
      </rPr>
      <t>▪</t>
    </r>
    <r>
      <rPr>
        <sz val="9"/>
        <color theme="1"/>
        <rFont val="맑은 고딕"/>
        <family val="3"/>
        <charset val="129"/>
      </rPr>
      <t>건물용도:</t>
    </r>
    <phoneticPr fontId="2" type="noConversion"/>
  </si>
  <si>
    <t>창고시설, 상온물류창고</t>
    <phoneticPr fontId="2" type="noConversion"/>
  </si>
  <si>
    <r>
      <rPr>
        <sz val="9"/>
        <color theme="1"/>
        <rFont val="Spoqa Han Sans Neo"/>
        <family val="3"/>
        <charset val="129"/>
      </rPr>
      <t>▪</t>
    </r>
    <r>
      <rPr>
        <sz val="9"/>
        <color theme="1"/>
        <rFont val="맑은 고딕"/>
        <family val="3"/>
        <charset val="129"/>
      </rPr>
      <t>연면적:</t>
    </r>
    <phoneticPr fontId="2" type="noConversion"/>
  </si>
  <si>
    <r>
      <t xml:space="preserve">m2 </t>
    </r>
    <r>
      <rPr>
        <sz val="9"/>
        <color theme="1"/>
        <rFont val="맑은 고딕"/>
        <family val="3"/>
        <charset val="129"/>
      </rPr>
      <t>→</t>
    </r>
    <phoneticPr fontId="2" type="noConversion"/>
  </si>
  <si>
    <r>
      <rPr>
        <sz val="9"/>
        <color theme="1"/>
        <rFont val="Spoqa Han Sans Neo"/>
        <family val="3"/>
        <charset val="129"/>
      </rPr>
      <t>▪</t>
    </r>
    <r>
      <rPr>
        <sz val="9"/>
        <color theme="1"/>
        <rFont val="맑은 고딕"/>
        <family val="3"/>
        <charset val="129"/>
      </rPr>
      <t>준공월:</t>
    </r>
    <phoneticPr fontId="2" type="noConversion"/>
  </si>
  <si>
    <r>
      <rPr>
        <sz val="9"/>
        <color theme="1"/>
        <rFont val="Spoqa Han Sans Neo"/>
        <family val="3"/>
        <charset val="129"/>
      </rPr>
      <t>▪</t>
    </r>
    <r>
      <rPr>
        <sz val="9"/>
        <color theme="1"/>
        <rFont val="맑은 고딕"/>
        <family val="3"/>
        <charset val="129"/>
      </rPr>
      <t>건물규모:</t>
    </r>
    <phoneticPr fontId="2" type="noConversion"/>
  </si>
  <si>
    <t>지하2층 / 지상3층</t>
    <phoneticPr fontId="2" type="noConversion"/>
  </si>
  <si>
    <r>
      <rPr>
        <sz val="9"/>
        <color theme="1"/>
        <rFont val="Spoqa Han Sans Neo"/>
        <family val="3"/>
        <charset val="129"/>
      </rPr>
      <t>▪</t>
    </r>
    <r>
      <rPr>
        <sz val="9"/>
        <color theme="1"/>
        <rFont val="맑은 고딕"/>
        <family val="3"/>
        <charset val="129"/>
      </rPr>
      <t>층별면적:</t>
    </r>
    <phoneticPr fontId="2" type="noConversion"/>
  </si>
  <si>
    <t>구분</t>
    <phoneticPr fontId="2" type="noConversion"/>
  </si>
  <si>
    <t>면적(m2)</t>
    <phoneticPr fontId="2" type="noConversion"/>
  </si>
  <si>
    <t>창고</t>
    <phoneticPr fontId="2" type="noConversion"/>
  </si>
  <si>
    <t>Berth</t>
    <phoneticPr fontId="2" type="noConversion"/>
  </si>
  <si>
    <t>사무실</t>
    <phoneticPr fontId="2" type="noConversion"/>
  </si>
  <si>
    <t>기계,전기실</t>
    <phoneticPr fontId="2" type="noConversion"/>
  </si>
  <si>
    <t>계단실</t>
    <phoneticPr fontId="2" type="noConversion"/>
  </si>
  <si>
    <t>합계</t>
    <phoneticPr fontId="2" type="noConversion"/>
  </si>
  <si>
    <t>면적(평)</t>
    <phoneticPr fontId="2" type="noConversion"/>
  </si>
  <si>
    <t>지상3층</t>
    <phoneticPr fontId="2" type="noConversion"/>
  </si>
  <si>
    <t>지상2층</t>
    <phoneticPr fontId="2" type="noConversion"/>
  </si>
  <si>
    <t>지상1층</t>
    <phoneticPr fontId="2" type="noConversion"/>
  </si>
  <si>
    <t>지하1층</t>
    <phoneticPr fontId="2" type="noConversion"/>
  </si>
  <si>
    <t>지하2층</t>
    <phoneticPr fontId="2" type="noConversion"/>
  </si>
  <si>
    <t>▪Rent-roll</t>
    <phoneticPr fontId="2" type="noConversion"/>
  </si>
  <si>
    <t>임차인</t>
    <phoneticPr fontId="2" type="noConversion"/>
  </si>
  <si>
    <t>00로지스</t>
    <phoneticPr fontId="2" type="noConversion"/>
  </si>
  <si>
    <t>123로지스</t>
    <phoneticPr fontId="2" type="noConversion"/>
  </si>
  <si>
    <t>임대면적(평)</t>
    <phoneticPr fontId="2" type="noConversion"/>
  </si>
  <si>
    <t>계약기간</t>
    <phoneticPr fontId="2" type="noConversion"/>
  </si>
  <si>
    <t>시작월</t>
    <phoneticPr fontId="2" type="noConversion"/>
  </si>
  <si>
    <t>종료월</t>
    <phoneticPr fontId="2" type="noConversion"/>
  </si>
  <si>
    <t>보증금</t>
    <phoneticPr fontId="2" type="noConversion"/>
  </si>
  <si>
    <t>월임대료</t>
    <phoneticPr fontId="2" type="noConversion"/>
  </si>
  <si>
    <t>단가(원/평)</t>
    <phoneticPr fontId="2" type="noConversion"/>
  </si>
  <si>
    <t>월관리비</t>
    <phoneticPr fontId="2" type="noConversion"/>
  </si>
  <si>
    <t>Rent Free</t>
    <phoneticPr fontId="2" type="noConversion"/>
  </si>
  <si>
    <t>(개월/연)</t>
    <phoneticPr fontId="2" type="noConversion"/>
  </si>
  <si>
    <t>투자비 산정</t>
    <phoneticPr fontId="2" type="noConversion"/>
  </si>
  <si>
    <t>매입가격</t>
    <phoneticPr fontId="2" type="noConversion"/>
  </si>
  <si>
    <t>토지분</t>
    <phoneticPr fontId="2" type="noConversion"/>
  </si>
  <si>
    <t>건물분</t>
    <phoneticPr fontId="2" type="noConversion"/>
  </si>
  <si>
    <t>부대비용</t>
    <phoneticPr fontId="2" type="noConversion"/>
  </si>
  <si>
    <t>AMC수수료</t>
    <phoneticPr fontId="2" type="noConversion"/>
  </si>
  <si>
    <t>실사/자문수수료</t>
    <phoneticPr fontId="2" type="noConversion"/>
  </si>
  <si>
    <t xml:space="preserve">  - 감정평가</t>
    <phoneticPr fontId="2" type="noConversion"/>
  </si>
  <si>
    <t xml:space="preserve">  - 법률실사</t>
    <phoneticPr fontId="2" type="noConversion"/>
  </si>
  <si>
    <t xml:space="preserve">  - 재무실사</t>
    <phoneticPr fontId="2" type="noConversion"/>
  </si>
  <si>
    <t xml:space="preserve">  - 시장실사</t>
    <phoneticPr fontId="2" type="noConversion"/>
  </si>
  <si>
    <t xml:space="preserve">  - 물리실사</t>
    <phoneticPr fontId="2" type="noConversion"/>
  </si>
  <si>
    <t xml:space="preserve">  - 취득관련 법무사비용</t>
    <phoneticPr fontId="2" type="noConversion"/>
  </si>
  <si>
    <t xml:space="preserve">  - 실사 예비비</t>
    <phoneticPr fontId="2" type="noConversion"/>
  </si>
  <si>
    <t>금융비용</t>
    <phoneticPr fontId="2" type="noConversion"/>
  </si>
  <si>
    <t>담보신탁</t>
    <phoneticPr fontId="2" type="noConversion"/>
  </si>
  <si>
    <t>선취 수수료</t>
    <phoneticPr fontId="2" type="noConversion"/>
  </si>
  <si>
    <t>총액인수 수수료</t>
    <phoneticPr fontId="2" type="noConversion"/>
  </si>
  <si>
    <t>취득세</t>
    <phoneticPr fontId="2" type="noConversion"/>
  </si>
  <si>
    <t>주식발행비용</t>
    <phoneticPr fontId="2" type="noConversion"/>
  </si>
  <si>
    <t>등록면허세</t>
    <phoneticPr fontId="2" type="noConversion"/>
  </si>
  <si>
    <t>지방교육세</t>
    <phoneticPr fontId="2" type="noConversion"/>
  </si>
  <si>
    <t>법무사수수료</t>
    <phoneticPr fontId="2" type="noConversion"/>
  </si>
  <si>
    <t>매입세액불공제액</t>
    <phoneticPr fontId="2" type="noConversion"/>
  </si>
  <si>
    <t>금액</t>
    <phoneticPr fontId="2" type="noConversion"/>
  </si>
  <si>
    <t>공시지가의</t>
    <phoneticPr fontId="2" type="noConversion"/>
  </si>
  <si>
    <t>배</t>
    <phoneticPr fontId="2" type="noConversion"/>
  </si>
  <si>
    <t>건물비율</t>
    <phoneticPr fontId="2" type="noConversion"/>
  </si>
  <si>
    <t>매입가격의</t>
    <phoneticPr fontId="2" type="noConversion"/>
  </si>
  <si>
    <t>견적가</t>
    <phoneticPr fontId="2" type="noConversion"/>
  </si>
  <si>
    <t>재원조달계획 참조</t>
    <phoneticPr fontId="2" type="noConversion"/>
  </si>
  <si>
    <t>과세표준의</t>
    <phoneticPr fontId="2" type="noConversion"/>
  </si>
  <si>
    <t>자본금의</t>
    <phoneticPr fontId="2" type="noConversion"/>
  </si>
  <si>
    <t>산정근거</t>
    <phoneticPr fontId="2" type="noConversion"/>
  </si>
  <si>
    <t>비율</t>
    <phoneticPr fontId="2" type="noConversion"/>
  </si>
  <si>
    <t>과세표준</t>
    <phoneticPr fontId="2" type="noConversion"/>
  </si>
  <si>
    <t>VAT과세</t>
    <phoneticPr fontId="2" type="noConversion"/>
  </si>
  <si>
    <t>VAT합계</t>
    <phoneticPr fontId="2" type="noConversion"/>
  </si>
  <si>
    <t>건물분VAT</t>
    <phoneticPr fontId="2" type="noConversion"/>
  </si>
  <si>
    <t>토지분VAT</t>
    <phoneticPr fontId="2" type="noConversion"/>
  </si>
  <si>
    <t>재원조달계획</t>
    <phoneticPr fontId="2" type="noConversion"/>
  </si>
  <si>
    <t>조달필요액</t>
    <phoneticPr fontId="2" type="noConversion"/>
  </si>
  <si>
    <t>투자비</t>
    <phoneticPr fontId="2" type="noConversion"/>
  </si>
  <si>
    <t>VAT건물분</t>
    <phoneticPr fontId="2" type="noConversion"/>
  </si>
  <si>
    <t>비고</t>
    <phoneticPr fontId="2" type="noConversion"/>
  </si>
  <si>
    <t>VAT환급일</t>
    <phoneticPr fontId="2" type="noConversion"/>
  </si>
  <si>
    <t>재원조달액</t>
    <phoneticPr fontId="2" type="noConversion"/>
  </si>
  <si>
    <t>자기자본</t>
    <phoneticPr fontId="2" type="noConversion"/>
  </si>
  <si>
    <t>보통주</t>
    <phoneticPr fontId="2" type="noConversion"/>
  </si>
  <si>
    <t>우선주</t>
    <phoneticPr fontId="2" type="noConversion"/>
  </si>
  <si>
    <t>소계</t>
    <phoneticPr fontId="2" type="noConversion"/>
  </si>
  <si>
    <t>타인자본</t>
    <phoneticPr fontId="2" type="noConversion"/>
  </si>
  <si>
    <t>담보대출</t>
    <phoneticPr fontId="2" type="noConversion"/>
  </si>
  <si>
    <t>VAT Loan</t>
    <phoneticPr fontId="2" type="noConversion"/>
  </si>
  <si>
    <t>증자일</t>
    <phoneticPr fontId="2" type="noConversion"/>
  </si>
  <si>
    <t>누적배당률</t>
    <phoneticPr fontId="2" type="noConversion"/>
  </si>
  <si>
    <t>N/A</t>
    <phoneticPr fontId="2" type="noConversion"/>
  </si>
  <si>
    <t>매각차익분배</t>
    <phoneticPr fontId="2" type="noConversion"/>
  </si>
  <si>
    <t>총액인수수수료</t>
    <phoneticPr fontId="2" type="noConversion"/>
  </si>
  <si>
    <t>인출일</t>
    <phoneticPr fontId="2" type="noConversion"/>
  </si>
  <si>
    <t>상환일</t>
    <phoneticPr fontId="2" type="noConversion"/>
  </si>
  <si>
    <t>대출기간</t>
    <phoneticPr fontId="2" type="noConversion"/>
  </si>
  <si>
    <t>연 이자율</t>
    <phoneticPr fontId="2" type="noConversion"/>
  </si>
  <si>
    <t>선취수수료</t>
    <phoneticPr fontId="2" type="noConversion"/>
  </si>
  <si>
    <t>All-in이자율</t>
    <phoneticPr fontId="2" type="noConversion"/>
  </si>
  <si>
    <t>LTV</t>
    <phoneticPr fontId="2" type="noConversion"/>
  </si>
  <si>
    <t>이자지급</t>
    <phoneticPr fontId="2" type="noConversion"/>
  </si>
  <si>
    <t>Date</t>
    <phoneticPr fontId="2" type="noConversion"/>
  </si>
  <si>
    <t>회계기간</t>
    <phoneticPr fontId="2" type="noConversion"/>
  </si>
  <si>
    <t>운영년차</t>
    <phoneticPr fontId="2" type="noConversion"/>
  </si>
  <si>
    <t>운영기간Index</t>
    <phoneticPr fontId="2" type="noConversion"/>
  </si>
  <si>
    <t>누적운영기간Index</t>
    <phoneticPr fontId="2" type="noConversion"/>
  </si>
  <si>
    <t>12개월Index</t>
    <phoneticPr fontId="2" type="noConversion"/>
  </si>
  <si>
    <t>1. 현재 Rent-roll 기준</t>
    <phoneticPr fontId="2" type="noConversion"/>
  </si>
  <si>
    <t>계약종료일</t>
    <phoneticPr fontId="2" type="noConversion"/>
  </si>
  <si>
    <t>명목임대료(원)</t>
    <phoneticPr fontId="2" type="noConversion"/>
  </si>
  <si>
    <t>렌트프리(개월)</t>
    <phoneticPr fontId="2" type="noConversion"/>
  </si>
  <si>
    <t>관리비(원)</t>
    <phoneticPr fontId="2" type="noConversion"/>
  </si>
  <si>
    <t>계약기간Index</t>
    <phoneticPr fontId="2" type="noConversion"/>
  </si>
  <si>
    <t>1.1 임대료 수입</t>
    <phoneticPr fontId="2" type="noConversion"/>
  </si>
  <si>
    <t>명목 월임대료(원/평)</t>
    <phoneticPr fontId="2" type="noConversion"/>
  </si>
  <si>
    <t>실질 월임대료(원/평)</t>
    <phoneticPr fontId="2" type="noConversion"/>
  </si>
  <si>
    <t>임대료 수입 합계</t>
    <phoneticPr fontId="2" type="noConversion"/>
  </si>
  <si>
    <t>1.2 관리비 수입</t>
    <phoneticPr fontId="2" type="noConversion"/>
  </si>
  <si>
    <t>월관리비(원/평)</t>
    <phoneticPr fontId="2" type="noConversion"/>
  </si>
  <si>
    <t>관리비 수입 합계</t>
    <phoneticPr fontId="2" type="noConversion"/>
  </si>
  <si>
    <t>1.3 보증금 현금흐름</t>
    <phoneticPr fontId="2" type="noConversion"/>
  </si>
  <si>
    <t>기초</t>
    <phoneticPr fontId="2" type="noConversion"/>
  </si>
  <si>
    <t>유입</t>
    <phoneticPr fontId="2" type="noConversion"/>
  </si>
  <si>
    <t>반환</t>
    <phoneticPr fontId="2" type="noConversion"/>
  </si>
  <si>
    <t>기말</t>
    <phoneticPr fontId="2" type="noConversion"/>
  </si>
  <si>
    <t>신규 Rent-roll 가정</t>
    <phoneticPr fontId="2" type="noConversion"/>
  </si>
  <si>
    <t>Downtime</t>
    <phoneticPr fontId="2" type="noConversion"/>
  </si>
  <si>
    <t>(개월)</t>
    <phoneticPr fontId="2" type="noConversion"/>
  </si>
  <si>
    <t>Fit-out</t>
    <phoneticPr fontId="2" type="noConversion"/>
  </si>
  <si>
    <t>Rent-frre</t>
    <phoneticPr fontId="2" type="noConversion"/>
  </si>
  <si>
    <t>(원/평)</t>
    <phoneticPr fontId="2" type="noConversion"/>
  </si>
  <si>
    <t>연상승률</t>
    <phoneticPr fontId="2" type="noConversion"/>
  </si>
  <si>
    <t>임대료</t>
    <phoneticPr fontId="2" type="noConversion"/>
  </si>
  <si>
    <t>관리비</t>
    <phoneticPr fontId="2" type="noConversion"/>
  </si>
  <si>
    <t>(백만원)</t>
    <phoneticPr fontId="2" type="noConversion"/>
  </si>
  <si>
    <t>2. 신규 Rent-roll 기준</t>
    <phoneticPr fontId="2" type="noConversion"/>
  </si>
  <si>
    <t>계약시작일</t>
    <phoneticPr fontId="2" type="noConversion"/>
  </si>
  <si>
    <t>명목임대료(월)</t>
    <phoneticPr fontId="2" type="noConversion"/>
  </si>
  <si>
    <t>Fit-out(개월)</t>
    <phoneticPr fontId="2" type="noConversion"/>
  </si>
  <si>
    <t>Rent-free(월)</t>
    <phoneticPr fontId="2" type="noConversion"/>
  </si>
  <si>
    <t>임대료상승률</t>
    <phoneticPr fontId="2" type="noConversion"/>
  </si>
  <si>
    <t>관리비상승률</t>
    <phoneticPr fontId="2" type="noConversion"/>
  </si>
  <si>
    <t>Fit-out종료시점</t>
    <phoneticPr fontId="2" type="noConversion"/>
  </si>
  <si>
    <t>누적계약기간Index</t>
    <phoneticPr fontId="2" type="noConversion"/>
  </si>
  <si>
    <t>계약연차</t>
    <phoneticPr fontId="2" type="noConversion"/>
  </si>
  <si>
    <t>임대료상승률Index</t>
    <phoneticPr fontId="2" type="noConversion"/>
  </si>
  <si>
    <t>관리비상승률Index</t>
    <phoneticPr fontId="2" type="noConversion"/>
  </si>
  <si>
    <t>Fit-out기간Index</t>
    <phoneticPr fontId="2" type="noConversion"/>
  </si>
  <si>
    <t>3. 현재 +신규 계약기준</t>
    <phoneticPr fontId="2" type="noConversion"/>
  </si>
  <si>
    <t>운영수입 합계</t>
    <phoneticPr fontId="2" type="noConversion"/>
  </si>
  <si>
    <t>임대료수입 합계</t>
    <phoneticPr fontId="2" type="noConversion"/>
  </si>
  <si>
    <t>관리비수입 합계</t>
    <phoneticPr fontId="2" type="noConversion"/>
  </si>
  <si>
    <t>보증금 현금흐름 합계</t>
    <phoneticPr fontId="2" type="noConversion"/>
  </si>
  <si>
    <t>보증금 기초</t>
    <phoneticPr fontId="2" type="noConversion"/>
  </si>
  <si>
    <t>보증금 기말</t>
    <phoneticPr fontId="2" type="noConversion"/>
  </si>
  <si>
    <t>운영비용 가정</t>
    <phoneticPr fontId="2" type="noConversion"/>
  </si>
  <si>
    <t>PM용역비</t>
    <phoneticPr fontId="2" type="noConversion"/>
  </si>
  <si>
    <t>FM용역비</t>
    <phoneticPr fontId="2" type="noConversion"/>
  </si>
  <si>
    <t>LM수수료</t>
    <phoneticPr fontId="2" type="noConversion"/>
  </si>
  <si>
    <t>유지보수비</t>
    <phoneticPr fontId="2" type="noConversion"/>
  </si>
  <si>
    <t>수선비</t>
    <phoneticPr fontId="2" type="noConversion"/>
  </si>
  <si>
    <t>소모품비</t>
    <phoneticPr fontId="2" type="noConversion"/>
  </si>
  <si>
    <t>예비비</t>
    <phoneticPr fontId="2" type="noConversion"/>
  </si>
  <si>
    <t>제세공과금</t>
    <phoneticPr fontId="2" type="noConversion"/>
  </si>
  <si>
    <t>토지분 재산세</t>
    <phoneticPr fontId="2" type="noConversion"/>
  </si>
  <si>
    <t>건물분 재산세</t>
    <phoneticPr fontId="2" type="noConversion"/>
  </si>
  <si>
    <t>종합부동산세</t>
    <phoneticPr fontId="2" type="noConversion"/>
  </si>
  <si>
    <t>간주임대료 부가세</t>
    <phoneticPr fontId="2" type="noConversion"/>
  </si>
  <si>
    <t>도로/공유수면 점용료</t>
    <phoneticPr fontId="2" type="noConversion"/>
  </si>
  <si>
    <t>보험료</t>
    <phoneticPr fontId="2" type="noConversion"/>
  </si>
  <si>
    <t>Capex</t>
    <phoneticPr fontId="2" type="noConversion"/>
  </si>
  <si>
    <t>주요가정</t>
    <phoneticPr fontId="2" type="noConversion"/>
  </si>
  <si>
    <t>평단가/월</t>
    <phoneticPr fontId="2" type="noConversion"/>
  </si>
  <si>
    <t>연 상승률</t>
    <phoneticPr fontId="2" type="noConversion"/>
  </si>
  <si>
    <t>명목 월임대료의</t>
    <phoneticPr fontId="2" type="noConversion"/>
  </si>
  <si>
    <t>백만원/원</t>
    <phoneticPr fontId="2" type="noConversion"/>
  </si>
  <si>
    <t>연간</t>
    <phoneticPr fontId="2" type="noConversion"/>
  </si>
  <si>
    <t>납부월</t>
    <phoneticPr fontId="2" type="noConversion"/>
  </si>
  <si>
    <t>해당면적(평)</t>
    <phoneticPr fontId="2" type="noConversion"/>
  </si>
  <si>
    <t>용역비단가(원/평)</t>
    <phoneticPr fontId="2" type="noConversion"/>
  </si>
  <si>
    <t>PM용역비 소계</t>
    <phoneticPr fontId="2" type="noConversion"/>
  </si>
  <si>
    <t>발생시기</t>
    <phoneticPr fontId="2" type="noConversion"/>
  </si>
  <si>
    <t>LM수수료 소계</t>
    <phoneticPr fontId="2" type="noConversion"/>
  </si>
  <si>
    <t>FM용역비 소계</t>
    <phoneticPr fontId="2" type="noConversion"/>
  </si>
  <si>
    <t>수선비 소계</t>
    <phoneticPr fontId="2" type="noConversion"/>
  </si>
  <si>
    <t>유지보수비 소계</t>
    <phoneticPr fontId="2" type="noConversion"/>
  </si>
  <si>
    <t>백만원/월</t>
    <phoneticPr fontId="2" type="noConversion"/>
  </si>
  <si>
    <t>1. 재산세 등</t>
    <phoneticPr fontId="2" type="noConversion"/>
  </si>
  <si>
    <t>1) 토지분</t>
    <phoneticPr fontId="2" type="noConversion"/>
  </si>
  <si>
    <t>과세 기준월</t>
    <phoneticPr fontId="2" type="noConversion"/>
  </si>
  <si>
    <t>월</t>
    <phoneticPr fontId="2" type="noConversion"/>
  </si>
  <si>
    <t>대지면적</t>
    <phoneticPr fontId="2" type="noConversion"/>
  </si>
  <si>
    <t>공시지가(원/m2)</t>
    <phoneticPr fontId="2" type="noConversion"/>
  </si>
  <si>
    <t>원/m2 (2021.01 기준)</t>
    <phoneticPr fontId="2" type="noConversion"/>
  </si>
  <si>
    <t>공시지가 상승률</t>
    <phoneticPr fontId="2" type="noConversion"/>
  </si>
  <si>
    <t>추정 공시지가(백만원) [A]</t>
    <phoneticPr fontId="2" type="noConversion"/>
  </si>
  <si>
    <t>Case1. 분리과세 시준</t>
    <phoneticPr fontId="2" type="noConversion"/>
  </si>
  <si>
    <t>가) 토지분 재산세</t>
    <phoneticPr fontId="2" type="noConversion"/>
  </si>
  <si>
    <t>공정시장 가액비율 [B]</t>
    <phoneticPr fontId="2" type="noConversion"/>
  </si>
  <si>
    <t>과세표준 [C=A*B]</t>
    <phoneticPr fontId="2" type="noConversion"/>
  </si>
  <si>
    <t>적용세율 [D]</t>
    <phoneticPr fontId="2" type="noConversion"/>
  </si>
  <si>
    <t>산출세액 [E=C*D]</t>
    <phoneticPr fontId="2" type="noConversion"/>
  </si>
  <si>
    <t>부담상한액 [F]</t>
    <phoneticPr fontId="2" type="noConversion"/>
  </si>
  <si>
    <t>토지분 재산세 적용세액 [G=Min(E,F)]</t>
    <phoneticPr fontId="2" type="noConversion"/>
  </si>
  <si>
    <t>나) 토지분 재산세 도시지역분</t>
    <phoneticPr fontId="2" type="noConversion"/>
  </si>
  <si>
    <t>적용세율 [H]</t>
    <phoneticPr fontId="2" type="noConversion"/>
  </si>
  <si>
    <t>재산세 도시지역분 적용지역</t>
    <phoneticPr fontId="2" type="noConversion"/>
  </si>
  <si>
    <t>재산세 도시지역분 미적용지역</t>
    <phoneticPr fontId="2" type="noConversion"/>
  </si>
  <si>
    <t>산출세액 [I=C*H]</t>
    <phoneticPr fontId="2" type="noConversion"/>
  </si>
  <si>
    <t>부담상한액 [J]</t>
    <phoneticPr fontId="2" type="noConversion"/>
  </si>
  <si>
    <t>토지분 재산세 도시지역분 적용세액 [K=Min(I,J)]</t>
    <phoneticPr fontId="2" type="noConversion"/>
  </si>
  <si>
    <t>다) 토지분 재산세 지방교육세</t>
    <phoneticPr fontId="2" type="noConversion"/>
  </si>
  <si>
    <t>적용세율 [L]</t>
    <phoneticPr fontId="2" type="noConversion"/>
  </si>
  <si>
    <t>토지분 재산세 지방교육세 적용세액 [M=G*L]</t>
    <phoneticPr fontId="2" type="noConversion"/>
  </si>
  <si>
    <t>분리과세 기준 토지분 재산세 등 합계</t>
    <phoneticPr fontId="2" type="noConversion"/>
  </si>
  <si>
    <t>Case2. 별도합산과세 기준</t>
    <phoneticPr fontId="2" type="noConversion"/>
  </si>
  <si>
    <r>
      <rPr>
        <sz val="9"/>
        <color theme="1"/>
        <rFont val="Spoqa Han Sans Neo"/>
        <family val="3"/>
        <charset val="129"/>
      </rPr>
      <t>▪</t>
    </r>
    <r>
      <rPr>
        <sz val="9"/>
        <color theme="1"/>
        <rFont val="맑은 고딕"/>
        <family val="3"/>
        <charset val="129"/>
      </rPr>
      <t>별도합산과세 재산세 세율 (백만원)</t>
    </r>
    <phoneticPr fontId="2" type="noConversion"/>
  </si>
  <si>
    <t>초과</t>
    <phoneticPr fontId="2" type="noConversion"/>
  </si>
  <si>
    <t>이하</t>
    <phoneticPr fontId="2" type="noConversion"/>
  </si>
  <si>
    <t>세율</t>
    <phoneticPr fontId="2" type="noConversion"/>
  </si>
  <si>
    <t>합산</t>
    <phoneticPr fontId="2" type="noConversion"/>
  </si>
  <si>
    <t>과표공제</t>
    <phoneticPr fontId="2" type="noConversion"/>
  </si>
  <si>
    <t>적용세율</t>
    <phoneticPr fontId="2" type="noConversion"/>
  </si>
  <si>
    <t>(+)합산 [D]</t>
    <phoneticPr fontId="2" type="noConversion"/>
  </si>
  <si>
    <t>(-)과표공제 [E]</t>
    <phoneticPr fontId="2" type="noConversion"/>
  </si>
  <si>
    <t>(x)적용세율 [F]</t>
    <phoneticPr fontId="2" type="noConversion"/>
  </si>
  <si>
    <t>산출세액 [G=D+(C-E)*F]</t>
    <phoneticPr fontId="2" type="noConversion"/>
  </si>
  <si>
    <t>부담상한액 [H]</t>
    <phoneticPr fontId="2" type="noConversion"/>
  </si>
  <si>
    <t>토지분 재산세 적용세액 [I=Min(G,H)]</t>
    <phoneticPr fontId="2" type="noConversion"/>
  </si>
  <si>
    <t>적용세율 [J]</t>
    <phoneticPr fontId="2" type="noConversion"/>
  </si>
  <si>
    <t>산출세액 [K=C*J]</t>
    <phoneticPr fontId="2" type="noConversion"/>
  </si>
  <si>
    <t>부담상한액 [L]</t>
    <phoneticPr fontId="2" type="noConversion"/>
  </si>
  <si>
    <t>토지분 재산세 적용세액 [M=Min(K,L)]</t>
    <phoneticPr fontId="2" type="noConversion"/>
  </si>
  <si>
    <t>적용세율 [N]</t>
    <phoneticPr fontId="2" type="noConversion"/>
  </si>
  <si>
    <t>별도합산 기준 토지분 재산세 등 합계</t>
    <phoneticPr fontId="2" type="noConversion"/>
  </si>
  <si>
    <t>발생월</t>
    <phoneticPr fontId="2" type="noConversion"/>
  </si>
  <si>
    <t>적용 토지분 재산세</t>
    <phoneticPr fontId="2" type="noConversion"/>
  </si>
  <si>
    <t>분리과세 기준</t>
    <phoneticPr fontId="2" type="noConversion"/>
  </si>
  <si>
    <t>별도합산과세 기준</t>
    <phoneticPr fontId="2" type="noConversion"/>
  </si>
  <si>
    <t>2) 건물분</t>
    <phoneticPr fontId="2" type="noConversion"/>
  </si>
  <si>
    <t>가) 재산세</t>
    <phoneticPr fontId="2" type="noConversion"/>
  </si>
  <si>
    <r>
      <t>연면적(</t>
    </r>
    <r>
      <rPr>
        <sz val="9"/>
        <color theme="1"/>
        <rFont val="맑은 고딕"/>
        <family val="3"/>
        <charset val="129"/>
      </rPr>
      <t>㎡)</t>
    </r>
    <phoneticPr fontId="2" type="noConversion"/>
  </si>
  <si>
    <t>㎡</t>
    <phoneticPr fontId="2" type="noConversion"/>
  </si>
  <si>
    <t>재산세 시가표준액 (국세청 고시 2020-42호)</t>
    <phoneticPr fontId="2" type="noConversion"/>
  </si>
  <si>
    <r>
      <t>2020년 기준 건물신축가격 기준액(원/</t>
    </r>
    <r>
      <rPr>
        <sz val="9"/>
        <color theme="1"/>
        <rFont val="맑은 고딕"/>
        <family val="3"/>
        <charset val="129"/>
      </rPr>
      <t>㎡)</t>
    </r>
    <phoneticPr fontId="2" type="noConversion"/>
  </si>
  <si>
    <r>
      <t>원/</t>
    </r>
    <r>
      <rPr>
        <sz val="9"/>
        <color theme="1"/>
        <rFont val="맑은 고딕"/>
        <family val="3"/>
        <charset val="129"/>
      </rPr>
      <t>㎡</t>
    </r>
    <phoneticPr fontId="2" type="noConversion"/>
  </si>
  <si>
    <t>건물신축가격 상승률</t>
    <phoneticPr fontId="2" type="noConversion"/>
  </si>
  <si>
    <t>구조지수</t>
    <phoneticPr fontId="2" type="noConversion"/>
  </si>
  <si>
    <t>(프리캐스트 콘크리트조)</t>
    <phoneticPr fontId="2" type="noConversion"/>
  </si>
  <si>
    <t>용도지수</t>
    <phoneticPr fontId="2" type="noConversion"/>
  </si>
  <si>
    <t>(상온창고)</t>
    <phoneticPr fontId="2" type="noConversion"/>
  </si>
  <si>
    <t>위치지수</t>
    <phoneticPr fontId="2" type="noConversion"/>
  </si>
  <si>
    <t>경과연수별 잔가율</t>
    <phoneticPr fontId="2" type="noConversion"/>
  </si>
  <si>
    <t>(2그룹)</t>
    <phoneticPr fontId="2" type="noConversion"/>
  </si>
  <si>
    <t>시가표준액 [A]</t>
    <phoneticPr fontId="2" type="noConversion"/>
  </si>
  <si>
    <t>공정시장가액비율 [B]</t>
    <phoneticPr fontId="2" type="noConversion"/>
  </si>
  <si>
    <t>(x)적용세율 [D]</t>
    <phoneticPr fontId="2" type="noConversion"/>
  </si>
  <si>
    <t>건물분 재산세 적용세액 [G=Min(E,F)]</t>
    <phoneticPr fontId="2" type="noConversion"/>
  </si>
  <si>
    <t>나) 재산세 도시지역분</t>
    <phoneticPr fontId="2" type="noConversion"/>
  </si>
  <si>
    <t>건물분 재산세 도시지역분 적용세액 [K=Min(I,J)]</t>
    <phoneticPr fontId="2" type="noConversion"/>
  </si>
  <si>
    <t>다) 지역자원시설세</t>
    <phoneticPr fontId="2" type="noConversion"/>
  </si>
  <si>
    <t>과세표준 [L]</t>
    <phoneticPr fontId="2" type="noConversion"/>
  </si>
  <si>
    <r>
      <rPr>
        <sz val="9"/>
        <color theme="1"/>
        <rFont val="Segoe UI Symbol"/>
        <family val="3"/>
      </rPr>
      <t>▪</t>
    </r>
    <r>
      <rPr>
        <sz val="9"/>
        <color theme="1"/>
        <rFont val="맑은 고딕"/>
        <family val="3"/>
        <charset val="129"/>
      </rPr>
      <t>지역자원시설세 세율 (백만원)</t>
    </r>
    <phoneticPr fontId="2" type="noConversion"/>
  </si>
  <si>
    <t>(+)합산 [M]</t>
    <phoneticPr fontId="2" type="noConversion"/>
  </si>
  <si>
    <t>(-)과표공제 [N]</t>
    <phoneticPr fontId="2" type="noConversion"/>
  </si>
  <si>
    <t>(x)적용세율 [O]</t>
    <phoneticPr fontId="2" type="noConversion"/>
  </si>
  <si>
    <t>산출세액 [P=M+(L-N)*O]</t>
    <phoneticPr fontId="2" type="noConversion"/>
  </si>
  <si>
    <t>부담상한액 [Q]</t>
    <phoneticPr fontId="2" type="noConversion"/>
  </si>
  <si>
    <t>건물분 지역자원시설세 적용세액 [R=Min(P,Q)]</t>
    <phoneticPr fontId="2" type="noConversion"/>
  </si>
  <si>
    <t>(x)중과세 [S]</t>
    <phoneticPr fontId="2" type="noConversion"/>
  </si>
  <si>
    <t>중과세 반영 지역자원자원시설세 [T]</t>
    <phoneticPr fontId="2" type="noConversion"/>
  </si>
  <si>
    <t>라) 지방교육세</t>
    <phoneticPr fontId="2" type="noConversion"/>
  </si>
  <si>
    <t>적용세율 [U]</t>
    <phoneticPr fontId="2" type="noConversion"/>
  </si>
  <si>
    <t>건물분 재산세 지방교육세 적용세액 [V=G*U]</t>
    <phoneticPr fontId="2" type="noConversion"/>
  </si>
  <si>
    <t>건물분 재산세 합계</t>
    <phoneticPr fontId="2" type="noConversion"/>
  </si>
  <si>
    <t>적용 건물분 재산세</t>
    <phoneticPr fontId="2" type="noConversion"/>
  </si>
  <si>
    <t>발생</t>
    <phoneticPr fontId="2" type="noConversion"/>
  </si>
  <si>
    <t>납부</t>
    <phoneticPr fontId="2" type="noConversion"/>
  </si>
  <si>
    <t>2. 종합부동산세 등</t>
    <phoneticPr fontId="2" type="noConversion"/>
  </si>
  <si>
    <t>1) 종합부동산세 (별도합산 기준)</t>
    <phoneticPr fontId="2" type="noConversion"/>
  </si>
  <si>
    <t>공시지가 [A]</t>
    <phoneticPr fontId="2" type="noConversion"/>
  </si>
  <si>
    <t>(-)공제금액 [B]</t>
    <phoneticPr fontId="2" type="noConversion"/>
  </si>
  <si>
    <t>(x)공정시장 가액비율 [C]</t>
    <phoneticPr fontId="2" type="noConversion"/>
  </si>
  <si>
    <t>과세표준 [D=(A-B)*C]</t>
    <phoneticPr fontId="2" type="noConversion"/>
  </si>
  <si>
    <r>
      <rPr>
        <sz val="9"/>
        <color theme="1"/>
        <rFont val="Segoe UI Symbol"/>
        <family val="3"/>
      </rPr>
      <t>▪</t>
    </r>
    <r>
      <rPr>
        <sz val="9"/>
        <color theme="1"/>
        <rFont val="맑은 고딕"/>
        <family val="3"/>
        <charset val="129"/>
      </rPr>
      <t>종합부동산세 세율 (백만원)</t>
    </r>
    <phoneticPr fontId="2" type="noConversion"/>
  </si>
  <si>
    <t>(+)합산 [E]</t>
    <phoneticPr fontId="2" type="noConversion"/>
  </si>
  <si>
    <t>(-)과표공제 [F]</t>
    <phoneticPr fontId="2" type="noConversion"/>
  </si>
  <si>
    <t>(x)적용세율 [G]</t>
    <phoneticPr fontId="2" type="noConversion"/>
  </si>
  <si>
    <t>산출세액 [H=E+(D-F)*G]</t>
    <phoneticPr fontId="2" type="noConversion"/>
  </si>
  <si>
    <t>(-)종부세 재산세분 공제 [I]</t>
    <phoneticPr fontId="2" type="noConversion"/>
  </si>
  <si>
    <t>재산세 과세표준</t>
    <phoneticPr fontId="2" type="noConversion"/>
  </si>
  <si>
    <t>재산세액 공제후 산출세액 [J=H-I]</t>
    <phoneticPr fontId="2" type="noConversion"/>
  </si>
  <si>
    <t>부담 상한액 [K]</t>
    <phoneticPr fontId="2" type="noConversion"/>
  </si>
  <si>
    <t>종합부동산세 적용세액 [L=Min(J,K)]</t>
    <phoneticPr fontId="2" type="noConversion"/>
  </si>
  <si>
    <t>2) 농어촌특별세</t>
    <phoneticPr fontId="2" type="noConversion"/>
  </si>
  <si>
    <t>적용세율 [M]</t>
    <phoneticPr fontId="2" type="noConversion"/>
  </si>
  <si>
    <t>산출세액 [N=L*M]</t>
    <phoneticPr fontId="2" type="noConversion"/>
  </si>
  <si>
    <t>종합부동산세 합계</t>
    <phoneticPr fontId="2" type="noConversion"/>
  </si>
  <si>
    <t>보증금이자수익</t>
    <phoneticPr fontId="2" type="noConversion"/>
  </si>
  <si>
    <t>보증금 평균잔고</t>
    <phoneticPr fontId="2" type="noConversion"/>
  </si>
  <si>
    <t>부가가치세 납부Index</t>
    <phoneticPr fontId="2" type="noConversion"/>
  </si>
  <si>
    <t>제세공과금 소계</t>
    <phoneticPr fontId="2" type="noConversion"/>
  </si>
  <si>
    <t>보험료납부Index</t>
    <phoneticPr fontId="2" type="noConversion"/>
  </si>
  <si>
    <t>보험료 소계</t>
    <phoneticPr fontId="2" type="noConversion"/>
  </si>
  <si>
    <t>운영비용 합계</t>
    <phoneticPr fontId="2" type="noConversion"/>
  </si>
  <si>
    <t>펀드 비용</t>
    <phoneticPr fontId="2" type="noConversion"/>
  </si>
  <si>
    <t>자산관리수수료</t>
    <phoneticPr fontId="2" type="noConversion"/>
  </si>
  <si>
    <t>자산보관수수료</t>
    <phoneticPr fontId="2" type="noConversion"/>
  </si>
  <si>
    <t>사무수탁수수료</t>
    <phoneticPr fontId="2" type="noConversion"/>
  </si>
  <si>
    <t>연간 수수료</t>
    <phoneticPr fontId="2" type="noConversion"/>
  </si>
  <si>
    <t>자산가액의</t>
    <phoneticPr fontId="2" type="noConversion"/>
  </si>
  <si>
    <t>매 사업기간 종료일 지급</t>
    <phoneticPr fontId="2" type="noConversion"/>
  </si>
  <si>
    <t>지급</t>
    <phoneticPr fontId="2" type="noConversion"/>
  </si>
  <si>
    <t>수수료지급Index</t>
    <phoneticPr fontId="2" type="noConversion"/>
  </si>
  <si>
    <t>펀드운용비용 합계</t>
    <phoneticPr fontId="2" type="noConversion"/>
  </si>
  <si>
    <t>영업현금흐름</t>
    <phoneticPr fontId="2" type="noConversion"/>
  </si>
  <si>
    <t>이자비용</t>
    <phoneticPr fontId="2" type="noConversion"/>
  </si>
  <si>
    <t>영업현금흐름 합계</t>
    <phoneticPr fontId="2" type="noConversion"/>
  </si>
  <si>
    <t>투자현금흐름</t>
    <phoneticPr fontId="2" type="noConversion"/>
  </si>
  <si>
    <t>자산취득</t>
    <phoneticPr fontId="2" type="noConversion"/>
  </si>
  <si>
    <t>매입VAT환급</t>
    <phoneticPr fontId="2" type="noConversion"/>
  </si>
  <si>
    <t>운영기간 Capex</t>
    <phoneticPr fontId="2" type="noConversion"/>
  </si>
  <si>
    <t>자산매각</t>
    <phoneticPr fontId="2" type="noConversion"/>
  </si>
  <si>
    <t>투자현금흐름 합계</t>
    <phoneticPr fontId="2" type="noConversion"/>
  </si>
  <si>
    <t>재무현금흐름</t>
    <phoneticPr fontId="2" type="noConversion"/>
  </si>
  <si>
    <t>자기자본 증자</t>
    <phoneticPr fontId="2" type="noConversion"/>
  </si>
  <si>
    <t>타인자본 조달</t>
    <phoneticPr fontId="2" type="noConversion"/>
  </si>
  <si>
    <t>자기자본 감자</t>
    <phoneticPr fontId="2" type="noConversion"/>
  </si>
  <si>
    <t>타인자본 상환</t>
    <phoneticPr fontId="2" type="noConversion"/>
  </si>
  <si>
    <t>운영배당</t>
    <phoneticPr fontId="2" type="noConversion"/>
  </si>
  <si>
    <t>청산배당</t>
    <phoneticPr fontId="2" type="noConversion"/>
  </si>
  <si>
    <t>재무현금흐름 합계</t>
    <phoneticPr fontId="2" type="noConversion"/>
  </si>
  <si>
    <t>순 현금흐름</t>
    <phoneticPr fontId="2" type="noConversion"/>
  </si>
  <si>
    <t>기초현금</t>
    <phoneticPr fontId="2" type="noConversion"/>
  </si>
  <si>
    <t>기말현금</t>
    <phoneticPr fontId="2" type="noConversion"/>
  </si>
  <si>
    <t>*이자비용 계산</t>
    <phoneticPr fontId="2" type="noConversion"/>
  </si>
  <si>
    <t>1) 담보대출</t>
    <phoneticPr fontId="2" type="noConversion"/>
  </si>
  <si>
    <t>증감</t>
    <phoneticPr fontId="2" type="noConversion"/>
  </si>
  <si>
    <t>평균잔고</t>
    <phoneticPr fontId="2" type="noConversion"/>
  </si>
  <si>
    <t>발생이자</t>
    <phoneticPr fontId="2" type="noConversion"/>
  </si>
  <si>
    <t>지급이자</t>
    <phoneticPr fontId="2" type="noConversion"/>
  </si>
  <si>
    <t>대출기간Index</t>
    <phoneticPr fontId="2" type="noConversion"/>
  </si>
  <si>
    <t>대출누적기간Index</t>
    <phoneticPr fontId="2" type="noConversion"/>
  </si>
  <si>
    <t>이자지급Index</t>
    <phoneticPr fontId="2" type="noConversion"/>
  </si>
  <si>
    <t>2) VAT Loan</t>
    <phoneticPr fontId="2" type="noConversion"/>
  </si>
  <si>
    <t>이자비용 합계</t>
    <phoneticPr fontId="2" type="noConversion"/>
  </si>
  <si>
    <t>1. 연차별 NOI산정</t>
    <phoneticPr fontId="2" type="noConversion"/>
  </si>
  <si>
    <t>연차</t>
    <phoneticPr fontId="2" type="noConversion"/>
  </si>
  <si>
    <t>임대료 수입</t>
    <phoneticPr fontId="2" type="noConversion"/>
  </si>
  <si>
    <t>관리비 수입</t>
    <phoneticPr fontId="2" type="noConversion"/>
  </si>
  <si>
    <t>(-)운영비용</t>
    <phoneticPr fontId="2" type="noConversion"/>
  </si>
  <si>
    <t>NOI</t>
    <phoneticPr fontId="2" type="noConversion"/>
  </si>
  <si>
    <t>NOI Margin</t>
    <phoneticPr fontId="2" type="noConversion"/>
  </si>
  <si>
    <t>2. N+1년차 Normalized NOI 추정</t>
    <phoneticPr fontId="2" type="noConversion"/>
  </si>
  <si>
    <t>1) 자산매각일</t>
    <phoneticPr fontId="2" type="noConversion"/>
  </si>
  <si>
    <t>2) N+1년차 Normalized 운영수입</t>
    <phoneticPr fontId="2" type="noConversion"/>
  </si>
  <si>
    <t>신규계약일</t>
    <phoneticPr fontId="2" type="noConversion"/>
  </si>
  <si>
    <t>계약 조건</t>
    <phoneticPr fontId="2" type="noConversion"/>
  </si>
  <si>
    <t>임대료단가</t>
    <phoneticPr fontId="2" type="noConversion"/>
  </si>
  <si>
    <t>관리비단가</t>
    <phoneticPr fontId="2" type="noConversion"/>
  </si>
  <si>
    <t>Rent-free</t>
    <phoneticPr fontId="2" type="noConversion"/>
  </si>
  <si>
    <t>N+1년차</t>
    <phoneticPr fontId="2" type="noConversion"/>
  </si>
  <si>
    <t>경과년수</t>
    <phoneticPr fontId="2" type="noConversion"/>
  </si>
  <si>
    <t>임대료 단가</t>
    <phoneticPr fontId="2" type="noConversion"/>
  </si>
  <si>
    <t>관리비 단가</t>
    <phoneticPr fontId="2" type="noConversion"/>
  </si>
  <si>
    <t>임대료수입</t>
    <phoneticPr fontId="2" type="noConversion"/>
  </si>
  <si>
    <t>관리비수입</t>
    <phoneticPr fontId="2" type="noConversion"/>
  </si>
  <si>
    <t>연 운영수입</t>
    <phoneticPr fontId="2" type="noConversion"/>
  </si>
  <si>
    <t>3) N+1년차 Normalized 운영비용</t>
    <phoneticPr fontId="2" type="noConversion"/>
  </si>
  <si>
    <t>CAGR</t>
    <phoneticPr fontId="2" type="noConversion"/>
  </si>
  <si>
    <t>N+1년차 NOI</t>
    <phoneticPr fontId="2" type="noConversion"/>
  </si>
  <si>
    <t>3. 매각가치 산정 (수익환원법)</t>
    <phoneticPr fontId="2" type="noConversion"/>
  </si>
  <si>
    <t>1) Exit Cap. Rate</t>
    <phoneticPr fontId="2" type="noConversion"/>
  </si>
  <si>
    <t>2) 임차보증금</t>
    <phoneticPr fontId="2" type="noConversion"/>
  </si>
  <si>
    <t>3) 매각가치</t>
    <phoneticPr fontId="2" type="noConversion"/>
  </si>
  <si>
    <t>= N+1년차 NOI/Cap rate + 임차보증금</t>
    <phoneticPr fontId="2" type="noConversion"/>
  </si>
  <si>
    <t>연면적당 평당 매각가치</t>
    <phoneticPr fontId="2" type="noConversion"/>
  </si>
  <si>
    <t>백만원/평</t>
    <phoneticPr fontId="2" type="noConversion"/>
  </si>
  <si>
    <t>4. 순 매각가치 산정</t>
    <phoneticPr fontId="2" type="noConversion"/>
  </si>
  <si>
    <t>1) 매각 부대비용</t>
    <phoneticPr fontId="2" type="noConversion"/>
  </si>
  <si>
    <t>매각 자문수수료</t>
    <phoneticPr fontId="2" type="noConversion"/>
  </si>
  <si>
    <t>매각가의</t>
    <phoneticPr fontId="2" type="noConversion"/>
  </si>
  <si>
    <t>매각 기본보수</t>
    <phoneticPr fontId="2" type="noConversion"/>
  </si>
  <si>
    <t>매각 성공보수</t>
    <phoneticPr fontId="2" type="noConversion"/>
  </si>
  <si>
    <t>성공보수 차감전 매각차익의</t>
    <phoneticPr fontId="2" type="noConversion"/>
  </si>
  <si>
    <t>*성공보수 차감전 매각차익</t>
    <phoneticPr fontId="2" type="noConversion"/>
  </si>
  <si>
    <t>2) 순 매각가치</t>
    <phoneticPr fontId="2" type="noConversion"/>
  </si>
  <si>
    <t>= 매각가치 - 매각부대비용</t>
    <phoneticPr fontId="2" type="noConversion"/>
  </si>
  <si>
    <t>순 매각가치</t>
    <phoneticPr fontId="2" type="noConversion"/>
  </si>
  <si>
    <t>한도대출</t>
    <phoneticPr fontId="2" type="noConversion"/>
  </si>
  <si>
    <t>3) 한도대출</t>
    <phoneticPr fontId="2" type="noConversion"/>
  </si>
  <si>
    <t>영업CF+투자CF</t>
    <phoneticPr fontId="2" type="noConversion"/>
  </si>
  <si>
    <t>기초현금흐름</t>
    <phoneticPr fontId="2" type="noConversion"/>
  </si>
  <si>
    <t>CF for 한도대출</t>
    <phoneticPr fontId="2" type="noConversion"/>
  </si>
  <si>
    <t>차입/(상환)</t>
    <phoneticPr fontId="2" type="noConversion"/>
  </si>
  <si>
    <t>*운영기간 한도대출</t>
    <phoneticPr fontId="2" type="noConversion"/>
  </si>
  <si>
    <t>한도액</t>
    <phoneticPr fontId="2" type="noConversion"/>
  </si>
  <si>
    <t>▪Circulation Switch</t>
    <phoneticPr fontId="2" type="noConversion"/>
  </si>
  <si>
    <t>개월수</t>
    <phoneticPr fontId="2" type="noConversion"/>
  </si>
  <si>
    <t>1) 당기순이익 산정</t>
    <phoneticPr fontId="2" type="noConversion"/>
  </si>
  <si>
    <t>영업수익</t>
    <phoneticPr fontId="2" type="noConversion"/>
  </si>
  <si>
    <t>관리비 수익</t>
    <phoneticPr fontId="2" type="noConversion"/>
  </si>
  <si>
    <t>임대료 수익</t>
    <phoneticPr fontId="2" type="noConversion"/>
  </si>
  <si>
    <t>(-)영업비용</t>
    <phoneticPr fontId="2" type="noConversion"/>
  </si>
  <si>
    <t>감가상각비</t>
    <phoneticPr fontId="2" type="noConversion"/>
  </si>
  <si>
    <t>건물취득원가</t>
    <phoneticPr fontId="2" type="noConversion"/>
  </si>
  <si>
    <t>신규취득(Capex)</t>
    <phoneticPr fontId="2" type="noConversion"/>
  </si>
  <si>
    <t>상각기간</t>
    <phoneticPr fontId="2" type="noConversion"/>
  </si>
  <si>
    <t>유형자산</t>
    <phoneticPr fontId="2" type="noConversion"/>
  </si>
  <si>
    <t>건물분취득원가</t>
    <phoneticPr fontId="2" type="noConversion"/>
  </si>
  <si>
    <t>발생기의 종료월</t>
    <phoneticPr fontId="2" type="noConversion"/>
  </si>
  <si>
    <t>영업이익</t>
    <phoneticPr fontId="2" type="noConversion"/>
  </si>
  <si>
    <t>(-)이자비용 (All-in)</t>
    <phoneticPr fontId="2" type="noConversion"/>
  </si>
  <si>
    <t>(-)법인세</t>
    <phoneticPr fontId="2" type="noConversion"/>
  </si>
  <si>
    <t>당기순이익</t>
    <phoneticPr fontId="2" type="noConversion"/>
  </si>
  <si>
    <t>*All-in이자비용</t>
    <phoneticPr fontId="2" type="noConversion"/>
  </si>
  <si>
    <t>All-in이자비용 합계</t>
    <phoneticPr fontId="2" type="noConversion"/>
  </si>
  <si>
    <t>2) 운영배당액 산정</t>
    <phoneticPr fontId="2" type="noConversion"/>
  </si>
  <si>
    <t>배당가능이익 (당기순이익 + 감가상각비)</t>
    <phoneticPr fontId="2" type="noConversion"/>
  </si>
  <si>
    <t>우선주 운영배당</t>
    <phoneticPr fontId="2" type="noConversion"/>
  </si>
  <si>
    <t>배당금 지급 필요액</t>
    <phoneticPr fontId="2" type="noConversion"/>
  </si>
  <si>
    <t>배당금 지급액</t>
    <phoneticPr fontId="2" type="noConversion"/>
  </si>
  <si>
    <t>배당금 미지급액</t>
    <phoneticPr fontId="2" type="noConversion"/>
  </si>
  <si>
    <t>우선주 운영배당액</t>
    <phoneticPr fontId="2" type="noConversion"/>
  </si>
  <si>
    <t>보통주 운영배당</t>
    <phoneticPr fontId="2" type="noConversion"/>
  </si>
  <si>
    <t>보통주 배당가능액</t>
    <phoneticPr fontId="2" type="noConversion"/>
  </si>
  <si>
    <t>보통주 운영배당액</t>
    <phoneticPr fontId="2" type="noConversion"/>
  </si>
  <si>
    <t>3) 청산배당액 산정</t>
    <phoneticPr fontId="2" type="noConversion"/>
  </si>
  <si>
    <t>청산배당순서:</t>
    <phoneticPr fontId="2" type="noConversion"/>
  </si>
  <si>
    <t>우선주 운영배당 미지급금 --&gt; 우선주 매각차익 --&gt; 우선주 원본 --&gt; 보통주 매각차익 --&gt; 보통주 원본 및 잔여배당</t>
    <phoneticPr fontId="2" type="noConversion"/>
  </si>
  <si>
    <t>청산배당 전 현금 잔액</t>
    <phoneticPr fontId="2" type="noConversion"/>
  </si>
  <si>
    <t>청산배당 전 현금잔액</t>
    <phoneticPr fontId="2" type="noConversion"/>
  </si>
  <si>
    <t>현금 잔액 CF</t>
    <phoneticPr fontId="2" type="noConversion"/>
  </si>
  <si>
    <t>1&gt; 우선주 운영배당 미지급금</t>
    <phoneticPr fontId="2" type="noConversion"/>
  </si>
  <si>
    <t>우선주 운영배당 미지급금</t>
    <phoneticPr fontId="2" type="noConversion"/>
  </si>
  <si>
    <t>우선주 운영배당 미지급금 배당</t>
    <phoneticPr fontId="2" type="noConversion"/>
  </si>
  <si>
    <t>2&gt; 우선주 매각차익</t>
    <phoneticPr fontId="2" type="noConversion"/>
  </si>
  <si>
    <t>매각차익 배당가능액</t>
    <phoneticPr fontId="2" type="noConversion"/>
  </si>
  <si>
    <t>배당필요액</t>
    <phoneticPr fontId="2" type="noConversion"/>
  </si>
  <si>
    <t>5. 매각차익</t>
    <phoneticPr fontId="2" type="noConversion"/>
  </si>
  <si>
    <t>= 순매각가치 - 총투자비</t>
    <phoneticPr fontId="2" type="noConversion"/>
  </si>
  <si>
    <t>매각차익</t>
    <phoneticPr fontId="2" type="noConversion"/>
  </si>
  <si>
    <t>우선주 매각차익 배당</t>
    <phoneticPr fontId="2" type="noConversion"/>
  </si>
  <si>
    <t>3&gt; 우선주 원본</t>
    <phoneticPr fontId="2" type="noConversion"/>
  </si>
  <si>
    <t>원본 상환 가능액</t>
    <phoneticPr fontId="2" type="noConversion"/>
  </si>
  <si>
    <t>우선주 원본</t>
    <phoneticPr fontId="2" type="noConversion"/>
  </si>
  <si>
    <t>우선주 원본상환</t>
    <phoneticPr fontId="2" type="noConversion"/>
  </si>
  <si>
    <t>4&gt; 보통주 매각차익</t>
    <phoneticPr fontId="2" type="noConversion"/>
  </si>
  <si>
    <t>보통주 매각차익 배당</t>
    <phoneticPr fontId="2" type="noConversion"/>
  </si>
  <si>
    <t>5&gt; 보통주 원본 및 잔여배당</t>
    <phoneticPr fontId="2" type="noConversion"/>
  </si>
  <si>
    <t>잔여배당 가능액</t>
    <phoneticPr fontId="2" type="noConversion"/>
  </si>
  <si>
    <t>보통주 원본 및 잔여배당액</t>
    <phoneticPr fontId="2" type="noConversion"/>
  </si>
  <si>
    <t>보통주 청산배당</t>
    <phoneticPr fontId="2" type="noConversion"/>
  </si>
  <si>
    <t>우선주 청산배당</t>
    <phoneticPr fontId="2" type="noConversion"/>
  </si>
  <si>
    <t>보통주 원본상환</t>
    <phoneticPr fontId="2" type="noConversion"/>
  </si>
  <si>
    <t>운영수입 가정</t>
    <phoneticPr fontId="2" type="noConversion"/>
  </si>
  <si>
    <t>운영비용 및 펀드비용 가정</t>
    <phoneticPr fontId="2" type="noConversion"/>
  </si>
  <si>
    <t>자산매각 가정</t>
    <phoneticPr fontId="2" type="noConversion"/>
  </si>
  <si>
    <t>사업기간별 현금흐름</t>
    <phoneticPr fontId="2" type="noConversion"/>
  </si>
  <si>
    <t>사업연도(회계기간)</t>
    <phoneticPr fontId="2" type="noConversion"/>
  </si>
  <si>
    <t>▪Model Check</t>
    <phoneticPr fontId="2" type="noConversion"/>
  </si>
  <si>
    <t>*DSCR계산</t>
    <phoneticPr fontId="2" type="noConversion"/>
  </si>
  <si>
    <t>이자비용 차감전 영엽현금흐름</t>
    <phoneticPr fontId="2" type="noConversion"/>
  </si>
  <si>
    <t>이자지급시점 누적현금흐름</t>
    <phoneticPr fontId="2" type="noConversion"/>
  </si>
  <si>
    <t>DSCR</t>
    <phoneticPr fontId="2" type="noConversion"/>
  </si>
  <si>
    <t>평균</t>
    <phoneticPr fontId="2" type="noConversion"/>
  </si>
  <si>
    <t>최소</t>
    <phoneticPr fontId="2" type="noConversion"/>
  </si>
  <si>
    <t>회계기말 기준</t>
    <phoneticPr fontId="2" type="noConversion"/>
  </si>
  <si>
    <t>주주현금흐름</t>
    <phoneticPr fontId="2" type="noConversion"/>
  </si>
  <si>
    <t>투자</t>
    <phoneticPr fontId="2" type="noConversion"/>
  </si>
  <si>
    <t>투자원본회수</t>
    <phoneticPr fontId="2" type="noConversion"/>
  </si>
  <si>
    <t>FCFE</t>
    <phoneticPr fontId="2" type="noConversion"/>
  </si>
  <si>
    <t>회계기간별 배당수익률</t>
    <phoneticPr fontId="2" type="noConversion"/>
  </si>
  <si>
    <t>연평균 배당수익률</t>
    <phoneticPr fontId="2" type="noConversion"/>
  </si>
  <si>
    <t>Equity IRR</t>
    <phoneticPr fontId="2" type="noConversion"/>
  </si>
  <si>
    <t>Normalized NOI</t>
    <phoneticPr fontId="2" type="noConversion"/>
  </si>
  <si>
    <t>initial Cap</t>
    <phoneticPr fontId="2" type="noConversion"/>
  </si>
  <si>
    <r>
      <rPr>
        <sz val="9"/>
        <color theme="1"/>
        <rFont val="Segoe UI Symbol"/>
        <family val="3"/>
      </rPr>
      <t>▪</t>
    </r>
    <r>
      <rPr>
        <sz val="9"/>
        <color theme="1"/>
        <rFont val="맑은 고딕"/>
        <family val="3"/>
        <charset val="129"/>
      </rPr>
      <t>매입가 적정성</t>
    </r>
    <phoneticPr fontId="2" type="noConversion"/>
  </si>
  <si>
    <t>Initial Cap</t>
    <phoneticPr fontId="2" type="noConversion"/>
  </si>
  <si>
    <t>연면적당 매입가</t>
    <phoneticPr fontId="2" type="noConversion"/>
  </si>
  <si>
    <t>민감도 분석</t>
    <phoneticPr fontId="2" type="noConversion"/>
  </si>
  <si>
    <t>대주입장 민감도 분석</t>
    <phoneticPr fontId="2" type="noConversion"/>
  </si>
  <si>
    <t>[평균 DSCR]</t>
    <phoneticPr fontId="2" type="noConversion"/>
  </si>
  <si>
    <t>공실률(행)</t>
    <phoneticPr fontId="2" type="noConversion"/>
  </si>
  <si>
    <t>월임대료(열)</t>
    <phoneticPr fontId="2" type="noConversion"/>
  </si>
  <si>
    <t>공실률</t>
    <phoneticPr fontId="2" type="noConversion"/>
  </si>
  <si>
    <t>[최소 DSCR]</t>
    <phoneticPr fontId="2" type="noConversion"/>
  </si>
  <si>
    <t>우선주 투자자 입장 민감도 분석</t>
    <phoneticPr fontId="2" type="noConversion"/>
  </si>
  <si>
    <t>[연평균 배당수익률]</t>
    <phoneticPr fontId="2" type="noConversion"/>
  </si>
  <si>
    <t>Exit Cap (열)</t>
    <phoneticPr fontId="2" type="noConversion"/>
  </si>
  <si>
    <t>[Equity IRR]</t>
    <phoneticPr fontId="2" type="noConversion"/>
  </si>
  <si>
    <t>[투자원본상환액]</t>
    <phoneticPr fontId="2" type="noConversion"/>
  </si>
  <si>
    <t>보통주 투자자 입장 민감도 분석</t>
    <phoneticPr fontId="2" type="noConversion"/>
  </si>
  <si>
    <t>Input</t>
    <phoneticPr fontId="2" type="noConversion"/>
  </si>
  <si>
    <t>변수</t>
    <phoneticPr fontId="2" type="noConversion"/>
  </si>
  <si>
    <t>창고 임대료(원/평)</t>
    <phoneticPr fontId="2" type="noConversion"/>
  </si>
  <si>
    <t>매각 Cap. Rate</t>
    <phoneticPr fontId="2" type="noConversion"/>
  </si>
  <si>
    <t>적용 값</t>
    <phoneticPr fontId="2" type="noConversion"/>
  </si>
  <si>
    <t>시나리오시작</t>
    <phoneticPr fontId="2" type="noConversion"/>
  </si>
  <si>
    <t>시나리오종료</t>
    <phoneticPr fontId="2" type="noConversion"/>
  </si>
  <si>
    <t>기본시나리오</t>
    <phoneticPr fontId="2" type="noConversion"/>
  </si>
  <si>
    <t>Output</t>
    <phoneticPr fontId="2" type="noConversion"/>
  </si>
  <si>
    <t>결과</t>
    <phoneticPr fontId="2" type="noConversion"/>
  </si>
  <si>
    <t>대주입장</t>
    <phoneticPr fontId="2" type="noConversion"/>
  </si>
  <si>
    <t>우선주입장</t>
    <phoneticPr fontId="2" type="noConversion"/>
  </si>
  <si>
    <t>보통주입장</t>
    <phoneticPr fontId="2" type="noConversion"/>
  </si>
  <si>
    <t>결과 값</t>
    <phoneticPr fontId="2" type="noConversion"/>
  </si>
  <si>
    <t>공실률&amp;임대료</t>
    <phoneticPr fontId="2" type="noConversion"/>
  </si>
  <si>
    <t>공실률 &amp; Exit Cap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</si>
</sst>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1">
    <numFmt numFmtId="176" formatCode="#,##0_);[Red]\(#,##0\);\-_)"/>
    <numFmt numFmtId="177" formatCode="#,##0.0000_);[Red]\(#,##0\);\-_)"/>
    <numFmt numFmtId="178" formatCode="yyyy\/mm"/>
    <numFmt numFmtId="179" formatCode="#,##0&quot;년&quot;_);[Red]\(#,##0\);\-_)"/>
    <numFmt numFmtId="180" formatCode="#,##0&quot;개&quot;&quot;월&quot;_);[Red]\(#,##0\);\-_)"/>
    <numFmt numFmtId="181" formatCode="#,##0.0_);[Red]\(#,##0\);\-_)"/>
    <numFmt numFmtId="182" formatCode="0.0%"/>
    <numFmt numFmtId="183" formatCode="#,##0&quot;개&quot;&quot;월&quot;&quot;후&quot;&quot;취&quot;_);[Red]\(#,##0\);\-_)"/>
    <numFmt numFmtId="184" formatCode="#,##0&quot;기&quot;_);[Red]\(#,##0\);\-_)"/>
    <numFmt numFmtId="185" formatCode="#,##0&quot;년&quot;&quot;차&quot;_);[Red]\(#,##0\);\-_)"/>
    <numFmt numFmtId="186" formatCode="#,##0&quot;원&quot;_);[Red]\(#,##0\);\-_)"/>
    <numFmt numFmtId="187" formatCode="#,##0.0&quot;배&quot;_);[Red]\(#,##0\);\-_)"/>
    <numFmt numFmtId="188" formatCode="#,##0&quot;월&quot;_);[Red]\(#,##0\);\-_)"/>
    <numFmt numFmtId="189" formatCode="#,##0&quot;평&quot;_);[Red]\(#,##0\);\-_)"/>
    <numFmt numFmtId="190" formatCode="General&quot;년&quot;"/>
    <numFmt numFmtId="191" formatCode="#,##0.00_);[Red]\(#,##0\);\-_)"/>
    <numFmt numFmtId="192" formatCode="#,##0&quot;백&quot;&quot;만&quot;&quot;원&quot;_);[Red]\(#,##0\);\-_)"/>
    <numFmt numFmtId="193" formatCode="\(#,##0&quot;년&quot;&quot;차&quot;\)_);[Red]\(#,##0\);\-_)"/>
    <numFmt numFmtId="194" formatCode="&quot;연&quot;\ #,##0&quot;개&quot;&quot;월&quot;_);[Red]\(#,##0\);\-_)"/>
    <numFmt numFmtId="195" formatCode="&quot;ON&quot;;;&quot;OFF&quot;"/>
    <numFmt numFmtId="196" formatCode="&quot;@&quot;#,##0.00&quot;백&quot;&quot;만&quot;_);[Red]\(#,##0\);\-_)"/>
  </numFmts>
  <fonts count="17">
    <font>
      <sz val="11"/>
      <color theme="1"/>
      <name val="맑은 고딕"/>
      <family val="2"/>
      <charset val="129"/>
      <scheme val="minor"/>
    </font>
    <font>
      <sz val="9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9"/>
      <color rgb="FFFF0000"/>
      <name val="맑은 고딕"/>
      <family val="2"/>
      <charset val="129"/>
      <scheme val="minor"/>
    </font>
    <font>
      <sz val="9"/>
      <color theme="4"/>
      <name val="맑은 고딕"/>
      <family val="2"/>
      <charset val="129"/>
      <scheme val="minor"/>
    </font>
    <font>
      <sz val="9"/>
      <color theme="0"/>
      <name val="맑은 고딕"/>
      <family val="2"/>
      <charset val="129"/>
      <scheme val="minor"/>
    </font>
    <font>
      <sz val="9"/>
      <color rgb="FF00B050"/>
      <name val="맑은 고딕"/>
      <family val="2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sz val="9"/>
      <color theme="1"/>
      <name val="Spoqa Han Sans Neo"/>
      <family val="3"/>
      <charset val="129"/>
    </font>
    <font>
      <sz val="9"/>
      <color theme="1"/>
      <name val="맑은 고딕"/>
      <family val="3"/>
      <charset val="129"/>
    </font>
    <font>
      <sz val="9"/>
      <color theme="1"/>
      <name val="Segoe UI Symbol"/>
      <family val="3"/>
    </font>
    <font>
      <sz val="9"/>
      <name val="맑은 고딕"/>
      <family val="2"/>
      <charset val="129"/>
      <scheme val="minor"/>
    </font>
    <font>
      <sz val="9"/>
      <color rgb="FF00B05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9"/>
      <color rgb="FF00B050"/>
      <name val="맑은 고딕"/>
      <family val="3"/>
      <charset val="129"/>
      <scheme val="minor"/>
    </font>
    <font>
      <sz val="9"/>
      <color theme="4"/>
      <name val="맑은 고딕"/>
      <family val="3"/>
      <charset val="129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39">
    <border>
      <left/>
      <right/>
      <top/>
      <bottom/>
      <diagonal/>
    </border>
    <border>
      <left/>
      <right/>
      <top/>
      <bottom style="thick">
        <color rgb="FFC00000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/>
      <right/>
      <top style="hair">
        <color auto="1"/>
      </top>
      <bottom/>
      <diagonal/>
    </border>
    <border>
      <left/>
      <right/>
      <top/>
      <bottom style="hair">
        <color auto="1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/>
      <right style="hair">
        <color auto="1"/>
      </right>
      <top style="hair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 style="hair">
        <color auto="1"/>
      </top>
      <bottom/>
      <diagonal/>
    </border>
    <border>
      <left style="hair">
        <color auto="1"/>
      </left>
      <right/>
      <top/>
      <bottom style="thin">
        <color auto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299">
    <xf numFmtId="0" fontId="0" fillId="0" borderId="0" xfId="0">
      <alignment vertical="center"/>
    </xf>
    <xf numFmtId="176" fontId="1" fillId="0" borderId="0" xfId="0" applyNumberFormat="1" applyFont="1">
      <alignment vertical="center"/>
    </xf>
    <xf numFmtId="176" fontId="1" fillId="0" borderId="1" xfId="0" applyNumberFormat="1" applyFont="1" applyBorder="1">
      <alignment vertical="center"/>
    </xf>
    <xf numFmtId="176" fontId="3" fillId="2" borderId="0" xfId="0" applyNumberFormat="1" applyFont="1" applyFill="1">
      <alignment vertical="center"/>
    </xf>
    <xf numFmtId="176" fontId="4" fillId="0" borderId="0" xfId="0" applyNumberFormat="1" applyFont="1">
      <alignment vertical="center"/>
    </xf>
    <xf numFmtId="176" fontId="1" fillId="3" borderId="0" xfId="0" applyNumberFormat="1" applyFont="1" applyFill="1">
      <alignment vertical="center"/>
    </xf>
    <xf numFmtId="176" fontId="1" fillId="4" borderId="0" xfId="0" applyNumberFormat="1" applyFont="1" applyFill="1">
      <alignment vertical="center"/>
    </xf>
    <xf numFmtId="176" fontId="1" fillId="5" borderId="0" xfId="0" applyNumberFormat="1" applyFont="1" applyFill="1">
      <alignment vertical="center"/>
    </xf>
    <xf numFmtId="176" fontId="5" fillId="6" borderId="0" xfId="0" applyNumberFormat="1" applyFont="1" applyFill="1">
      <alignment vertical="center"/>
    </xf>
    <xf numFmtId="176" fontId="1" fillId="7" borderId="0" xfId="0" applyNumberFormat="1" applyFont="1" applyFill="1">
      <alignment vertical="center"/>
    </xf>
    <xf numFmtId="176" fontId="1" fillId="8" borderId="0" xfId="0" applyNumberFormat="1" applyFont="1" applyFill="1">
      <alignment vertical="center"/>
    </xf>
    <xf numFmtId="176" fontId="6" fillId="0" borderId="0" xfId="0" applyNumberFormat="1" applyFont="1">
      <alignment vertical="center"/>
    </xf>
    <xf numFmtId="14" fontId="1" fillId="0" borderId="0" xfId="0" applyNumberFormat="1" applyFont="1">
      <alignment vertical="center"/>
    </xf>
    <xf numFmtId="176" fontId="7" fillId="0" borderId="0" xfId="0" applyNumberFormat="1" applyFont="1">
      <alignment vertical="center"/>
    </xf>
    <xf numFmtId="176" fontId="8" fillId="0" borderId="0" xfId="0" applyNumberFormat="1" applyFont="1">
      <alignment vertical="center"/>
    </xf>
    <xf numFmtId="176" fontId="5" fillId="7" borderId="0" xfId="0" applyNumberFormat="1" applyFont="1" applyFill="1">
      <alignment vertical="center"/>
    </xf>
    <xf numFmtId="176" fontId="9" fillId="0" borderId="0" xfId="0" applyNumberFormat="1" applyFont="1">
      <alignment vertical="center"/>
    </xf>
    <xf numFmtId="176" fontId="10" fillId="0" borderId="0" xfId="0" applyNumberFormat="1" applyFont="1">
      <alignment vertical="center"/>
    </xf>
    <xf numFmtId="177" fontId="1" fillId="0" borderId="0" xfId="0" applyNumberFormat="1" applyFont="1">
      <alignment vertical="center"/>
    </xf>
    <xf numFmtId="178" fontId="3" fillId="2" borderId="0" xfId="0" applyNumberFormat="1" applyFont="1" applyFill="1">
      <alignment vertical="center"/>
    </xf>
    <xf numFmtId="179" fontId="3" fillId="2" borderId="0" xfId="0" applyNumberFormat="1" applyFont="1" applyFill="1">
      <alignment vertical="center"/>
    </xf>
    <xf numFmtId="178" fontId="12" fillId="0" borderId="0" xfId="0" applyNumberFormat="1" applyFont="1" applyFill="1">
      <alignment vertical="center"/>
    </xf>
    <xf numFmtId="180" fontId="1" fillId="0" borderId="0" xfId="0" applyNumberFormat="1" applyFont="1">
      <alignment vertical="center"/>
    </xf>
    <xf numFmtId="176" fontId="1" fillId="0" borderId="3" xfId="0" applyNumberFormat="1" applyFont="1" applyBorder="1">
      <alignment vertical="center"/>
    </xf>
    <xf numFmtId="176" fontId="1" fillId="0" borderId="4" xfId="0" applyNumberFormat="1" applyFont="1" applyBorder="1">
      <alignment vertical="center"/>
    </xf>
    <xf numFmtId="176" fontId="1" fillId="0" borderId="5" xfId="0" applyNumberFormat="1" applyFont="1" applyBorder="1">
      <alignment vertical="center"/>
    </xf>
    <xf numFmtId="176" fontId="1" fillId="8" borderId="4" xfId="0" applyNumberFormat="1" applyFont="1" applyFill="1" applyBorder="1">
      <alignment vertical="center"/>
    </xf>
    <xf numFmtId="176" fontId="1" fillId="8" borderId="5" xfId="0" applyNumberFormat="1" applyFont="1" applyFill="1" applyBorder="1">
      <alignment vertical="center"/>
    </xf>
    <xf numFmtId="176" fontId="1" fillId="0" borderId="6" xfId="0" applyNumberFormat="1" applyFont="1" applyBorder="1">
      <alignment vertical="center"/>
    </xf>
    <xf numFmtId="176" fontId="1" fillId="0" borderId="7" xfId="0" applyNumberFormat="1" applyFont="1" applyBorder="1">
      <alignment vertical="center"/>
    </xf>
    <xf numFmtId="176" fontId="1" fillId="0" borderId="8" xfId="0" applyNumberFormat="1" applyFont="1" applyBorder="1">
      <alignment vertical="center"/>
    </xf>
    <xf numFmtId="176" fontId="1" fillId="0" borderId="9" xfId="0" applyNumberFormat="1" applyFont="1" applyBorder="1">
      <alignment vertical="center"/>
    </xf>
    <xf numFmtId="176" fontId="1" fillId="0" borderId="10" xfId="0" applyNumberFormat="1" applyFont="1" applyBorder="1">
      <alignment vertical="center"/>
    </xf>
    <xf numFmtId="176" fontId="1" fillId="0" borderId="11" xfId="0" applyNumberFormat="1" applyFont="1" applyBorder="1">
      <alignment vertical="center"/>
    </xf>
    <xf numFmtId="176" fontId="1" fillId="0" borderId="12" xfId="0" applyNumberFormat="1" applyFont="1" applyBorder="1">
      <alignment vertical="center"/>
    </xf>
    <xf numFmtId="176" fontId="1" fillId="0" borderId="13" xfId="0" applyNumberFormat="1" applyFont="1" applyBorder="1">
      <alignment vertical="center"/>
    </xf>
    <xf numFmtId="176" fontId="1" fillId="0" borderId="14" xfId="0" applyNumberFormat="1" applyFont="1" applyBorder="1">
      <alignment vertical="center"/>
    </xf>
    <xf numFmtId="178" fontId="1" fillId="0" borderId="7" xfId="0" applyNumberFormat="1" applyFont="1" applyBorder="1">
      <alignment vertical="center"/>
    </xf>
    <xf numFmtId="178" fontId="1" fillId="0" borderId="10" xfId="0" applyNumberFormat="1" applyFont="1" applyBorder="1">
      <alignment vertical="center"/>
    </xf>
    <xf numFmtId="178" fontId="1" fillId="0" borderId="13" xfId="0" applyNumberFormat="1" applyFont="1" applyBorder="1">
      <alignment vertical="center"/>
    </xf>
    <xf numFmtId="176" fontId="1" fillId="8" borderId="16" xfId="0" applyNumberFormat="1" applyFont="1" applyFill="1" applyBorder="1">
      <alignment vertical="center"/>
    </xf>
    <xf numFmtId="176" fontId="1" fillId="0" borderId="15" xfId="0" applyNumberFormat="1" applyFont="1" applyBorder="1">
      <alignment vertical="center"/>
    </xf>
    <xf numFmtId="176" fontId="1" fillId="0" borderId="16" xfId="0" applyNumberFormat="1" applyFont="1" applyBorder="1">
      <alignment vertical="center"/>
    </xf>
    <xf numFmtId="176" fontId="1" fillId="0" borderId="0" xfId="0" applyNumberFormat="1" applyFont="1" applyBorder="1">
      <alignment vertical="center"/>
    </xf>
    <xf numFmtId="176" fontId="1" fillId="4" borderId="17" xfId="0" applyNumberFormat="1" applyFont="1" applyFill="1" applyBorder="1">
      <alignment vertical="center"/>
    </xf>
    <xf numFmtId="176" fontId="3" fillId="2" borderId="15" xfId="0" applyNumberFormat="1" applyFont="1" applyFill="1" applyBorder="1">
      <alignment vertical="center"/>
    </xf>
    <xf numFmtId="181" fontId="3" fillId="2" borderId="15" xfId="0" applyNumberFormat="1" applyFont="1" applyFill="1" applyBorder="1">
      <alignment vertical="center"/>
    </xf>
    <xf numFmtId="182" fontId="4" fillId="0" borderId="16" xfId="0" applyNumberFormat="1" applyFont="1" applyBorder="1">
      <alignment vertical="center"/>
    </xf>
    <xf numFmtId="10" fontId="3" fillId="2" borderId="15" xfId="0" applyNumberFormat="1" applyFont="1" applyFill="1" applyBorder="1">
      <alignment vertical="center"/>
    </xf>
    <xf numFmtId="176" fontId="3" fillId="2" borderId="0" xfId="0" applyNumberFormat="1" applyFont="1" applyFill="1" applyBorder="1">
      <alignment vertical="center"/>
    </xf>
    <xf numFmtId="176" fontId="3" fillId="2" borderId="16" xfId="0" applyNumberFormat="1" applyFont="1" applyFill="1" applyBorder="1">
      <alignment vertical="center"/>
    </xf>
    <xf numFmtId="176" fontId="1" fillId="0" borderId="2" xfId="0" applyNumberFormat="1" applyFont="1" applyBorder="1">
      <alignment vertical="center"/>
    </xf>
    <xf numFmtId="10" fontId="3" fillId="2" borderId="2" xfId="0" applyNumberFormat="1" applyFont="1" applyFill="1" applyBorder="1">
      <alignment vertical="center"/>
    </xf>
    <xf numFmtId="9" fontId="3" fillId="2" borderId="0" xfId="0" applyNumberFormat="1" applyFont="1" applyFill="1" applyBorder="1">
      <alignment vertical="center"/>
    </xf>
    <xf numFmtId="182" fontId="4" fillId="0" borderId="0" xfId="0" applyNumberFormat="1" applyFont="1">
      <alignment vertical="center"/>
    </xf>
    <xf numFmtId="182" fontId="4" fillId="0" borderId="15" xfId="0" applyNumberFormat="1" applyFont="1" applyBorder="1">
      <alignment vertical="center"/>
    </xf>
    <xf numFmtId="182" fontId="4" fillId="0" borderId="0" xfId="0" applyNumberFormat="1" applyFont="1" applyBorder="1">
      <alignment vertical="center"/>
    </xf>
    <xf numFmtId="182" fontId="4" fillId="0" borderId="2" xfId="0" applyNumberFormat="1" applyFont="1" applyBorder="1">
      <alignment vertical="center"/>
    </xf>
    <xf numFmtId="182" fontId="4" fillId="4" borderId="17" xfId="0" applyNumberFormat="1" applyFont="1" applyFill="1" applyBorder="1">
      <alignment vertical="center"/>
    </xf>
    <xf numFmtId="176" fontId="1" fillId="8" borderId="14" xfId="0" applyNumberFormat="1" applyFont="1" applyFill="1" applyBorder="1">
      <alignment vertical="center"/>
    </xf>
    <xf numFmtId="176" fontId="1" fillId="8" borderId="12" xfId="0" applyNumberFormat="1" applyFont="1" applyFill="1" applyBorder="1">
      <alignment vertical="center"/>
    </xf>
    <xf numFmtId="176" fontId="1" fillId="4" borderId="18" xfId="0" applyNumberFormat="1" applyFont="1" applyFill="1" applyBorder="1">
      <alignment vertical="center"/>
    </xf>
    <xf numFmtId="176" fontId="1" fillId="4" borderId="19" xfId="0" applyNumberFormat="1" applyFont="1" applyFill="1" applyBorder="1">
      <alignment vertical="center"/>
    </xf>
    <xf numFmtId="176" fontId="3" fillId="2" borderId="8" xfId="0" applyNumberFormat="1" applyFont="1" applyFill="1" applyBorder="1">
      <alignment vertical="center"/>
    </xf>
    <xf numFmtId="176" fontId="3" fillId="2" borderId="6" xfId="0" applyNumberFormat="1" applyFont="1" applyFill="1" applyBorder="1">
      <alignment vertical="center"/>
    </xf>
    <xf numFmtId="176" fontId="3" fillId="2" borderId="14" xfId="0" applyNumberFormat="1" applyFont="1" applyFill="1" applyBorder="1">
      <alignment vertical="center"/>
    </xf>
    <xf numFmtId="176" fontId="3" fillId="2" borderId="12" xfId="0" applyNumberFormat="1" applyFont="1" applyFill="1" applyBorder="1">
      <alignment vertical="center"/>
    </xf>
    <xf numFmtId="176" fontId="3" fillId="2" borderId="11" xfId="0" applyNumberFormat="1" applyFont="1" applyFill="1" applyBorder="1">
      <alignment vertical="center"/>
    </xf>
    <xf numFmtId="176" fontId="3" fillId="2" borderId="9" xfId="0" applyNumberFormat="1" applyFont="1" applyFill="1" applyBorder="1">
      <alignment vertical="center"/>
    </xf>
    <xf numFmtId="176" fontId="3" fillId="2" borderId="5" xfId="0" applyNumberFormat="1" applyFont="1" applyFill="1" applyBorder="1">
      <alignment vertical="center"/>
    </xf>
    <xf numFmtId="176" fontId="3" fillId="2" borderId="3" xfId="0" applyNumberFormat="1" applyFont="1" applyFill="1" applyBorder="1">
      <alignment vertical="center"/>
    </xf>
    <xf numFmtId="176" fontId="3" fillId="0" borderId="11" xfId="0" applyNumberFormat="1" applyFont="1" applyBorder="1">
      <alignment vertical="center"/>
    </xf>
    <xf numFmtId="176" fontId="3" fillId="0" borderId="9" xfId="0" applyNumberFormat="1" applyFont="1" applyBorder="1">
      <alignment vertical="center"/>
    </xf>
    <xf numFmtId="178" fontId="1" fillId="0" borderId="15" xfId="0" applyNumberFormat="1" applyFont="1" applyBorder="1">
      <alignment vertical="center"/>
    </xf>
    <xf numFmtId="178" fontId="1" fillId="0" borderId="0" xfId="0" applyNumberFormat="1" applyFont="1" applyBorder="1">
      <alignment vertical="center"/>
    </xf>
    <xf numFmtId="10" fontId="3" fillId="2" borderId="0" xfId="0" applyNumberFormat="1" applyFont="1" applyFill="1" applyBorder="1">
      <alignment vertical="center"/>
    </xf>
    <xf numFmtId="182" fontId="3" fillId="2" borderId="0" xfId="0" applyNumberFormat="1" applyFont="1" applyFill="1" applyBorder="1">
      <alignment vertical="center"/>
    </xf>
    <xf numFmtId="182" fontId="1" fillId="0" borderId="15" xfId="0" applyNumberFormat="1" applyFont="1" applyBorder="1">
      <alignment vertical="center"/>
    </xf>
    <xf numFmtId="176" fontId="6" fillId="0" borderId="15" xfId="0" applyNumberFormat="1" applyFont="1" applyBorder="1">
      <alignment vertical="center"/>
    </xf>
    <xf numFmtId="176" fontId="6" fillId="0" borderId="0" xfId="0" applyNumberFormat="1" applyFont="1" applyBorder="1">
      <alignment vertical="center"/>
    </xf>
    <xf numFmtId="176" fontId="6" fillId="0" borderId="2" xfId="0" applyNumberFormat="1" applyFont="1" applyBorder="1">
      <alignment vertical="center"/>
    </xf>
    <xf numFmtId="180" fontId="1" fillId="0" borderId="15" xfId="0" applyNumberFormat="1" applyFont="1" applyBorder="1">
      <alignment vertical="center"/>
    </xf>
    <xf numFmtId="180" fontId="1" fillId="0" borderId="0" xfId="0" applyNumberFormat="1" applyFont="1" applyBorder="1">
      <alignment vertical="center"/>
    </xf>
    <xf numFmtId="183" fontId="3" fillId="2" borderId="15" xfId="0" applyNumberFormat="1" applyFont="1" applyFill="1" applyBorder="1">
      <alignment vertical="center"/>
    </xf>
    <xf numFmtId="183" fontId="3" fillId="2" borderId="0" xfId="0" applyNumberFormat="1" applyFont="1" applyFill="1" applyBorder="1">
      <alignment vertical="center"/>
    </xf>
    <xf numFmtId="10" fontId="4" fillId="0" borderId="15" xfId="0" applyNumberFormat="1" applyFont="1" applyBorder="1">
      <alignment vertical="center"/>
    </xf>
    <xf numFmtId="10" fontId="4" fillId="0" borderId="0" xfId="0" applyNumberFormat="1" applyFont="1" applyBorder="1">
      <alignment vertical="center"/>
    </xf>
    <xf numFmtId="176" fontId="6" fillId="0" borderId="4" xfId="0" applyNumberFormat="1" applyFont="1" applyBorder="1">
      <alignment vertical="center"/>
    </xf>
    <xf numFmtId="184" fontId="13" fillId="0" borderId="4" xfId="0" applyNumberFormat="1" applyFont="1" applyBorder="1">
      <alignment vertical="center"/>
    </xf>
    <xf numFmtId="178" fontId="13" fillId="0" borderId="4" xfId="0" applyNumberFormat="1" applyFont="1" applyBorder="1">
      <alignment vertical="center"/>
    </xf>
    <xf numFmtId="176" fontId="1" fillId="8" borderId="0" xfId="0" applyNumberFormat="1" applyFont="1" applyFill="1" applyBorder="1">
      <alignment vertical="center"/>
    </xf>
    <xf numFmtId="178" fontId="1" fillId="8" borderId="0" xfId="0" applyNumberFormat="1" applyFont="1" applyFill="1" applyBorder="1">
      <alignment vertical="center"/>
    </xf>
    <xf numFmtId="184" fontId="1" fillId="8" borderId="0" xfId="0" applyNumberFormat="1" applyFont="1" applyFill="1" applyBorder="1">
      <alignment vertical="center"/>
    </xf>
    <xf numFmtId="176" fontId="1" fillId="8" borderId="20" xfId="0" applyNumberFormat="1" applyFont="1" applyFill="1" applyBorder="1">
      <alignment vertical="center"/>
    </xf>
    <xf numFmtId="185" fontId="1" fillId="8" borderId="20" xfId="0" applyNumberFormat="1" applyFont="1" applyFill="1" applyBorder="1">
      <alignment vertical="center"/>
    </xf>
    <xf numFmtId="176" fontId="6" fillId="0" borderId="8" xfId="0" applyNumberFormat="1" applyFont="1" applyBorder="1">
      <alignment vertical="center"/>
    </xf>
    <xf numFmtId="176" fontId="13" fillId="0" borderId="11" xfId="0" applyNumberFormat="1" applyFont="1" applyBorder="1">
      <alignment vertical="center"/>
    </xf>
    <xf numFmtId="176" fontId="13" fillId="0" borderId="9" xfId="0" applyNumberFormat="1" applyFont="1" applyBorder="1">
      <alignment vertical="center"/>
    </xf>
    <xf numFmtId="176" fontId="13" fillId="0" borderId="14" xfId="0" applyNumberFormat="1" applyFont="1" applyBorder="1">
      <alignment vertical="center"/>
    </xf>
    <xf numFmtId="176" fontId="13" fillId="0" borderId="12" xfId="0" applyNumberFormat="1" applyFont="1" applyBorder="1">
      <alignment vertical="center"/>
    </xf>
    <xf numFmtId="178" fontId="13" fillId="0" borderId="6" xfId="0" applyNumberFormat="1" applyFont="1" applyBorder="1">
      <alignment vertical="center"/>
    </xf>
    <xf numFmtId="176" fontId="7" fillId="0" borderId="20" xfId="0" applyNumberFormat="1" applyFont="1" applyBorder="1">
      <alignment vertical="center"/>
    </xf>
    <xf numFmtId="180" fontId="3" fillId="2" borderId="4" xfId="0" applyNumberFormat="1" applyFont="1" applyFill="1" applyBorder="1">
      <alignment vertical="center"/>
    </xf>
    <xf numFmtId="176" fontId="3" fillId="2" borderId="7" xfId="0" applyNumberFormat="1" applyFont="1" applyFill="1" applyBorder="1">
      <alignment vertical="center"/>
    </xf>
    <xf numFmtId="10" fontId="3" fillId="2" borderId="7" xfId="0" applyNumberFormat="1" applyFont="1" applyFill="1" applyBorder="1">
      <alignment vertical="center"/>
    </xf>
    <xf numFmtId="176" fontId="3" fillId="2" borderId="10" xfId="0" applyNumberFormat="1" applyFont="1" applyFill="1" applyBorder="1">
      <alignment vertical="center"/>
    </xf>
    <xf numFmtId="10" fontId="3" fillId="2" borderId="10" xfId="0" applyNumberFormat="1" applyFont="1" applyFill="1" applyBorder="1">
      <alignment vertical="center"/>
    </xf>
    <xf numFmtId="176" fontId="3" fillId="2" borderId="13" xfId="0" applyNumberFormat="1" applyFont="1" applyFill="1" applyBorder="1">
      <alignment vertical="center"/>
    </xf>
    <xf numFmtId="10" fontId="3" fillId="2" borderId="13" xfId="0" applyNumberFormat="1" applyFont="1" applyFill="1" applyBorder="1">
      <alignment vertical="center"/>
    </xf>
    <xf numFmtId="176" fontId="1" fillId="4" borderId="3" xfId="0" applyNumberFormat="1" applyFont="1" applyFill="1" applyBorder="1">
      <alignment vertical="center"/>
    </xf>
    <xf numFmtId="176" fontId="1" fillId="4" borderId="4" xfId="0" applyNumberFormat="1" applyFont="1" applyFill="1" applyBorder="1">
      <alignment vertical="center"/>
    </xf>
    <xf numFmtId="176" fontId="1" fillId="4" borderId="5" xfId="0" applyNumberFormat="1" applyFont="1" applyFill="1" applyBorder="1">
      <alignment vertical="center"/>
    </xf>
    <xf numFmtId="176" fontId="1" fillId="8" borderId="7" xfId="0" applyNumberFormat="1" applyFont="1" applyFill="1" applyBorder="1">
      <alignment vertical="center"/>
    </xf>
    <xf numFmtId="176" fontId="1" fillId="8" borderId="13" xfId="0" applyNumberFormat="1" applyFont="1" applyFill="1" applyBorder="1">
      <alignment vertical="center"/>
    </xf>
    <xf numFmtId="176" fontId="1" fillId="8" borderId="8" xfId="0" applyNumberFormat="1" applyFont="1" applyFill="1" applyBorder="1">
      <alignment vertical="center"/>
    </xf>
    <xf numFmtId="10" fontId="13" fillId="0" borderId="9" xfId="0" applyNumberFormat="1" applyFont="1" applyBorder="1">
      <alignment vertical="center"/>
    </xf>
    <xf numFmtId="10" fontId="13" fillId="0" borderId="12" xfId="0" applyNumberFormat="1" applyFont="1" applyBorder="1">
      <alignment vertical="center"/>
    </xf>
    <xf numFmtId="178" fontId="13" fillId="0" borderId="9" xfId="0" applyNumberFormat="1" applyFont="1" applyBorder="1">
      <alignment vertical="center"/>
    </xf>
    <xf numFmtId="185" fontId="6" fillId="0" borderId="0" xfId="0" applyNumberFormat="1" applyFont="1">
      <alignment vertical="center"/>
    </xf>
    <xf numFmtId="10" fontId="6" fillId="0" borderId="0" xfId="0" applyNumberFormat="1" applyFont="1">
      <alignment vertical="center"/>
    </xf>
    <xf numFmtId="176" fontId="1" fillId="4" borderId="2" xfId="0" applyNumberFormat="1" applyFont="1" applyFill="1" applyBorder="1">
      <alignment vertical="center"/>
    </xf>
    <xf numFmtId="176" fontId="1" fillId="5" borderId="2" xfId="0" applyNumberFormat="1" applyFont="1" applyFill="1" applyBorder="1">
      <alignment vertical="center"/>
    </xf>
    <xf numFmtId="186" fontId="3" fillId="2" borderId="2" xfId="0" applyNumberFormat="1" applyFont="1" applyFill="1" applyBorder="1">
      <alignment vertical="center"/>
    </xf>
    <xf numFmtId="187" fontId="3" fillId="2" borderId="2" xfId="0" applyNumberFormat="1" applyFont="1" applyFill="1" applyBorder="1">
      <alignment vertical="center"/>
    </xf>
    <xf numFmtId="186" fontId="3" fillId="2" borderId="15" xfId="0" applyNumberFormat="1" applyFont="1" applyFill="1" applyBorder="1">
      <alignment vertical="center"/>
    </xf>
    <xf numFmtId="186" fontId="3" fillId="2" borderId="0" xfId="0" applyNumberFormat="1" applyFont="1" applyFill="1" applyBorder="1">
      <alignment vertical="center"/>
    </xf>
    <xf numFmtId="188" fontId="3" fillId="2" borderId="16" xfId="0" applyNumberFormat="1" applyFont="1" applyFill="1" applyBorder="1">
      <alignment vertical="center"/>
    </xf>
    <xf numFmtId="176" fontId="1" fillId="8" borderId="2" xfId="0" applyNumberFormat="1" applyFont="1" applyFill="1" applyBorder="1">
      <alignment vertical="center"/>
    </xf>
    <xf numFmtId="176" fontId="1" fillId="0" borderId="14" xfId="0" applyNumberFormat="1" applyFont="1" applyBorder="1" applyAlignment="1">
      <alignment horizontal="right" vertical="center"/>
    </xf>
    <xf numFmtId="189" fontId="6" fillId="0" borderId="0" xfId="0" applyNumberFormat="1" applyFont="1">
      <alignment vertical="center"/>
    </xf>
    <xf numFmtId="186" fontId="6" fillId="0" borderId="16" xfId="0" applyNumberFormat="1" applyFont="1" applyBorder="1">
      <alignment vertical="center"/>
    </xf>
    <xf numFmtId="176" fontId="1" fillId="8" borderId="3" xfId="0" applyNumberFormat="1" applyFont="1" applyFill="1" applyBorder="1">
      <alignment vertical="center"/>
    </xf>
    <xf numFmtId="178" fontId="1" fillId="0" borderId="8" xfId="0" applyNumberFormat="1" applyFont="1" applyBorder="1">
      <alignment vertical="center"/>
    </xf>
    <xf numFmtId="178" fontId="1" fillId="0" borderId="11" xfId="0" applyNumberFormat="1" applyFont="1" applyBorder="1">
      <alignment vertical="center"/>
    </xf>
    <xf numFmtId="178" fontId="1" fillId="0" borderId="14" xfId="0" applyNumberFormat="1" applyFont="1" applyBorder="1">
      <alignment vertical="center"/>
    </xf>
    <xf numFmtId="176" fontId="1" fillId="3" borderId="17" xfId="0" applyNumberFormat="1" applyFont="1" applyFill="1" applyBorder="1">
      <alignment vertical="center"/>
    </xf>
    <xf numFmtId="176" fontId="1" fillId="0" borderId="0" xfId="0" applyNumberFormat="1" applyFont="1" applyFill="1">
      <alignment vertical="center"/>
    </xf>
    <xf numFmtId="176" fontId="1" fillId="0" borderId="17" xfId="0" applyNumberFormat="1" applyFont="1" applyFill="1" applyBorder="1">
      <alignment vertical="center"/>
    </xf>
    <xf numFmtId="190" fontId="1" fillId="8" borderId="20" xfId="0" applyNumberFormat="1" applyFont="1" applyFill="1" applyBorder="1">
      <alignment vertical="center"/>
    </xf>
    <xf numFmtId="10" fontId="3" fillId="2" borderId="16" xfId="0" applyNumberFormat="1" applyFont="1" applyFill="1" applyBorder="1">
      <alignment vertical="center"/>
    </xf>
    <xf numFmtId="9" fontId="3" fillId="2" borderId="0" xfId="0" applyNumberFormat="1" applyFont="1" applyFill="1">
      <alignment vertical="center"/>
    </xf>
    <xf numFmtId="9" fontId="3" fillId="2" borderId="16" xfId="0" applyNumberFormat="1" applyFont="1" applyFill="1" applyBorder="1">
      <alignment vertical="center"/>
    </xf>
    <xf numFmtId="176" fontId="7" fillId="0" borderId="17" xfId="0" applyNumberFormat="1" applyFont="1" applyBorder="1">
      <alignment vertical="center"/>
    </xf>
    <xf numFmtId="176" fontId="13" fillId="0" borderId="0" xfId="0" applyNumberFormat="1" applyFont="1">
      <alignment vertical="center"/>
    </xf>
    <xf numFmtId="10" fontId="1" fillId="0" borderId="0" xfId="0" applyNumberFormat="1" applyFont="1">
      <alignment vertical="center"/>
    </xf>
    <xf numFmtId="10" fontId="1" fillId="0" borderId="16" xfId="0" applyNumberFormat="1" applyFont="1" applyBorder="1">
      <alignment vertical="center"/>
    </xf>
    <xf numFmtId="176" fontId="1" fillId="4" borderId="20" xfId="0" applyNumberFormat="1" applyFont="1" applyFill="1" applyBorder="1">
      <alignment vertical="center"/>
    </xf>
    <xf numFmtId="191" fontId="1" fillId="0" borderId="0" xfId="0" applyNumberFormat="1" applyFont="1">
      <alignment vertical="center"/>
    </xf>
    <xf numFmtId="10" fontId="1" fillId="0" borderId="8" xfId="0" applyNumberFormat="1" applyFont="1" applyBorder="1">
      <alignment vertical="center"/>
    </xf>
    <xf numFmtId="191" fontId="1" fillId="0" borderId="10" xfId="0" applyNumberFormat="1" applyFont="1" applyBorder="1">
      <alignment vertical="center"/>
    </xf>
    <xf numFmtId="10" fontId="1" fillId="0" borderId="11" xfId="0" applyNumberFormat="1" applyFont="1" applyBorder="1">
      <alignment vertical="center"/>
    </xf>
    <xf numFmtId="191" fontId="1" fillId="0" borderId="13" xfId="0" applyNumberFormat="1" applyFont="1" applyBorder="1">
      <alignment vertical="center"/>
    </xf>
    <xf numFmtId="10" fontId="1" fillId="0" borderId="14" xfId="0" applyNumberFormat="1" applyFont="1" applyBorder="1">
      <alignment vertical="center"/>
    </xf>
    <xf numFmtId="10" fontId="1" fillId="0" borderId="0" xfId="0" applyNumberFormat="1" applyFont="1" applyBorder="1">
      <alignment vertical="center"/>
    </xf>
    <xf numFmtId="178" fontId="1" fillId="8" borderId="0" xfId="0" applyNumberFormat="1" applyFont="1" applyFill="1">
      <alignment vertical="center"/>
    </xf>
    <xf numFmtId="176" fontId="6" fillId="5" borderId="0" xfId="0" applyNumberFormat="1" applyFont="1" applyFill="1">
      <alignment vertical="center"/>
    </xf>
    <xf numFmtId="178" fontId="6" fillId="0" borderId="0" xfId="0" applyNumberFormat="1" applyFont="1">
      <alignment vertical="center"/>
    </xf>
    <xf numFmtId="177" fontId="3" fillId="2" borderId="16" xfId="0" applyNumberFormat="1" applyFont="1" applyFill="1" applyBorder="1">
      <alignment vertical="center"/>
    </xf>
    <xf numFmtId="10" fontId="1" fillId="0" borderId="12" xfId="0" applyNumberFormat="1" applyFont="1" applyBorder="1">
      <alignment vertical="center"/>
    </xf>
    <xf numFmtId="176" fontId="14" fillId="0" borderId="17" xfId="0" applyNumberFormat="1" applyFont="1" applyBorder="1">
      <alignment vertical="center"/>
    </xf>
    <xf numFmtId="188" fontId="15" fillId="0" borderId="17" xfId="0" applyNumberFormat="1" applyFont="1" applyBorder="1">
      <alignment vertical="center"/>
    </xf>
    <xf numFmtId="176" fontId="7" fillId="3" borderId="17" xfId="0" applyNumberFormat="1" applyFont="1" applyFill="1" applyBorder="1">
      <alignment vertical="center"/>
    </xf>
    <xf numFmtId="191" fontId="13" fillId="0" borderId="0" xfId="0" applyNumberFormat="1" applyFont="1">
      <alignment vertical="center"/>
    </xf>
    <xf numFmtId="176" fontId="6" fillId="0" borderId="16" xfId="0" applyNumberFormat="1" applyFont="1" applyBorder="1">
      <alignment vertical="center"/>
    </xf>
    <xf numFmtId="10" fontId="13" fillId="0" borderId="16" xfId="0" applyNumberFormat="1" applyFont="1" applyBorder="1">
      <alignment vertical="center"/>
    </xf>
    <xf numFmtId="191" fontId="1" fillId="0" borderId="16" xfId="0" applyNumberFormat="1" applyFont="1" applyBorder="1">
      <alignment vertical="center"/>
    </xf>
    <xf numFmtId="191" fontId="7" fillId="0" borderId="17" xfId="0" applyNumberFormat="1" applyFont="1" applyBorder="1">
      <alignment vertical="center"/>
    </xf>
    <xf numFmtId="191" fontId="7" fillId="9" borderId="17" xfId="0" applyNumberFormat="1" applyFont="1" applyFill="1" applyBorder="1">
      <alignment vertical="center"/>
    </xf>
    <xf numFmtId="191" fontId="1" fillId="4" borderId="20" xfId="0" applyNumberFormat="1" applyFont="1" applyFill="1" applyBorder="1">
      <alignment vertical="center"/>
    </xf>
    <xf numFmtId="191" fontId="1" fillId="5" borderId="0" xfId="0" applyNumberFormat="1" applyFont="1" applyFill="1">
      <alignment vertical="center"/>
    </xf>
    <xf numFmtId="188" fontId="3" fillId="2" borderId="0" xfId="0" applyNumberFormat="1" applyFont="1" applyFill="1" applyBorder="1">
      <alignment vertical="center"/>
    </xf>
    <xf numFmtId="192" fontId="6" fillId="0" borderId="2" xfId="0" applyNumberFormat="1" applyFont="1" applyBorder="1">
      <alignment vertical="center"/>
    </xf>
    <xf numFmtId="188" fontId="6" fillId="0" borderId="0" xfId="0" applyNumberFormat="1" applyFont="1">
      <alignment vertical="center"/>
    </xf>
    <xf numFmtId="176" fontId="1" fillId="5" borderId="17" xfId="0" applyNumberFormat="1" applyFont="1" applyFill="1" applyBorder="1">
      <alignment vertical="center"/>
    </xf>
    <xf numFmtId="176" fontId="1" fillId="0" borderId="21" xfId="0" applyNumberFormat="1" applyFont="1" applyBorder="1">
      <alignment vertical="center"/>
    </xf>
    <xf numFmtId="176" fontId="1" fillId="0" borderId="22" xfId="0" applyNumberFormat="1" applyFont="1" applyBorder="1">
      <alignment vertical="center"/>
    </xf>
    <xf numFmtId="176" fontId="1" fillId="0" borderId="23" xfId="0" applyNumberFormat="1" applyFont="1" applyBorder="1">
      <alignment vertical="center"/>
    </xf>
    <xf numFmtId="176" fontId="1" fillId="0" borderId="20" xfId="0" applyNumberFormat="1" applyFont="1" applyBorder="1">
      <alignment vertical="center"/>
    </xf>
    <xf numFmtId="176" fontId="1" fillId="0" borderId="24" xfId="0" applyNumberFormat="1" applyFont="1" applyBorder="1">
      <alignment vertical="center"/>
    </xf>
    <xf numFmtId="183" fontId="13" fillId="0" borderId="12" xfId="0" applyNumberFormat="1" applyFont="1" applyBorder="1">
      <alignment vertical="center"/>
    </xf>
    <xf numFmtId="176" fontId="13" fillId="0" borderId="0" xfId="0" applyNumberFormat="1" applyFont="1" applyBorder="1">
      <alignment vertical="center"/>
    </xf>
    <xf numFmtId="183" fontId="13" fillId="0" borderId="0" xfId="0" applyNumberFormat="1" applyFont="1" applyBorder="1">
      <alignment vertical="center"/>
    </xf>
    <xf numFmtId="176" fontId="1" fillId="3" borderId="15" xfId="0" applyNumberFormat="1" applyFont="1" applyFill="1" applyBorder="1">
      <alignment vertical="center"/>
    </xf>
    <xf numFmtId="176" fontId="1" fillId="3" borderId="16" xfId="0" applyNumberFormat="1" applyFont="1" applyFill="1" applyBorder="1">
      <alignment vertical="center"/>
    </xf>
    <xf numFmtId="176" fontId="1" fillId="3" borderId="0" xfId="0" applyNumberFormat="1" applyFont="1" applyFill="1" applyBorder="1">
      <alignment vertical="center"/>
    </xf>
    <xf numFmtId="176" fontId="4" fillId="0" borderId="25" xfId="0" applyNumberFormat="1" applyFont="1" applyBorder="1">
      <alignment vertical="center"/>
    </xf>
    <xf numFmtId="176" fontId="16" fillId="0" borderId="25" xfId="0" applyNumberFormat="1" applyFont="1" applyBorder="1">
      <alignment vertical="center"/>
    </xf>
    <xf numFmtId="10" fontId="16" fillId="0" borderId="25" xfId="0" applyNumberFormat="1" applyFont="1" applyBorder="1">
      <alignment vertical="center"/>
    </xf>
    <xf numFmtId="178" fontId="1" fillId="0" borderId="0" xfId="0" applyNumberFormat="1" applyFont="1">
      <alignment vertical="center"/>
    </xf>
    <xf numFmtId="193" fontId="1" fillId="0" borderId="0" xfId="0" applyNumberFormat="1" applyFont="1">
      <alignment vertical="center"/>
    </xf>
    <xf numFmtId="10" fontId="1" fillId="0" borderId="7" xfId="0" applyNumberFormat="1" applyFont="1" applyBorder="1">
      <alignment vertical="center"/>
    </xf>
    <xf numFmtId="194" fontId="1" fillId="0" borderId="8" xfId="0" applyNumberFormat="1" applyFont="1" applyBorder="1">
      <alignment vertical="center"/>
    </xf>
    <xf numFmtId="10" fontId="1" fillId="0" borderId="10" xfId="0" applyNumberFormat="1" applyFont="1" applyBorder="1">
      <alignment vertical="center"/>
    </xf>
    <xf numFmtId="194" fontId="1" fillId="0" borderId="11" xfId="0" applyNumberFormat="1" applyFont="1" applyBorder="1">
      <alignment vertical="center"/>
    </xf>
    <xf numFmtId="10" fontId="1" fillId="0" borderId="13" xfId="0" applyNumberFormat="1" applyFont="1" applyBorder="1">
      <alignment vertical="center"/>
    </xf>
    <xf numFmtId="194" fontId="1" fillId="0" borderId="14" xfId="0" applyNumberFormat="1" applyFont="1" applyBorder="1">
      <alignment vertical="center"/>
    </xf>
    <xf numFmtId="185" fontId="1" fillId="0" borderId="7" xfId="0" applyNumberFormat="1" applyFont="1" applyBorder="1">
      <alignment vertical="center"/>
    </xf>
    <xf numFmtId="185" fontId="1" fillId="0" borderId="10" xfId="0" applyNumberFormat="1" applyFont="1" applyBorder="1">
      <alignment vertical="center"/>
    </xf>
    <xf numFmtId="185" fontId="1" fillId="0" borderId="13" xfId="0" applyNumberFormat="1" applyFont="1" applyBorder="1">
      <alignment vertical="center"/>
    </xf>
    <xf numFmtId="176" fontId="7" fillId="4" borderId="5" xfId="0" applyNumberFormat="1" applyFont="1" applyFill="1" applyBorder="1">
      <alignment vertical="center"/>
    </xf>
    <xf numFmtId="185" fontId="1" fillId="8" borderId="4" xfId="0" applyNumberFormat="1" applyFont="1" applyFill="1" applyBorder="1">
      <alignment vertical="center"/>
    </xf>
    <xf numFmtId="176" fontId="1" fillId="0" borderId="26" xfId="0" applyNumberFormat="1" applyFont="1" applyBorder="1">
      <alignment vertical="center"/>
    </xf>
    <xf numFmtId="176" fontId="4" fillId="0" borderId="20" xfId="0" applyNumberFormat="1" applyFont="1" applyBorder="1">
      <alignment vertical="center"/>
    </xf>
    <xf numFmtId="176" fontId="16" fillId="0" borderId="20" xfId="0" applyNumberFormat="1" applyFont="1" applyBorder="1">
      <alignment vertical="center"/>
    </xf>
    <xf numFmtId="10" fontId="16" fillId="0" borderId="20" xfId="0" applyNumberFormat="1" applyFont="1" applyBorder="1">
      <alignment vertical="center"/>
    </xf>
    <xf numFmtId="176" fontId="16" fillId="0" borderId="24" xfId="0" applyNumberFormat="1" applyFont="1" applyBorder="1">
      <alignment vertical="center"/>
    </xf>
    <xf numFmtId="10" fontId="3" fillId="2" borderId="0" xfId="0" applyNumberFormat="1" applyFont="1" applyFill="1">
      <alignment vertical="center"/>
    </xf>
    <xf numFmtId="176" fontId="1" fillId="0" borderId="0" xfId="0" quotePrefix="1" applyNumberFormat="1" applyFont="1">
      <alignment vertical="center"/>
    </xf>
    <xf numFmtId="191" fontId="16" fillId="0" borderId="20" xfId="0" applyNumberFormat="1" applyFont="1" applyBorder="1">
      <alignment vertical="center"/>
    </xf>
    <xf numFmtId="176" fontId="1" fillId="0" borderId="27" xfId="0" applyNumberFormat="1" applyFont="1" applyBorder="1">
      <alignment vertical="center"/>
    </xf>
    <xf numFmtId="176" fontId="1" fillId="0" borderId="25" xfId="0" applyNumberFormat="1" applyFont="1" applyBorder="1">
      <alignment vertical="center"/>
    </xf>
    <xf numFmtId="176" fontId="1" fillId="0" borderId="28" xfId="0" applyNumberFormat="1" applyFont="1" applyBorder="1">
      <alignment vertical="center"/>
    </xf>
    <xf numFmtId="10" fontId="6" fillId="4" borderId="17" xfId="0" applyNumberFormat="1" applyFont="1" applyFill="1" applyBorder="1">
      <alignment vertical="center"/>
    </xf>
    <xf numFmtId="195" fontId="3" fillId="2" borderId="0" xfId="0" applyNumberFormat="1" applyFont="1" applyFill="1">
      <alignment vertical="center"/>
    </xf>
    <xf numFmtId="180" fontId="1" fillId="8" borderId="20" xfId="0" applyNumberFormat="1" applyFont="1" applyFill="1" applyBorder="1">
      <alignment vertical="center"/>
    </xf>
    <xf numFmtId="176" fontId="1" fillId="3" borderId="2" xfId="0" applyNumberFormat="1" applyFont="1" applyFill="1" applyBorder="1">
      <alignment vertical="center"/>
    </xf>
    <xf numFmtId="179" fontId="3" fillId="2" borderId="28" xfId="0" applyNumberFormat="1" applyFont="1" applyFill="1" applyBorder="1">
      <alignment vertical="center"/>
    </xf>
    <xf numFmtId="176" fontId="6" fillId="4" borderId="17" xfId="0" applyNumberFormat="1" applyFont="1" applyFill="1" applyBorder="1">
      <alignment vertical="center"/>
    </xf>
    <xf numFmtId="176" fontId="13" fillId="4" borderId="17" xfId="0" applyNumberFormat="1" applyFont="1" applyFill="1" applyBorder="1">
      <alignment vertical="center"/>
    </xf>
    <xf numFmtId="176" fontId="6" fillId="0" borderId="11" xfId="0" applyNumberFormat="1" applyFont="1" applyBorder="1">
      <alignment vertical="center"/>
    </xf>
    <xf numFmtId="178" fontId="6" fillId="0" borderId="16" xfId="0" applyNumberFormat="1" applyFont="1" applyBorder="1">
      <alignment vertical="center"/>
    </xf>
    <xf numFmtId="176" fontId="6" fillId="0" borderId="14" xfId="0" applyNumberFormat="1" applyFont="1" applyBorder="1">
      <alignment vertical="center"/>
    </xf>
    <xf numFmtId="191" fontId="6" fillId="0" borderId="16" xfId="0" applyNumberFormat="1" applyFont="1" applyBorder="1">
      <alignment vertical="center"/>
    </xf>
    <xf numFmtId="176" fontId="1" fillId="0" borderId="29" xfId="0" applyNumberFormat="1" applyFont="1" applyBorder="1">
      <alignment vertical="center"/>
    </xf>
    <xf numFmtId="179" fontId="3" fillId="2" borderId="30" xfId="0" applyNumberFormat="1" applyFont="1" applyFill="1" applyBorder="1">
      <alignment vertical="center"/>
    </xf>
    <xf numFmtId="178" fontId="6" fillId="0" borderId="0" xfId="0" applyNumberFormat="1" applyFont="1" applyBorder="1">
      <alignment vertical="center"/>
    </xf>
    <xf numFmtId="191" fontId="6" fillId="0" borderId="0" xfId="0" applyNumberFormat="1" applyFont="1" applyBorder="1">
      <alignment vertical="center"/>
    </xf>
    <xf numFmtId="191" fontId="1" fillId="0" borderId="0" xfId="0" applyNumberFormat="1" applyFont="1" applyBorder="1">
      <alignment vertical="center"/>
    </xf>
    <xf numFmtId="10" fontId="13" fillId="0" borderId="0" xfId="0" applyNumberFormat="1" applyFont="1">
      <alignment vertical="center"/>
    </xf>
    <xf numFmtId="176" fontId="13" fillId="0" borderId="16" xfId="0" applyNumberFormat="1" applyFont="1" applyBorder="1">
      <alignment vertical="center"/>
    </xf>
    <xf numFmtId="176" fontId="1" fillId="8" borderId="6" xfId="0" applyNumberFormat="1" applyFont="1" applyFill="1" applyBorder="1" applyAlignment="1">
      <alignment horizontal="center" vertical="center"/>
    </xf>
    <xf numFmtId="176" fontId="1" fillId="8" borderId="12" xfId="0" applyNumberFormat="1" applyFont="1" applyFill="1" applyBorder="1" applyAlignment="1">
      <alignment horizontal="center" vertical="center"/>
    </xf>
    <xf numFmtId="176" fontId="1" fillId="8" borderId="5" xfId="0" applyNumberFormat="1" applyFont="1" applyFill="1" applyBorder="1" applyAlignment="1">
      <alignment horizontal="center" vertical="center"/>
    </xf>
    <xf numFmtId="176" fontId="1" fillId="8" borderId="2" xfId="0" applyNumberFormat="1" applyFont="1" applyFill="1" applyBorder="1" applyAlignment="1">
      <alignment horizontal="center" vertical="center"/>
    </xf>
    <xf numFmtId="176" fontId="1" fillId="8" borderId="7" xfId="0" applyNumberFormat="1" applyFont="1" applyFill="1" applyBorder="1" applyAlignment="1">
      <alignment horizontal="center" vertical="center"/>
    </xf>
    <xf numFmtId="176" fontId="1" fillId="8" borderId="13" xfId="0" applyNumberFormat="1" applyFont="1" applyFill="1" applyBorder="1" applyAlignment="1">
      <alignment horizontal="center" vertical="center"/>
    </xf>
    <xf numFmtId="178" fontId="1" fillId="8" borderId="16" xfId="0" applyNumberFormat="1" applyFont="1" applyFill="1" applyBorder="1">
      <alignment vertical="center"/>
    </xf>
    <xf numFmtId="9" fontId="6" fillId="0" borderId="15" xfId="0" applyNumberFormat="1" applyFont="1" applyBorder="1">
      <alignment vertical="center"/>
    </xf>
    <xf numFmtId="176" fontId="1" fillId="0" borderId="31" xfId="0" applyNumberFormat="1" applyFont="1" applyBorder="1">
      <alignment vertical="center"/>
    </xf>
    <xf numFmtId="176" fontId="1" fillId="0" borderId="32" xfId="0" applyNumberFormat="1" applyFont="1" applyBorder="1">
      <alignment vertical="center"/>
    </xf>
    <xf numFmtId="176" fontId="1" fillId="0" borderId="33" xfId="0" applyNumberFormat="1" applyFont="1" applyBorder="1">
      <alignment vertical="center"/>
    </xf>
    <xf numFmtId="176" fontId="1" fillId="4" borderId="25" xfId="0" applyNumberFormat="1" applyFont="1" applyFill="1" applyBorder="1">
      <alignment vertical="center"/>
    </xf>
    <xf numFmtId="176" fontId="1" fillId="3" borderId="20" xfId="0" applyNumberFormat="1" applyFont="1" applyFill="1" applyBorder="1">
      <alignment vertical="center"/>
    </xf>
    <xf numFmtId="184" fontId="1" fillId="8" borderId="0" xfId="0" applyNumberFormat="1" applyFont="1" applyFill="1">
      <alignment vertical="center"/>
    </xf>
    <xf numFmtId="191" fontId="1" fillId="3" borderId="0" xfId="0" applyNumberFormat="1" applyFont="1" applyFill="1">
      <alignment vertical="center"/>
    </xf>
    <xf numFmtId="191" fontId="1" fillId="4" borderId="17" xfId="0" applyNumberFormat="1" applyFont="1" applyFill="1" applyBorder="1">
      <alignment vertical="center"/>
    </xf>
    <xf numFmtId="191" fontId="1" fillId="0" borderId="26" xfId="0" applyNumberFormat="1" applyFont="1" applyBorder="1">
      <alignment vertical="center"/>
    </xf>
    <xf numFmtId="191" fontId="1" fillId="0" borderId="24" xfId="0" applyNumberFormat="1" applyFont="1" applyBorder="1">
      <alignment vertical="center"/>
    </xf>
    <xf numFmtId="191" fontId="1" fillId="0" borderId="6" xfId="0" applyNumberFormat="1" applyFont="1" applyBorder="1">
      <alignment vertical="center"/>
    </xf>
    <xf numFmtId="191" fontId="1" fillId="0" borderId="34" xfId="0" applyNumberFormat="1" applyFont="1" applyBorder="1">
      <alignment vertical="center"/>
    </xf>
    <xf numFmtId="10" fontId="1" fillId="0" borderId="26" xfId="0" applyNumberFormat="1" applyFont="1" applyBorder="1">
      <alignment vertical="center"/>
    </xf>
    <xf numFmtId="10" fontId="1" fillId="0" borderId="24" xfId="0" applyNumberFormat="1" applyFont="1" applyBorder="1">
      <alignment vertical="center"/>
    </xf>
    <xf numFmtId="184" fontId="6" fillId="0" borderId="4" xfId="0" applyNumberFormat="1" applyFont="1" applyBorder="1">
      <alignment vertical="center"/>
    </xf>
    <xf numFmtId="10" fontId="16" fillId="0" borderId="0" xfId="0" applyNumberFormat="1" applyFont="1">
      <alignment vertical="center"/>
    </xf>
    <xf numFmtId="196" fontId="4" fillId="0" borderId="0" xfId="0" applyNumberFormat="1" applyFont="1">
      <alignment vertical="center"/>
    </xf>
    <xf numFmtId="10" fontId="1" fillId="0" borderId="20" xfId="0" applyNumberFormat="1" applyFont="1" applyBorder="1">
      <alignment vertical="center"/>
    </xf>
    <xf numFmtId="176" fontId="1" fillId="0" borderId="35" xfId="0" applyNumberFormat="1" applyFont="1" applyBorder="1">
      <alignment vertical="center"/>
    </xf>
    <xf numFmtId="176" fontId="1" fillId="0" borderId="7" xfId="0" applyNumberFormat="1" applyFont="1" applyFill="1" applyBorder="1">
      <alignment vertical="center"/>
    </xf>
    <xf numFmtId="176" fontId="1" fillId="0" borderId="10" xfId="0" applyNumberFormat="1" applyFont="1" applyFill="1" applyBorder="1">
      <alignment vertical="center"/>
    </xf>
    <xf numFmtId="176" fontId="1" fillId="0" borderId="13" xfId="0" applyNumberFormat="1" applyFont="1" applyFill="1" applyBorder="1">
      <alignment vertical="center"/>
    </xf>
    <xf numFmtId="176" fontId="1" fillId="0" borderId="36" xfId="0" applyNumberFormat="1" applyFont="1" applyBorder="1">
      <alignment vertical="center"/>
    </xf>
    <xf numFmtId="10" fontId="3" fillId="2" borderId="37" xfId="0" applyNumberFormat="1" applyFont="1" applyFill="1" applyBorder="1">
      <alignment vertical="center"/>
    </xf>
    <xf numFmtId="176" fontId="1" fillId="0" borderId="37" xfId="0" applyNumberFormat="1" applyFont="1" applyBorder="1">
      <alignment vertical="center"/>
    </xf>
    <xf numFmtId="176" fontId="3" fillId="2" borderId="37" xfId="0" applyNumberFormat="1" applyFont="1" applyFill="1" applyBorder="1">
      <alignment vertical="center"/>
    </xf>
    <xf numFmtId="176" fontId="1" fillId="0" borderId="38" xfId="0" applyNumberFormat="1" applyFont="1" applyBorder="1">
      <alignment vertical="center"/>
    </xf>
    <xf numFmtId="191" fontId="1" fillId="0" borderId="20" xfId="0" applyNumberFormat="1" applyFont="1" applyBorder="1">
      <alignment vertical="center"/>
    </xf>
    <xf numFmtId="10" fontId="1" fillId="0" borderId="35" xfId="0" applyNumberFormat="1" applyFont="1" applyBorder="1">
      <alignment vertical="center"/>
    </xf>
    <xf numFmtId="176" fontId="1" fillId="8" borderId="8" xfId="0" applyNumberFormat="1" applyFont="1" applyFill="1" applyBorder="1" applyAlignment="1">
      <alignment horizontal="center" vertical="center"/>
    </xf>
    <xf numFmtId="176" fontId="1" fillId="8" borderId="14" xfId="0" applyNumberFormat="1" applyFont="1" applyFill="1" applyBorder="1" applyAlignment="1">
      <alignment horizontal="center" vertical="center"/>
    </xf>
    <xf numFmtId="176" fontId="1" fillId="8" borderId="15" xfId="0" applyNumberFormat="1" applyFont="1" applyFill="1" applyBorder="1" applyAlignment="1">
      <alignment horizontal="center" vertical="center"/>
    </xf>
    <xf numFmtId="176" fontId="1" fillId="8" borderId="6" xfId="0" applyNumberFormat="1" applyFont="1" applyFill="1" applyBorder="1" applyAlignment="1">
      <alignment horizontal="center" vertical="center"/>
    </xf>
    <xf numFmtId="176" fontId="1" fillId="8" borderId="16" xfId="0" applyNumberFormat="1" applyFont="1" applyFill="1" applyBorder="1" applyAlignment="1">
      <alignment horizontal="center" vertical="center"/>
    </xf>
    <xf numFmtId="176" fontId="1" fillId="8" borderId="12" xfId="0" applyNumberFormat="1" applyFont="1" applyFill="1" applyBorder="1" applyAlignment="1">
      <alignment horizontal="center" vertical="center"/>
    </xf>
    <xf numFmtId="176" fontId="1" fillId="8" borderId="7" xfId="0" applyNumberFormat="1" applyFont="1" applyFill="1" applyBorder="1" applyAlignment="1">
      <alignment horizontal="center" vertical="center"/>
    </xf>
    <xf numFmtId="176" fontId="1" fillId="8" borderId="13" xfId="0" applyNumberFormat="1" applyFont="1" applyFill="1" applyBorder="1" applyAlignment="1">
      <alignment horizontal="center" vertical="center"/>
    </xf>
    <xf numFmtId="176" fontId="1" fillId="8" borderId="5" xfId="0" applyNumberFormat="1" applyFont="1" applyFill="1" applyBorder="1" applyAlignment="1">
      <alignment horizontal="center" vertical="center"/>
    </xf>
    <xf numFmtId="176" fontId="1" fillId="8" borderId="3" xfId="0" applyNumberFormat="1" applyFont="1" applyFill="1" applyBorder="1" applyAlignment="1">
      <alignment horizontal="center" vertical="center"/>
    </xf>
    <xf numFmtId="176" fontId="1" fillId="8" borderId="2" xfId="0" applyNumberFormat="1" applyFont="1" applyFill="1" applyBorder="1" applyAlignment="1">
      <alignment horizontal="center" vertical="center"/>
    </xf>
    <xf numFmtId="176" fontId="1" fillId="0" borderId="11" xfId="0" applyNumberFormat="1" applyFont="1" applyFill="1" applyBorder="1">
      <alignment vertical="center"/>
    </xf>
    <xf numFmtId="176" fontId="1" fillId="0" borderId="0" xfId="0" applyNumberFormat="1" applyFont="1" applyFill="1" applyBorder="1">
      <alignment vertical="center"/>
    </xf>
    <xf numFmtId="176" fontId="1" fillId="0" borderId="9" xfId="0" applyNumberFormat="1" applyFont="1" applyFill="1" applyBorder="1">
      <alignment vertical="center"/>
    </xf>
    <xf numFmtId="10" fontId="1" fillId="0" borderId="8" xfId="0" applyNumberFormat="1" applyFont="1" applyFill="1" applyBorder="1">
      <alignment vertical="center"/>
    </xf>
    <xf numFmtId="10" fontId="1" fillId="0" borderId="15" xfId="0" applyNumberFormat="1" applyFont="1" applyFill="1" applyBorder="1">
      <alignment vertical="center"/>
    </xf>
    <xf numFmtId="10" fontId="1" fillId="0" borderId="6" xfId="0" applyNumberFormat="1" applyFont="1" applyFill="1" applyBorder="1">
      <alignment vertical="center"/>
    </xf>
    <xf numFmtId="10" fontId="1" fillId="0" borderId="9" xfId="0" applyNumberFormat="1" applyFont="1" applyBorder="1">
      <alignment vertical="center"/>
    </xf>
    <xf numFmtId="10" fontId="1" fillId="0" borderId="14" xfId="0" applyNumberFormat="1" applyFont="1" applyFill="1" applyBorder="1">
      <alignment vertical="center"/>
    </xf>
    <xf numFmtId="10" fontId="1" fillId="0" borderId="16" xfId="0" applyNumberFormat="1" applyFont="1" applyFill="1" applyBorder="1">
      <alignment vertical="center"/>
    </xf>
    <xf numFmtId="10" fontId="1" fillId="0" borderId="12" xfId="0" applyNumberFormat="1" applyFont="1" applyFill="1" applyBorder="1">
      <alignment vertical="center"/>
    </xf>
    <xf numFmtId="10" fontId="3" fillId="2" borderId="11" xfId="0" applyNumberFormat="1" applyFont="1" applyFill="1" applyBorder="1">
      <alignment vertical="center"/>
    </xf>
    <xf numFmtId="176" fontId="3" fillId="2" borderId="28" xfId="0" applyNumberFormat="1" applyFont="1" applyFill="1" applyBorder="1">
      <alignment vertical="center"/>
    </xf>
    <xf numFmtId="191" fontId="1" fillId="0" borderId="11" xfId="0" applyNumberFormat="1" applyFont="1" applyBorder="1">
      <alignment vertical="center"/>
    </xf>
    <xf numFmtId="191" fontId="1" fillId="0" borderId="8" xfId="0" applyNumberFormat="1" applyFont="1" applyBorder="1">
      <alignment vertical="center"/>
    </xf>
    <xf numFmtId="191" fontId="1" fillId="0" borderId="15" xfId="0" applyNumberFormat="1" applyFont="1" applyBorder="1">
      <alignment vertical="center"/>
    </xf>
    <xf numFmtId="191" fontId="1" fillId="0" borderId="7" xfId="0" applyNumberFormat="1" applyFont="1" applyBorder="1">
      <alignment vertical="center"/>
    </xf>
    <xf numFmtId="191" fontId="1" fillId="0" borderId="14" xfId="0" applyNumberFormat="1" applyFont="1" applyBorder="1">
      <alignment vertical="center"/>
    </xf>
    <xf numFmtId="191" fontId="1" fillId="0" borderId="12" xfId="0" applyNumberFormat="1" applyFont="1" applyBorder="1">
      <alignment vertical="center"/>
    </xf>
    <xf numFmtId="10" fontId="1" fillId="0" borderId="15" xfId="0" applyNumberFormat="1" applyFont="1" applyBorder="1">
      <alignment vertical="center"/>
    </xf>
    <xf numFmtId="10" fontId="1" fillId="0" borderId="6" xfId="0" applyNumberFormat="1" applyFont="1" applyBorder="1">
      <alignment vertical="center"/>
    </xf>
    <xf numFmtId="176" fontId="1" fillId="10" borderId="27" xfId="0" applyNumberFormat="1" applyFont="1" applyFill="1" applyBorder="1">
      <alignment vertical="center"/>
    </xf>
  </cellXfs>
  <cellStyles count="1">
    <cellStyle name="표준" xfId="0" builtinId="0"/>
  </cellStyles>
  <dxfs count="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 tint="-0.24994659260841701"/>
      </font>
    </dxf>
    <dxf>
      <font>
        <color auto="1"/>
      </font>
      <fill>
        <patternFill>
          <bgColor theme="5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 sz="900"/>
              <a:t>사업연도별 운영배당액</a:t>
            </a:r>
            <a:r>
              <a:rPr lang="ko-KR" altLang="en-US"/>
              <a:t> </a:t>
            </a:r>
            <a:r>
              <a:rPr lang="en-US" altLang="ko-KR" sz="800"/>
              <a:t>(</a:t>
            </a:r>
            <a:r>
              <a:rPr lang="ko-KR" altLang="en-US" sz="800"/>
              <a:t>백만원</a:t>
            </a:r>
            <a:r>
              <a:rPr lang="en-US" altLang="ko-KR" sz="800"/>
              <a:t>)</a:t>
            </a:r>
            <a:endParaRPr lang="ko-KR" altLang="en-US" sz="8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'A&amp;R'!$E$162</c:f>
              <c:strCache>
                <c:ptCount val="1"/>
                <c:pt idx="0">
                  <c:v>보통주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'A&amp;R'!$F$161:$O$161</c:f>
              <c:numCache>
                <c:formatCode>#,##0"기"_);[Red]\(#,##0\);\-_)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cat>
          <c:val>
            <c:numRef>
              <c:f>'A&amp;R'!$F$162:$O$162</c:f>
              <c:numCache>
                <c:formatCode>#,##0_);[Red]\(#,##0\);\-_)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212.32087165162898</c:v>
                </c:pt>
                <c:pt idx="8">
                  <c:v>142.93713956767328</c:v>
                </c:pt>
                <c:pt idx="9">
                  <c:v>348.98879093919504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88E-4596-B4D2-C3E261FAF92D}"/>
            </c:ext>
          </c:extLst>
        </c:ser>
        <c:ser>
          <c:idx val="1"/>
          <c:order val="1"/>
          <c:tx>
            <c:strRef>
              <c:f>'A&amp;R'!$E$163</c:f>
              <c:strCache>
                <c:ptCount val="1"/>
                <c:pt idx="0">
                  <c:v>우선주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'A&amp;R'!$F$161:$O$161</c:f>
              <c:numCache>
                <c:formatCode>#,##0"기"_);[Red]\(#,##0\);\-_)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cat>
          <c:val>
            <c:numRef>
              <c:f>'A&amp;R'!$F$163:$O$163</c:f>
              <c:numCache>
                <c:formatCode>#,##0_);[Red]\(#,##0\);\-_)</c:formatCode>
                <c:ptCount val="10"/>
                <c:pt idx="0">
                  <c:v>0</c:v>
                </c:pt>
                <c:pt idx="1">
                  <c:v>444.75039238012704</c:v>
                </c:pt>
                <c:pt idx="2">
                  <c:v>608.44136532235825</c:v>
                </c:pt>
                <c:pt idx="3">
                  <c:v>770.09622573600359</c:v>
                </c:pt>
                <c:pt idx="4">
                  <c:v>496.5684952474457</c:v>
                </c:pt>
                <c:pt idx="5">
                  <c:v>514.77997541327272</c:v>
                </c:pt>
                <c:pt idx="6">
                  <c:v>642.67357826255648</c:v>
                </c:pt>
                <c:pt idx="7">
                  <c:v>602.68996763823611</c:v>
                </c:pt>
                <c:pt idx="8">
                  <c:v>510</c:v>
                </c:pt>
                <c:pt idx="9">
                  <c:v>510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88E-4596-B4D2-C3E261FAF9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04422752"/>
        <c:axId val="304963248"/>
      </c:barChart>
      <c:catAx>
        <c:axId val="304422752"/>
        <c:scaling>
          <c:orientation val="minMax"/>
        </c:scaling>
        <c:delete val="0"/>
        <c:axPos val="b"/>
        <c:numFmt formatCode="#,##0&quot;기&quot;_);[Red]\(#,##0\);\-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304963248"/>
        <c:crosses val="autoZero"/>
        <c:auto val="1"/>
        <c:lblAlgn val="ctr"/>
        <c:lblOffset val="100"/>
        <c:noMultiLvlLbl val="0"/>
      </c:catAx>
      <c:valAx>
        <c:axId val="304963248"/>
        <c:scaling>
          <c:orientation val="minMax"/>
        </c:scaling>
        <c:delete val="1"/>
        <c:axPos val="l"/>
        <c:numFmt formatCode="#,##0_);[Red]\(#,##0\);\-_)" sourceLinked="1"/>
        <c:majorTickMark val="none"/>
        <c:minorTickMark val="none"/>
        <c:tickLblPos val="nextTo"/>
        <c:crossAx val="3044227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Drop" dropStyle="combo" dx="22" fmlaLink="$X$27" fmlaRange="$Z$27:$Z$28" noThreeD="1" sel="2" val="0"/>
</file>

<file path=xl/ctrlProps/ctrlProp2.xml><?xml version="1.0" encoding="utf-8"?>
<formControlPr xmlns="http://schemas.microsoft.com/office/spreadsheetml/2009/9/main" objectType="Drop" dropStyle="combo" dx="22" fmlaLink="$F$27" fmlaRange="$K$3:$K$4" noThreeD="1" sel="1" val="0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123825</xdr:colOff>
          <xdr:row>26</xdr:row>
          <xdr:rowOff>66675</xdr:rowOff>
        </xdr:from>
        <xdr:to>
          <xdr:col>22</xdr:col>
          <xdr:colOff>276224</xdr:colOff>
          <xdr:row>27</xdr:row>
          <xdr:rowOff>95250</xdr:rowOff>
        </xdr:to>
        <xdr:sp macro="" textlink="">
          <xdr:nvSpPr>
            <xdr:cNvPr id="7169" name="Drop Dow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212912</xdr:colOff>
      <xdr:row>157</xdr:row>
      <xdr:rowOff>89648</xdr:rowOff>
    </xdr:from>
    <xdr:to>
      <xdr:col>15</xdr:col>
      <xdr:colOff>134471</xdr:colOff>
      <xdr:row>168</xdr:row>
      <xdr:rowOff>100853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200025</xdr:colOff>
          <xdr:row>25</xdr:row>
          <xdr:rowOff>142875</xdr:rowOff>
        </xdr:from>
        <xdr:to>
          <xdr:col>8</xdr:col>
          <xdr:colOff>19050</xdr:colOff>
          <xdr:row>27</xdr:row>
          <xdr:rowOff>9525</xdr:rowOff>
        </xdr:to>
        <xdr:sp macro="" textlink="">
          <xdr:nvSpPr>
            <xdr:cNvPr id="1025" name="Drop Dow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276225</xdr:colOff>
      <xdr:row>7</xdr:row>
      <xdr:rowOff>47625</xdr:rowOff>
    </xdr:from>
    <xdr:to>
      <xdr:col>3</xdr:col>
      <xdr:colOff>666750</xdr:colOff>
      <xdr:row>8</xdr:row>
      <xdr:rowOff>133350</xdr:rowOff>
    </xdr:to>
    <xdr:sp macro="[0]!민감도분석" textlink="">
      <xdr:nvSpPr>
        <xdr:cNvPr id="2" name="직사각형 1">
          <a:extLst>
            <a:ext uri="{FF2B5EF4-FFF2-40B4-BE49-F238E27FC236}">
              <a16:creationId xmlns:a16="http://schemas.microsoft.com/office/drawing/2014/main" id="{0310BBBE-396C-473D-BB41-A14DECB54357}"/>
            </a:ext>
          </a:extLst>
        </xdr:cNvPr>
        <xdr:cNvSpPr/>
      </xdr:nvSpPr>
      <xdr:spPr>
        <a:xfrm>
          <a:off x="1152525" y="1247775"/>
          <a:ext cx="1076325" cy="2571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tIns="36000" rIns="36000" bIns="36000" rtlCol="0" anchor="ctr"/>
        <a:lstStyle/>
        <a:p>
          <a:pPr algn="ctr"/>
          <a:r>
            <a:rPr lang="ko-KR" altLang="en-US" sz="1100"/>
            <a:t>민감도분석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AD46B0-A768-43E5-B29D-0DE587AEF88C}">
  <sheetPr codeName="Sheet1"/>
  <dimension ref="A1:AD168"/>
  <sheetViews>
    <sheetView showGridLines="0" tabSelected="1" zoomScale="85" zoomScaleNormal="85" workbookViewId="0">
      <selection activeCell="S161" sqref="S161"/>
    </sheetView>
  </sheetViews>
  <sheetFormatPr defaultRowHeight="13.5" customHeight="1"/>
  <cols>
    <col min="1" max="1" width="2.5" style="1" customWidth="1"/>
    <col min="2" max="6" width="9" style="1"/>
    <col min="7" max="7" width="9.5" style="1" customWidth="1"/>
    <col min="8" max="8" width="9.5" style="1" bestFit="1" customWidth="1"/>
    <col min="9" max="15" width="9" style="1"/>
    <col min="16" max="16" width="3.625" style="1" customWidth="1"/>
    <col min="17" max="17" width="9" style="1"/>
    <col min="18" max="18" width="10.75" style="1" customWidth="1"/>
    <col min="19" max="19" width="9.375" style="1" customWidth="1"/>
    <col min="20" max="29" width="9" style="1"/>
    <col min="30" max="30" width="9.75" style="1" bestFit="1" customWidth="1"/>
    <col min="31" max="16384" width="9" style="1"/>
  </cols>
  <sheetData>
    <row r="1" spans="1:30" ht="12.95" customHeight="1"/>
    <row r="2" spans="1:30" ht="12.95" customHeight="1">
      <c r="A2" s="14" t="s">
        <v>0</v>
      </c>
      <c r="AB2" s="3" t="s">
        <v>1</v>
      </c>
      <c r="AC2" s="6" t="s">
        <v>4</v>
      </c>
      <c r="AD2" s="15" t="s">
        <v>7</v>
      </c>
    </row>
    <row r="3" spans="1:30" ht="12.95" customHeight="1">
      <c r="AB3" s="4" t="s">
        <v>2</v>
      </c>
      <c r="AC3" s="7" t="s">
        <v>5</v>
      </c>
      <c r="AD3" s="10" t="s">
        <v>8</v>
      </c>
    </row>
    <row r="4" spans="1:30" ht="12.95" customHeight="1">
      <c r="AB4" s="5" t="s">
        <v>3</v>
      </c>
      <c r="AC4" s="8" t="s">
        <v>6</v>
      </c>
      <c r="AD4" s="11" t="s">
        <v>9</v>
      </c>
    </row>
    <row r="5" spans="1:30" s="2" customFormat="1" ht="12.95" customHeight="1" thickBot="1"/>
    <row r="6" spans="1:30" ht="12.95" customHeight="1" thickTop="1">
      <c r="A6" s="1" t="s">
        <v>10</v>
      </c>
      <c r="AD6" s="12">
        <v>44381</v>
      </c>
    </row>
    <row r="7" spans="1:30" ht="12.95" customHeight="1">
      <c r="A7" s="13" t="s">
        <v>11</v>
      </c>
    </row>
    <row r="8" spans="1:30" ht="12.95" customHeight="1">
      <c r="B8" s="15" t="s">
        <v>20</v>
      </c>
      <c r="C8" s="15"/>
      <c r="D8" s="15"/>
      <c r="E8" s="15"/>
      <c r="F8" s="15"/>
      <c r="G8" s="15"/>
      <c r="H8" s="15"/>
      <c r="I8" s="15"/>
      <c r="J8" s="15"/>
      <c r="K8" s="15"/>
      <c r="L8" s="15"/>
      <c r="M8" s="15"/>
      <c r="N8" s="15"/>
      <c r="O8" s="15"/>
      <c r="Q8" s="15" t="s">
        <v>503</v>
      </c>
      <c r="R8" s="15"/>
      <c r="S8" s="15"/>
      <c r="T8" s="15"/>
      <c r="U8" s="15"/>
      <c r="V8" s="15"/>
      <c r="W8" s="15"/>
      <c r="X8" s="15"/>
      <c r="Y8" s="15"/>
      <c r="Z8" s="15"/>
      <c r="AA8" s="15"/>
      <c r="AB8" s="15"/>
      <c r="AC8" s="15"/>
      <c r="AD8" s="15"/>
    </row>
    <row r="9" spans="1:30" ht="12.95" customHeight="1">
      <c r="B9" s="16" t="s">
        <v>21</v>
      </c>
      <c r="D9" s="1" t="s">
        <v>22</v>
      </c>
      <c r="G9" s="16" t="s">
        <v>445</v>
      </c>
      <c r="I9" s="213">
        <v>1</v>
      </c>
      <c r="Q9" s="1" t="s">
        <v>173</v>
      </c>
    </row>
    <row r="10" spans="1:30" ht="12.95" customHeight="1">
      <c r="B10" s="16" t="s">
        <v>23</v>
      </c>
      <c r="D10" s="1">
        <v>1000000</v>
      </c>
      <c r="E10" s="1" t="s">
        <v>24</v>
      </c>
      <c r="G10" s="16" t="s">
        <v>508</v>
      </c>
      <c r="I10" s="244">
        <f ca="1">COUNTA(H11:O16)/COUNTIF(H11:O16,"True")</f>
        <v>1</v>
      </c>
      <c r="Q10" s="269" t="s">
        <v>54</v>
      </c>
      <c r="R10" s="270"/>
      <c r="S10" s="273" t="s">
        <v>72</v>
      </c>
      <c r="T10" s="112" t="s">
        <v>174</v>
      </c>
      <c r="U10" s="112" t="s">
        <v>176</v>
      </c>
      <c r="V10" s="112" t="s">
        <v>177</v>
      </c>
      <c r="W10" s="112" t="s">
        <v>77</v>
      </c>
      <c r="X10" s="112" t="s">
        <v>79</v>
      </c>
      <c r="Y10" s="275" t="s">
        <v>179</v>
      </c>
      <c r="Z10" s="276"/>
      <c r="AA10" s="26" t="s">
        <v>76</v>
      </c>
      <c r="AB10" s="112" t="s">
        <v>77</v>
      </c>
      <c r="AC10" s="114" t="s">
        <v>181</v>
      </c>
      <c r="AD10" s="260" t="s">
        <v>533</v>
      </c>
    </row>
    <row r="11" spans="1:30" ht="12.95" customHeight="1">
      <c r="B11" s="17" t="s">
        <v>25</v>
      </c>
      <c r="D11" s="18">
        <v>0.30249999999999999</v>
      </c>
      <c r="E11" s="1" t="s">
        <v>26</v>
      </c>
      <c r="H11" s="30" t="b">
        <f ca="1">D97</f>
        <v>1</v>
      </c>
      <c r="I11" s="41" t="b">
        <f ca="1">D104</f>
        <v>1</v>
      </c>
      <c r="J11" s="41" t="b">
        <f ca="1">D128</f>
        <v>1</v>
      </c>
      <c r="K11" s="41" t="b">
        <f ca="1">S43</f>
        <v>1</v>
      </c>
      <c r="L11" s="41" t="b">
        <f ca="1">S44</f>
        <v>1</v>
      </c>
      <c r="M11" s="41" t="b">
        <f ca="1">펀드비용!H33</f>
        <v>1</v>
      </c>
      <c r="N11" s="41" t="b">
        <f ca="1">펀드비용!I33</f>
        <v>1</v>
      </c>
      <c r="O11" s="28" t="b">
        <f ca="1">펀드비용!J33</f>
        <v>1</v>
      </c>
      <c r="Q11" s="271"/>
      <c r="R11" s="272"/>
      <c r="S11" s="274"/>
      <c r="T11" s="113" t="s">
        <v>175</v>
      </c>
      <c r="U11" s="113" t="s">
        <v>175</v>
      </c>
      <c r="V11" s="113" t="s">
        <v>175</v>
      </c>
      <c r="W11" s="113" t="s">
        <v>178</v>
      </c>
      <c r="X11" s="113" t="s">
        <v>178</v>
      </c>
      <c r="Y11" s="26" t="s">
        <v>180</v>
      </c>
      <c r="Z11" s="26" t="s">
        <v>181</v>
      </c>
      <c r="AA11" s="102">
        <v>6</v>
      </c>
      <c r="AB11" s="113" t="s">
        <v>182</v>
      </c>
      <c r="AC11" s="59" t="s">
        <v>182</v>
      </c>
      <c r="AD11" s="261">
        <f ca="1">민감도분석!E12</f>
        <v>0</v>
      </c>
    </row>
    <row r="12" spans="1:30" ht="12.95" customHeight="1">
      <c r="B12" s="17" t="s">
        <v>27</v>
      </c>
      <c r="D12" s="1" t="s">
        <v>28</v>
      </c>
      <c r="H12" s="33" t="b">
        <f t="array" ref="H12:M12">TRANSPOSE(S46:S51)</f>
        <v>1</v>
      </c>
      <c r="I12" s="43" t="b">
        <v>1</v>
      </c>
      <c r="J12" s="43" t="b">
        <f ca="1"/>
        <v>1</v>
      </c>
      <c r="K12" s="43" t="b">
        <v>1</v>
      </c>
      <c r="L12" s="43" t="b">
        <f ca="1"/>
        <v>1</v>
      </c>
      <c r="M12" s="43" t="b">
        <v>1</v>
      </c>
      <c r="N12" s="43" t="b">
        <f ca="1">현금흐름!H115</f>
        <v>1</v>
      </c>
      <c r="O12" s="31" t="b">
        <f ca="1">현금흐름!I115</f>
        <v>1</v>
      </c>
      <c r="Q12" s="28" t="str">
        <f>'A&amp;R'!C36</f>
        <v>지상3층</v>
      </c>
      <c r="R12" s="29" t="str">
        <f>'A&amp;R'!D36</f>
        <v>창고</v>
      </c>
      <c r="S12" s="29">
        <f ca="1">'A&amp;R'!F36*(1-$AD$11)</f>
        <v>1687</v>
      </c>
      <c r="T12" s="103">
        <v>1</v>
      </c>
      <c r="U12" s="103">
        <v>1</v>
      </c>
      <c r="V12" s="103">
        <v>1</v>
      </c>
      <c r="W12" s="257">
        <f ca="1">$AD$14</f>
        <v>25000</v>
      </c>
      <c r="X12" s="103">
        <v>2000</v>
      </c>
      <c r="Y12" s="104">
        <v>0.01</v>
      </c>
      <c r="Z12" s="104">
        <v>0.01</v>
      </c>
      <c r="AA12" s="29">
        <f ca="1">AB12*$AA$11</f>
        <v>253.04999999999998</v>
      </c>
      <c r="AB12" s="29">
        <f ca="1">S12*W12/unit</f>
        <v>42.174999999999997</v>
      </c>
      <c r="AC12" s="30">
        <f ca="1">S12*X12/unit</f>
        <v>3.3740000000000001</v>
      </c>
      <c r="AD12" s="262"/>
    </row>
    <row r="13" spans="1:30" ht="12.95" customHeight="1">
      <c r="B13" s="17" t="s">
        <v>29</v>
      </c>
      <c r="D13" s="19">
        <v>44286</v>
      </c>
      <c r="H13" s="33" t="b">
        <f ca="1">운영비용!H83</f>
        <v>1</v>
      </c>
      <c r="I13" s="43" t="b">
        <f>운영비용!I83</f>
        <v>1</v>
      </c>
      <c r="J13" s="43" t="b">
        <f>운영비용!J83</f>
        <v>1</v>
      </c>
      <c r="K13" s="43" t="b">
        <f>운영비용!K83</f>
        <v>1</v>
      </c>
      <c r="L13" s="43" t="b">
        <f ca="1">운영비용!L83</f>
        <v>1</v>
      </c>
      <c r="M13" s="43" t="b">
        <f>운영비용!M83</f>
        <v>1</v>
      </c>
      <c r="N13" s="43" t="b">
        <f>운영비용!N83</f>
        <v>1</v>
      </c>
      <c r="O13" s="31" t="b">
        <f ca="1">현금흐름!J115</f>
        <v>1</v>
      </c>
      <c r="Q13" s="31" t="str">
        <f>'A&amp;R'!C37</f>
        <v>지상2층</v>
      </c>
      <c r="R13" s="32" t="str">
        <f>'A&amp;R'!D37</f>
        <v>사무실</v>
      </c>
      <c r="S13" s="32">
        <f ca="1">'A&amp;R'!F37*(1-$AD$11)</f>
        <v>562</v>
      </c>
      <c r="T13" s="105">
        <v>1</v>
      </c>
      <c r="U13" s="105">
        <v>1</v>
      </c>
      <c r="V13" s="105">
        <v>1</v>
      </c>
      <c r="W13" s="105">
        <v>12000</v>
      </c>
      <c r="X13" s="105">
        <v>2000</v>
      </c>
      <c r="Y13" s="106">
        <v>0.01</v>
      </c>
      <c r="Z13" s="106">
        <v>0.01</v>
      </c>
      <c r="AA13" s="32">
        <f ca="1">AB13*$AA$11</f>
        <v>40.463999999999999</v>
      </c>
      <c r="AB13" s="32">
        <f ca="1">S13*W13/unit</f>
        <v>6.7439999999999998</v>
      </c>
      <c r="AC13" s="33">
        <f ca="1">S13*X13/unit</f>
        <v>1.1240000000000001</v>
      </c>
      <c r="AD13" s="262" t="s">
        <v>77</v>
      </c>
    </row>
    <row r="14" spans="1:30" ht="12.95" customHeight="1">
      <c r="B14" s="17" t="s">
        <v>30</v>
      </c>
      <c r="D14" s="19">
        <f>EOMONTH(acq,1)</f>
        <v>44316</v>
      </c>
      <c r="H14" s="33" t="b">
        <f ca="1">배당!F93</f>
        <v>1</v>
      </c>
      <c r="I14" s="43" t="b">
        <f ca="1">배당!G93</f>
        <v>1</v>
      </c>
      <c r="J14" s="43" t="b">
        <f>배당!J93</f>
        <v>1</v>
      </c>
      <c r="K14" s="43" t="b">
        <f>배당!K93</f>
        <v>1</v>
      </c>
      <c r="L14" s="43" t="b">
        <f ca="1">배당!L93</f>
        <v>1</v>
      </c>
      <c r="M14" s="43" t="b">
        <f>배당!M93</f>
        <v>1</v>
      </c>
      <c r="N14" s="43" t="b">
        <f ca="1">배당!R94</f>
        <v>1</v>
      </c>
      <c r="O14" s="31" t="b">
        <f ca="1">배당!Q94</f>
        <v>1</v>
      </c>
      <c r="Q14" s="31" t="str">
        <f>'A&amp;R'!C38</f>
        <v>지상1층</v>
      </c>
      <c r="R14" s="32" t="str">
        <f>'A&amp;R'!D38</f>
        <v>창고</v>
      </c>
      <c r="S14" s="32">
        <f ca="1">'A&amp;R'!F38*(1-$AD$11)</f>
        <v>2807</v>
      </c>
      <c r="T14" s="105">
        <v>1</v>
      </c>
      <c r="U14" s="105">
        <v>1</v>
      </c>
      <c r="V14" s="105">
        <v>1</v>
      </c>
      <c r="W14" s="258">
        <f t="shared" ref="W14:W16" ca="1" si="0">$AD$14</f>
        <v>25000</v>
      </c>
      <c r="X14" s="105">
        <v>2000</v>
      </c>
      <c r="Y14" s="106">
        <v>0.01</v>
      </c>
      <c r="Z14" s="106">
        <v>0.01</v>
      </c>
      <c r="AA14" s="32">
        <f ca="1">AB14*$AA$11</f>
        <v>421.04999999999995</v>
      </c>
      <c r="AB14" s="32">
        <f ca="1">S14*W14/unit</f>
        <v>70.174999999999997</v>
      </c>
      <c r="AC14" s="33">
        <f ca="1">S14*X14/unit</f>
        <v>5.6139999999999999</v>
      </c>
      <c r="AD14" s="263">
        <f ca="1">민감도분석!E13</f>
        <v>25000</v>
      </c>
    </row>
    <row r="15" spans="1:30" ht="12.95" customHeight="1">
      <c r="B15" s="17" t="s">
        <v>31</v>
      </c>
      <c r="D15" s="20">
        <v>5</v>
      </c>
      <c r="H15" s="33" t="b">
        <f>배당!J94</f>
        <v>1</v>
      </c>
      <c r="I15" s="43" t="b">
        <f>배당!K94</f>
        <v>1</v>
      </c>
      <c r="J15" s="43" t="b">
        <f>배당!L94</f>
        <v>1</v>
      </c>
      <c r="K15" s="43" t="b">
        <f ca="1">배당!M94</f>
        <v>1</v>
      </c>
      <c r="L15" s="43" t="b">
        <f>배당!N94</f>
        <v>1</v>
      </c>
      <c r="M15" s="43" t="b">
        <f>배당!O94</f>
        <v>1</v>
      </c>
      <c r="N15" s="43" t="b">
        <f ca="1">배당!P94</f>
        <v>1</v>
      </c>
      <c r="O15" s="31"/>
      <c r="Q15" s="31" t="str">
        <f>'A&amp;R'!C39</f>
        <v>지하1층</v>
      </c>
      <c r="R15" s="32" t="str">
        <f>'A&amp;R'!D39</f>
        <v>사무실</v>
      </c>
      <c r="S15" s="32">
        <f ca="1">'A&amp;R'!F39*(1-$AD$11)</f>
        <v>599</v>
      </c>
      <c r="T15" s="105">
        <v>1</v>
      </c>
      <c r="U15" s="105">
        <v>1</v>
      </c>
      <c r="V15" s="105">
        <v>1</v>
      </c>
      <c r="W15" s="258">
        <f t="shared" ca="1" si="0"/>
        <v>25000</v>
      </c>
      <c r="X15" s="105">
        <v>2000</v>
      </c>
      <c r="Y15" s="106">
        <v>0.01</v>
      </c>
      <c r="Z15" s="106">
        <v>0.01</v>
      </c>
      <c r="AA15" s="32">
        <f ca="1">AB15*$AA$11</f>
        <v>89.85</v>
      </c>
      <c r="AB15" s="32">
        <f ca="1">S15*W15/unit</f>
        <v>14.975</v>
      </c>
      <c r="AC15" s="33">
        <f ca="1">S15*X15/unit</f>
        <v>1.198</v>
      </c>
      <c r="AD15" s="262"/>
    </row>
    <row r="16" spans="1:30" ht="12.95" customHeight="1">
      <c r="B16" s="17" t="s">
        <v>32</v>
      </c>
      <c r="D16" s="21">
        <f>EOMONTH(D14,D15*12-1)</f>
        <v>46112</v>
      </c>
      <c r="H16" s="36"/>
      <c r="I16" s="42"/>
      <c r="J16" s="42"/>
      <c r="K16" s="42"/>
      <c r="L16" s="42"/>
      <c r="M16" s="42"/>
      <c r="N16" s="42"/>
      <c r="O16" s="34"/>
      <c r="Q16" s="34" t="str">
        <f>'A&amp;R'!C40</f>
        <v>지하2층</v>
      </c>
      <c r="R16" s="35" t="str">
        <f>'A&amp;R'!D40</f>
        <v>창고</v>
      </c>
      <c r="S16" s="35">
        <f ca="1">'A&amp;R'!F40*(1-$AD$11)</f>
        <v>4695</v>
      </c>
      <c r="T16" s="107">
        <v>1</v>
      </c>
      <c r="U16" s="107">
        <v>1</v>
      </c>
      <c r="V16" s="107">
        <v>1</v>
      </c>
      <c r="W16" s="259">
        <f t="shared" ca="1" si="0"/>
        <v>25000</v>
      </c>
      <c r="X16" s="107">
        <v>2000</v>
      </c>
      <c r="Y16" s="108">
        <v>0.01</v>
      </c>
      <c r="Z16" s="108">
        <v>0.01</v>
      </c>
      <c r="AA16" s="35">
        <f ca="1">AB16*$AA$11</f>
        <v>704.25</v>
      </c>
      <c r="AB16" s="35">
        <f ca="1">S16*W16/unit</f>
        <v>117.375</v>
      </c>
      <c r="AC16" s="36">
        <f ca="1">S16*X16/unit</f>
        <v>9.39</v>
      </c>
      <c r="AD16" s="262"/>
    </row>
    <row r="17" spans="2:30" ht="12.95" customHeight="1">
      <c r="B17" s="17" t="s">
        <v>33</v>
      </c>
      <c r="D17" s="22">
        <v>6</v>
      </c>
      <c r="Q17" s="109" t="str">
        <f>'A&amp;R'!C41</f>
        <v>합계</v>
      </c>
      <c r="R17" s="110"/>
      <c r="S17" s="110">
        <f ca="1">SUM(S12:S16)</f>
        <v>10350</v>
      </c>
      <c r="T17" s="110"/>
      <c r="U17" s="110"/>
      <c r="V17" s="110"/>
      <c r="W17" s="110"/>
      <c r="X17" s="110"/>
      <c r="Y17" s="110"/>
      <c r="Z17" s="110"/>
      <c r="AA17" s="110">
        <f ca="1">SUM(AA12:AA16)</f>
        <v>1508.664</v>
      </c>
      <c r="AB17" s="110">
        <f ca="1">SUM(AB12:AB16)</f>
        <v>251.44399999999999</v>
      </c>
      <c r="AC17" s="111">
        <f ca="1">SUM(AC12:AC16)</f>
        <v>20.700000000000003</v>
      </c>
      <c r="AD17" s="264"/>
    </row>
    <row r="18" spans="2:30" ht="12.95" customHeight="1">
      <c r="B18" s="15" t="s">
        <v>34</v>
      </c>
      <c r="C18" s="15"/>
      <c r="D18" s="15"/>
      <c r="E18" s="15"/>
      <c r="F18" s="15"/>
      <c r="G18" s="15"/>
      <c r="H18" s="15"/>
      <c r="I18" s="15"/>
      <c r="J18" s="15"/>
      <c r="K18" s="15"/>
      <c r="L18" s="15"/>
      <c r="M18" s="15"/>
      <c r="N18" s="15"/>
      <c r="O18" s="15"/>
      <c r="Q18" s="15" t="s">
        <v>504</v>
      </c>
      <c r="R18" s="15"/>
      <c r="S18" s="15"/>
      <c r="T18" s="15"/>
      <c r="U18" s="15"/>
      <c r="V18" s="15"/>
      <c r="W18" s="15"/>
      <c r="X18" s="15"/>
      <c r="Y18" s="15"/>
      <c r="Z18" s="15"/>
      <c r="AA18" s="15"/>
      <c r="AB18" s="15"/>
      <c r="AC18" s="15"/>
      <c r="AD18" s="15"/>
    </row>
    <row r="19" spans="2:30" ht="12.95" customHeight="1">
      <c r="B19" s="17" t="s">
        <v>35</v>
      </c>
      <c r="D19" s="1" t="s">
        <v>36</v>
      </c>
      <c r="I19" s="17" t="s">
        <v>46</v>
      </c>
      <c r="K19" s="1" t="s">
        <v>47</v>
      </c>
      <c r="Q19" s="13" t="s">
        <v>203</v>
      </c>
    </row>
    <row r="20" spans="2:30" ht="12.95" customHeight="1">
      <c r="B20" s="17" t="s">
        <v>37</v>
      </c>
      <c r="D20" s="1" t="s">
        <v>38</v>
      </c>
      <c r="I20" s="17" t="s">
        <v>48</v>
      </c>
      <c r="K20" s="1">
        <v>34216</v>
      </c>
      <c r="L20" s="1" t="s">
        <v>49</v>
      </c>
      <c r="M20" s="1">
        <f>K20*py</f>
        <v>10350.34</v>
      </c>
      <c r="N20" s="1" t="s">
        <v>26</v>
      </c>
      <c r="Q20" s="127" t="s">
        <v>54</v>
      </c>
      <c r="R20" s="127"/>
      <c r="S20" s="127"/>
      <c r="T20" s="27" t="s">
        <v>219</v>
      </c>
      <c r="U20" s="127"/>
      <c r="V20" s="127"/>
      <c r="W20" s="127"/>
      <c r="X20" s="127"/>
    </row>
    <row r="21" spans="2:30" ht="12.95" customHeight="1">
      <c r="B21" s="16" t="s">
        <v>39</v>
      </c>
      <c r="D21" s="1" t="s">
        <v>40</v>
      </c>
      <c r="I21" s="17" t="s">
        <v>50</v>
      </c>
      <c r="K21" s="21">
        <v>43373</v>
      </c>
      <c r="Q21" s="51" t="s">
        <v>204</v>
      </c>
      <c r="R21" s="51"/>
      <c r="S21" s="51"/>
      <c r="T21" s="25" t="s">
        <v>220</v>
      </c>
      <c r="U21" s="122">
        <v>350</v>
      </c>
      <c r="V21" s="51" t="s">
        <v>221</v>
      </c>
      <c r="W21" s="52">
        <v>1.4999999999999999E-2</v>
      </c>
      <c r="X21" s="51"/>
    </row>
    <row r="22" spans="2:30" ht="12.95" customHeight="1">
      <c r="B22" s="17" t="s">
        <v>41</v>
      </c>
      <c r="D22" s="1">
        <v>30053</v>
      </c>
      <c r="E22" s="1" t="s">
        <v>42</v>
      </c>
      <c r="F22" s="1">
        <f>D22*py</f>
        <v>9091.0324999999993</v>
      </c>
      <c r="G22" s="1" t="s">
        <v>26</v>
      </c>
      <c r="I22" s="17" t="s">
        <v>51</v>
      </c>
      <c r="K22" s="1" t="s">
        <v>52</v>
      </c>
      <c r="Q22" s="51" t="s">
        <v>205</v>
      </c>
      <c r="R22" s="51"/>
      <c r="S22" s="51"/>
      <c r="T22" s="25" t="s">
        <v>220</v>
      </c>
      <c r="U22" s="122">
        <v>1800</v>
      </c>
      <c r="V22" s="51" t="s">
        <v>221</v>
      </c>
      <c r="W22" s="52">
        <v>1.4999999999999999E-2</v>
      </c>
      <c r="X22" s="51"/>
    </row>
    <row r="23" spans="2:30" ht="12.95" customHeight="1">
      <c r="B23" s="17" t="s">
        <v>43</v>
      </c>
      <c r="D23" s="1">
        <v>259800</v>
      </c>
      <c r="E23" s="1" t="s">
        <v>44</v>
      </c>
      <c r="G23" s="1">
        <f>D23*D22/unit</f>
        <v>7807.7694000000001</v>
      </c>
      <c r="H23" s="1" t="s">
        <v>45</v>
      </c>
      <c r="I23" s="17" t="s">
        <v>525</v>
      </c>
      <c r="K23" s="1" t="s">
        <v>526</v>
      </c>
      <c r="M23" s="144">
        <f ca="1">G44</f>
        <v>5.2155191306983192E-2</v>
      </c>
      <c r="Q23" s="51" t="s">
        <v>206</v>
      </c>
      <c r="R23" s="51"/>
      <c r="S23" s="51"/>
      <c r="T23" s="25" t="s">
        <v>222</v>
      </c>
      <c r="U23" s="51"/>
      <c r="V23" s="123">
        <v>1.5</v>
      </c>
      <c r="W23" s="51"/>
      <c r="X23" s="51"/>
    </row>
    <row r="24" spans="2:30" ht="12.95" customHeight="1">
      <c r="B24" s="17" t="s">
        <v>53</v>
      </c>
      <c r="K24" s="1" t="s">
        <v>527</v>
      </c>
      <c r="M24" s="147">
        <f>H44</f>
        <v>4.3476832645111179</v>
      </c>
      <c r="N24" s="1" t="s">
        <v>425</v>
      </c>
      <c r="Q24" s="41" t="s">
        <v>207</v>
      </c>
      <c r="R24" s="30" t="s">
        <v>208</v>
      </c>
      <c r="S24" s="41"/>
      <c r="T24" s="30" t="s">
        <v>220</v>
      </c>
      <c r="U24" s="124">
        <v>300</v>
      </c>
      <c r="V24" s="41" t="s">
        <v>221</v>
      </c>
      <c r="W24" s="48">
        <v>1.4999999999999999E-2</v>
      </c>
      <c r="X24" s="41"/>
    </row>
    <row r="25" spans="2:30" ht="12.95" customHeight="1">
      <c r="C25" s="270" t="s">
        <v>54</v>
      </c>
      <c r="D25" s="275" t="s">
        <v>55</v>
      </c>
      <c r="E25" s="277"/>
      <c r="F25" s="277"/>
      <c r="G25" s="277"/>
      <c r="H25" s="277"/>
      <c r="I25" s="276"/>
      <c r="J25" s="275" t="s">
        <v>62</v>
      </c>
      <c r="K25" s="277"/>
      <c r="L25" s="277"/>
      <c r="M25" s="277"/>
      <c r="N25" s="277"/>
      <c r="O25" s="277"/>
      <c r="Q25" s="43"/>
      <c r="R25" s="33" t="s">
        <v>209</v>
      </c>
      <c r="S25" s="43"/>
      <c r="T25" s="33" t="s">
        <v>220</v>
      </c>
      <c r="U25" s="125">
        <v>100</v>
      </c>
      <c r="V25" s="43" t="s">
        <v>221</v>
      </c>
      <c r="W25" s="75">
        <v>1.4999999999999999E-2</v>
      </c>
      <c r="X25" s="43"/>
    </row>
    <row r="26" spans="2:30" ht="12.95" customHeight="1">
      <c r="C26" s="272"/>
      <c r="D26" s="26" t="s">
        <v>56</v>
      </c>
      <c r="E26" s="26" t="s">
        <v>57</v>
      </c>
      <c r="F26" s="26" t="s">
        <v>58</v>
      </c>
      <c r="G26" s="26" t="s">
        <v>59</v>
      </c>
      <c r="H26" s="26" t="s">
        <v>60</v>
      </c>
      <c r="I26" s="26" t="s">
        <v>61</v>
      </c>
      <c r="J26" s="26" t="s">
        <v>56</v>
      </c>
      <c r="K26" s="26" t="s">
        <v>57</v>
      </c>
      <c r="L26" s="26" t="s">
        <v>58</v>
      </c>
      <c r="M26" s="26" t="s">
        <v>59</v>
      </c>
      <c r="N26" s="26" t="s">
        <v>60</v>
      </c>
      <c r="O26" s="27" t="s">
        <v>61</v>
      </c>
      <c r="Q26" s="42"/>
      <c r="R26" s="36" t="s">
        <v>210</v>
      </c>
      <c r="S26" s="42"/>
      <c r="T26" s="65">
        <v>5</v>
      </c>
      <c r="U26" s="42" t="s">
        <v>234</v>
      </c>
      <c r="V26" s="42"/>
      <c r="W26" s="42"/>
      <c r="X26" s="42"/>
    </row>
    <row r="27" spans="2:30" ht="12.95" customHeight="1">
      <c r="C27" s="28" t="s">
        <v>63</v>
      </c>
      <c r="D27" s="29">
        <v>4991</v>
      </c>
      <c r="E27" s="29">
        <v>499</v>
      </c>
      <c r="F27" s="29">
        <v>0</v>
      </c>
      <c r="G27" s="29">
        <v>0</v>
      </c>
      <c r="H27" s="29">
        <v>0</v>
      </c>
      <c r="I27" s="29">
        <f>SUM(D27:H27)</f>
        <v>5490</v>
      </c>
      <c r="J27" s="29">
        <f t="shared" ref="J27:O32" si="1">D27*py</f>
        <v>1509.7774999999999</v>
      </c>
      <c r="K27" s="29">
        <f t="shared" si="1"/>
        <v>150.94749999999999</v>
      </c>
      <c r="L27" s="29">
        <f t="shared" si="1"/>
        <v>0</v>
      </c>
      <c r="M27" s="29">
        <f t="shared" si="1"/>
        <v>0</v>
      </c>
      <c r="N27" s="29">
        <f t="shared" si="1"/>
        <v>0</v>
      </c>
      <c r="O27" s="30">
        <f t="shared" si="1"/>
        <v>1660.7249999999999</v>
      </c>
      <c r="Q27" s="41" t="s">
        <v>211</v>
      </c>
      <c r="R27" s="30" t="s">
        <v>212</v>
      </c>
      <c r="S27" s="41"/>
      <c r="T27" s="30"/>
      <c r="U27" s="41"/>
      <c r="V27" s="41"/>
      <c r="W27" s="41"/>
      <c r="X27" s="78">
        <v>2</v>
      </c>
      <c r="Z27" s="11" t="s">
        <v>285</v>
      </c>
    </row>
    <row r="28" spans="2:30" ht="12.95" customHeight="1">
      <c r="C28" s="31" t="s">
        <v>64</v>
      </c>
      <c r="D28" s="32">
        <v>8483</v>
      </c>
      <c r="E28" s="32">
        <v>0</v>
      </c>
      <c r="F28" s="32">
        <v>1831</v>
      </c>
      <c r="G28" s="32">
        <v>0</v>
      </c>
      <c r="H28" s="32">
        <v>0</v>
      </c>
      <c r="I28" s="32">
        <f t="shared" ref="I28:I31" si="2">SUM(D28:H28)</f>
        <v>10314</v>
      </c>
      <c r="J28" s="32">
        <f t="shared" si="1"/>
        <v>2566.1075000000001</v>
      </c>
      <c r="K28" s="32">
        <f t="shared" si="1"/>
        <v>0</v>
      </c>
      <c r="L28" s="32">
        <f t="shared" si="1"/>
        <v>553.87749999999994</v>
      </c>
      <c r="M28" s="32">
        <f t="shared" si="1"/>
        <v>0</v>
      </c>
      <c r="N28" s="32">
        <f t="shared" si="1"/>
        <v>0</v>
      </c>
      <c r="O28" s="33">
        <f t="shared" si="1"/>
        <v>3119.9850000000001</v>
      </c>
      <c r="Q28" s="43"/>
      <c r="R28" s="33" t="s">
        <v>213</v>
      </c>
      <c r="S28" s="43"/>
      <c r="T28" s="33"/>
      <c r="U28" s="43"/>
      <c r="V28" s="43"/>
      <c r="W28" s="43"/>
      <c r="X28" s="43"/>
      <c r="Z28" s="143" t="s">
        <v>286</v>
      </c>
    </row>
    <row r="29" spans="2:30" ht="12.95" customHeight="1">
      <c r="C29" s="31" t="s">
        <v>65</v>
      </c>
      <c r="D29" s="32">
        <v>0</v>
      </c>
      <c r="E29" s="32">
        <v>648</v>
      </c>
      <c r="F29" s="32">
        <v>0</v>
      </c>
      <c r="G29" s="32">
        <v>0</v>
      </c>
      <c r="H29" s="32">
        <v>0</v>
      </c>
      <c r="I29" s="32">
        <f t="shared" si="2"/>
        <v>648</v>
      </c>
      <c r="J29" s="32">
        <f t="shared" si="1"/>
        <v>0</v>
      </c>
      <c r="K29" s="32">
        <f t="shared" si="1"/>
        <v>196.01999999999998</v>
      </c>
      <c r="L29" s="32">
        <f t="shared" si="1"/>
        <v>0</v>
      </c>
      <c r="M29" s="32">
        <f t="shared" si="1"/>
        <v>0</v>
      </c>
      <c r="N29" s="32">
        <f t="shared" si="1"/>
        <v>0</v>
      </c>
      <c r="O29" s="33">
        <f t="shared" si="1"/>
        <v>196.01999999999998</v>
      </c>
      <c r="Q29" s="43"/>
      <c r="R29" s="33" t="s">
        <v>214</v>
      </c>
      <c r="S29" s="43"/>
      <c r="T29" s="33"/>
      <c r="U29" s="43"/>
      <c r="V29" s="43"/>
      <c r="W29" s="43"/>
      <c r="X29" s="43"/>
    </row>
    <row r="30" spans="2:30" ht="12.95" customHeight="1">
      <c r="C30" s="31" t="s">
        <v>66</v>
      </c>
      <c r="D30" s="32">
        <v>14627</v>
      </c>
      <c r="E30" s="32">
        <v>0</v>
      </c>
      <c r="F30" s="32">
        <v>1947</v>
      </c>
      <c r="G30" s="32">
        <v>0</v>
      </c>
      <c r="H30" s="32">
        <v>60</v>
      </c>
      <c r="I30" s="32">
        <f t="shared" si="2"/>
        <v>16634</v>
      </c>
      <c r="J30" s="32">
        <f t="shared" si="1"/>
        <v>4424.6674999999996</v>
      </c>
      <c r="K30" s="32">
        <f t="shared" si="1"/>
        <v>0</v>
      </c>
      <c r="L30" s="32">
        <f t="shared" si="1"/>
        <v>588.96749999999997</v>
      </c>
      <c r="M30" s="32">
        <f t="shared" si="1"/>
        <v>0</v>
      </c>
      <c r="N30" s="32">
        <f t="shared" si="1"/>
        <v>18.149999999999999</v>
      </c>
      <c r="O30" s="33">
        <f t="shared" si="1"/>
        <v>5031.7849999999999</v>
      </c>
      <c r="Q30" s="43"/>
      <c r="R30" s="33" t="s">
        <v>215</v>
      </c>
      <c r="S30" s="43"/>
      <c r="T30" s="33" t="s">
        <v>144</v>
      </c>
      <c r="U30" s="75">
        <v>1.2E-2</v>
      </c>
      <c r="V30" s="43" t="s">
        <v>225</v>
      </c>
      <c r="W30" s="170">
        <v>7</v>
      </c>
      <c r="X30" s="170">
        <v>1</v>
      </c>
    </row>
    <row r="31" spans="2:30" ht="12.95" customHeight="1">
      <c r="C31" s="34" t="s">
        <v>67</v>
      </c>
      <c r="D31" s="35">
        <v>0</v>
      </c>
      <c r="E31" s="35">
        <v>644</v>
      </c>
      <c r="F31" s="35">
        <v>0</v>
      </c>
      <c r="G31" s="35">
        <v>486</v>
      </c>
      <c r="H31" s="35">
        <v>0</v>
      </c>
      <c r="I31" s="35">
        <f t="shared" si="2"/>
        <v>1130</v>
      </c>
      <c r="J31" s="35">
        <f t="shared" si="1"/>
        <v>0</v>
      </c>
      <c r="K31" s="35">
        <f t="shared" si="1"/>
        <v>194.81</v>
      </c>
      <c r="L31" s="35">
        <f t="shared" si="1"/>
        <v>0</v>
      </c>
      <c r="M31" s="35">
        <f t="shared" si="1"/>
        <v>147.01499999999999</v>
      </c>
      <c r="N31" s="35">
        <f t="shared" si="1"/>
        <v>0</v>
      </c>
      <c r="O31" s="36">
        <f t="shared" si="1"/>
        <v>341.82499999999999</v>
      </c>
      <c r="Q31" s="42"/>
      <c r="R31" s="36" t="s">
        <v>216</v>
      </c>
      <c r="S31" s="42"/>
      <c r="T31" s="128" t="s">
        <v>224</v>
      </c>
      <c r="U31" s="50">
        <v>1</v>
      </c>
      <c r="V31" s="42" t="s">
        <v>45</v>
      </c>
      <c r="W31" s="42" t="s">
        <v>225</v>
      </c>
      <c r="X31" s="126">
        <v>1</v>
      </c>
    </row>
    <row r="32" spans="2:30" ht="12.95" customHeight="1">
      <c r="C32" s="23" t="s">
        <v>61</v>
      </c>
      <c r="D32" s="24">
        <f>SUM(D27:D31)</f>
        <v>28101</v>
      </c>
      <c r="E32" s="24">
        <f t="shared" ref="E32:I32" si="3">SUM(E27:E31)</f>
        <v>1791</v>
      </c>
      <c r="F32" s="24">
        <f t="shared" si="3"/>
        <v>3778</v>
      </c>
      <c r="G32" s="24">
        <f t="shared" si="3"/>
        <v>486</v>
      </c>
      <c r="H32" s="24">
        <f t="shared" si="3"/>
        <v>60</v>
      </c>
      <c r="I32" s="24">
        <f t="shared" si="3"/>
        <v>34216</v>
      </c>
      <c r="J32" s="24">
        <f t="shared" si="1"/>
        <v>8500.5524999999998</v>
      </c>
      <c r="K32" s="24">
        <f t="shared" si="1"/>
        <v>541.77750000000003</v>
      </c>
      <c r="L32" s="24">
        <f t="shared" si="1"/>
        <v>1142.845</v>
      </c>
      <c r="M32" s="24">
        <f t="shared" si="1"/>
        <v>147.01499999999999</v>
      </c>
      <c r="N32" s="24">
        <f t="shared" si="1"/>
        <v>18.149999999999999</v>
      </c>
      <c r="O32" s="25">
        <f t="shared" si="1"/>
        <v>10350.34</v>
      </c>
      <c r="Q32" s="51" t="s">
        <v>217</v>
      </c>
      <c r="R32" s="51"/>
      <c r="S32" s="51"/>
      <c r="T32" s="25" t="s">
        <v>220</v>
      </c>
      <c r="U32" s="122">
        <v>800</v>
      </c>
      <c r="V32" s="51" t="s">
        <v>221</v>
      </c>
      <c r="W32" s="52">
        <v>1.4999999999999999E-2</v>
      </c>
      <c r="X32" s="171">
        <f>U32*'A&amp;R'!M20/unit</f>
        <v>8.2802720000000001</v>
      </c>
    </row>
    <row r="33" spans="2:30" ht="12.95" customHeight="1">
      <c r="B33" s="16" t="s">
        <v>68</v>
      </c>
      <c r="Q33" s="51" t="s">
        <v>218</v>
      </c>
      <c r="R33" s="51"/>
      <c r="S33" s="51"/>
      <c r="T33" s="69">
        <v>1</v>
      </c>
      <c r="U33" s="51" t="s">
        <v>223</v>
      </c>
      <c r="V33" s="51"/>
      <c r="W33" s="51"/>
      <c r="X33" s="51"/>
    </row>
    <row r="34" spans="2:30" ht="12.95" customHeight="1">
      <c r="C34" s="269" t="s">
        <v>54</v>
      </c>
      <c r="D34" s="270"/>
      <c r="E34" s="273" t="s">
        <v>69</v>
      </c>
      <c r="F34" s="273" t="s">
        <v>72</v>
      </c>
      <c r="G34" s="275" t="s">
        <v>73</v>
      </c>
      <c r="H34" s="276"/>
      <c r="I34" s="273" t="s">
        <v>76</v>
      </c>
      <c r="J34" s="275" t="s">
        <v>77</v>
      </c>
      <c r="K34" s="276"/>
      <c r="L34" s="275" t="s">
        <v>79</v>
      </c>
      <c r="M34" s="276"/>
      <c r="N34" s="27" t="s">
        <v>80</v>
      </c>
      <c r="O34" s="267" t="s">
        <v>415</v>
      </c>
      <c r="Q34" s="13" t="s">
        <v>353</v>
      </c>
    </row>
    <row r="35" spans="2:30" ht="12.95" customHeight="1">
      <c r="C35" s="271"/>
      <c r="D35" s="272"/>
      <c r="E35" s="274"/>
      <c r="F35" s="274"/>
      <c r="G35" s="26" t="s">
        <v>74</v>
      </c>
      <c r="H35" s="26" t="s">
        <v>75</v>
      </c>
      <c r="I35" s="274"/>
      <c r="J35" s="26" t="s">
        <v>78</v>
      </c>
      <c r="K35" s="26" t="s">
        <v>61</v>
      </c>
      <c r="L35" s="26" t="s">
        <v>78</v>
      </c>
      <c r="M35" s="26" t="s">
        <v>61</v>
      </c>
      <c r="N35" s="27" t="s">
        <v>81</v>
      </c>
      <c r="O35" s="268"/>
      <c r="Q35" s="127" t="s">
        <v>54</v>
      </c>
      <c r="R35" s="131"/>
      <c r="S35" s="27" t="s">
        <v>357</v>
      </c>
      <c r="T35" s="127"/>
      <c r="U35" s="131"/>
      <c r="V35" s="27" t="s">
        <v>126</v>
      </c>
      <c r="W35" s="127"/>
    </row>
    <row r="36" spans="2:30" ht="12.95" customHeight="1">
      <c r="C36" s="28" t="str">
        <f>C27</f>
        <v>지상3층</v>
      </c>
      <c r="D36" s="29" t="s">
        <v>56</v>
      </c>
      <c r="E36" s="29" t="s">
        <v>70</v>
      </c>
      <c r="F36" s="29">
        <v>1687</v>
      </c>
      <c r="G36" s="37">
        <v>44104</v>
      </c>
      <c r="H36" s="37">
        <v>45169</v>
      </c>
      <c r="I36" s="29">
        <v>242.928</v>
      </c>
      <c r="J36" s="29">
        <v>24000</v>
      </c>
      <c r="K36" s="29">
        <f>F36*J36/unit</f>
        <v>40.488</v>
      </c>
      <c r="L36" s="29">
        <v>2000</v>
      </c>
      <c r="M36" s="29">
        <f>F36*L36/unit</f>
        <v>3.3740000000000001</v>
      </c>
      <c r="N36" s="30">
        <v>1</v>
      </c>
      <c r="O36" s="30">
        <f>F36*J36*(12-N36)/unit+F36*L36*12/unit</f>
        <v>485.85599999999999</v>
      </c>
      <c r="Q36" s="41" t="s">
        <v>354</v>
      </c>
      <c r="R36" s="28"/>
      <c r="S36" s="30" t="s">
        <v>358</v>
      </c>
      <c r="T36" s="48">
        <v>3.0000000000000001E-3</v>
      </c>
      <c r="U36" s="28">
        <f ca="1">'A&amp;R'!$E$67*T36</f>
        <v>146.7240217906502</v>
      </c>
      <c r="V36" s="30" t="s">
        <v>359</v>
      </c>
      <c r="W36" s="41"/>
    </row>
    <row r="37" spans="2:30" ht="12.95" customHeight="1">
      <c r="C37" s="31" t="str">
        <f t="shared" ref="C37:C41" si="4">C28</f>
        <v>지상2층</v>
      </c>
      <c r="D37" s="32" t="s">
        <v>58</v>
      </c>
      <c r="E37" s="32" t="s">
        <v>70</v>
      </c>
      <c r="F37" s="32">
        <v>562</v>
      </c>
      <c r="G37" s="38">
        <v>44104</v>
      </c>
      <c r="H37" s="38">
        <v>45169</v>
      </c>
      <c r="I37" s="32">
        <v>40.463999999999999</v>
      </c>
      <c r="J37" s="32">
        <v>12000</v>
      </c>
      <c r="K37" s="32">
        <f>F37*J37/unit</f>
        <v>6.7439999999999998</v>
      </c>
      <c r="L37" s="32">
        <v>0</v>
      </c>
      <c r="M37" s="32">
        <f>F37*L37/unit</f>
        <v>0</v>
      </c>
      <c r="N37" s="33">
        <v>0</v>
      </c>
      <c r="O37" s="33">
        <f>F37*J37*(12-N37)/unit+F37*L37*12/unit</f>
        <v>80.927999999999997</v>
      </c>
      <c r="Q37" s="43" t="s">
        <v>355</v>
      </c>
      <c r="R37" s="31"/>
      <c r="S37" s="33" t="s">
        <v>358</v>
      </c>
      <c r="T37" s="75">
        <v>2.9999999999999997E-4</v>
      </c>
      <c r="U37" s="31">
        <f ca="1">'A&amp;R'!$E$67*T37</f>
        <v>14.672402179065017</v>
      </c>
      <c r="V37" s="33" t="s">
        <v>359</v>
      </c>
      <c r="W37" s="43"/>
    </row>
    <row r="38" spans="2:30" ht="12.95" customHeight="1">
      <c r="C38" s="31" t="str">
        <f t="shared" si="4"/>
        <v>지상1층</v>
      </c>
      <c r="D38" s="32" t="s">
        <v>56</v>
      </c>
      <c r="E38" s="32" t="s">
        <v>70</v>
      </c>
      <c r="F38" s="32">
        <v>2807</v>
      </c>
      <c r="G38" s="38">
        <v>44104</v>
      </c>
      <c r="H38" s="38">
        <v>45169</v>
      </c>
      <c r="I38" s="32">
        <v>404.20800000000003</v>
      </c>
      <c r="J38" s="32">
        <v>24000</v>
      </c>
      <c r="K38" s="32">
        <f>F38*J38/unit</f>
        <v>67.367999999999995</v>
      </c>
      <c r="L38" s="32">
        <v>2000</v>
      </c>
      <c r="M38" s="32">
        <f>F38*L38/unit</f>
        <v>5.6139999999999999</v>
      </c>
      <c r="N38" s="33">
        <v>1</v>
      </c>
      <c r="O38" s="33">
        <f>F38*J38*(12-N38)/unit+F38*L38*12/unit</f>
        <v>808.41599999999994</v>
      </c>
      <c r="Q38" s="42" t="s">
        <v>356</v>
      </c>
      <c r="R38" s="34"/>
      <c r="S38" s="36" t="s">
        <v>358</v>
      </c>
      <c r="T38" s="139">
        <v>5.0000000000000001E-4</v>
      </c>
      <c r="U38" s="34">
        <f ca="1">'A&amp;R'!$E$67*T38</f>
        <v>24.454003631775031</v>
      </c>
      <c r="V38" s="36" t="s">
        <v>359</v>
      </c>
      <c r="W38" s="42"/>
    </row>
    <row r="39" spans="2:30" ht="12.95" customHeight="1">
      <c r="C39" s="31" t="str">
        <f t="shared" si="4"/>
        <v>지하1층</v>
      </c>
      <c r="D39" s="32" t="s">
        <v>58</v>
      </c>
      <c r="E39" s="32" t="s">
        <v>71</v>
      </c>
      <c r="F39" s="32">
        <v>599</v>
      </c>
      <c r="G39" s="38">
        <v>43708</v>
      </c>
      <c r="H39" s="38">
        <v>44439</v>
      </c>
      <c r="I39" s="32">
        <v>89.85</v>
      </c>
      <c r="J39" s="32">
        <v>24000</v>
      </c>
      <c r="K39" s="32">
        <f>F39*J39/unit</f>
        <v>14.375999999999999</v>
      </c>
      <c r="L39" s="32">
        <v>2000</v>
      </c>
      <c r="M39" s="32">
        <f>F39*L39/unit</f>
        <v>1.198</v>
      </c>
      <c r="N39" s="33">
        <v>1</v>
      </c>
      <c r="O39" s="33">
        <f>F39*J39*(12-N39)/unit+F39*L39*12/unit</f>
        <v>172.512</v>
      </c>
      <c r="Q39" s="15" t="s">
        <v>505</v>
      </c>
      <c r="R39" s="15"/>
      <c r="S39" s="15"/>
      <c r="T39" s="15"/>
      <c r="U39" s="15"/>
      <c r="V39" s="15"/>
      <c r="W39" s="15"/>
      <c r="X39" s="15"/>
      <c r="Y39" s="15"/>
      <c r="Z39" s="15"/>
      <c r="AA39" s="15"/>
      <c r="AB39" s="15"/>
      <c r="AC39" s="15"/>
      <c r="AD39" s="15"/>
    </row>
    <row r="40" spans="2:30" ht="12.95" customHeight="1">
      <c r="C40" s="34" t="str">
        <f t="shared" si="4"/>
        <v>지하2층</v>
      </c>
      <c r="D40" s="35" t="s">
        <v>56</v>
      </c>
      <c r="E40" s="35" t="s">
        <v>71</v>
      </c>
      <c r="F40" s="35">
        <v>4695</v>
      </c>
      <c r="G40" s="39">
        <v>43708</v>
      </c>
      <c r="H40" s="39">
        <v>44439</v>
      </c>
      <c r="I40" s="35">
        <v>704.25</v>
      </c>
      <c r="J40" s="35">
        <v>24000</v>
      </c>
      <c r="K40" s="35">
        <f>F40*J40/unit</f>
        <v>112.68</v>
      </c>
      <c r="L40" s="35">
        <v>2000</v>
      </c>
      <c r="M40" s="35">
        <f>F40*L40/unit</f>
        <v>9.39</v>
      </c>
      <c r="N40" s="36">
        <v>1</v>
      </c>
      <c r="O40" s="36">
        <f>F40*J40*(12-N40)/unit+F40*L40*12/unit</f>
        <v>1352.16</v>
      </c>
      <c r="Q40" s="13" t="s">
        <v>394</v>
      </c>
    </row>
    <row r="41" spans="2:30" ht="12.95" customHeight="1">
      <c r="C41" s="23" t="str">
        <f t="shared" si="4"/>
        <v>합계</v>
      </c>
      <c r="D41" s="24"/>
      <c r="E41" s="24"/>
      <c r="F41" s="24">
        <f>SUM(F36:F40)</f>
        <v>10350</v>
      </c>
      <c r="G41" s="24"/>
      <c r="H41" s="24"/>
      <c r="I41" s="24">
        <f>SUM(I36:I40)</f>
        <v>1481.7</v>
      </c>
      <c r="J41" s="24"/>
      <c r="K41" s="24">
        <f>SUM(K36:K40)</f>
        <v>241.65600000000001</v>
      </c>
      <c r="L41" s="24"/>
      <c r="M41" s="24">
        <f>SUM(M36:M40)</f>
        <v>19.576000000000001</v>
      </c>
      <c r="N41" s="25"/>
      <c r="O41" s="25">
        <f>SUM(O36:O40)</f>
        <v>2899.8719999999998</v>
      </c>
      <c r="Q41" s="93" t="s">
        <v>395</v>
      </c>
      <c r="R41" s="93"/>
      <c r="S41" s="93"/>
      <c r="T41" s="93" t="s">
        <v>61</v>
      </c>
      <c r="U41" s="94">
        <v>1</v>
      </c>
      <c r="V41" s="94">
        <v>2</v>
      </c>
      <c r="W41" s="94">
        <v>3</v>
      </c>
      <c r="X41" s="94">
        <v>4</v>
      </c>
      <c r="Y41" s="94">
        <v>5</v>
      </c>
      <c r="Z41" s="94">
        <v>6</v>
      </c>
      <c r="AA41" s="94">
        <v>7</v>
      </c>
      <c r="AB41" s="94">
        <v>8</v>
      </c>
      <c r="AC41" s="94">
        <v>9</v>
      </c>
      <c r="AD41" s="94">
        <v>10</v>
      </c>
    </row>
    <row r="42" spans="2:30" ht="12.95" customHeight="1">
      <c r="B42" s="15" t="s">
        <v>82</v>
      </c>
      <c r="C42" s="15"/>
      <c r="D42" s="15"/>
      <c r="E42" s="15"/>
      <c r="F42" s="15"/>
      <c r="G42" s="15"/>
      <c r="H42" s="15"/>
      <c r="I42" s="15"/>
      <c r="J42" s="15"/>
      <c r="K42" s="15"/>
      <c r="L42" s="15"/>
      <c r="M42" s="15"/>
      <c r="N42" s="15"/>
      <c r="O42" s="15"/>
      <c r="Q42" s="1" t="s">
        <v>12</v>
      </c>
      <c r="T42" s="1">
        <f t="shared" ref="T42:T52" ca="1" si="5">SUM(U42:AD42)</f>
        <v>14586.156066399199</v>
      </c>
      <c r="U42" s="1">
        <f t="shared" ref="U42:AD42" ca="1" si="6">SUM(U43:U44)</f>
        <v>2680.6121666666668</v>
      </c>
      <c r="V42" s="1">
        <f t="shared" ca="1" si="6"/>
        <v>2966.0205300000007</v>
      </c>
      <c r="W42" s="1">
        <f t="shared" ca="1" si="6"/>
        <v>2786.2482353000005</v>
      </c>
      <c r="X42" s="1">
        <f t="shared" ca="1" si="6"/>
        <v>3061.3309126529994</v>
      </c>
      <c r="Y42" s="1">
        <f t="shared" ca="1" si="6"/>
        <v>3091.9442217795295</v>
      </c>
      <c r="Z42" s="1">
        <f t="shared" si="6"/>
        <v>0</v>
      </c>
      <c r="AA42" s="1">
        <f t="shared" si="6"/>
        <v>0</v>
      </c>
      <c r="AB42" s="1">
        <f t="shared" si="6"/>
        <v>0</v>
      </c>
      <c r="AC42" s="1">
        <f t="shared" si="6"/>
        <v>0</v>
      </c>
      <c r="AD42" s="1">
        <f t="shared" si="6"/>
        <v>0</v>
      </c>
    </row>
    <row r="43" spans="2:30" ht="12.95" customHeight="1">
      <c r="B43" s="40" t="s">
        <v>54</v>
      </c>
      <c r="C43" s="40"/>
      <c r="D43" s="40"/>
      <c r="E43" s="40" t="s">
        <v>106</v>
      </c>
      <c r="F43" s="40" t="s">
        <v>115</v>
      </c>
      <c r="G43" s="40"/>
      <c r="H43" s="40"/>
      <c r="I43" s="40" t="s">
        <v>116</v>
      </c>
      <c r="J43" s="59" t="s">
        <v>117</v>
      </c>
      <c r="K43" s="60" t="s">
        <v>118</v>
      </c>
      <c r="L43" s="40" t="s">
        <v>119</v>
      </c>
      <c r="M43" s="40" t="s">
        <v>120</v>
      </c>
      <c r="N43" s="40" t="s">
        <v>121</v>
      </c>
      <c r="R43" s="30" t="s">
        <v>396</v>
      </c>
      <c r="S43" s="182" t="b">
        <f ca="1">ABS(T43-운영수입!F328)&lt;0.001</f>
        <v>1</v>
      </c>
      <c r="T43" s="41">
        <f t="shared" ca="1" si="5"/>
        <v>13384.765318195916</v>
      </c>
      <c r="U43" s="41">
        <f ca="1">SUMIF(운영수입!$16:$16,'A&amp;R'!U$41,운영수입!328:328)</f>
        <v>2456.2881666666667</v>
      </c>
      <c r="V43" s="41">
        <f ca="1">SUMIF(운영수입!$16:$16,'A&amp;R'!V$41,운영수입!328:328)</f>
        <v>2730.4732500000005</v>
      </c>
      <c r="W43" s="41">
        <f ca="1">SUMIF(운영수입!$16:$16,'A&amp;R'!W$41,운영수입!328:328)</f>
        <v>2551.6680425000004</v>
      </c>
      <c r="X43" s="41">
        <f ca="1">SUMIF(운영수입!$16:$16,'A&amp;R'!X$41,운영수입!328:328)</f>
        <v>2809.1223179249996</v>
      </c>
      <c r="Y43" s="41">
        <f ca="1">SUMIF(운영수입!$16:$16,'A&amp;R'!Y$41,운영수입!328:328)</f>
        <v>2837.2135411042495</v>
      </c>
      <c r="Z43" s="41">
        <f>SUMIF(운영수입!$16:$16,'A&amp;R'!Z$41,운영수입!328:328)</f>
        <v>0</v>
      </c>
      <c r="AA43" s="41">
        <f>SUMIF(운영수입!$16:$16,'A&amp;R'!AA$41,운영수입!328:328)</f>
        <v>0</v>
      </c>
      <c r="AB43" s="41">
        <f>SUMIF(운영수입!$16:$16,'A&amp;R'!AB$41,운영수입!328:328)</f>
        <v>0</v>
      </c>
      <c r="AC43" s="41">
        <f>SUMIF(운영수입!$16:$16,'A&amp;R'!AC$41,운영수입!328:328)</f>
        <v>0</v>
      </c>
      <c r="AD43" s="41">
        <f>SUMIF(운영수입!$16:$16,'A&amp;R'!AD$41,운영수입!328:328)</f>
        <v>0</v>
      </c>
    </row>
    <row r="44" spans="2:30" ht="12.95" customHeight="1">
      <c r="B44" s="1" t="s">
        <v>83</v>
      </c>
      <c r="E44" s="3">
        <v>45000</v>
      </c>
      <c r="F44" s="4" t="s">
        <v>524</v>
      </c>
      <c r="G44" s="253">
        <f ca="1">AD54/(E44-I41)</f>
        <v>5.2155191306983192E-2</v>
      </c>
      <c r="H44" s="254">
        <f>E44/M20</f>
        <v>4.3476832645111179</v>
      </c>
      <c r="I44" s="54">
        <f ca="1">E44/$E$67</f>
        <v>0.92009473535711594</v>
      </c>
      <c r="J44" s="33"/>
      <c r="K44" s="31"/>
      <c r="Q44" s="34"/>
      <c r="R44" s="36" t="s">
        <v>397</v>
      </c>
      <c r="S44" s="183" t="b">
        <f ca="1">ABS(T44-운영수입!F329)&lt;0.001</f>
        <v>1</v>
      </c>
      <c r="T44" s="42">
        <f t="shared" ca="1" si="5"/>
        <v>1201.3907482032798</v>
      </c>
      <c r="U44" s="42">
        <f ca="1">SUMIF(운영수입!$16:$16,'A&amp;R'!U$41,운영수입!329:329)</f>
        <v>224.32399999999996</v>
      </c>
      <c r="V44" s="42">
        <f ca="1">SUMIF(운영수입!$16:$16,'A&amp;R'!V$41,운영수입!329:329)</f>
        <v>235.54728000000003</v>
      </c>
      <c r="W44" s="42">
        <f ca="1">SUMIF(운영수입!$16:$16,'A&amp;R'!W$41,운영수입!329:329)</f>
        <v>234.58019279999999</v>
      </c>
      <c r="X44" s="42">
        <f ca="1">SUMIF(운영수입!$16:$16,'A&amp;R'!X$41,운영수입!329:329)</f>
        <v>252.20859472799992</v>
      </c>
      <c r="Y44" s="42">
        <f ca="1">SUMIF(운영수입!$16:$16,'A&amp;R'!Y$41,운영수입!329:329)</f>
        <v>254.73068067527996</v>
      </c>
      <c r="Z44" s="42">
        <f>SUMIF(운영수입!$16:$16,'A&amp;R'!Z$41,운영수입!329:329)</f>
        <v>0</v>
      </c>
      <c r="AA44" s="42">
        <f>SUMIF(운영수입!$16:$16,'A&amp;R'!AA$41,운영수입!329:329)</f>
        <v>0</v>
      </c>
      <c r="AB44" s="42">
        <f>SUMIF(운영수입!$16:$16,'A&amp;R'!AB$41,운영수입!329:329)</f>
        <v>0</v>
      </c>
      <c r="AC44" s="42">
        <f>SUMIF(운영수입!$16:$16,'A&amp;R'!AC$41,운영수입!329:329)</f>
        <v>0</v>
      </c>
      <c r="AD44" s="42">
        <f>SUMIF(운영수입!$16:$16,'A&amp;R'!AD$41,운영수입!329:329)</f>
        <v>0</v>
      </c>
    </row>
    <row r="45" spans="2:30" ht="12.95" customHeight="1">
      <c r="C45" s="30" t="s">
        <v>84</v>
      </c>
      <c r="D45" s="41"/>
      <c r="E45" s="41">
        <f>'A&amp;R'!G23*G45</f>
        <v>15615.5388</v>
      </c>
      <c r="F45" s="41" t="s">
        <v>107</v>
      </c>
      <c r="G45" s="46">
        <v>2</v>
      </c>
      <c r="H45" s="41" t="s">
        <v>108</v>
      </c>
      <c r="I45" s="55"/>
      <c r="J45" s="63">
        <v>1</v>
      </c>
      <c r="K45" s="64">
        <v>0</v>
      </c>
      <c r="L45" s="41">
        <f t="shared" ref="L45:L66" si="7">E45*K45*10%</f>
        <v>0</v>
      </c>
      <c r="M45" s="41">
        <v>0</v>
      </c>
      <c r="N45" s="41">
        <f t="shared" ref="N45:N66" si="8">L45-M45</f>
        <v>0</v>
      </c>
      <c r="Q45" s="1" t="s">
        <v>398</v>
      </c>
      <c r="T45" s="1">
        <f t="shared" ca="1" si="5"/>
        <v>3611.5454598134475</v>
      </c>
      <c r="U45" s="1">
        <f t="shared" ref="U45:AD45" ca="1" si="9">SUM(U46:U51)</f>
        <v>828.6917381453128</v>
      </c>
      <c r="V45" s="1">
        <f t="shared" ca="1" si="9"/>
        <v>638.84329343364539</v>
      </c>
      <c r="W45" s="1">
        <f t="shared" ca="1" si="9"/>
        <v>825.37364933112622</v>
      </c>
      <c r="X45" s="1">
        <f t="shared" ca="1" si="9"/>
        <v>655.00684959258797</v>
      </c>
      <c r="Y45" s="1">
        <f t="shared" ca="1" si="9"/>
        <v>663.62992931077486</v>
      </c>
      <c r="Z45" s="1">
        <f t="shared" si="9"/>
        <v>0</v>
      </c>
      <c r="AA45" s="1">
        <f t="shared" si="9"/>
        <v>0</v>
      </c>
      <c r="AB45" s="1">
        <f t="shared" si="9"/>
        <v>0</v>
      </c>
      <c r="AC45" s="1">
        <f t="shared" si="9"/>
        <v>0</v>
      </c>
      <c r="AD45" s="1">
        <f t="shared" si="9"/>
        <v>0</v>
      </c>
    </row>
    <row r="46" spans="2:30" ht="12.95" customHeight="1">
      <c r="B46" s="34"/>
      <c r="C46" s="36" t="s">
        <v>85</v>
      </c>
      <c r="D46" s="42"/>
      <c r="E46" s="42">
        <f>E44-E45</f>
        <v>29384.461199999998</v>
      </c>
      <c r="F46" s="42" t="s">
        <v>109</v>
      </c>
      <c r="G46" s="47">
        <f>E46/E44</f>
        <v>0.65298802666666667</v>
      </c>
      <c r="H46" s="163" t="s">
        <v>457</v>
      </c>
      <c r="I46" s="99">
        <f ca="1">(G67-E66)*G46</f>
        <v>31397.731748400369</v>
      </c>
      <c r="J46" s="65">
        <v>1</v>
      </c>
      <c r="K46" s="66">
        <v>1</v>
      </c>
      <c r="L46" s="42">
        <f t="shared" si="7"/>
        <v>2938.4461200000001</v>
      </c>
      <c r="M46" s="42">
        <f>L46</f>
        <v>2938.4461200000001</v>
      </c>
      <c r="N46" s="42">
        <f t="shared" si="8"/>
        <v>0</v>
      </c>
      <c r="R46" s="30" t="str">
        <f>'A&amp;R'!Q21</f>
        <v>PM용역비</v>
      </c>
      <c r="S46" s="182" t="b">
        <f>ABS(T46-운영비용!F20)&lt;0.001</f>
        <v>1</v>
      </c>
      <c r="T46" s="41">
        <f t="shared" si="5"/>
        <v>223.97640069408845</v>
      </c>
      <c r="U46" s="41">
        <f>SUMIF(운영비용!$16:$16,'A&amp;R'!U$41,운영비용!20:20)</f>
        <v>43.471427999999996</v>
      </c>
      <c r="V46" s="41">
        <f>SUMIF(운영비용!$16:$16,'A&amp;R'!V$41,운영비용!20:20)</f>
        <v>44.12349941999998</v>
      </c>
      <c r="W46" s="41">
        <f>SUMIF(운영비용!$16:$16,'A&amp;R'!W$41,운영비용!20:20)</f>
        <v>44.785351911299983</v>
      </c>
      <c r="X46" s="41">
        <f>SUMIF(운영비용!$16:$16,'A&amp;R'!X$41,운영비용!20:20)</f>
        <v>45.457132189969485</v>
      </c>
      <c r="Y46" s="41">
        <f>SUMIF(운영비용!$16:$16,'A&amp;R'!Y$41,운영비용!20:20)</f>
        <v>46.138989172819016</v>
      </c>
      <c r="Z46" s="41">
        <f>SUMIF(운영비용!$16:$16,'A&amp;R'!Z$41,운영비용!20:20)</f>
        <v>0</v>
      </c>
      <c r="AA46" s="41">
        <f>SUMIF(운영비용!$16:$16,'A&amp;R'!AA$41,운영비용!20:20)</f>
        <v>0</v>
      </c>
      <c r="AB46" s="41">
        <f>SUMIF(운영비용!$16:$16,'A&amp;R'!AB$41,운영비용!20:20)</f>
        <v>0</v>
      </c>
      <c r="AC46" s="41">
        <f>SUMIF(운영비용!$16:$16,'A&amp;R'!AC$41,운영비용!20:20)</f>
        <v>0</v>
      </c>
      <c r="AD46" s="41">
        <f>SUMIF(운영비용!$16:$16,'A&amp;R'!AD$41,운영비용!20:20)</f>
        <v>0</v>
      </c>
    </row>
    <row r="47" spans="2:30" ht="12.95" customHeight="1">
      <c r="B47" s="1" t="s">
        <v>86</v>
      </c>
      <c r="E47" s="1">
        <f>SUM(E48:E49)</f>
        <v>905</v>
      </c>
      <c r="I47" s="54">
        <f ca="1">E47/$E$67</f>
        <v>1.8504127455515332E-2</v>
      </c>
      <c r="J47" s="33"/>
      <c r="K47" s="31"/>
      <c r="L47" s="1">
        <f t="shared" si="7"/>
        <v>0</v>
      </c>
      <c r="N47" s="1">
        <f t="shared" si="8"/>
        <v>0</v>
      </c>
      <c r="R47" s="33" t="str">
        <f>'A&amp;R'!Q22</f>
        <v>FM용역비</v>
      </c>
      <c r="S47" s="184" t="b">
        <f>ABS(T47-운영비용!F25)&lt;0.001</f>
        <v>1</v>
      </c>
      <c r="T47" s="43">
        <f t="shared" si="5"/>
        <v>1151.8786321410264</v>
      </c>
      <c r="U47" s="43">
        <f>SUMIF(운영비용!$16:$16,'A&amp;R'!U$41,운영비용!25:25)</f>
        <v>223.56734399999993</v>
      </c>
      <c r="V47" s="43">
        <f>SUMIF(운영비용!$16:$16,'A&amp;R'!V$41,운영비용!25:25)</f>
        <v>226.92085415999995</v>
      </c>
      <c r="W47" s="43">
        <f>SUMIF(운영비용!$16:$16,'A&amp;R'!W$41,운영비용!25:25)</f>
        <v>230.3246669724</v>
      </c>
      <c r="X47" s="43">
        <f>SUMIF(운영비용!$16:$16,'A&amp;R'!X$41,운영비용!25:25)</f>
        <v>233.77953697698592</v>
      </c>
      <c r="Y47" s="43">
        <f>SUMIF(운영비용!$16:$16,'A&amp;R'!Y$41,운영비용!25:25)</f>
        <v>237.2862300316406</v>
      </c>
      <c r="Z47" s="43">
        <f>SUMIF(운영비용!$16:$16,'A&amp;R'!Z$41,운영비용!25:25)</f>
        <v>0</v>
      </c>
      <c r="AA47" s="43">
        <f>SUMIF(운영비용!$16:$16,'A&amp;R'!AA$41,운영비용!25:25)</f>
        <v>0</v>
      </c>
      <c r="AB47" s="43">
        <f>SUMIF(운영비용!$16:$16,'A&amp;R'!AB$41,운영비용!25:25)</f>
        <v>0</v>
      </c>
      <c r="AC47" s="43">
        <f>SUMIF(운영비용!$16:$16,'A&amp;R'!AC$41,운영비용!25:25)</f>
        <v>0</v>
      </c>
      <c r="AD47" s="43">
        <f>SUMIF(운영비용!$16:$16,'A&amp;R'!AD$41,운영비용!25:25)</f>
        <v>0</v>
      </c>
    </row>
    <row r="48" spans="2:30" ht="12.95" customHeight="1">
      <c r="C48" s="30" t="s">
        <v>87</v>
      </c>
      <c r="D48" s="41"/>
      <c r="E48" s="41">
        <f>E44*G48</f>
        <v>675</v>
      </c>
      <c r="F48" s="41" t="s">
        <v>110</v>
      </c>
      <c r="G48" s="48">
        <v>1.4999999999999999E-2</v>
      </c>
      <c r="H48" s="41"/>
      <c r="I48" s="55"/>
      <c r="J48" s="63">
        <v>1</v>
      </c>
      <c r="K48" s="64">
        <v>1</v>
      </c>
      <c r="L48" s="41">
        <f t="shared" si="7"/>
        <v>67.5</v>
      </c>
      <c r="M48" s="41">
        <f t="shared" ref="M48:M66" si="10">L48*$G$46</f>
        <v>44.076691799999999</v>
      </c>
      <c r="N48" s="41">
        <f t="shared" si="8"/>
        <v>23.423308200000001</v>
      </c>
      <c r="R48" s="33" t="str">
        <f>'A&amp;R'!Q23</f>
        <v>LM수수료</v>
      </c>
      <c r="S48" s="184" t="b">
        <f ca="1">ABS(T48-운영비용!F34)&lt;0.001</f>
        <v>1</v>
      </c>
      <c r="T48" s="43">
        <f t="shared" ca="1" si="5"/>
        <v>377.166</v>
      </c>
      <c r="U48" s="43">
        <f ca="1">SUMIF(운영비용!$16:$16,'A&amp;R'!U$41,운영비용!34:34)</f>
        <v>198.52500000000001</v>
      </c>
      <c r="V48" s="43">
        <f ca="1">SUMIF(운영비용!$16:$16,'A&amp;R'!V$41,운영비용!34:34)</f>
        <v>0</v>
      </c>
      <c r="W48" s="43">
        <f ca="1">SUMIF(운영비용!$16:$16,'A&amp;R'!W$41,운영비용!34:34)</f>
        <v>178.64099999999999</v>
      </c>
      <c r="X48" s="43">
        <f ca="1">SUMIF(운영비용!$16:$16,'A&amp;R'!X$41,운영비용!34:34)</f>
        <v>0</v>
      </c>
      <c r="Y48" s="43">
        <f ca="1">SUMIF(운영비용!$16:$16,'A&amp;R'!Y$41,운영비용!34:34)</f>
        <v>0</v>
      </c>
      <c r="Z48" s="43">
        <f>SUMIF(운영비용!$16:$16,'A&amp;R'!Z$41,운영비용!34:34)</f>
        <v>0</v>
      </c>
      <c r="AA48" s="43">
        <f>SUMIF(운영비용!$16:$16,'A&amp;R'!AA$41,운영비용!34:34)</f>
        <v>0</v>
      </c>
      <c r="AB48" s="43">
        <f>SUMIF(운영비용!$16:$16,'A&amp;R'!AB$41,운영비용!34:34)</f>
        <v>0</v>
      </c>
      <c r="AC48" s="43">
        <f>SUMIF(운영비용!$16:$16,'A&amp;R'!AC$41,운영비용!34:34)</f>
        <v>0</v>
      </c>
      <c r="AD48" s="43">
        <f>SUMIF(운영비용!$16:$16,'A&amp;R'!AD$41,운영비용!34:34)</f>
        <v>0</v>
      </c>
    </row>
    <row r="49" spans="2:30" ht="12.95" customHeight="1">
      <c r="C49" s="33" t="s">
        <v>88</v>
      </c>
      <c r="D49" s="43"/>
      <c r="E49" s="43">
        <f>SUM(E50:E56)</f>
        <v>230</v>
      </c>
      <c r="F49" s="43"/>
      <c r="G49" s="43"/>
      <c r="H49" s="43"/>
      <c r="I49" s="56"/>
      <c r="J49" s="33"/>
      <c r="K49" s="31"/>
      <c r="L49" s="43">
        <f t="shared" si="7"/>
        <v>0</v>
      </c>
      <c r="M49" s="43">
        <f t="shared" si="10"/>
        <v>0</v>
      </c>
      <c r="N49" s="43">
        <f t="shared" si="8"/>
        <v>0</v>
      </c>
      <c r="R49" s="33" t="str">
        <f>'A&amp;R'!Q24</f>
        <v>유지보수비</v>
      </c>
      <c r="S49" s="184" t="b">
        <f>ABS(T49-운영비용!F46)&lt;0.001</f>
        <v>1</v>
      </c>
      <c r="T49" s="43">
        <f t="shared" si="5"/>
        <v>555.97302936467258</v>
      </c>
      <c r="U49" s="43">
        <f>SUMIF(운영비용!$16:$16,'A&amp;R'!U$41,운영비용!46:46)</f>
        <v>109.68163199999999</v>
      </c>
      <c r="V49" s="43">
        <f>SUMIF(운영비용!$16:$16,'A&amp;R'!V$41,운영비용!46:46)</f>
        <v>110.42685647999998</v>
      </c>
      <c r="W49" s="43">
        <f>SUMIF(운영비용!$16:$16,'A&amp;R'!W$41,운영비용!46:46)</f>
        <v>111.18325932719996</v>
      </c>
      <c r="X49" s="43">
        <f>SUMIF(운영비용!$16:$16,'A&amp;R'!X$41,운영비용!46:46)</f>
        <v>111.95100821710803</v>
      </c>
      <c r="Y49" s="43">
        <f>SUMIF(운영비용!$16:$16,'A&amp;R'!Y$41,운영비용!46:46)</f>
        <v>112.73027334036458</v>
      </c>
      <c r="Z49" s="43">
        <f>SUMIF(운영비용!$16:$16,'A&amp;R'!Z$41,운영비용!46:46)</f>
        <v>0</v>
      </c>
      <c r="AA49" s="43">
        <f>SUMIF(운영비용!$16:$16,'A&amp;R'!AA$41,운영비용!46:46)</f>
        <v>0</v>
      </c>
      <c r="AB49" s="43">
        <f>SUMIF(운영비용!$16:$16,'A&amp;R'!AB$41,운영비용!46:46)</f>
        <v>0</v>
      </c>
      <c r="AC49" s="43">
        <f>SUMIF(운영비용!$16:$16,'A&amp;R'!AC$41,운영비용!46:46)</f>
        <v>0</v>
      </c>
      <c r="AD49" s="43">
        <f>SUMIF(운영비용!$16:$16,'A&amp;R'!AD$41,운영비용!46:46)</f>
        <v>0</v>
      </c>
    </row>
    <row r="50" spans="2:30" ht="12.95" customHeight="1">
      <c r="C50" s="33" t="s">
        <v>89</v>
      </c>
      <c r="D50" s="43"/>
      <c r="E50" s="49">
        <v>40</v>
      </c>
      <c r="F50" s="43" t="s">
        <v>111</v>
      </c>
      <c r="G50" s="43"/>
      <c r="H50" s="43"/>
      <c r="I50" s="56"/>
      <c r="J50" s="67">
        <v>1</v>
      </c>
      <c r="K50" s="68">
        <v>1</v>
      </c>
      <c r="L50" s="43">
        <f t="shared" si="7"/>
        <v>4</v>
      </c>
      <c r="M50" s="43">
        <f t="shared" si="10"/>
        <v>2.6119521066666667</v>
      </c>
      <c r="N50" s="43">
        <f t="shared" si="8"/>
        <v>1.3880478933333333</v>
      </c>
      <c r="R50" s="33" t="str">
        <f>'A&amp;R'!Q27</f>
        <v>제세공과금</v>
      </c>
      <c r="S50" s="184" t="b">
        <f ca="1">ABS(T50-운영비용!F70)&lt;0.001</f>
        <v>1</v>
      </c>
      <c r="T50" s="43">
        <f t="shared" ca="1" si="5"/>
        <v>790.60533888431485</v>
      </c>
      <c r="U50" s="43">
        <f ca="1">SUMIF(운영비용!$16:$16,'A&amp;R'!U$41,운영비용!70:70)</f>
        <v>154.08307014531289</v>
      </c>
      <c r="V50" s="43">
        <f ca="1">SUMIF(운영비용!$16:$16,'A&amp;R'!V$41,운영비용!70:70)</f>
        <v>156.51837041364556</v>
      </c>
      <c r="W50" s="43">
        <f ca="1">SUMIF(운영비용!$16:$16,'A&amp;R'!W$41,운영비용!70:70)</f>
        <v>158.0728524658264</v>
      </c>
      <c r="X50" s="43">
        <f ca="1">SUMIF(운영비용!$16:$16,'A&amp;R'!X$41,운영비용!70:70)</f>
        <v>159.91715577430864</v>
      </c>
      <c r="Y50" s="43">
        <f ca="1">SUMIF(운영비용!$16:$16,'A&amp;R'!Y$41,운영비용!70:70)</f>
        <v>162.01389008522145</v>
      </c>
      <c r="Z50" s="43">
        <f>SUMIF(운영비용!$16:$16,'A&amp;R'!Z$41,운영비용!70:70)</f>
        <v>0</v>
      </c>
      <c r="AA50" s="43">
        <f>SUMIF(운영비용!$16:$16,'A&amp;R'!AA$41,운영비용!70:70)</f>
        <v>0</v>
      </c>
      <c r="AB50" s="43">
        <f>SUMIF(운영비용!$16:$16,'A&amp;R'!AB$41,운영비용!70:70)</f>
        <v>0</v>
      </c>
      <c r="AC50" s="43">
        <f>SUMIF(운영비용!$16:$16,'A&amp;R'!AC$41,운영비용!70:70)</f>
        <v>0</v>
      </c>
      <c r="AD50" s="43">
        <f>SUMIF(운영비용!$16:$16,'A&amp;R'!AD$41,운영비용!70:70)</f>
        <v>0</v>
      </c>
    </row>
    <row r="51" spans="2:30" ht="12.95" customHeight="1">
      <c r="C51" s="33" t="s">
        <v>90</v>
      </c>
      <c r="D51" s="43"/>
      <c r="E51" s="49">
        <v>50</v>
      </c>
      <c r="F51" s="43" t="s">
        <v>111</v>
      </c>
      <c r="G51" s="43"/>
      <c r="H51" s="43"/>
      <c r="I51" s="56"/>
      <c r="J51" s="67">
        <v>1</v>
      </c>
      <c r="K51" s="68">
        <v>1</v>
      </c>
      <c r="L51" s="43">
        <f t="shared" si="7"/>
        <v>5</v>
      </c>
      <c r="M51" s="43">
        <f t="shared" si="10"/>
        <v>3.2649401333333334</v>
      </c>
      <c r="N51" s="43">
        <f t="shared" si="8"/>
        <v>1.7350598666666666</v>
      </c>
      <c r="Q51" s="34"/>
      <c r="R51" s="36" t="str">
        <f>'A&amp;R'!Q32</f>
        <v>보험료</v>
      </c>
      <c r="S51" s="183" t="b">
        <f>ABS(T51-운영비용!F76)&lt;0.001</f>
        <v>1</v>
      </c>
      <c r="T51" s="42">
        <f t="shared" si="5"/>
        <v>511.94605872934505</v>
      </c>
      <c r="U51" s="42">
        <f>SUMIF(운영비용!$16:$16,'A&amp;R'!U$41,운영비용!76:76)</f>
        <v>99.363263999999972</v>
      </c>
      <c r="V51" s="42">
        <f>SUMIF(운영비용!$16:$16,'A&amp;R'!V$41,운영비용!76:76)</f>
        <v>100.85371295999995</v>
      </c>
      <c r="W51" s="42">
        <f>SUMIF(운영비용!$16:$16,'A&amp;R'!W$41,운영비용!76:76)</f>
        <v>102.36651865439995</v>
      </c>
      <c r="X51" s="42">
        <f>SUMIF(운영비용!$16:$16,'A&amp;R'!X$41,운영비용!76:76)</f>
        <v>103.90201643421592</v>
      </c>
      <c r="Y51" s="42">
        <f>SUMIF(운영비용!$16:$16,'A&amp;R'!Y$41,운영비용!76:76)</f>
        <v>105.46054668072922</v>
      </c>
      <c r="Z51" s="42">
        <f>SUMIF(운영비용!$16:$16,'A&amp;R'!Z$41,운영비용!76:76)</f>
        <v>0</v>
      </c>
      <c r="AA51" s="42">
        <f>SUMIF(운영비용!$16:$16,'A&amp;R'!AA$41,운영비용!76:76)</f>
        <v>0</v>
      </c>
      <c r="AB51" s="42">
        <f>SUMIF(운영비용!$16:$16,'A&amp;R'!AB$41,운영비용!76:76)</f>
        <v>0</v>
      </c>
      <c r="AC51" s="42">
        <f>SUMIF(운영비용!$16:$16,'A&amp;R'!AC$41,운영비용!76:76)</f>
        <v>0</v>
      </c>
      <c r="AD51" s="42">
        <f>SUMIF(운영비용!$16:$16,'A&amp;R'!AD$41,운영비용!76:76)</f>
        <v>0</v>
      </c>
    </row>
    <row r="52" spans="2:30" ht="12.95" customHeight="1">
      <c r="C52" s="33" t="s">
        <v>91</v>
      </c>
      <c r="D52" s="43"/>
      <c r="E52" s="49">
        <v>30</v>
      </c>
      <c r="F52" s="43" t="s">
        <v>111</v>
      </c>
      <c r="G52" s="43"/>
      <c r="H52" s="43"/>
      <c r="I52" s="56"/>
      <c r="J52" s="67">
        <v>1</v>
      </c>
      <c r="K52" s="68">
        <v>1</v>
      </c>
      <c r="L52" s="43">
        <f t="shared" si="7"/>
        <v>3</v>
      </c>
      <c r="M52" s="43">
        <f t="shared" si="10"/>
        <v>1.9589640799999999</v>
      </c>
      <c r="N52" s="43">
        <f t="shared" si="8"/>
        <v>1.0410359200000001</v>
      </c>
      <c r="Q52" s="44" t="s">
        <v>399</v>
      </c>
      <c r="R52" s="44"/>
      <c r="S52" s="44"/>
      <c r="T52" s="44">
        <f t="shared" ca="1" si="5"/>
        <v>10974.610606585749</v>
      </c>
      <c r="U52" s="44">
        <f t="shared" ref="U52:AD52" ca="1" si="11">U42-U45</f>
        <v>1851.9204285213541</v>
      </c>
      <c r="V52" s="44">
        <f t="shared" ca="1" si="11"/>
        <v>2327.1772365663555</v>
      </c>
      <c r="W52" s="44">
        <f t="shared" ca="1" si="11"/>
        <v>1960.8745859688743</v>
      </c>
      <c r="X52" s="44">
        <f t="shared" ca="1" si="11"/>
        <v>2406.3240630604114</v>
      </c>
      <c r="Y52" s="44">
        <f t="shared" ca="1" si="11"/>
        <v>2428.3142924687545</v>
      </c>
      <c r="Z52" s="44">
        <f t="shared" si="11"/>
        <v>0</v>
      </c>
      <c r="AA52" s="44">
        <f t="shared" si="11"/>
        <v>0</v>
      </c>
      <c r="AB52" s="44">
        <f t="shared" si="11"/>
        <v>0</v>
      </c>
      <c r="AC52" s="44">
        <f t="shared" si="11"/>
        <v>0</v>
      </c>
      <c r="AD52" s="44">
        <f t="shared" si="11"/>
        <v>0</v>
      </c>
    </row>
    <row r="53" spans="2:30" ht="12.95" customHeight="1">
      <c r="C53" s="33" t="s">
        <v>92</v>
      </c>
      <c r="D53" s="43"/>
      <c r="E53" s="49">
        <v>40</v>
      </c>
      <c r="F53" s="43" t="s">
        <v>111</v>
      </c>
      <c r="G53" s="43"/>
      <c r="H53" s="43"/>
      <c r="I53" s="56"/>
      <c r="J53" s="67">
        <v>1</v>
      </c>
      <c r="K53" s="68">
        <v>1</v>
      </c>
      <c r="L53" s="43">
        <f t="shared" si="7"/>
        <v>4</v>
      </c>
      <c r="M53" s="43">
        <f t="shared" si="10"/>
        <v>2.6119521066666667</v>
      </c>
      <c r="N53" s="43">
        <f t="shared" si="8"/>
        <v>1.3880478933333333</v>
      </c>
      <c r="Q53" s="185"/>
      <c r="R53" s="185" t="s">
        <v>400</v>
      </c>
      <c r="S53" s="186"/>
      <c r="T53" s="186"/>
      <c r="U53" s="187">
        <f t="shared" ref="U53:AD53" ca="1" si="12">IFERROR(U52/U42,"")</f>
        <v>0.69085727937443919</v>
      </c>
      <c r="V53" s="187">
        <f t="shared" ca="1" si="12"/>
        <v>0.78461265288893833</v>
      </c>
      <c r="W53" s="187">
        <f t="shared" ca="1" si="12"/>
        <v>0.70376880319773205</v>
      </c>
      <c r="X53" s="187">
        <f t="shared" ca="1" si="12"/>
        <v>0.78603853412731906</v>
      </c>
      <c r="Y53" s="187">
        <f t="shared" ca="1" si="12"/>
        <v>0.78536807855840585</v>
      </c>
      <c r="Z53" s="187" t="str">
        <f t="shared" si="12"/>
        <v/>
      </c>
      <c r="AA53" s="187" t="str">
        <f t="shared" si="12"/>
        <v/>
      </c>
      <c r="AB53" s="187" t="str">
        <f t="shared" si="12"/>
        <v/>
      </c>
      <c r="AC53" s="187" t="str">
        <f t="shared" si="12"/>
        <v/>
      </c>
      <c r="AD53" s="187" t="str">
        <f t="shared" si="12"/>
        <v/>
      </c>
    </row>
    <row r="54" spans="2:30" ht="12.95" customHeight="1">
      <c r="C54" s="33" t="s">
        <v>93</v>
      </c>
      <c r="D54" s="43"/>
      <c r="E54" s="49">
        <v>30</v>
      </c>
      <c r="F54" s="43" t="s">
        <v>111</v>
      </c>
      <c r="G54" s="43"/>
      <c r="H54" s="43"/>
      <c r="I54" s="56"/>
      <c r="J54" s="67">
        <v>1</v>
      </c>
      <c r="K54" s="68">
        <v>1</v>
      </c>
      <c r="L54" s="43">
        <f t="shared" si="7"/>
        <v>3</v>
      </c>
      <c r="M54" s="43">
        <f t="shared" si="10"/>
        <v>1.9589640799999999</v>
      </c>
      <c r="N54" s="43">
        <f t="shared" si="8"/>
        <v>1.0410359200000001</v>
      </c>
      <c r="Q54" s="13" t="s">
        <v>401</v>
      </c>
      <c r="U54" s="11">
        <f ca="1">U45-U48</f>
        <v>630.16673814531282</v>
      </c>
      <c r="AC54" s="11" t="s">
        <v>523</v>
      </c>
      <c r="AD54" s="143">
        <f ca="1">O41-U54</f>
        <v>2269.7052618546868</v>
      </c>
    </row>
    <row r="55" spans="2:30" ht="12.95" customHeight="1">
      <c r="C55" s="33" t="s">
        <v>94</v>
      </c>
      <c r="D55" s="43"/>
      <c r="E55" s="49">
        <v>10</v>
      </c>
      <c r="F55" s="43" t="s">
        <v>111</v>
      </c>
      <c r="G55" s="43"/>
      <c r="H55" s="43"/>
      <c r="I55" s="56"/>
      <c r="J55" s="67">
        <v>1</v>
      </c>
      <c r="K55" s="68">
        <v>1</v>
      </c>
      <c r="L55" s="43">
        <f t="shared" si="7"/>
        <v>1</v>
      </c>
      <c r="M55" s="43">
        <f t="shared" si="10"/>
        <v>0.65298802666666667</v>
      </c>
      <c r="N55" s="43">
        <f t="shared" si="8"/>
        <v>0.34701197333333333</v>
      </c>
      <c r="Q55" s="1" t="s">
        <v>402</v>
      </c>
      <c r="T55" s="188">
        <f>exit</f>
        <v>46112</v>
      </c>
      <c r="U55" s="189">
        <f>'A&amp;R'!D15</f>
        <v>5</v>
      </c>
    </row>
    <row r="56" spans="2:30" ht="12.95" customHeight="1">
      <c r="B56" s="34"/>
      <c r="C56" s="36" t="s">
        <v>95</v>
      </c>
      <c r="D56" s="42"/>
      <c r="E56" s="50">
        <v>30</v>
      </c>
      <c r="F56" s="42"/>
      <c r="G56" s="42"/>
      <c r="H56" s="42"/>
      <c r="I56" s="47"/>
      <c r="J56" s="65">
        <v>1</v>
      </c>
      <c r="K56" s="66">
        <v>1</v>
      </c>
      <c r="L56" s="42">
        <f t="shared" si="7"/>
        <v>3</v>
      </c>
      <c r="M56" s="42">
        <f t="shared" si="10"/>
        <v>1.9589640799999999</v>
      </c>
      <c r="N56" s="42">
        <f t="shared" si="8"/>
        <v>1.0410359200000001</v>
      </c>
      <c r="Q56" s="1" t="s">
        <v>403</v>
      </c>
    </row>
    <row r="57" spans="2:30" ht="12.95" customHeight="1">
      <c r="B57" s="1" t="s">
        <v>96</v>
      </c>
      <c r="E57" s="1">
        <f ca="1">SUM(E58:E60)</f>
        <v>794.26307263550063</v>
      </c>
      <c r="I57" s="54">
        <f ca="1">E57/$E$67</f>
        <v>1.6239939369344238E-2</v>
      </c>
      <c r="J57" s="33"/>
      <c r="K57" s="31"/>
      <c r="L57" s="1">
        <f t="shared" ca="1" si="7"/>
        <v>0</v>
      </c>
      <c r="M57" s="1">
        <f t="shared" ca="1" si="10"/>
        <v>0</v>
      </c>
      <c r="N57" s="1">
        <f t="shared" ca="1" si="8"/>
        <v>0</v>
      </c>
      <c r="Q57" s="230" t="s">
        <v>54</v>
      </c>
      <c r="R57" s="234" t="s">
        <v>72</v>
      </c>
      <c r="S57" s="234" t="s">
        <v>404</v>
      </c>
      <c r="T57" s="232" t="s">
        <v>405</v>
      </c>
      <c r="U57" s="233"/>
      <c r="V57" s="233"/>
      <c r="W57" s="233"/>
      <c r="X57" s="233"/>
      <c r="Y57" s="232" t="s">
        <v>409</v>
      </c>
      <c r="Z57" s="233"/>
      <c r="AA57" s="233"/>
      <c r="AB57" s="233"/>
      <c r="AC57" s="233"/>
      <c r="AD57" s="233"/>
    </row>
    <row r="58" spans="2:30" ht="12.95" customHeight="1">
      <c r="C58" s="30" t="s">
        <v>97</v>
      </c>
      <c r="D58" s="41"/>
      <c r="E58" s="45">
        <v>30</v>
      </c>
      <c r="F58" s="41" t="s">
        <v>111</v>
      </c>
      <c r="G58" s="41"/>
      <c r="H58" s="41"/>
      <c r="I58" s="55"/>
      <c r="J58" s="63">
        <v>1</v>
      </c>
      <c r="K58" s="64">
        <v>0</v>
      </c>
      <c r="L58" s="41">
        <f t="shared" si="7"/>
        <v>0</v>
      </c>
      <c r="M58" s="41">
        <f t="shared" si="10"/>
        <v>0</v>
      </c>
      <c r="N58" s="41">
        <f t="shared" si="8"/>
        <v>0</v>
      </c>
      <c r="Q58" s="231"/>
      <c r="R58" s="235"/>
      <c r="S58" s="235"/>
      <c r="T58" s="26" t="s">
        <v>406</v>
      </c>
      <c r="U58" s="26" t="s">
        <v>407</v>
      </c>
      <c r="V58" s="26" t="s">
        <v>188</v>
      </c>
      <c r="W58" s="26" t="s">
        <v>189</v>
      </c>
      <c r="X58" s="27" t="s">
        <v>408</v>
      </c>
      <c r="Y58" s="26" t="s">
        <v>410</v>
      </c>
      <c r="Z58" s="26" t="s">
        <v>411</v>
      </c>
      <c r="AA58" s="26" t="s">
        <v>412</v>
      </c>
      <c r="AB58" s="26" t="s">
        <v>413</v>
      </c>
      <c r="AC58" s="26" t="s">
        <v>414</v>
      </c>
      <c r="AD58" s="27" t="s">
        <v>415</v>
      </c>
    </row>
    <row r="59" spans="2:30" ht="12.95" customHeight="1">
      <c r="C59" s="33" t="s">
        <v>98</v>
      </c>
      <c r="D59" s="43"/>
      <c r="E59" s="43">
        <f ca="1">N83</f>
        <v>254.26307263550061</v>
      </c>
      <c r="F59" s="43" t="s">
        <v>112</v>
      </c>
      <c r="G59" s="43"/>
      <c r="H59" s="43"/>
      <c r="I59" s="56"/>
      <c r="J59" s="67">
        <v>1</v>
      </c>
      <c r="K59" s="68">
        <v>0</v>
      </c>
      <c r="L59" s="43">
        <f t="shared" ca="1" si="7"/>
        <v>0</v>
      </c>
      <c r="M59" s="43">
        <f t="shared" ca="1" si="10"/>
        <v>0</v>
      </c>
      <c r="N59" s="43">
        <f t="shared" ca="1" si="8"/>
        <v>0</v>
      </c>
      <c r="Q59" s="28" t="str">
        <f>'A&amp;R'!Q12</f>
        <v>지상3층</v>
      </c>
      <c r="R59" s="29">
        <f>'A&amp;R'!F36</f>
        <v>1687</v>
      </c>
      <c r="S59" s="37">
        <f>운영비용!F29</f>
        <v>45230</v>
      </c>
      <c r="T59" s="29">
        <f ca="1">'A&amp;R'!W12</f>
        <v>25000</v>
      </c>
      <c r="U59" s="29">
        <f>'A&amp;R'!X12</f>
        <v>2000</v>
      </c>
      <c r="V59" s="190">
        <f>'A&amp;R'!Y12</f>
        <v>0.01</v>
      </c>
      <c r="W59" s="190">
        <f>'A&amp;R'!Z12</f>
        <v>0.01</v>
      </c>
      <c r="X59" s="191">
        <f>'A&amp;R'!V12</f>
        <v>1</v>
      </c>
      <c r="Y59" s="196">
        <f>IFERROR(DATEDIF(S59,$T$55,"y"),0)</f>
        <v>2</v>
      </c>
      <c r="Z59" s="29">
        <f t="shared" ref="Z59:AA63" ca="1" si="13">T59*(1+V59)^$Y59</f>
        <v>25502.5</v>
      </c>
      <c r="AA59" s="29">
        <f t="shared" si="13"/>
        <v>2040.2</v>
      </c>
      <c r="AB59" s="29">
        <f ca="1">$R59*Z59*(12-X59)/unit</f>
        <v>473.24989249999999</v>
      </c>
      <c r="AC59" s="29">
        <f>$R59*AA59*12/unit</f>
        <v>41.301808799999996</v>
      </c>
      <c r="AD59" s="30">
        <f ca="1">SUM(AB59:AC59)</f>
        <v>514.55170129999999</v>
      </c>
    </row>
    <row r="60" spans="2:30" ht="12.95" customHeight="1">
      <c r="B60" s="34"/>
      <c r="C60" s="36" t="s">
        <v>99</v>
      </c>
      <c r="D60" s="42"/>
      <c r="E60" s="42">
        <f>J78</f>
        <v>510</v>
      </c>
      <c r="F60" s="42" t="s">
        <v>112</v>
      </c>
      <c r="G60" s="42"/>
      <c r="H60" s="42"/>
      <c r="I60" s="47"/>
      <c r="J60" s="65">
        <v>1</v>
      </c>
      <c r="K60" s="66">
        <v>0</v>
      </c>
      <c r="L60" s="42">
        <f t="shared" si="7"/>
        <v>0</v>
      </c>
      <c r="M60" s="42">
        <f t="shared" si="10"/>
        <v>0</v>
      </c>
      <c r="N60" s="42">
        <f t="shared" si="8"/>
        <v>0</v>
      </c>
      <c r="Q60" s="31" t="str">
        <f>'A&amp;R'!Q13</f>
        <v>지상2층</v>
      </c>
      <c r="R60" s="32">
        <f>'A&amp;R'!F37</f>
        <v>562</v>
      </c>
      <c r="S60" s="38">
        <f>운영비용!F30</f>
        <v>45230</v>
      </c>
      <c r="T60" s="32">
        <f>'A&amp;R'!W13</f>
        <v>12000</v>
      </c>
      <c r="U60" s="32">
        <f>'A&amp;R'!X13</f>
        <v>2000</v>
      </c>
      <c r="V60" s="192">
        <f>'A&amp;R'!Y13</f>
        <v>0.01</v>
      </c>
      <c r="W60" s="192">
        <f>'A&amp;R'!Z13</f>
        <v>0.01</v>
      </c>
      <c r="X60" s="193">
        <f>'A&amp;R'!V13</f>
        <v>1</v>
      </c>
      <c r="Y60" s="197">
        <f t="shared" ref="Y60:Y63" si="14">IFERROR(DATEDIF(S60,$T$55,"y"),0)</f>
        <v>2</v>
      </c>
      <c r="Z60" s="32">
        <f t="shared" si="13"/>
        <v>12241.2</v>
      </c>
      <c r="AA60" s="32">
        <f t="shared" si="13"/>
        <v>2040.2</v>
      </c>
      <c r="AB60" s="32">
        <f>$R60*Z60*(12-X60)/unit</f>
        <v>75.67509840000001</v>
      </c>
      <c r="AC60" s="32">
        <f>$R60*AA60*12/unit</f>
        <v>13.7591088</v>
      </c>
      <c r="AD60" s="33">
        <f>SUM(AB60:AC60)</f>
        <v>89.434207200000003</v>
      </c>
    </row>
    <row r="61" spans="2:30" ht="12.95" customHeight="1">
      <c r="B61" s="51" t="s">
        <v>100</v>
      </c>
      <c r="C61" s="51"/>
      <c r="D61" s="51"/>
      <c r="E61" s="51">
        <f ca="1">G61*H61</f>
        <v>2148.1661013412327</v>
      </c>
      <c r="F61" s="51" t="s">
        <v>113</v>
      </c>
      <c r="G61" s="51">
        <f ca="1">J67</f>
        <v>46699.263072635498</v>
      </c>
      <c r="H61" s="52">
        <v>4.5999999999999999E-2</v>
      </c>
      <c r="I61" s="57">
        <f ca="1">E61/$E$67</f>
        <v>4.3922584900370869E-2</v>
      </c>
      <c r="J61" s="69">
        <v>0</v>
      </c>
      <c r="K61" s="70">
        <v>0</v>
      </c>
      <c r="L61" s="51">
        <f t="shared" ca="1" si="7"/>
        <v>0</v>
      </c>
      <c r="M61" s="51">
        <f t="shared" ca="1" si="10"/>
        <v>0</v>
      </c>
      <c r="N61" s="51">
        <f t="shared" ca="1" si="8"/>
        <v>0</v>
      </c>
      <c r="Q61" s="31" t="str">
        <f>'A&amp;R'!Q14</f>
        <v>지상1층</v>
      </c>
      <c r="R61" s="32">
        <f>'A&amp;R'!F38</f>
        <v>2807</v>
      </c>
      <c r="S61" s="38">
        <f>운영비용!F31</f>
        <v>45230</v>
      </c>
      <c r="T61" s="32">
        <f ca="1">'A&amp;R'!W14</f>
        <v>25000</v>
      </c>
      <c r="U61" s="32">
        <f>'A&amp;R'!X14</f>
        <v>2000</v>
      </c>
      <c r="V61" s="192">
        <f>'A&amp;R'!Y14</f>
        <v>0.01</v>
      </c>
      <c r="W61" s="192">
        <f>'A&amp;R'!Z14</f>
        <v>0.01</v>
      </c>
      <c r="X61" s="193">
        <f>'A&amp;R'!V14</f>
        <v>1</v>
      </c>
      <c r="Y61" s="197">
        <f t="shared" si="14"/>
        <v>2</v>
      </c>
      <c r="Z61" s="32">
        <f t="shared" ca="1" si="13"/>
        <v>25502.5</v>
      </c>
      <c r="AA61" s="32">
        <f t="shared" si="13"/>
        <v>2040.2</v>
      </c>
      <c r="AB61" s="32">
        <f ca="1">$R61*Z61*(12-X61)/unit</f>
        <v>787.44069249999995</v>
      </c>
      <c r="AC61" s="32">
        <f>$R61*AA61*12/unit</f>
        <v>68.722096800000017</v>
      </c>
      <c r="AD61" s="33">
        <f ca="1">SUM(AB61:AC61)</f>
        <v>856.16278929999999</v>
      </c>
    </row>
    <row r="62" spans="2:30" ht="12.95" customHeight="1">
      <c r="B62" s="1" t="s">
        <v>101</v>
      </c>
      <c r="E62" s="1">
        <f>SUM(E63:E65)</f>
        <v>29</v>
      </c>
      <c r="I62" s="54">
        <f ca="1">E62/$E$67</f>
        <v>5.9294994056347471E-4</v>
      </c>
      <c r="J62" s="71"/>
      <c r="K62" s="72"/>
      <c r="L62" s="1">
        <f t="shared" si="7"/>
        <v>0</v>
      </c>
      <c r="M62" s="1">
        <f t="shared" si="10"/>
        <v>0</v>
      </c>
      <c r="N62" s="1">
        <f t="shared" si="8"/>
        <v>0</v>
      </c>
      <c r="Q62" s="31" t="str">
        <f>'A&amp;R'!Q15</f>
        <v>지하1층</v>
      </c>
      <c r="R62" s="32">
        <f>'A&amp;R'!F39</f>
        <v>599</v>
      </c>
      <c r="S62" s="38">
        <f>운영비용!F32</f>
        <v>44500</v>
      </c>
      <c r="T62" s="32">
        <f ca="1">'A&amp;R'!W15</f>
        <v>25000</v>
      </c>
      <c r="U62" s="32">
        <f>'A&amp;R'!X15</f>
        <v>2000</v>
      </c>
      <c r="V62" s="192">
        <f>'A&amp;R'!Y15</f>
        <v>0.01</v>
      </c>
      <c r="W62" s="192">
        <f>'A&amp;R'!Z15</f>
        <v>0.01</v>
      </c>
      <c r="X62" s="193">
        <f>'A&amp;R'!V15</f>
        <v>1</v>
      </c>
      <c r="Y62" s="197">
        <f t="shared" si="14"/>
        <v>4</v>
      </c>
      <c r="Z62" s="32">
        <f t="shared" ca="1" si="13"/>
        <v>26015.10025</v>
      </c>
      <c r="AA62" s="32">
        <f t="shared" si="13"/>
        <v>2081.20802</v>
      </c>
      <c r="AB62" s="32">
        <f ca="1">$R62*Z62*(12-X62)/unit</f>
        <v>171.41349554724999</v>
      </c>
      <c r="AC62" s="32">
        <f>$R62*AA62*12/unit</f>
        <v>14.959723247760001</v>
      </c>
      <c r="AD62" s="33">
        <f ca="1">SUM(AB62:AC62)</f>
        <v>186.37321879500999</v>
      </c>
    </row>
    <row r="63" spans="2:30" ht="12.95" customHeight="1">
      <c r="C63" s="30" t="s">
        <v>102</v>
      </c>
      <c r="D63" s="41"/>
      <c r="E63" s="41">
        <f>G63*H63</f>
        <v>20</v>
      </c>
      <c r="F63" s="41" t="s">
        <v>114</v>
      </c>
      <c r="G63" s="45">
        <v>5000</v>
      </c>
      <c r="H63" s="48">
        <v>4.0000000000000001E-3</v>
      </c>
      <c r="I63" s="55"/>
      <c r="J63" s="63">
        <v>0</v>
      </c>
      <c r="K63" s="64">
        <v>0</v>
      </c>
      <c r="L63" s="41">
        <f t="shared" si="7"/>
        <v>0</v>
      </c>
      <c r="M63" s="41">
        <f t="shared" si="10"/>
        <v>0</v>
      </c>
      <c r="N63" s="41">
        <f t="shared" si="8"/>
        <v>0</v>
      </c>
      <c r="Q63" s="34" t="str">
        <f>'A&amp;R'!Q16</f>
        <v>지하2층</v>
      </c>
      <c r="R63" s="35">
        <f>'A&amp;R'!F40</f>
        <v>4695</v>
      </c>
      <c r="S63" s="39">
        <f>운영비용!F33</f>
        <v>44500</v>
      </c>
      <c r="T63" s="35">
        <f ca="1">'A&amp;R'!W16</f>
        <v>25000</v>
      </c>
      <c r="U63" s="35">
        <f>'A&amp;R'!X16</f>
        <v>2000</v>
      </c>
      <c r="V63" s="194">
        <f>'A&amp;R'!Y16</f>
        <v>0.01</v>
      </c>
      <c r="W63" s="194">
        <f>'A&amp;R'!Z16</f>
        <v>0.01</v>
      </c>
      <c r="X63" s="195">
        <f>'A&amp;R'!V16</f>
        <v>1</v>
      </c>
      <c r="Y63" s="198">
        <f t="shared" si="14"/>
        <v>4</v>
      </c>
      <c r="Z63" s="35">
        <f t="shared" ca="1" si="13"/>
        <v>26015.10025</v>
      </c>
      <c r="AA63" s="35">
        <f t="shared" si="13"/>
        <v>2081.20802</v>
      </c>
      <c r="AB63" s="35">
        <f ca="1">$R63*Z63*(12-X63)/unit</f>
        <v>1343.54985241125</v>
      </c>
      <c r="AC63" s="35">
        <f>$R63*AA63*12/unit</f>
        <v>117.2552598468</v>
      </c>
      <c r="AD63" s="36">
        <f ca="1">SUM(AB63:AC63)</f>
        <v>1460.80511225805</v>
      </c>
    </row>
    <row r="64" spans="2:30" ht="12.95" customHeight="1">
      <c r="C64" s="33" t="s">
        <v>103</v>
      </c>
      <c r="D64" s="43"/>
      <c r="E64" s="43">
        <f>E63*H64</f>
        <v>4</v>
      </c>
      <c r="F64" s="43" t="s">
        <v>102</v>
      </c>
      <c r="G64" s="43"/>
      <c r="H64" s="53">
        <v>0.2</v>
      </c>
      <c r="I64" s="56"/>
      <c r="J64" s="67">
        <v>0</v>
      </c>
      <c r="K64" s="68">
        <v>0</v>
      </c>
      <c r="L64" s="43">
        <f t="shared" si="7"/>
        <v>0</v>
      </c>
      <c r="M64" s="43">
        <f t="shared" si="10"/>
        <v>0</v>
      </c>
      <c r="N64" s="43">
        <f t="shared" si="8"/>
        <v>0</v>
      </c>
      <c r="Q64" s="23" t="str">
        <f>'A&amp;R'!Q17</f>
        <v>합계</v>
      </c>
      <c r="R64" s="24">
        <f>SUM(R59:R63)</f>
        <v>10350</v>
      </c>
      <c r="S64" s="24"/>
      <c r="T64" s="24"/>
      <c r="U64" s="24"/>
      <c r="V64" s="24"/>
      <c r="W64" s="24"/>
      <c r="X64" s="25"/>
      <c r="Y64" s="24"/>
      <c r="Z64" s="24"/>
      <c r="AA64" s="24"/>
      <c r="AB64" s="24"/>
      <c r="AC64" s="24"/>
      <c r="AD64" s="199">
        <f ca="1">SUM(AD59:AD63)</f>
        <v>3107.3270288530603</v>
      </c>
    </row>
    <row r="65" spans="2:30" ht="12.95" customHeight="1">
      <c r="B65" s="42"/>
      <c r="C65" s="36" t="s">
        <v>104</v>
      </c>
      <c r="D65" s="42"/>
      <c r="E65" s="50">
        <v>5</v>
      </c>
      <c r="F65" s="42" t="s">
        <v>111</v>
      </c>
      <c r="G65" s="42"/>
      <c r="H65" s="42"/>
      <c r="I65" s="47"/>
      <c r="J65" s="65">
        <v>0</v>
      </c>
      <c r="K65" s="66">
        <v>1</v>
      </c>
      <c r="L65" s="42">
        <f t="shared" si="7"/>
        <v>0.5</v>
      </c>
      <c r="M65" s="42">
        <f t="shared" si="10"/>
        <v>0.32649401333333333</v>
      </c>
      <c r="N65" s="42">
        <f t="shared" si="8"/>
        <v>0.17350598666666667</v>
      </c>
      <c r="Q65" s="1" t="s">
        <v>416</v>
      </c>
    </row>
    <row r="66" spans="2:30" ht="12.95" customHeight="1">
      <c r="B66" s="1" t="s">
        <v>105</v>
      </c>
      <c r="E66" s="1">
        <f ca="1">N67</f>
        <v>31.57808957333333</v>
      </c>
      <c r="I66" s="54">
        <f ca="1">E66/$E$67</f>
        <v>6.456629770902096E-4</v>
      </c>
      <c r="J66" s="67">
        <v>0</v>
      </c>
      <c r="K66" s="68">
        <v>0</v>
      </c>
      <c r="L66" s="1">
        <f t="shared" ca="1" si="7"/>
        <v>0</v>
      </c>
      <c r="M66" s="1">
        <f t="shared" ca="1" si="10"/>
        <v>0</v>
      </c>
      <c r="N66" s="1">
        <f t="shared" ca="1" si="8"/>
        <v>0</v>
      </c>
      <c r="Q66" s="131" t="s">
        <v>54</v>
      </c>
      <c r="R66" s="200">
        <f>U55</f>
        <v>5</v>
      </c>
      <c r="S66" s="26" t="s">
        <v>417</v>
      </c>
      <c r="T66" s="27" t="s">
        <v>409</v>
      </c>
    </row>
    <row r="67" spans="2:30" ht="12.95" customHeight="1">
      <c r="B67" s="44" t="s">
        <v>61</v>
      </c>
      <c r="C67" s="44"/>
      <c r="D67" s="44"/>
      <c r="E67" s="44">
        <f ca="1">E44+E47+E57+E61+E62+E66</f>
        <v>48908.007263550062</v>
      </c>
      <c r="F67" s="217" t="s">
        <v>456</v>
      </c>
      <c r="G67" s="218">
        <f ca="1">E67-E59-E62-E60</f>
        <v>48114.744190914564</v>
      </c>
      <c r="H67" s="44"/>
      <c r="I67" s="58">
        <f ca="1">E67/$E$67</f>
        <v>1</v>
      </c>
      <c r="J67" s="61">
        <f ca="1">SUMPRODUCT(E44:E66,J44:J66)</f>
        <v>46699.263072635498</v>
      </c>
      <c r="K67" s="62"/>
      <c r="L67" s="44">
        <f ca="1">SUM(L45:L66)</f>
        <v>3029.4461200000001</v>
      </c>
      <c r="M67" s="44">
        <f ca="1">SUM(M45:M66)</f>
        <v>2997.8680304266668</v>
      </c>
      <c r="N67" s="44">
        <f ca="1">SUM(N45:N66)</f>
        <v>31.57808957333333</v>
      </c>
      <c r="Q67" s="28" t="str">
        <f>R46</f>
        <v>PM용역비</v>
      </c>
      <c r="R67" s="29">
        <f>SUMIF($U$41:$AD$41,R$66,U46:AD46)</f>
        <v>46.138989172819016</v>
      </c>
      <c r="S67" s="190">
        <f>RATE($R$66-1,0,-U46,R67)</f>
        <v>1.5000000000577204E-2</v>
      </c>
      <c r="T67" s="30">
        <f>R67*(1+S67)</f>
        <v>46.831074010437931</v>
      </c>
    </row>
    <row r="68" spans="2:30" ht="12.95" customHeight="1">
      <c r="B68" s="15" t="s">
        <v>122</v>
      </c>
      <c r="C68" s="15"/>
      <c r="D68" s="15"/>
      <c r="E68" s="15"/>
      <c r="F68" s="15"/>
      <c r="G68" s="15"/>
      <c r="H68" s="15"/>
      <c r="I68" s="15"/>
      <c r="J68" s="15"/>
      <c r="K68" s="15"/>
      <c r="L68" s="15"/>
      <c r="M68" s="15"/>
      <c r="N68" s="15"/>
      <c r="O68" s="15"/>
      <c r="Q68" s="31" t="str">
        <f>R47</f>
        <v>FM용역비</v>
      </c>
      <c r="R68" s="32">
        <f>SUMIF($U$41:$AD$41,R$66,U47:AD47)</f>
        <v>237.2862300316406</v>
      </c>
      <c r="S68" s="192">
        <f>RATE($R$66-1,0,-U47,R68)</f>
        <v>1.5000000000577164E-2</v>
      </c>
      <c r="T68" s="33">
        <f>R68*(1+S68)</f>
        <v>240.84552348225216</v>
      </c>
    </row>
    <row r="69" spans="2:30" ht="12.95" customHeight="1">
      <c r="B69" s="1" t="s">
        <v>123</v>
      </c>
      <c r="Q69" s="31" t="str">
        <f>R49</f>
        <v>유지보수비</v>
      </c>
      <c r="R69" s="32">
        <f>SUMIF($U$41:$AD$41,R$66,U49:AD49)</f>
        <v>112.73027334036458</v>
      </c>
      <c r="S69" s="192">
        <f>RATE($R$66-1,0,-U49,R69)</f>
        <v>6.8775648175156672E-3</v>
      </c>
      <c r="T69" s="33">
        <f>R69*(1+S69)</f>
        <v>113.50558310215919</v>
      </c>
    </row>
    <row r="70" spans="2:30" ht="12.95" customHeight="1">
      <c r="B70" s="40" t="s">
        <v>54</v>
      </c>
      <c r="C70" s="40"/>
      <c r="D70" s="40"/>
      <c r="E70" s="40" t="s">
        <v>61</v>
      </c>
      <c r="F70" s="40" t="s">
        <v>126</v>
      </c>
      <c r="G70" s="40"/>
      <c r="H70" s="40"/>
      <c r="I70" s="40"/>
      <c r="J70" s="40"/>
      <c r="K70" s="40"/>
      <c r="L70" s="40"/>
      <c r="M70" s="40"/>
      <c r="N70" s="40"/>
      <c r="Q70" s="31" t="str">
        <f>R50</f>
        <v>제세공과금</v>
      </c>
      <c r="R70" s="32">
        <f ca="1">SUMIF($U$41:$AD$41,R$66,U50:AD50)</f>
        <v>162.01389008522145</v>
      </c>
      <c r="S70" s="192">
        <f ca="1">RATE($R$66-1,0,-U50,R70)</f>
        <v>1.2626600618099233E-2</v>
      </c>
      <c r="T70" s="33">
        <f ca="1">R70*(1+S70)</f>
        <v>164.05957476991216</v>
      </c>
    </row>
    <row r="71" spans="2:30" ht="12.95" customHeight="1">
      <c r="B71" s="1" t="s">
        <v>124</v>
      </c>
      <c r="E71" s="1">
        <f ca="1">E67</f>
        <v>48908.007263550062</v>
      </c>
      <c r="Q71" s="34" t="str">
        <f>R51</f>
        <v>보험료</v>
      </c>
      <c r="R71" s="35">
        <f>SUMIF($U$41:$AD$41,R$66,U51:AD51)</f>
        <v>105.46054668072922</v>
      </c>
      <c r="S71" s="194">
        <f>RATE($R$66-1,0,-U51,R71)</f>
        <v>1.5000000000577435E-2</v>
      </c>
      <c r="T71" s="36">
        <f>R71*(1+S71)</f>
        <v>107.04245488100106</v>
      </c>
      <c r="Z71" s="174" t="s">
        <v>418</v>
      </c>
      <c r="AA71" s="175"/>
      <c r="AB71" s="175"/>
      <c r="AC71" s="175">
        <f ca="1">AD64-T72</f>
        <v>2435.0428186072977</v>
      </c>
      <c r="AD71" s="201" t="s">
        <v>45</v>
      </c>
    </row>
    <row r="72" spans="2:30" ht="12.95" customHeight="1">
      <c r="B72" s="1" t="s">
        <v>125</v>
      </c>
      <c r="E72" s="1">
        <f ca="1">M67</f>
        <v>2997.8680304266668</v>
      </c>
      <c r="F72" s="1" t="s">
        <v>127</v>
      </c>
      <c r="G72" s="19">
        <v>44439</v>
      </c>
      <c r="Q72" s="23"/>
      <c r="R72" s="24">
        <f ca="1">SUM(R67:R71)</f>
        <v>663.62992931077486</v>
      </c>
      <c r="S72" s="24"/>
      <c r="T72" s="199">
        <f ca="1">SUM(T67:T71)</f>
        <v>672.28421024576255</v>
      </c>
      <c r="Z72" s="176"/>
      <c r="AA72" s="202" t="s">
        <v>400</v>
      </c>
      <c r="AB72" s="203"/>
      <c r="AC72" s="204">
        <f ca="1">AC71/AD64</f>
        <v>0.78364549208909362</v>
      </c>
      <c r="AD72" s="205"/>
    </row>
    <row r="73" spans="2:30" ht="12.95" customHeight="1">
      <c r="B73" s="44" t="s">
        <v>61</v>
      </c>
      <c r="C73" s="44"/>
      <c r="D73" s="44"/>
      <c r="E73" s="44">
        <f ca="1">SUM(E71:E72)</f>
        <v>51905.875293976729</v>
      </c>
      <c r="F73" s="44"/>
      <c r="G73" s="44"/>
      <c r="H73" s="44"/>
      <c r="I73" s="44"/>
      <c r="J73" s="44"/>
      <c r="K73" s="44"/>
      <c r="L73" s="44"/>
      <c r="M73" s="44"/>
      <c r="N73" s="44"/>
      <c r="Q73" s="13" t="s">
        <v>419</v>
      </c>
    </row>
    <row r="74" spans="2:30" ht="12.95" customHeight="1">
      <c r="B74" s="1" t="s">
        <v>128</v>
      </c>
      <c r="Q74" s="1" t="s">
        <v>420</v>
      </c>
      <c r="S74" s="206">
        <f ca="1">민감도분석!E14</f>
        <v>4.65E-2</v>
      </c>
    </row>
    <row r="75" spans="2:30" ht="12.95" customHeight="1">
      <c r="B75" s="10" t="s">
        <v>129</v>
      </c>
      <c r="C75" s="10"/>
      <c r="D75" s="10"/>
      <c r="E75" s="10" t="s">
        <v>61</v>
      </c>
      <c r="F75" s="10" t="s">
        <v>136</v>
      </c>
      <c r="G75" s="10" t="s">
        <v>137</v>
      </c>
      <c r="H75" s="10" t="s">
        <v>139</v>
      </c>
      <c r="I75" s="10" t="s">
        <v>140</v>
      </c>
      <c r="J75" s="10"/>
      <c r="K75" s="10"/>
      <c r="L75" s="10"/>
      <c r="M75" s="10"/>
      <c r="N75" s="10"/>
      <c r="Q75" s="1" t="s">
        <v>421</v>
      </c>
      <c r="S75" s="1">
        <f ca="1">'A&amp;R'!AA17</f>
        <v>1508.664</v>
      </c>
      <c r="Z75" s="174" t="s">
        <v>17</v>
      </c>
      <c r="AA75" s="175"/>
      <c r="AB75" s="175"/>
      <c r="AC75" s="175">
        <f ca="1">AC71/S74+S75</f>
        <v>53875.176228113924</v>
      </c>
      <c r="AD75" s="201" t="s">
        <v>45</v>
      </c>
    </row>
    <row r="76" spans="2:30" ht="12.95" customHeight="1">
      <c r="C76" s="30" t="s">
        <v>130</v>
      </c>
      <c r="D76" s="41"/>
      <c r="E76" s="45">
        <v>5000</v>
      </c>
      <c r="F76" s="73">
        <f>acq</f>
        <v>44286</v>
      </c>
      <c r="G76" s="41" t="s">
        <v>138</v>
      </c>
      <c r="H76" s="77">
        <f>1-H77</f>
        <v>0.7</v>
      </c>
      <c r="I76" s="48">
        <v>0</v>
      </c>
      <c r="J76" s="78">
        <f>E76*I76</f>
        <v>0</v>
      </c>
      <c r="K76" s="41"/>
      <c r="L76" s="41"/>
      <c r="M76" s="41"/>
      <c r="N76" s="41"/>
      <c r="Q76" s="1" t="s">
        <v>422</v>
      </c>
      <c r="R76" s="207" t="s">
        <v>423</v>
      </c>
      <c r="Z76" s="176"/>
      <c r="AA76" s="202" t="s">
        <v>424</v>
      </c>
      <c r="AB76" s="203"/>
      <c r="AC76" s="208">
        <f ca="1">AC75/'A&amp;R'!M20</f>
        <v>5.2051600457679577</v>
      </c>
      <c r="AD76" s="205" t="s">
        <v>425</v>
      </c>
    </row>
    <row r="77" spans="2:30" ht="12.95" customHeight="1">
      <c r="C77" s="33" t="s">
        <v>131</v>
      </c>
      <c r="D77" s="43"/>
      <c r="E77" s="49">
        <v>17000</v>
      </c>
      <c r="F77" s="74">
        <f>acq</f>
        <v>44286</v>
      </c>
      <c r="G77" s="75">
        <v>0.06</v>
      </c>
      <c r="H77" s="76">
        <v>0.3</v>
      </c>
      <c r="I77" s="75">
        <v>0.03</v>
      </c>
      <c r="J77" s="79">
        <f>E77*I77</f>
        <v>510</v>
      </c>
      <c r="K77" s="43"/>
      <c r="L77" s="43"/>
      <c r="M77" s="43"/>
      <c r="N77" s="43"/>
      <c r="Q77" s="13" t="s">
        <v>426</v>
      </c>
    </row>
    <row r="78" spans="2:30" ht="12.95" customHeight="1">
      <c r="B78" s="34"/>
      <c r="C78" s="25" t="s">
        <v>132</v>
      </c>
      <c r="D78" s="51"/>
      <c r="E78" s="51">
        <f>SUM(E76:E77)</f>
        <v>22000</v>
      </c>
      <c r="F78" s="51"/>
      <c r="G78" s="51"/>
      <c r="H78" s="51"/>
      <c r="I78" s="51"/>
      <c r="J78" s="80">
        <f>SUM(J76:J77)</f>
        <v>510</v>
      </c>
      <c r="K78" s="51"/>
      <c r="L78" s="51"/>
      <c r="M78" s="51"/>
      <c r="N78" s="51"/>
      <c r="Q78" s="1" t="s">
        <v>427</v>
      </c>
    </row>
    <row r="79" spans="2:30" ht="12.95" customHeight="1">
      <c r="B79" s="10" t="s">
        <v>133</v>
      </c>
      <c r="C79" s="10"/>
      <c r="D79" s="10"/>
      <c r="E79" s="10" t="s">
        <v>61</v>
      </c>
      <c r="F79" s="10" t="s">
        <v>141</v>
      </c>
      <c r="G79" s="10" t="s">
        <v>142</v>
      </c>
      <c r="H79" s="10" t="s">
        <v>143</v>
      </c>
      <c r="I79" s="10" t="s">
        <v>144</v>
      </c>
      <c r="J79" s="10" t="s">
        <v>145</v>
      </c>
      <c r="K79" s="10" t="s">
        <v>148</v>
      </c>
      <c r="L79" s="10" t="s">
        <v>146</v>
      </c>
      <c r="M79" s="10" t="s">
        <v>147</v>
      </c>
      <c r="N79" s="10"/>
      <c r="R79" s="1" t="s">
        <v>428</v>
      </c>
      <c r="T79" s="1" t="s">
        <v>429</v>
      </c>
      <c r="W79" s="206">
        <v>5.0000000000000001E-3</v>
      </c>
      <c r="X79" s="1">
        <f ca="1">AC75*W79</f>
        <v>269.37588114056962</v>
      </c>
      <c r="Y79" s="1" t="s">
        <v>45</v>
      </c>
    </row>
    <row r="80" spans="2:30" ht="12.95" customHeight="1">
      <c r="C80" s="30" t="s">
        <v>134</v>
      </c>
      <c r="D80" s="41"/>
      <c r="E80" s="41">
        <f ca="1">E73-E78-E81-E82</f>
        <v>25426.307263550061</v>
      </c>
      <c r="F80" s="73">
        <f>acq</f>
        <v>44286</v>
      </c>
      <c r="G80" s="73">
        <f>exit</f>
        <v>46112</v>
      </c>
      <c r="H80" s="81">
        <f>DATEDIF(F80,G80,"m")</f>
        <v>60</v>
      </c>
      <c r="I80" s="48">
        <v>2.8000000000000001E-2</v>
      </c>
      <c r="J80" s="48">
        <v>0.01</v>
      </c>
      <c r="K80" s="83">
        <v>3</v>
      </c>
      <c r="L80" s="85">
        <f>I80+J80/(H80/12)</f>
        <v>0.03</v>
      </c>
      <c r="M80" s="55">
        <f ca="1">(E80+E82)/E44</f>
        <v>0.59795571696777916</v>
      </c>
      <c r="N80" s="78">
        <f ca="1">E80*J80</f>
        <v>254.26307263550061</v>
      </c>
      <c r="R80" s="1" t="s">
        <v>430</v>
      </c>
      <c r="T80" s="1" t="s">
        <v>429</v>
      </c>
      <c r="W80" s="206">
        <v>5.0000000000000001E-3</v>
      </c>
      <c r="X80" s="1">
        <f ca="1">AC75*W80</f>
        <v>269.37588114056962</v>
      </c>
      <c r="Y80" s="1" t="s">
        <v>45</v>
      </c>
    </row>
    <row r="81" spans="2:30" ht="12.95" customHeight="1">
      <c r="C81" s="33" t="s">
        <v>135</v>
      </c>
      <c r="D81" s="43"/>
      <c r="E81" s="43">
        <f ca="1">E72</f>
        <v>2997.8680304266668</v>
      </c>
      <c r="F81" s="74">
        <f>acq</f>
        <v>44286</v>
      </c>
      <c r="G81" s="74">
        <f>G72</f>
        <v>44439</v>
      </c>
      <c r="H81" s="82">
        <f>DATEDIF(F81,G81,"m")</f>
        <v>5</v>
      </c>
      <c r="I81" s="75">
        <v>0.04</v>
      </c>
      <c r="J81" s="75">
        <v>0</v>
      </c>
      <c r="K81" s="84">
        <v>1</v>
      </c>
      <c r="L81" s="86">
        <f>I81+J81/(H81/12)</f>
        <v>0.04</v>
      </c>
      <c r="M81" s="43"/>
      <c r="N81" s="79">
        <f ca="1">E81*J81</f>
        <v>0</v>
      </c>
      <c r="R81" s="42" t="s">
        <v>431</v>
      </c>
      <c r="S81" s="42"/>
      <c r="T81" s="42" t="s">
        <v>432</v>
      </c>
      <c r="U81" s="42"/>
      <c r="V81" s="42"/>
      <c r="W81" s="139">
        <v>0.2</v>
      </c>
      <c r="X81" s="42">
        <f ca="1">AC81*W81</f>
        <v>885.68344045654453</v>
      </c>
      <c r="Y81" s="42" t="s">
        <v>45</v>
      </c>
      <c r="Z81" s="11" t="s">
        <v>433</v>
      </c>
      <c r="AA81" s="143"/>
      <c r="AB81" s="143"/>
      <c r="AC81" s="143">
        <f ca="1">MAX(AC75-'A&amp;R'!E67-X79-X80,0)</f>
        <v>4428.4172022827224</v>
      </c>
    </row>
    <row r="82" spans="2:30" ht="12.95" customHeight="1">
      <c r="C82" s="33" t="s">
        <v>76</v>
      </c>
      <c r="D82" s="43"/>
      <c r="E82" s="43">
        <f>'A&amp;R'!I41</f>
        <v>1481.7</v>
      </c>
      <c r="F82" s="74">
        <f>acq</f>
        <v>44286</v>
      </c>
      <c r="G82" s="74">
        <f>exit</f>
        <v>46112</v>
      </c>
      <c r="H82" s="82" t="s">
        <v>138</v>
      </c>
      <c r="I82" s="82" t="s">
        <v>138</v>
      </c>
      <c r="J82" s="82" t="s">
        <v>138</v>
      </c>
      <c r="K82" s="82" t="s">
        <v>138</v>
      </c>
      <c r="L82" s="43"/>
      <c r="M82" s="43"/>
      <c r="N82" s="79"/>
      <c r="R82" s="1" t="s">
        <v>132</v>
      </c>
      <c r="X82" s="1">
        <f ca="1">SUM(X79:X81)</f>
        <v>1424.4352027376838</v>
      </c>
      <c r="Y82" s="1" t="s">
        <v>45</v>
      </c>
      <c r="Z82" s="11"/>
      <c r="AA82" s="143"/>
      <c r="AB82" s="143"/>
      <c r="AC82" s="143"/>
    </row>
    <row r="83" spans="2:30" ht="12.95" customHeight="1">
      <c r="B83" s="34"/>
      <c r="C83" s="25" t="s">
        <v>132</v>
      </c>
      <c r="D83" s="51"/>
      <c r="E83" s="51">
        <f ca="1">SUM(E80:E82)</f>
        <v>29905.875293976729</v>
      </c>
      <c r="F83" s="51"/>
      <c r="G83" s="51"/>
      <c r="H83" s="51"/>
      <c r="I83" s="51"/>
      <c r="J83" s="51"/>
      <c r="K83" s="51"/>
      <c r="L83" s="51"/>
      <c r="M83" s="51"/>
      <c r="N83" s="80">
        <f ca="1">SUM(N80:N82)</f>
        <v>254.26307263550061</v>
      </c>
      <c r="Q83" s="1" t="s">
        <v>434</v>
      </c>
      <c r="S83" s="207" t="s">
        <v>435</v>
      </c>
      <c r="Z83" s="209" t="s">
        <v>436</v>
      </c>
      <c r="AA83" s="210"/>
      <c r="AB83" s="210"/>
      <c r="AC83" s="210">
        <f ca="1">AC75-X82</f>
        <v>52450.741025376243</v>
      </c>
      <c r="AD83" s="211" t="s">
        <v>45</v>
      </c>
    </row>
    <row r="84" spans="2:30" ht="12.95" customHeight="1">
      <c r="B84" s="44" t="s">
        <v>61</v>
      </c>
      <c r="C84" s="44"/>
      <c r="D84" s="44"/>
      <c r="E84" s="44">
        <f ca="1">E83+E78</f>
        <v>51905.875293976729</v>
      </c>
      <c r="F84" s="44"/>
      <c r="G84" s="44"/>
      <c r="H84" s="44"/>
      <c r="I84" s="44"/>
      <c r="J84" s="44"/>
      <c r="K84" s="44"/>
      <c r="L84" s="44"/>
      <c r="M84" s="44"/>
      <c r="N84" s="44"/>
      <c r="Q84" s="13" t="s">
        <v>487</v>
      </c>
      <c r="Z84" s="174" t="s">
        <v>489</v>
      </c>
      <c r="AA84" s="175"/>
      <c r="AB84" s="175"/>
      <c r="AC84" s="175">
        <f ca="1">AC83-'A&amp;R'!E67</f>
        <v>3542.7337618261809</v>
      </c>
      <c r="AD84" s="201" t="s">
        <v>45</v>
      </c>
    </row>
    <row r="85" spans="2:30" ht="12.95" customHeight="1">
      <c r="B85" s="1" t="s">
        <v>443</v>
      </c>
      <c r="R85" s="207" t="s">
        <v>488</v>
      </c>
      <c r="Z85" s="238"/>
      <c r="AA85" s="30" t="s">
        <v>131</v>
      </c>
      <c r="AB85" s="237">
        <f>'A&amp;R'!H77</f>
        <v>0.3</v>
      </c>
      <c r="AC85" s="41">
        <f ca="1">MAX(AC84*AB85,0)</f>
        <v>1062.8201285478542</v>
      </c>
      <c r="AD85" s="239" t="s">
        <v>45</v>
      </c>
    </row>
    <row r="86" spans="2:30" ht="12.95" customHeight="1">
      <c r="B86" s="1" t="s">
        <v>144</v>
      </c>
      <c r="D86" s="206">
        <v>0.04</v>
      </c>
      <c r="F86" s="1" t="s">
        <v>444</v>
      </c>
      <c r="H86" s="1">
        <f ca="1">현금흐름!E101</f>
        <v>447.48151952610795</v>
      </c>
      <c r="I86" s="1" t="s">
        <v>45</v>
      </c>
      <c r="Z86" s="176"/>
      <c r="AA86" s="240" t="s">
        <v>130</v>
      </c>
      <c r="AB86" s="177"/>
      <c r="AC86" s="177">
        <f ca="1">MAX(AC84-AC85,0)</f>
        <v>2479.9136332783264</v>
      </c>
      <c r="AD86" s="178" t="s">
        <v>45</v>
      </c>
    </row>
    <row r="88" spans="2:30" ht="13.5" customHeight="1">
      <c r="B88" s="15" t="s">
        <v>506</v>
      </c>
      <c r="C88" s="15"/>
      <c r="D88" s="15"/>
      <c r="E88" s="15"/>
      <c r="F88" s="15"/>
      <c r="G88" s="15"/>
      <c r="H88" s="15"/>
      <c r="I88" s="15"/>
      <c r="J88" s="15"/>
      <c r="K88" s="15"/>
      <c r="L88" s="15"/>
      <c r="M88" s="15"/>
      <c r="N88" s="15"/>
      <c r="O88" s="15"/>
      <c r="Q88" s="15" t="s">
        <v>528</v>
      </c>
      <c r="R88" s="15"/>
      <c r="S88" s="15"/>
      <c r="T88" s="15"/>
      <c r="U88" s="15"/>
      <c r="V88" s="15"/>
      <c r="W88" s="15"/>
      <c r="X88" s="15"/>
      <c r="Y88" s="15"/>
      <c r="Z88" s="15"/>
      <c r="AA88" s="15"/>
      <c r="AB88" s="15"/>
      <c r="AC88" s="15"/>
      <c r="AD88" s="15"/>
    </row>
    <row r="89" spans="2:30" ht="13.5" customHeight="1">
      <c r="B89" s="10"/>
      <c r="C89" s="10"/>
      <c r="D89" s="10" t="s">
        <v>507</v>
      </c>
      <c r="E89" s="10"/>
      <c r="F89" s="243">
        <f>운영수입!I8</f>
        <v>1</v>
      </c>
      <c r="G89" s="243">
        <f>운영수입!J8</f>
        <v>2</v>
      </c>
      <c r="H89" s="243">
        <f>운영수입!K8</f>
        <v>3</v>
      </c>
      <c r="I89" s="243">
        <f>운영수입!L8</f>
        <v>4</v>
      </c>
      <c r="J89" s="243">
        <f>운영수입!M8</f>
        <v>5</v>
      </c>
      <c r="K89" s="243">
        <f>운영수입!N8</f>
        <v>6</v>
      </c>
      <c r="L89" s="243">
        <f>운영수입!O8</f>
        <v>7</v>
      </c>
      <c r="M89" s="243">
        <f>운영수입!P8</f>
        <v>8</v>
      </c>
      <c r="N89" s="243">
        <f>운영수입!Q8</f>
        <v>9</v>
      </c>
      <c r="O89" s="243">
        <f>운영수입!R8</f>
        <v>10</v>
      </c>
      <c r="Q89" s="13" t="s">
        <v>529</v>
      </c>
    </row>
    <row r="90" spans="2:30" ht="13.5" customHeight="1">
      <c r="B90" s="10"/>
      <c r="C90" s="10"/>
      <c r="D90" s="10" t="s">
        <v>74</v>
      </c>
      <c r="E90" s="10"/>
      <c r="F90" s="154">
        <f>운영수입!I9</f>
        <v>44316</v>
      </c>
      <c r="G90" s="154">
        <f>운영수입!J9</f>
        <v>44500</v>
      </c>
      <c r="H90" s="154">
        <f>운영수입!K9</f>
        <v>44681</v>
      </c>
      <c r="I90" s="154">
        <f>운영수입!L9</f>
        <v>44865</v>
      </c>
      <c r="J90" s="154">
        <f>운영수입!M9</f>
        <v>45046</v>
      </c>
      <c r="K90" s="154">
        <f>운영수입!N9</f>
        <v>45230</v>
      </c>
      <c r="L90" s="154">
        <f>운영수입!O9</f>
        <v>45412</v>
      </c>
      <c r="M90" s="154">
        <f>운영수입!P9</f>
        <v>45596</v>
      </c>
      <c r="N90" s="154">
        <f>운영수입!Q9</f>
        <v>45777</v>
      </c>
      <c r="O90" s="154">
        <f>운영수입!R9</f>
        <v>45961</v>
      </c>
      <c r="Q90" s="1" t="s">
        <v>530</v>
      </c>
    </row>
    <row r="91" spans="2:30" ht="13.5" customHeight="1">
      <c r="B91" s="40"/>
      <c r="C91" s="40"/>
      <c r="D91" s="40" t="s">
        <v>75</v>
      </c>
      <c r="E91" s="236">
        <f>acq</f>
        <v>44286</v>
      </c>
      <c r="F91" s="236">
        <f>운영수입!I10</f>
        <v>44469</v>
      </c>
      <c r="G91" s="236">
        <f>운영수입!J10</f>
        <v>44651</v>
      </c>
      <c r="H91" s="236">
        <f>운영수입!K10</f>
        <v>44834</v>
      </c>
      <c r="I91" s="236">
        <f>운영수입!L10</f>
        <v>45016</v>
      </c>
      <c r="J91" s="236">
        <f>운영수입!M10</f>
        <v>45199</v>
      </c>
      <c r="K91" s="236">
        <f>운영수입!N10</f>
        <v>45382</v>
      </c>
      <c r="L91" s="236">
        <f>운영수입!O10</f>
        <v>45565</v>
      </c>
      <c r="M91" s="236">
        <f>운영수입!P10</f>
        <v>45747</v>
      </c>
      <c r="N91" s="236">
        <f>운영수입!Q10</f>
        <v>45930</v>
      </c>
      <c r="O91" s="236">
        <f>운영수입!R10</f>
        <v>46112</v>
      </c>
      <c r="Q91" s="1" t="s">
        <v>531</v>
      </c>
      <c r="R91" s="247">
        <f ca="1">D135</f>
        <v>2.8333855899035028</v>
      </c>
      <c r="S91" s="255">
        <v>0</v>
      </c>
      <c r="T91" s="255">
        <f>S91+3%</f>
        <v>0.03</v>
      </c>
      <c r="U91" s="255">
        <f t="shared" ref="U91:AC91" si="15">T91+3%</f>
        <v>0.06</v>
      </c>
      <c r="V91" s="255">
        <f t="shared" si="15"/>
        <v>0.09</v>
      </c>
      <c r="W91" s="255">
        <f t="shared" si="15"/>
        <v>0.12</v>
      </c>
      <c r="X91" s="255">
        <f t="shared" si="15"/>
        <v>0.15</v>
      </c>
      <c r="Y91" s="255">
        <f t="shared" si="15"/>
        <v>0.18</v>
      </c>
      <c r="Z91" s="255">
        <f t="shared" si="15"/>
        <v>0.21</v>
      </c>
      <c r="AA91" s="255">
        <f t="shared" si="15"/>
        <v>0.24</v>
      </c>
      <c r="AB91" s="255">
        <f t="shared" si="15"/>
        <v>0.27</v>
      </c>
      <c r="AC91" s="255">
        <f t="shared" si="15"/>
        <v>0.30000000000000004</v>
      </c>
      <c r="AD91" s="144"/>
    </row>
    <row r="92" spans="2:30" ht="13.5" customHeight="1">
      <c r="B92" s="13" t="str">
        <f>현금흐름!B17</f>
        <v>영업현금흐름</v>
      </c>
      <c r="Q92" s="1" t="s">
        <v>532</v>
      </c>
      <c r="R92" s="256">
        <v>24000</v>
      </c>
      <c r="S92" s="147">
        <f>SUMIF(민감도분석!$20:$20,'A&amp;R'!S$91&amp;'A&amp;R'!$R92,민감도분석!$27:$27)</f>
        <v>2.7286092855934436</v>
      </c>
      <c r="T92" s="147">
        <f>SUMIF(민감도분석!$20:$20,'A&amp;R'!T$91&amp;'A&amp;R'!$R92,민감도분석!$27:$27)</f>
        <v>2.6441113232128832</v>
      </c>
      <c r="U92" s="147">
        <f>SUMIF(민감도분석!$20:$20,'A&amp;R'!U$91&amp;'A&amp;R'!$R92,민감도분석!$27:$27)</f>
        <v>2.5596133608323233</v>
      </c>
      <c r="V92" s="147">
        <f>SUMIF(민감도분석!$20:$20,'A&amp;R'!V$91&amp;'A&amp;R'!$R92,민감도분석!$27:$27)</f>
        <v>2.4751153984517624</v>
      </c>
      <c r="W92" s="147">
        <f>SUMIF(민감도분석!$20:$20,'A&amp;R'!W$91&amp;'A&amp;R'!$R92,민감도분석!$27:$27)</f>
        <v>2.3906174360712038</v>
      </c>
      <c r="X92" s="147">
        <f>SUMIF(민감도분석!$20:$20,'A&amp;R'!X$91&amp;'A&amp;R'!$R92,민감도분석!$27:$27)</f>
        <v>2.3061194736906412</v>
      </c>
      <c r="Y92" s="147">
        <f>SUMIF(민감도분석!$20:$20,'A&amp;R'!Y$91&amp;'A&amp;R'!$R92,민감도분석!$27:$27)</f>
        <v>2.2216215113100821</v>
      </c>
      <c r="Z92" s="147">
        <f>SUMIF(민감도분석!$20:$20,'A&amp;R'!Z$91&amp;'A&amp;R'!$R92,민감도분석!$27:$27)</f>
        <v>2.1371235489295217</v>
      </c>
      <c r="AA92" s="147">
        <f>SUMIF(민감도분석!$20:$20,'A&amp;R'!AA$91&amp;'A&amp;R'!$R92,민감도분석!$27:$27)</f>
        <v>2.0526255865489635</v>
      </c>
      <c r="AB92" s="147">
        <f>SUMIF(민감도분석!$20:$20,'A&amp;R'!AB$91&amp;'A&amp;R'!$R92,민감도분석!$27:$27)</f>
        <v>1.9681276241684009</v>
      </c>
      <c r="AC92" s="147">
        <f>SUMIF(민감도분석!$20:$20,'A&amp;R'!AC$91&amp;'A&amp;R'!$R92,민감도분석!$27:$27)</f>
        <v>1.8836296617878421</v>
      </c>
    </row>
    <row r="93" spans="2:30" ht="13.5" customHeight="1">
      <c r="B93" s="1" t="str">
        <f>현금흐름!C18</f>
        <v>운영수입</v>
      </c>
      <c r="E93" s="1">
        <f ca="1">SUMIF(현금흐름!$15:$15,'A&amp;R'!E$89,현금흐름!18:18)</f>
        <v>0</v>
      </c>
      <c r="F93" s="1">
        <f ca="1">SUMIF(현금흐름!$15:$15,'A&amp;R'!F$89,현금흐름!18:18)</f>
        <v>1322.8799999999999</v>
      </c>
      <c r="G93" s="1">
        <f ca="1">SUMIF(현금흐름!$15:$15,'A&amp;R'!G$89,현금흐름!18:18)</f>
        <v>1357.7321666666667</v>
      </c>
      <c r="H93" s="1">
        <f ca="1">SUMIF(현금흐름!$15:$15,'A&amp;R'!H$89,현금흐름!18:18)</f>
        <v>1479.0529999999999</v>
      </c>
      <c r="I93" s="1">
        <f ca="1">SUMIF(현금흐름!$15:$15,'A&amp;R'!I$89,현금흐름!18:18)</f>
        <v>1486.9675300000001</v>
      </c>
      <c r="J93" s="1">
        <f ca="1">SUMIF(현금흐름!$15:$15,'A&amp;R'!J$89,현금흐름!18:18)</f>
        <v>1372.36753</v>
      </c>
      <c r="K93" s="1">
        <f ca="1">SUMIF(현금흐름!$15:$15,'A&amp;R'!K$89,현금흐름!18:18)</f>
        <v>1413.8807052999998</v>
      </c>
      <c r="L93" s="1">
        <f ca="1">SUMIF(현금흐름!$15:$15,'A&amp;R'!L$89,현금흐름!18:18)</f>
        <v>1523.0502052999998</v>
      </c>
      <c r="M93" s="1">
        <f ca="1">SUMIF(현금흐름!$15:$15,'A&amp;R'!M$89,현금흐름!18:18)</f>
        <v>1538.280707353</v>
      </c>
      <c r="N93" s="1">
        <f ca="1">SUMIF(현금흐름!$15:$15,'A&amp;R'!N$89,현금흐름!18:18)</f>
        <v>1538.280707353</v>
      </c>
      <c r="O93" s="1">
        <f ca="1">SUMIF(현금흐름!$15:$15,'A&amp;R'!O$89,현금흐름!18:18)</f>
        <v>1553.6635144265297</v>
      </c>
      <c r="R93" s="256">
        <v>25000</v>
      </c>
      <c r="S93" s="147">
        <f>SUMIF(민감도분석!$20:$20,'A&amp;R'!S$91&amp;'A&amp;R'!$R93,민감도분석!$27:$27)</f>
        <v>2.8333855899035028</v>
      </c>
      <c r="T93" s="147">
        <f>SUMIF(민감도분석!$20:$20,'A&amp;R'!T$91&amp;'A&amp;R'!$R93,민감도분석!$27:$27)</f>
        <v>2.7457443383936395</v>
      </c>
      <c r="U93" s="147">
        <f>SUMIF(민감도분석!$20:$20,'A&amp;R'!U$91&amp;'A&amp;R'!$R93,민감도분석!$27:$27)</f>
        <v>2.6581030868837798</v>
      </c>
      <c r="V93" s="147">
        <f>SUMIF(민감도분석!$20:$20,'A&amp;R'!V$91&amp;'A&amp;R'!$R93,민감도분석!$27:$27)</f>
        <v>2.5704618353739161</v>
      </c>
      <c r="W93" s="147">
        <f>SUMIF(민감도분석!$20:$20,'A&amp;R'!W$91&amp;'A&amp;R'!$R93,민감도분석!$27:$27)</f>
        <v>2.4828205838640551</v>
      </c>
      <c r="X93" s="147">
        <f>SUMIF(민감도분석!$20:$20,'A&amp;R'!X$91&amp;'A&amp;R'!$R93,민감도분석!$27:$27)</f>
        <v>2.3951793323541937</v>
      </c>
      <c r="Y93" s="147">
        <f>SUMIF(민감도분석!$20:$20,'A&amp;R'!Y$91&amp;'A&amp;R'!$R93,민감도분석!$27:$27)</f>
        <v>2.3075380808443322</v>
      </c>
      <c r="Z93" s="147">
        <f>SUMIF(민감도분석!$20:$20,'A&amp;R'!Z$91&amp;'A&amp;R'!$R93,민감도분석!$27:$27)</f>
        <v>2.2198968293344699</v>
      </c>
      <c r="AA93" s="147">
        <f>SUMIF(민감도분석!$20:$20,'A&amp;R'!AA$91&amp;'A&amp;R'!$R93,민감도분석!$27:$27)</f>
        <v>2.1322555778246066</v>
      </c>
      <c r="AB93" s="147">
        <f>SUMIF(민감도분석!$20:$20,'A&amp;R'!AB$91&amp;'A&amp;R'!$R93,민감도분석!$27:$27)</f>
        <v>2.0446143263147447</v>
      </c>
      <c r="AC93" s="147">
        <f>SUMIF(민감도분석!$20:$20,'A&amp;R'!AC$91&amp;'A&amp;R'!$R93,민감도분석!$27:$27)</f>
        <v>1.9569730748048833</v>
      </c>
    </row>
    <row r="94" spans="2:30" ht="13.5" customHeight="1">
      <c r="B94" s="1" t="str">
        <f>현금흐름!C19</f>
        <v>운영비용</v>
      </c>
      <c r="E94" s="1">
        <f ca="1">SUMIF(현금흐름!$15:$15,'A&amp;R'!E$89,현금흐름!19:19)</f>
        <v>0</v>
      </c>
      <c r="F94" s="1">
        <f ca="1">SUMIF(현금흐름!$15:$15,'A&amp;R'!F$89,현금흐름!19:19)</f>
        <v>-440.24300281197952</v>
      </c>
      <c r="G94" s="1">
        <f ca="1">SUMIF(현금흐름!$15:$15,'A&amp;R'!G$89,현금흐름!19:19)</f>
        <v>-388.44873533333339</v>
      </c>
      <c r="H94" s="1">
        <f ca="1">SUMIF(현금흐름!$15:$15,'A&amp;R'!H$89,현금흐름!19:19)</f>
        <v>-446.03721768140554</v>
      </c>
      <c r="I94" s="1">
        <f ca="1">SUMIF(현금흐름!$15:$15,'A&amp;R'!I$89,현금흐름!19:19)</f>
        <v>-192.80607575223999</v>
      </c>
      <c r="J94" s="1">
        <f ca="1">SUMIF(현금흐름!$15:$15,'A&amp;R'!J$89,현금흐름!19:19)</f>
        <v>-451.55289674231642</v>
      </c>
      <c r="K94" s="1">
        <f ca="1">SUMIF(현금흐름!$15:$15,'A&amp;R'!K$89,현금흐름!19:19)</f>
        <v>-373.82075258880997</v>
      </c>
      <c r="L94" s="1">
        <f ca="1">SUMIF(현금흐름!$15:$15,'A&amp;R'!L$89,현금흐름!19:19)</f>
        <v>-457.09954837551624</v>
      </c>
      <c r="M94" s="1">
        <f ca="1">SUMIF(현금흐름!$15:$15,'A&amp;R'!M$89,현금흐름!19:19)</f>
        <v>-197.9073012170717</v>
      </c>
      <c r="N94" s="1">
        <f ca="1">SUMIF(현금흐름!$15:$15,'A&amp;R'!N$89,현금흐름!19:19)</f>
        <v>-462.64162218413611</v>
      </c>
      <c r="O94" s="1">
        <f ca="1">SUMIF(현금흐름!$15:$15,'A&amp;R'!O$89,현금흐름!19:19)</f>
        <v>-200.9883071266388</v>
      </c>
      <c r="R94" s="178">
        <v>26000</v>
      </c>
      <c r="S94" s="265">
        <f>SUMIF(민감도분석!$20:$20,'A&amp;R'!S$91&amp;'A&amp;R'!$R94,민감도분석!$27:$27)</f>
        <v>2.9381618942135637</v>
      </c>
      <c r="T94" s="265">
        <f>SUMIF(민감도분석!$20:$20,'A&amp;R'!T$91&amp;'A&amp;R'!$R94,민감도분석!$27:$27)</f>
        <v>2.8473773535743989</v>
      </c>
      <c r="U94" s="265">
        <f>SUMIF(민감도분석!$20:$20,'A&amp;R'!U$91&amp;'A&amp;R'!$R94,민감도분석!$27:$27)</f>
        <v>2.7565928129352355</v>
      </c>
      <c r="V94" s="265">
        <f>SUMIF(민감도분석!$20:$20,'A&amp;R'!V$91&amp;'A&amp;R'!$R94,민감도분석!$27:$27)</f>
        <v>2.6658082722960708</v>
      </c>
      <c r="W94" s="265">
        <f>SUMIF(민감도분석!$20:$20,'A&amp;R'!W$91&amp;'A&amp;R'!$R94,민감도분석!$27:$27)</f>
        <v>2.5750237316569087</v>
      </c>
      <c r="X94" s="265">
        <f>SUMIF(민감도분석!$20:$20,'A&amp;R'!X$91&amp;'A&amp;R'!$R94,민감도분석!$27:$27)</f>
        <v>2.4842391910177448</v>
      </c>
      <c r="Y94" s="265">
        <f>SUMIF(민감도분석!$20:$20,'A&amp;R'!Y$91&amp;'A&amp;R'!$R94,민감도분석!$27:$27)</f>
        <v>2.3934546503785801</v>
      </c>
      <c r="Z94" s="265">
        <f>SUMIF(민감도분석!$20:$20,'A&amp;R'!Z$91&amp;'A&amp;R'!$R94,민감도분석!$27:$27)</f>
        <v>2.3026701097394162</v>
      </c>
      <c r="AA94" s="265">
        <f>SUMIF(민감도분석!$20:$20,'A&amp;R'!AA$91&amp;'A&amp;R'!$R94,민감도분석!$27:$27)</f>
        <v>2.211885569100251</v>
      </c>
      <c r="AB94" s="265">
        <f>SUMIF(민감도분석!$20:$20,'A&amp;R'!AB$91&amp;'A&amp;R'!$R94,민감도분석!$27:$27)</f>
        <v>2.1211010284610889</v>
      </c>
      <c r="AC94" s="265">
        <f>SUMIF(민감도분석!$20:$20,'A&amp;R'!AC$91&amp;'A&amp;R'!$R94,민감도분석!$27:$27)</f>
        <v>2.0303164878219251</v>
      </c>
    </row>
    <row r="95" spans="2:30" ht="13.5" customHeight="1">
      <c r="B95" s="1" t="str">
        <f>현금흐름!C20</f>
        <v>이자비용</v>
      </c>
      <c r="E95" s="1">
        <f ca="1">SUMIF(현금흐름!$15:$15,'A&amp;R'!E$89,현금흐름!20:20)</f>
        <v>0</v>
      </c>
      <c r="F95" s="1">
        <f ca="1">SUMIF(현금흐름!$15:$15,'A&amp;R'!F$89,현금흐름!20:20)</f>
        <v>-437.09330291337619</v>
      </c>
      <c r="G95" s="1">
        <f ca="1">SUMIF(현금흐름!$15:$15,'A&amp;R'!G$89,현금흐름!20:20)</f>
        <v>-356.71410422224432</v>
      </c>
      <c r="H95" s="1">
        <f ca="1">SUMIF(현금흐름!$15:$15,'A&amp;R'!H$89,현금흐름!20:20)</f>
        <v>-355.96830168970075</v>
      </c>
      <c r="I95" s="1">
        <f ca="1">SUMIF(현금흐름!$15:$15,'A&amp;R'!I$89,현금흐름!20:20)</f>
        <v>-355.96830168970155</v>
      </c>
      <c r="J95" s="1">
        <f ca="1">SUMIF(현금흐름!$15:$15,'A&amp;R'!J$89,현금흐름!20:20)</f>
        <v>-356.40884018978335</v>
      </c>
      <c r="K95" s="1">
        <f ca="1">SUMIF(현금흐름!$15:$15,'A&amp;R'!K$89,현금흐름!20:20)</f>
        <v>-356.40884018978335</v>
      </c>
      <c r="L95" s="1">
        <f ca="1">SUMIF(현금흐름!$15:$15,'A&amp;R'!L$89,현금흐름!20:20)</f>
        <v>-355.96830168970155</v>
      </c>
      <c r="M95" s="1">
        <f ca="1">SUMIF(현금흐름!$15:$15,'A&amp;R'!M$89,현금흐름!20:20)</f>
        <v>-355.96830168970155</v>
      </c>
      <c r="N95" s="1">
        <f ca="1">SUMIF(현금흐름!$15:$15,'A&amp;R'!N$89,현금흐름!20:20)</f>
        <v>-355.96830168970155</v>
      </c>
      <c r="O95" s="1">
        <f ca="1">SUMIF(현금흐름!$15:$15,'A&amp;R'!O$89,현금흐름!20:20)</f>
        <v>-326.30427654889309</v>
      </c>
      <c r="Q95" s="1" t="s">
        <v>534</v>
      </c>
    </row>
    <row r="96" spans="2:30" ht="13.5" customHeight="1">
      <c r="B96" s="1" t="str">
        <f>현금흐름!C21</f>
        <v>펀드비용</v>
      </c>
      <c r="E96" s="1">
        <f ca="1">SUMIF(현금흐름!$15:$15,'A&amp;R'!E$89,현금흐름!21:21)</f>
        <v>0</v>
      </c>
      <c r="F96" s="1">
        <f ca="1">SUMIF(현금흐름!$15:$15,'A&amp;R'!F$89,현금흐름!21:21)</f>
        <v>-92.925213800745126</v>
      </c>
      <c r="G96" s="1">
        <f ca="1">SUMIF(현금흐름!$15:$15,'A&amp;R'!G$89,현금흐름!21:21)</f>
        <v>-92.925213800745112</v>
      </c>
      <c r="H96" s="1">
        <f ca="1">SUMIF(현금흐름!$15:$15,'A&amp;R'!H$89,현금흐름!21:21)</f>
        <v>-92.925213800745126</v>
      </c>
      <c r="I96" s="1">
        <f ca="1">SUMIF(현금흐름!$15:$15,'A&amp;R'!I$89,현금흐름!21:21)</f>
        <v>-92.925213800745041</v>
      </c>
      <c r="J96" s="1">
        <f ca="1">SUMIF(현금흐름!$15:$15,'A&amp;R'!J$89,현금흐름!21:21)</f>
        <v>-92.925213800744956</v>
      </c>
      <c r="K96" s="1">
        <f ca="1">SUMIF(현금흐름!$15:$15,'A&amp;R'!K$89,현금흐름!21:21)</f>
        <v>-92.92521380074497</v>
      </c>
      <c r="L96" s="1">
        <f ca="1">SUMIF(현금흐름!$15:$15,'A&amp;R'!L$89,현금흐름!21:21)</f>
        <v>-92.925213800744984</v>
      </c>
      <c r="M96" s="1">
        <f ca="1">SUMIF(현금흐름!$15:$15,'A&amp;R'!M$89,현금흐름!21:21)</f>
        <v>-92.925213800745325</v>
      </c>
      <c r="N96" s="1">
        <f ca="1">SUMIF(현금흐름!$15:$15,'A&amp;R'!N$89,현금흐름!21:21)</f>
        <v>-92.925213800745325</v>
      </c>
      <c r="O96" s="1">
        <f ca="1">SUMIF(현금흐름!$15:$15,'A&amp;R'!O$89,현금흐름!21:21)</f>
        <v>-92.925213800745325</v>
      </c>
      <c r="Q96" s="1" t="s">
        <v>531</v>
      </c>
      <c r="R96" s="247">
        <f ca="1">D136</f>
        <v>1.4511806088421064</v>
      </c>
      <c r="S96" s="255">
        <v>0</v>
      </c>
      <c r="T96" s="255">
        <f>S96+3%</f>
        <v>0.03</v>
      </c>
      <c r="U96" s="255">
        <f t="shared" ref="U96:AC96" si="16">T96+3%</f>
        <v>0.06</v>
      </c>
      <c r="V96" s="255">
        <f t="shared" si="16"/>
        <v>0.09</v>
      </c>
      <c r="W96" s="255">
        <f t="shared" si="16"/>
        <v>0.12</v>
      </c>
      <c r="X96" s="255">
        <f t="shared" si="16"/>
        <v>0.15</v>
      </c>
      <c r="Y96" s="255">
        <f t="shared" si="16"/>
        <v>0.18</v>
      </c>
      <c r="Z96" s="255">
        <f t="shared" si="16"/>
        <v>0.21</v>
      </c>
      <c r="AA96" s="255">
        <f t="shared" si="16"/>
        <v>0.24</v>
      </c>
      <c r="AB96" s="255">
        <f t="shared" si="16"/>
        <v>0.27</v>
      </c>
      <c r="AC96" s="255">
        <f t="shared" si="16"/>
        <v>0.30000000000000004</v>
      </c>
    </row>
    <row r="97" spans="2:29" ht="13.5" customHeight="1">
      <c r="B97" s="44" t="str">
        <f>현금흐름!C22</f>
        <v>영업현금흐름 합계</v>
      </c>
      <c r="C97" s="44"/>
      <c r="D97" s="135" t="b">
        <f ca="1">ABS(SUM(E97:O97)-현금흐름!F22)&lt;0.001</f>
        <v>1</v>
      </c>
      <c r="E97" s="44">
        <f ca="1">SUM(E93:E96)</f>
        <v>0</v>
      </c>
      <c r="F97" s="44">
        <f t="shared" ref="F97:O97" ca="1" si="17">SUM(F93:F96)</f>
        <v>352.61848047389901</v>
      </c>
      <c r="G97" s="44">
        <f t="shared" ca="1" si="17"/>
        <v>519.64411331034387</v>
      </c>
      <c r="H97" s="44">
        <f t="shared" ca="1" si="17"/>
        <v>584.12226682814844</v>
      </c>
      <c r="I97" s="44">
        <f t="shared" ca="1" si="17"/>
        <v>845.26793875731346</v>
      </c>
      <c r="J97" s="44">
        <f t="shared" ca="1" si="17"/>
        <v>471.48057926715535</v>
      </c>
      <c r="K97" s="44">
        <f t="shared" ca="1" si="17"/>
        <v>590.72589872066158</v>
      </c>
      <c r="L97" s="44">
        <f t="shared" ca="1" si="17"/>
        <v>617.05714143403702</v>
      </c>
      <c r="M97" s="44">
        <f t="shared" ca="1" si="17"/>
        <v>891.47989064548142</v>
      </c>
      <c r="N97" s="44">
        <f t="shared" ca="1" si="17"/>
        <v>626.74556967841704</v>
      </c>
      <c r="O97" s="44">
        <f t="shared" ca="1" si="17"/>
        <v>933.44571695025252</v>
      </c>
      <c r="Q97" s="1" t="s">
        <v>532</v>
      </c>
      <c r="R97" s="256">
        <v>24000</v>
      </c>
      <c r="S97" s="147">
        <f>SUMIF(민감도분석!$20:$20,'A&amp;R'!S$96&amp;'A&amp;R'!$R97,민감도분석!$28:$28)</f>
        <v>1.4511806088421064</v>
      </c>
      <c r="T97" s="147">
        <f>SUMIF(민감도분석!$20:$20,'A&amp;R'!T$96&amp;'A&amp;R'!$R97,민감도분석!$28:$28)</f>
        <v>1.4446499673793995</v>
      </c>
      <c r="U97" s="147">
        <f>SUMIF(민감도분석!$20:$20,'A&amp;R'!U$96&amp;'A&amp;R'!$R97,민감도분석!$28:$28)</f>
        <v>1.3798370708532588</v>
      </c>
      <c r="V97" s="147">
        <f>SUMIF(민감도분석!$20:$20,'A&amp;R'!V$96&amp;'A&amp;R'!$R97,민감도분석!$28:$28)</f>
        <v>1.3150241743271205</v>
      </c>
      <c r="W97" s="147">
        <f>SUMIF(민감도분석!$20:$20,'A&amp;R'!W$96&amp;'A&amp;R'!$R97,민감도분석!$28:$28)</f>
        <v>1.2502112778009822</v>
      </c>
      <c r="X97" s="147">
        <f>SUMIF(민감도분석!$20:$20,'A&amp;R'!X$96&amp;'A&amp;R'!$R97,민감도분석!$28:$28)</f>
        <v>1.1853983812748388</v>
      </c>
      <c r="Y97" s="147">
        <f>SUMIF(민감도분석!$20:$20,'A&amp;R'!Y$96&amp;'A&amp;R'!$R97,민감도분석!$28:$28)</f>
        <v>1.1205854847487031</v>
      </c>
      <c r="Z97" s="147">
        <f>SUMIF(민감도분석!$20:$20,'A&amp;R'!Z$96&amp;'A&amp;R'!$R97,민감도분석!$28:$28)</f>
        <v>1.0557725882225648</v>
      </c>
      <c r="AA97" s="147">
        <f>SUMIF(민감도분석!$20:$20,'A&amp;R'!AA$96&amp;'A&amp;R'!$R97,민감도분석!$28:$28)</f>
        <v>0.99095969169642906</v>
      </c>
      <c r="AB97" s="147">
        <f>SUMIF(민감도분석!$20:$20,'A&amp;R'!AB$96&amp;'A&amp;R'!$R97,민감도분석!$28:$28)</f>
        <v>0.9261467951702882</v>
      </c>
      <c r="AC97" s="147">
        <f>SUMIF(민감도분석!$20:$20,'A&amp;R'!AC$96&amp;'A&amp;R'!$R97,민감도분석!$28:$28)</f>
        <v>0.86133389864414989</v>
      </c>
    </row>
    <row r="98" spans="2:29" ht="13.5" customHeight="1">
      <c r="R98" s="256">
        <v>25000</v>
      </c>
      <c r="S98" s="147">
        <f>SUMIF(민감도분석!$20:$20,'A&amp;R'!S$96&amp;'A&amp;R'!$R98,민감도분석!$28:$28)</f>
        <v>1.4511806088421064</v>
      </c>
      <c r="T98" s="147">
        <f>SUMIF(민감도분석!$20:$20,'A&amp;R'!T$96&amp;'A&amp;R'!$R98,민감도분석!$28:$28)</f>
        <v>1.4511806088421064</v>
      </c>
      <c r="U98" s="147">
        <f>SUMIF(민감도분석!$20:$20,'A&amp;R'!U$96&amp;'A&amp;R'!$R98,민감도분석!$28:$28)</f>
        <v>1.4511806088421064</v>
      </c>
      <c r="V98" s="147">
        <f>SUMIF(민감도분석!$20:$20,'A&amp;R'!V$96&amp;'A&amp;R'!$R98,민감도분석!$28:$28)</f>
        <v>1.3901059956160815</v>
      </c>
      <c r="W98" s="147">
        <f>SUMIF(민감도분석!$20:$20,'A&amp;R'!W$96&amp;'A&amp;R'!$R98,민감도분석!$28:$28)</f>
        <v>1.3228178742122803</v>
      </c>
      <c r="X98" s="147">
        <f>SUMIF(민감도분석!$20:$20,'A&amp;R'!X$96&amp;'A&amp;R'!$R98,민감도분석!$28:$28)</f>
        <v>1.255529752808489</v>
      </c>
      <c r="Y98" s="147">
        <f>SUMIF(민감도분석!$20:$20,'A&amp;R'!Y$96&amp;'A&amp;R'!$R98,민감도분석!$28:$28)</f>
        <v>1.1882416314046902</v>
      </c>
      <c r="Z98" s="147">
        <f>SUMIF(민감도분석!$20:$20,'A&amp;R'!Z$96&amp;'A&amp;R'!$R98,민감도분석!$28:$28)</f>
        <v>1.1209535100008914</v>
      </c>
      <c r="AA98" s="147">
        <f>SUMIF(민감도분석!$20:$20,'A&amp;R'!AA$96&amp;'A&amp;R'!$R98,민감도분석!$28:$28)</f>
        <v>1.053665388597095</v>
      </c>
      <c r="AB98" s="147">
        <f>SUMIF(민감도분석!$20:$20,'A&amp;R'!AB$96&amp;'A&amp;R'!$R98,민감도분석!$28:$28)</f>
        <v>0.98637726719329888</v>
      </c>
      <c r="AC98" s="147">
        <f>SUMIF(민감도분석!$20:$20,'A&amp;R'!AC$96&amp;'A&amp;R'!$R98,민감도분석!$28:$28)</f>
        <v>0.91908914578949996</v>
      </c>
    </row>
    <row r="99" spans="2:29" ht="13.5" customHeight="1">
      <c r="B99" s="13" t="str">
        <f>현금흐름!B24</f>
        <v>투자현금흐름</v>
      </c>
      <c r="R99" s="178">
        <v>26000</v>
      </c>
      <c r="S99" s="265">
        <f>SUMIF(민감도분석!$20:$20,'A&amp;R'!S$96&amp;'A&amp;R'!$R99,민감도분석!$28:$28)</f>
        <v>1.4511806088421064</v>
      </c>
      <c r="T99" s="265">
        <f>SUMIF(민감도분석!$20:$20,'A&amp;R'!T$96&amp;'A&amp;R'!$R99,민감도분석!$28:$28)</f>
        <v>1.4511806088421064</v>
      </c>
      <c r="U99" s="265">
        <f>SUMIF(민감도분석!$20:$20,'A&amp;R'!U$96&amp;'A&amp;R'!$R99,민감도분석!$28:$28)</f>
        <v>1.4511806088421064</v>
      </c>
      <c r="V99" s="265">
        <f>SUMIF(민감도분석!$20:$20,'A&amp;R'!V$96&amp;'A&amp;R'!$R99,민감도분석!$28:$28)</f>
        <v>1.4511806088421064</v>
      </c>
      <c r="W99" s="265">
        <f>SUMIF(민감도분석!$20:$20,'A&amp;R'!W$96&amp;'A&amp;R'!$R99,민감도분석!$28:$28)</f>
        <v>1.3954244706235832</v>
      </c>
      <c r="X99" s="265">
        <f>SUMIF(민감도분석!$20:$20,'A&amp;R'!X$96&amp;'A&amp;R'!$R99,민감도분석!$28:$28)</f>
        <v>1.3256611243421264</v>
      </c>
      <c r="Y99" s="265">
        <f>SUMIF(민감도분석!$20:$20,'A&amp;R'!Y$96&amp;'A&amp;R'!$R99,민감도분석!$28:$28)</f>
        <v>1.2558977780606748</v>
      </c>
      <c r="Z99" s="265">
        <f>SUMIF(민감도분석!$20:$20,'A&amp;R'!Z$96&amp;'A&amp;R'!$R99,민감도분석!$28:$28)</f>
        <v>1.186134431779218</v>
      </c>
      <c r="AA99" s="265">
        <f>SUMIF(민감도분석!$20:$20,'A&amp;R'!AA$96&amp;'A&amp;R'!$R99,민감도분석!$28:$28)</f>
        <v>1.1163710854977638</v>
      </c>
      <c r="AB99" s="265">
        <f>SUMIF(민감도분석!$20:$20,'A&amp;R'!AB$96&amp;'A&amp;R'!$R99,민감도분석!$28:$28)</f>
        <v>1.0466077392163096</v>
      </c>
      <c r="AC99" s="265">
        <f>SUMIF(민감도분석!$20:$20,'A&amp;R'!AC$96&amp;'A&amp;R'!$R99,민감도분석!$28:$28)</f>
        <v>0.9768443929348527</v>
      </c>
    </row>
    <row r="100" spans="2:29" ht="13.5" customHeight="1">
      <c r="B100" s="1" t="str">
        <f>현금흐름!C25</f>
        <v>자산취득</v>
      </c>
      <c r="E100" s="1">
        <f ca="1">SUMIF(현금흐름!$15:$15,'A&amp;R'!E$89,현금흐름!25:25)</f>
        <v>-51905.875293976729</v>
      </c>
      <c r="F100" s="1">
        <f ca="1">SUMIF(현금흐름!$15:$15,'A&amp;R'!F$89,현금흐름!25:25)</f>
        <v>0</v>
      </c>
      <c r="G100" s="1">
        <f ca="1">SUMIF(현금흐름!$15:$15,'A&amp;R'!G$89,현금흐름!25:25)</f>
        <v>0</v>
      </c>
      <c r="H100" s="1">
        <f ca="1">SUMIF(현금흐름!$15:$15,'A&amp;R'!H$89,현금흐름!25:25)</f>
        <v>0</v>
      </c>
      <c r="I100" s="1">
        <f ca="1">SUMIF(현금흐름!$15:$15,'A&amp;R'!I$89,현금흐름!25:25)</f>
        <v>0</v>
      </c>
      <c r="J100" s="1">
        <f ca="1">SUMIF(현금흐름!$15:$15,'A&amp;R'!J$89,현금흐름!25:25)</f>
        <v>0</v>
      </c>
      <c r="K100" s="1">
        <f ca="1">SUMIF(현금흐름!$15:$15,'A&amp;R'!K$89,현금흐름!25:25)</f>
        <v>0</v>
      </c>
      <c r="L100" s="1">
        <f ca="1">SUMIF(현금흐름!$15:$15,'A&amp;R'!L$89,현금흐름!25:25)</f>
        <v>0</v>
      </c>
      <c r="M100" s="1">
        <f ca="1">SUMIF(현금흐름!$15:$15,'A&amp;R'!M$89,현금흐름!25:25)</f>
        <v>0</v>
      </c>
      <c r="N100" s="1">
        <f ca="1">SUMIF(현금흐름!$15:$15,'A&amp;R'!N$89,현금흐름!25:25)</f>
        <v>0</v>
      </c>
      <c r="O100" s="1">
        <f ca="1">SUMIF(현금흐름!$15:$15,'A&amp;R'!O$89,현금흐름!25:25)</f>
        <v>0</v>
      </c>
    </row>
    <row r="101" spans="2:29" ht="13.5" customHeight="1">
      <c r="B101" s="1" t="str">
        <f>현금흐름!C26</f>
        <v>매입VAT환급</v>
      </c>
      <c r="E101" s="1">
        <f ca="1">SUMIF(현금흐름!$15:$15,'A&amp;R'!E$89,현금흐름!26:26)</f>
        <v>0</v>
      </c>
      <c r="F101" s="1">
        <f ca="1">SUMIF(현금흐름!$15:$15,'A&amp;R'!F$89,현금흐름!26:26)</f>
        <v>2997.8680304266668</v>
      </c>
      <c r="G101" s="1">
        <f ca="1">SUMIF(현금흐름!$15:$15,'A&amp;R'!G$89,현금흐름!26:26)</f>
        <v>0</v>
      </c>
      <c r="H101" s="1">
        <f ca="1">SUMIF(현금흐름!$15:$15,'A&amp;R'!H$89,현금흐름!26:26)</f>
        <v>0</v>
      </c>
      <c r="I101" s="1">
        <f ca="1">SUMIF(현금흐름!$15:$15,'A&amp;R'!I$89,현금흐름!26:26)</f>
        <v>0</v>
      </c>
      <c r="J101" s="1">
        <f ca="1">SUMIF(현금흐름!$15:$15,'A&amp;R'!J$89,현금흐름!26:26)</f>
        <v>0</v>
      </c>
      <c r="K101" s="1">
        <f ca="1">SUMIF(현금흐름!$15:$15,'A&amp;R'!K$89,현금흐름!26:26)</f>
        <v>0</v>
      </c>
      <c r="L101" s="1">
        <f ca="1">SUMIF(현금흐름!$15:$15,'A&amp;R'!L$89,현금흐름!26:26)</f>
        <v>0</v>
      </c>
      <c r="M101" s="1">
        <f ca="1">SUMIF(현금흐름!$15:$15,'A&amp;R'!M$89,현금흐름!26:26)</f>
        <v>0</v>
      </c>
      <c r="N101" s="1">
        <f ca="1">SUMIF(현금흐름!$15:$15,'A&amp;R'!N$89,현금흐름!26:26)</f>
        <v>0</v>
      </c>
      <c r="O101" s="1">
        <f ca="1">SUMIF(현금흐름!$15:$15,'A&amp;R'!O$89,현금흐름!26:26)</f>
        <v>0</v>
      </c>
      <c r="Q101" s="13" t="s">
        <v>535</v>
      </c>
    </row>
    <row r="102" spans="2:29" ht="13.5" customHeight="1">
      <c r="B102" s="1" t="str">
        <f>현금흐름!C27</f>
        <v>운영기간 Capex</v>
      </c>
      <c r="E102" s="1">
        <f>SUMIF(현금흐름!$15:$15,'A&amp;R'!E$89,현금흐름!27:27)</f>
        <v>0</v>
      </c>
      <c r="F102" s="1">
        <f>SUMIF(현금흐름!$15:$15,'A&amp;R'!F$89,현금흐름!27:27)</f>
        <v>-6</v>
      </c>
      <c r="G102" s="1">
        <f>SUMIF(현금흐름!$15:$15,'A&amp;R'!G$89,현금흐름!27:27)</f>
        <v>-6</v>
      </c>
      <c r="H102" s="1">
        <f>SUMIF(현금흐름!$15:$15,'A&amp;R'!H$89,현금흐름!27:27)</f>
        <v>-6</v>
      </c>
      <c r="I102" s="1">
        <f>SUMIF(현금흐름!$15:$15,'A&amp;R'!I$89,현금흐름!27:27)</f>
        <v>-6</v>
      </c>
      <c r="J102" s="1">
        <f>SUMIF(현금흐름!$15:$15,'A&amp;R'!J$89,현금흐름!27:27)</f>
        <v>-6</v>
      </c>
      <c r="K102" s="1">
        <f>SUMIF(현금흐름!$15:$15,'A&amp;R'!K$89,현금흐름!27:27)</f>
        <v>-6</v>
      </c>
      <c r="L102" s="1">
        <f>SUMIF(현금흐름!$15:$15,'A&amp;R'!L$89,현금흐름!27:27)</f>
        <v>-6</v>
      </c>
      <c r="M102" s="1">
        <f>SUMIF(현금흐름!$15:$15,'A&amp;R'!M$89,현금흐름!27:27)</f>
        <v>-6</v>
      </c>
      <c r="N102" s="1">
        <f>SUMIF(현금흐름!$15:$15,'A&amp;R'!N$89,현금흐름!27:27)</f>
        <v>-6</v>
      </c>
      <c r="O102" s="1">
        <f>SUMIF(현금흐름!$15:$15,'A&amp;R'!O$89,현금흐름!27:27)</f>
        <v>-6</v>
      </c>
      <c r="Q102" s="1" t="s">
        <v>536</v>
      </c>
    </row>
    <row r="103" spans="2:29" ht="13.5" customHeight="1">
      <c r="B103" s="1" t="str">
        <f>현금흐름!C28</f>
        <v>자산매각</v>
      </c>
      <c r="E103" s="1">
        <f ca="1">SUMIF(현금흐름!$15:$15,'A&amp;R'!E$89,현금흐름!28:28)</f>
        <v>0</v>
      </c>
      <c r="F103" s="1">
        <f ca="1">SUMIF(현금흐름!$15:$15,'A&amp;R'!F$89,현금흐름!28:28)</f>
        <v>0</v>
      </c>
      <c r="G103" s="1">
        <f ca="1">SUMIF(현금흐름!$15:$15,'A&amp;R'!G$89,현금흐름!28:28)</f>
        <v>0</v>
      </c>
      <c r="H103" s="1">
        <f ca="1">SUMIF(현금흐름!$15:$15,'A&amp;R'!H$89,현금흐름!28:28)</f>
        <v>0</v>
      </c>
      <c r="I103" s="1">
        <f ca="1">SUMIF(현금흐름!$15:$15,'A&amp;R'!I$89,현금흐름!28:28)</f>
        <v>0</v>
      </c>
      <c r="J103" s="1">
        <f ca="1">SUMIF(현금흐름!$15:$15,'A&amp;R'!J$89,현금흐름!28:28)</f>
        <v>0</v>
      </c>
      <c r="K103" s="1">
        <f ca="1">SUMIF(현금흐름!$15:$15,'A&amp;R'!K$89,현금흐름!28:28)</f>
        <v>0</v>
      </c>
      <c r="L103" s="1">
        <f ca="1">SUMIF(현금흐름!$15:$15,'A&amp;R'!L$89,현금흐름!28:28)</f>
        <v>0</v>
      </c>
      <c r="M103" s="1">
        <f ca="1">SUMIF(현금흐름!$15:$15,'A&amp;R'!M$89,현금흐름!28:28)</f>
        <v>0</v>
      </c>
      <c r="N103" s="1">
        <f ca="1">SUMIF(현금흐름!$15:$15,'A&amp;R'!N$89,현금흐름!28:28)</f>
        <v>0</v>
      </c>
      <c r="O103" s="1">
        <f ca="1">SUMIF(현금흐름!$15:$15,'A&amp;R'!O$89,현금흐름!28:28)</f>
        <v>52450.741025376243</v>
      </c>
      <c r="Q103" s="1" t="s">
        <v>531</v>
      </c>
      <c r="R103" s="251">
        <f ca="1">E156</f>
        <v>0.06</v>
      </c>
      <c r="S103" s="255">
        <v>0</v>
      </c>
      <c r="T103" s="255">
        <f>S103+3%</f>
        <v>0.03</v>
      </c>
      <c r="U103" s="255">
        <f t="shared" ref="U103" si="18">T103+3%</f>
        <v>0.06</v>
      </c>
      <c r="V103" s="255">
        <f t="shared" ref="V103" si="19">U103+3%</f>
        <v>0.09</v>
      </c>
      <c r="W103" s="255">
        <f t="shared" ref="W103" si="20">V103+3%</f>
        <v>0.12</v>
      </c>
      <c r="X103" s="255">
        <f t="shared" ref="X103" si="21">W103+3%</f>
        <v>0.15</v>
      </c>
      <c r="Y103" s="255">
        <f t="shared" ref="Y103" si="22">X103+3%</f>
        <v>0.18</v>
      </c>
      <c r="Z103" s="255">
        <f t="shared" ref="Z103" si="23">Y103+3%</f>
        <v>0.21</v>
      </c>
      <c r="AA103" s="255">
        <f t="shared" ref="AA103" si="24">Z103+3%</f>
        <v>0.24</v>
      </c>
      <c r="AB103" s="255">
        <f t="shared" ref="AB103" si="25">AA103+3%</f>
        <v>0.27</v>
      </c>
      <c r="AC103" s="255">
        <f t="shared" ref="AC103" si="26">AB103+3%</f>
        <v>0.30000000000000004</v>
      </c>
    </row>
    <row r="104" spans="2:29" ht="13.5" customHeight="1">
      <c r="B104" s="44" t="str">
        <f>현금흐름!C29</f>
        <v>투자현금흐름 합계</v>
      </c>
      <c r="C104" s="44"/>
      <c r="D104" s="135" t="b">
        <f ca="1">ABS(SUM(E104:O104)-현금흐름!F29)&lt;0.001</f>
        <v>1</v>
      </c>
      <c r="E104" s="44">
        <f ca="1">SUM(E100:E103)</f>
        <v>-51905.875293976729</v>
      </c>
      <c r="F104" s="44">
        <f t="shared" ref="F104:O104" ca="1" si="27">SUM(F100:F103)</f>
        <v>2991.8680304266668</v>
      </c>
      <c r="G104" s="44">
        <f t="shared" ca="1" si="27"/>
        <v>-6</v>
      </c>
      <c r="H104" s="44">
        <f t="shared" ca="1" si="27"/>
        <v>-6</v>
      </c>
      <c r="I104" s="44">
        <f t="shared" ca="1" si="27"/>
        <v>-6</v>
      </c>
      <c r="J104" s="44">
        <f t="shared" ca="1" si="27"/>
        <v>-6</v>
      </c>
      <c r="K104" s="44">
        <f t="shared" ca="1" si="27"/>
        <v>-6</v>
      </c>
      <c r="L104" s="44">
        <f t="shared" ca="1" si="27"/>
        <v>-6</v>
      </c>
      <c r="M104" s="44">
        <f t="shared" ca="1" si="27"/>
        <v>-6</v>
      </c>
      <c r="N104" s="44">
        <f t="shared" ca="1" si="27"/>
        <v>-6</v>
      </c>
      <c r="O104" s="44">
        <f t="shared" ca="1" si="27"/>
        <v>52444.741025376243</v>
      </c>
      <c r="Q104" s="1" t="s">
        <v>537</v>
      </c>
      <c r="R104" s="266">
        <v>4.2000000000000003E-2</v>
      </c>
      <c r="S104" s="144">
        <f>SUMIF(민감도분석!$21:$21,'A&amp;R'!S$103&amp;'A&amp;R'!$R104,민감도분석!$30:$30)</f>
        <v>0.06</v>
      </c>
      <c r="T104" s="144">
        <f>SUMIF(민감도분석!$21:$21,'A&amp;R'!T$103&amp;'A&amp;R'!$R104,민감도분석!$30:$30)</f>
        <v>0.06</v>
      </c>
      <c r="U104" s="144">
        <f>SUMIF(민감도분석!$21:$21,'A&amp;R'!U$103&amp;'A&amp;R'!$R104,민감도분석!$30:$30)</f>
        <v>0.06</v>
      </c>
      <c r="V104" s="144">
        <f>SUMIF(민감도분석!$21:$21,'A&amp;R'!V$103&amp;'A&amp;R'!$R104,민감도분석!$30:$30)</f>
        <v>5.7435834181653753E-2</v>
      </c>
      <c r="W104" s="144">
        <f>SUMIF(민감도분석!$21:$21,'A&amp;R'!W$103&amp;'A&amp;R'!$R104,민감도분석!$30:$30)</f>
        <v>4.4947510098603226E-2</v>
      </c>
      <c r="X104" s="144">
        <f>SUMIF(민감도분석!$21:$21,'A&amp;R'!X$103&amp;'A&amp;R'!$R104,민감도분석!$30:$30)</f>
        <v>3.7496568606032614E-2</v>
      </c>
      <c r="Y104" s="144">
        <f>SUMIF(민감도분석!$21:$21,'A&amp;R'!Y$103&amp;'A&amp;R'!$R104,민감도분석!$30:$30)</f>
        <v>2.6001451588413022E-2</v>
      </c>
      <c r="Z104" s="144">
        <f>SUMIF(민감도분석!$21:$21,'A&amp;R'!Z$103&amp;'A&amp;R'!$R104,민감도분석!$30:$30)</f>
        <v>2.4349659752584941E-2</v>
      </c>
      <c r="AA104" s="144">
        <f>SUMIF(민감도분석!$21:$21,'A&amp;R'!AA$103&amp;'A&amp;R'!$R104,민감도분석!$30:$30)</f>
        <v>2.2697867916756882E-2</v>
      </c>
      <c r="AB104" s="144">
        <f>SUMIF(민감도분석!$21:$21,'A&amp;R'!AB$103&amp;'A&amp;R'!$R104,민감도분석!$30:$30)</f>
        <v>2.1046076080928806E-2</v>
      </c>
      <c r="AC104" s="144">
        <f>SUMIF(민감도분석!$21:$21,'A&amp;R'!AC$103&amp;'A&amp;R'!$R104,민감도분석!$30:$30)</f>
        <v>6.2403400557176879E-3</v>
      </c>
    </row>
    <row r="105" spans="2:29" ht="13.5" customHeight="1">
      <c r="R105" s="266">
        <f>R104+0.15%</f>
        <v>4.3500000000000004E-2</v>
      </c>
      <c r="S105" s="144">
        <f>SUMIF(민감도분석!$21:$21,'A&amp;R'!S$103&amp;'A&amp;R'!$R105,민감도분석!$30:$30)</f>
        <v>0.06</v>
      </c>
      <c r="T105" s="144">
        <f>SUMIF(민감도분석!$21:$21,'A&amp;R'!T$103&amp;'A&amp;R'!$R105,민감도분석!$30:$30)</f>
        <v>0.06</v>
      </c>
      <c r="U105" s="144">
        <f>SUMIF(민감도분석!$21:$21,'A&amp;R'!U$103&amp;'A&amp;R'!$R105,민감도분석!$30:$30)</f>
        <v>0.06</v>
      </c>
      <c r="V105" s="144">
        <f>SUMIF(민감도분석!$21:$21,'A&amp;R'!V$103&amp;'A&amp;R'!$R105,민감도분석!$30:$30)</f>
        <v>5.7435834181653753E-2</v>
      </c>
      <c r="W105" s="144">
        <f>SUMIF(민감도분석!$21:$21,'A&amp;R'!W$103&amp;'A&amp;R'!$R105,민감도분석!$30:$30)</f>
        <v>4.4947510098603226E-2</v>
      </c>
      <c r="X105" s="144">
        <f>SUMIF(민감도분석!$21:$21,'A&amp;R'!X$103&amp;'A&amp;R'!$R105,민감도분석!$30:$30)</f>
        <v>3.7496568606032614E-2</v>
      </c>
      <c r="Y105" s="144">
        <f>SUMIF(민감도분석!$21:$21,'A&amp;R'!Y$103&amp;'A&amp;R'!$R105,민감도분석!$30:$30)</f>
        <v>2.6001451588413022E-2</v>
      </c>
      <c r="Z105" s="144">
        <f>SUMIF(민감도분석!$21:$21,'A&amp;R'!Z$103&amp;'A&amp;R'!$R105,민감도분석!$30:$30)</f>
        <v>2.4349659752584941E-2</v>
      </c>
      <c r="AA105" s="144">
        <f>SUMIF(민감도분석!$21:$21,'A&amp;R'!AA$103&amp;'A&amp;R'!$R105,민감도분석!$30:$30)</f>
        <v>2.2697867916756882E-2</v>
      </c>
      <c r="AB105" s="144">
        <f>SUMIF(민감도분석!$21:$21,'A&amp;R'!AB$103&amp;'A&amp;R'!$R105,민감도분석!$30:$30)</f>
        <v>2.1046076080928806E-2</v>
      </c>
      <c r="AC105" s="144">
        <f>SUMIF(민감도분석!$21:$21,'A&amp;R'!AC$103&amp;'A&amp;R'!$R105,민감도분석!$30:$30)</f>
        <v>6.2403400557176879E-3</v>
      </c>
    </row>
    <row r="106" spans="2:29" ht="13.5" customHeight="1">
      <c r="B106" s="13" t="str">
        <f>현금흐름!B31</f>
        <v>재무현금흐름</v>
      </c>
      <c r="R106" s="266">
        <f t="shared" ref="R106:R114" si="28">R105+0.15%</f>
        <v>4.5000000000000005E-2</v>
      </c>
      <c r="S106" s="144">
        <f>SUMIF(민감도분석!$21:$21,'A&amp;R'!S$103&amp;'A&amp;R'!$R106,민감도분석!$30:$30)</f>
        <v>0.06</v>
      </c>
      <c r="T106" s="144">
        <f>SUMIF(민감도분석!$21:$21,'A&amp;R'!T$103&amp;'A&amp;R'!$R106,민감도분석!$30:$30)</f>
        <v>0.06</v>
      </c>
      <c r="U106" s="144">
        <f>SUMIF(민감도분석!$21:$21,'A&amp;R'!U$103&amp;'A&amp;R'!$R106,민감도분석!$30:$30)</f>
        <v>0.06</v>
      </c>
      <c r="V106" s="144">
        <f>SUMIF(민감도분석!$21:$21,'A&amp;R'!V$103&amp;'A&amp;R'!$R106,민감도분석!$30:$30)</f>
        <v>5.7435834181653753E-2</v>
      </c>
      <c r="W106" s="144">
        <f>SUMIF(민감도분석!$21:$21,'A&amp;R'!W$103&amp;'A&amp;R'!$R106,민감도분석!$30:$30)</f>
        <v>4.4947510098603226E-2</v>
      </c>
      <c r="X106" s="144">
        <f>SUMIF(민감도분석!$21:$21,'A&amp;R'!X$103&amp;'A&amp;R'!$R106,민감도분석!$30:$30)</f>
        <v>3.7496568606032614E-2</v>
      </c>
      <c r="Y106" s="144">
        <f>SUMIF(민감도분석!$21:$21,'A&amp;R'!Y$103&amp;'A&amp;R'!$R106,민감도분석!$30:$30)</f>
        <v>2.6001451588413022E-2</v>
      </c>
      <c r="Z106" s="144">
        <f>SUMIF(민감도분석!$21:$21,'A&amp;R'!Z$103&amp;'A&amp;R'!$R106,민감도분석!$30:$30)</f>
        <v>2.4349659752584941E-2</v>
      </c>
      <c r="AA106" s="144">
        <f>SUMIF(민감도분석!$21:$21,'A&amp;R'!AA$103&amp;'A&amp;R'!$R106,민감도분석!$30:$30)</f>
        <v>2.2697867916756882E-2</v>
      </c>
      <c r="AB106" s="144">
        <f>SUMIF(민감도분석!$21:$21,'A&amp;R'!AB$103&amp;'A&amp;R'!$R106,민감도분석!$30:$30)</f>
        <v>2.1046076080928806E-2</v>
      </c>
      <c r="AC106" s="144">
        <f>SUMIF(민감도분석!$21:$21,'A&amp;R'!AC$103&amp;'A&amp;R'!$R106,민감도분석!$30:$30)</f>
        <v>6.2403400557176879E-3</v>
      </c>
    </row>
    <row r="107" spans="2:29" ht="13.5" customHeight="1">
      <c r="B107" s="1" t="str">
        <f>현금흐름!C32</f>
        <v>자기자본 증자</v>
      </c>
      <c r="R107" s="266">
        <f t="shared" si="28"/>
        <v>4.6500000000000007E-2</v>
      </c>
      <c r="S107" s="144">
        <f>SUMIF(민감도분석!$21:$21,'A&amp;R'!S$103&amp;'A&amp;R'!$R107,민감도분석!$30:$30)</f>
        <v>0.06</v>
      </c>
      <c r="T107" s="144">
        <f>SUMIF(민감도분석!$21:$21,'A&amp;R'!T$103&amp;'A&amp;R'!$R107,민감도분석!$30:$30)</f>
        <v>0.06</v>
      </c>
      <c r="U107" s="144">
        <f>SUMIF(민감도분석!$21:$21,'A&amp;R'!U$103&amp;'A&amp;R'!$R107,민감도분석!$30:$30)</f>
        <v>0.06</v>
      </c>
      <c r="V107" s="144">
        <f>SUMIF(민감도분석!$21:$21,'A&amp;R'!V$103&amp;'A&amp;R'!$R107,민감도분석!$30:$30)</f>
        <v>5.7435834181653753E-2</v>
      </c>
      <c r="W107" s="144">
        <f>SUMIF(민감도분석!$21:$21,'A&amp;R'!W$103&amp;'A&amp;R'!$R107,민감도분석!$30:$30)</f>
        <v>4.4947510098603226E-2</v>
      </c>
      <c r="X107" s="144">
        <f>SUMIF(민감도분석!$21:$21,'A&amp;R'!X$103&amp;'A&amp;R'!$R107,민감도분석!$30:$30)</f>
        <v>3.7496568606032614E-2</v>
      </c>
      <c r="Y107" s="144">
        <f>SUMIF(민감도분석!$21:$21,'A&amp;R'!Y$103&amp;'A&amp;R'!$R107,민감도분석!$30:$30)</f>
        <v>2.6001451588413022E-2</v>
      </c>
      <c r="Z107" s="144">
        <f>SUMIF(민감도분석!$21:$21,'A&amp;R'!Z$103&amp;'A&amp;R'!$R107,민감도분석!$30:$30)</f>
        <v>2.4349659752584941E-2</v>
      </c>
      <c r="AA107" s="144">
        <f>SUMIF(민감도분석!$21:$21,'A&amp;R'!AA$103&amp;'A&amp;R'!$R107,민감도분석!$30:$30)</f>
        <v>2.2697867916756882E-2</v>
      </c>
      <c r="AB107" s="144">
        <f>SUMIF(민감도분석!$21:$21,'A&amp;R'!AB$103&amp;'A&amp;R'!$R107,민감도분석!$30:$30)</f>
        <v>2.1046076080928806E-2</v>
      </c>
      <c r="AC107" s="144">
        <f>SUMIF(민감도분석!$21:$21,'A&amp;R'!AC$103&amp;'A&amp;R'!$R107,민감도분석!$30:$30)</f>
        <v>6.2403400557176879E-3</v>
      </c>
    </row>
    <row r="108" spans="2:29" ht="13.5" customHeight="1">
      <c r="C108" s="30" t="str">
        <f>현금흐름!D33</f>
        <v>보통주</v>
      </c>
      <c r="D108" s="41"/>
      <c r="E108" s="41">
        <f>SUMIF(현금흐름!$15:$15,'A&amp;R'!E$89,현금흐름!33:33)</f>
        <v>5000</v>
      </c>
      <c r="F108" s="41">
        <f>SUMIF(현금흐름!$15:$15,'A&amp;R'!F$89,현금흐름!33:33)</f>
        <v>0</v>
      </c>
      <c r="G108" s="41">
        <f>SUMIF(현금흐름!$15:$15,'A&amp;R'!G$89,현금흐름!33:33)</f>
        <v>0</v>
      </c>
      <c r="H108" s="41">
        <f>SUMIF(현금흐름!$15:$15,'A&amp;R'!H$89,현금흐름!33:33)</f>
        <v>0</v>
      </c>
      <c r="I108" s="41">
        <f>SUMIF(현금흐름!$15:$15,'A&amp;R'!I$89,현금흐름!33:33)</f>
        <v>0</v>
      </c>
      <c r="J108" s="41">
        <f>SUMIF(현금흐름!$15:$15,'A&amp;R'!J$89,현금흐름!33:33)</f>
        <v>0</v>
      </c>
      <c r="K108" s="41">
        <f>SUMIF(현금흐름!$15:$15,'A&amp;R'!K$89,현금흐름!33:33)</f>
        <v>0</v>
      </c>
      <c r="L108" s="41">
        <f>SUMIF(현금흐름!$15:$15,'A&amp;R'!L$89,현금흐름!33:33)</f>
        <v>0</v>
      </c>
      <c r="M108" s="41">
        <f>SUMIF(현금흐름!$15:$15,'A&amp;R'!M$89,현금흐름!33:33)</f>
        <v>0</v>
      </c>
      <c r="N108" s="41">
        <f>SUMIF(현금흐름!$15:$15,'A&amp;R'!N$89,현금흐름!33:33)</f>
        <v>0</v>
      </c>
      <c r="O108" s="41">
        <f>SUMIF(현금흐름!$15:$15,'A&amp;R'!O$89,현금흐름!33:33)</f>
        <v>0</v>
      </c>
      <c r="R108" s="266">
        <f t="shared" si="28"/>
        <v>4.8000000000000008E-2</v>
      </c>
      <c r="S108" s="144">
        <f>SUMIF(민감도분석!$21:$21,'A&amp;R'!S$103&amp;'A&amp;R'!$R108,민감도분석!$30:$30)</f>
        <v>0.06</v>
      </c>
      <c r="T108" s="144">
        <f>SUMIF(민감도분석!$21:$21,'A&amp;R'!T$103&amp;'A&amp;R'!$R108,민감도분석!$30:$30)</f>
        <v>0.06</v>
      </c>
      <c r="U108" s="144">
        <f>SUMIF(민감도분석!$21:$21,'A&amp;R'!U$103&amp;'A&amp;R'!$R108,민감도분석!$30:$30)</f>
        <v>0.06</v>
      </c>
      <c r="V108" s="144">
        <f>SUMIF(민감도분석!$21:$21,'A&amp;R'!V$103&amp;'A&amp;R'!$R108,민감도분석!$30:$30)</f>
        <v>5.7435834181653753E-2</v>
      </c>
      <c r="W108" s="144">
        <f>SUMIF(민감도분석!$21:$21,'A&amp;R'!W$103&amp;'A&amp;R'!$R108,민감도분석!$30:$30)</f>
        <v>4.4947510098603226E-2</v>
      </c>
      <c r="X108" s="144">
        <f>SUMIF(민감도분석!$21:$21,'A&amp;R'!X$103&amp;'A&amp;R'!$R108,민감도분석!$30:$30)</f>
        <v>3.7496568606032614E-2</v>
      </c>
      <c r="Y108" s="144">
        <f>SUMIF(민감도분석!$21:$21,'A&amp;R'!Y$103&amp;'A&amp;R'!$R108,민감도분석!$30:$30)</f>
        <v>2.6001451588413022E-2</v>
      </c>
      <c r="Z108" s="144">
        <f>SUMIF(민감도분석!$21:$21,'A&amp;R'!Z$103&amp;'A&amp;R'!$R108,민감도분석!$30:$30)</f>
        <v>2.4349659752584941E-2</v>
      </c>
      <c r="AA108" s="144">
        <f>SUMIF(민감도분석!$21:$21,'A&amp;R'!AA$103&amp;'A&amp;R'!$R108,민감도분석!$30:$30)</f>
        <v>2.2697867916756882E-2</v>
      </c>
      <c r="AB108" s="144">
        <f>SUMIF(민감도분석!$21:$21,'A&amp;R'!AB$103&amp;'A&amp;R'!$R108,민감도분석!$30:$30)</f>
        <v>2.1046076080928806E-2</v>
      </c>
      <c r="AC108" s="144">
        <f>SUMIF(민감도분석!$21:$21,'A&amp;R'!AC$103&amp;'A&amp;R'!$R108,민감도분석!$30:$30)</f>
        <v>6.2403400557176879E-3</v>
      </c>
    </row>
    <row r="109" spans="2:29" ht="13.5" customHeight="1">
      <c r="B109" s="34"/>
      <c r="C109" s="36" t="str">
        <f>현금흐름!D34</f>
        <v>우선주</v>
      </c>
      <c r="D109" s="42"/>
      <c r="E109" s="42">
        <f>SUMIF(현금흐름!$15:$15,'A&amp;R'!E$89,현금흐름!34:34)</f>
        <v>17000</v>
      </c>
      <c r="F109" s="42">
        <f>SUMIF(현금흐름!$15:$15,'A&amp;R'!F$89,현금흐름!34:34)</f>
        <v>0</v>
      </c>
      <c r="G109" s="42">
        <f>SUMIF(현금흐름!$15:$15,'A&amp;R'!G$89,현금흐름!34:34)</f>
        <v>0</v>
      </c>
      <c r="H109" s="42">
        <f>SUMIF(현금흐름!$15:$15,'A&amp;R'!H$89,현금흐름!34:34)</f>
        <v>0</v>
      </c>
      <c r="I109" s="42">
        <f>SUMIF(현금흐름!$15:$15,'A&amp;R'!I$89,현금흐름!34:34)</f>
        <v>0</v>
      </c>
      <c r="J109" s="42">
        <f>SUMIF(현금흐름!$15:$15,'A&amp;R'!J$89,현금흐름!34:34)</f>
        <v>0</v>
      </c>
      <c r="K109" s="42">
        <f>SUMIF(현금흐름!$15:$15,'A&amp;R'!K$89,현금흐름!34:34)</f>
        <v>0</v>
      </c>
      <c r="L109" s="42">
        <f>SUMIF(현금흐름!$15:$15,'A&amp;R'!L$89,현금흐름!34:34)</f>
        <v>0</v>
      </c>
      <c r="M109" s="42">
        <f>SUMIF(현금흐름!$15:$15,'A&amp;R'!M$89,현금흐름!34:34)</f>
        <v>0</v>
      </c>
      <c r="N109" s="42">
        <f>SUMIF(현금흐름!$15:$15,'A&amp;R'!N$89,현금흐름!34:34)</f>
        <v>0</v>
      </c>
      <c r="O109" s="42">
        <f>SUMIF(현금흐름!$15:$15,'A&amp;R'!O$89,현금흐름!34:34)</f>
        <v>0</v>
      </c>
      <c r="R109" s="266">
        <f t="shared" si="28"/>
        <v>4.9500000000000009E-2</v>
      </c>
      <c r="S109" s="144">
        <f>SUMIF(민감도분석!$21:$21,'A&amp;R'!S$103&amp;'A&amp;R'!$R109,민감도분석!$30:$30)</f>
        <v>0.06</v>
      </c>
      <c r="T109" s="144">
        <f>SUMIF(민감도분석!$21:$21,'A&amp;R'!T$103&amp;'A&amp;R'!$R109,민감도분석!$30:$30)</f>
        <v>0.06</v>
      </c>
      <c r="U109" s="144">
        <f>SUMIF(민감도분석!$21:$21,'A&amp;R'!U$103&amp;'A&amp;R'!$R109,민감도분석!$30:$30)</f>
        <v>0.06</v>
      </c>
      <c r="V109" s="144">
        <f>SUMIF(민감도분석!$21:$21,'A&amp;R'!V$103&amp;'A&amp;R'!$R109,민감도분석!$30:$30)</f>
        <v>5.7435834181653753E-2</v>
      </c>
      <c r="W109" s="144">
        <f>SUMIF(민감도분석!$21:$21,'A&amp;R'!W$103&amp;'A&amp;R'!$R109,민감도분석!$30:$30)</f>
        <v>4.4947510098603226E-2</v>
      </c>
      <c r="X109" s="144">
        <f>SUMIF(민감도분석!$21:$21,'A&amp;R'!X$103&amp;'A&amp;R'!$R109,민감도분석!$30:$30)</f>
        <v>3.7496568606032614E-2</v>
      </c>
      <c r="Y109" s="144">
        <f>SUMIF(민감도분석!$21:$21,'A&amp;R'!Y$103&amp;'A&amp;R'!$R109,민감도분석!$30:$30)</f>
        <v>2.6001451588413022E-2</v>
      </c>
      <c r="Z109" s="144">
        <f>SUMIF(민감도분석!$21:$21,'A&amp;R'!Z$103&amp;'A&amp;R'!$R109,민감도분석!$30:$30)</f>
        <v>2.4349659752584941E-2</v>
      </c>
      <c r="AA109" s="144">
        <f>SUMIF(민감도분석!$21:$21,'A&amp;R'!AA$103&amp;'A&amp;R'!$R109,민감도분석!$30:$30)</f>
        <v>2.2697867916756882E-2</v>
      </c>
      <c r="AB109" s="144">
        <f>SUMIF(민감도분석!$21:$21,'A&amp;R'!AB$103&amp;'A&amp;R'!$R109,민감도분석!$30:$30)</f>
        <v>2.1046076080928806E-2</v>
      </c>
      <c r="AC109" s="144">
        <f>SUMIF(민감도분석!$21:$21,'A&amp;R'!AC$103&amp;'A&amp;R'!$R109,민감도분석!$30:$30)</f>
        <v>6.2403400557176879E-3</v>
      </c>
    </row>
    <row r="110" spans="2:29" ht="13.5" customHeight="1">
      <c r="B110" s="1" t="str">
        <f>현금흐름!C35</f>
        <v>타인자본 조달</v>
      </c>
      <c r="R110" s="266">
        <f t="shared" si="28"/>
        <v>5.1000000000000011E-2</v>
      </c>
      <c r="S110" s="144">
        <f>SUMIF(민감도분석!$21:$21,'A&amp;R'!S$103&amp;'A&amp;R'!$R110,민감도분석!$30:$30)</f>
        <v>0.06</v>
      </c>
      <c r="T110" s="144">
        <f>SUMIF(민감도분석!$21:$21,'A&amp;R'!T$103&amp;'A&amp;R'!$R110,민감도분석!$30:$30)</f>
        <v>0.06</v>
      </c>
      <c r="U110" s="144">
        <f>SUMIF(민감도분석!$21:$21,'A&amp;R'!U$103&amp;'A&amp;R'!$R110,민감도분석!$30:$30)</f>
        <v>0.06</v>
      </c>
      <c r="V110" s="144">
        <f>SUMIF(민감도분석!$21:$21,'A&amp;R'!V$103&amp;'A&amp;R'!$R110,민감도분석!$30:$30)</f>
        <v>5.7435834181653753E-2</v>
      </c>
      <c r="W110" s="144">
        <f>SUMIF(민감도분석!$21:$21,'A&amp;R'!W$103&amp;'A&amp;R'!$R110,민감도분석!$30:$30)</f>
        <v>4.4947510098603226E-2</v>
      </c>
      <c r="X110" s="144">
        <f>SUMIF(민감도분석!$21:$21,'A&amp;R'!X$103&amp;'A&amp;R'!$R110,민감도분석!$30:$30)</f>
        <v>3.7496568606032614E-2</v>
      </c>
      <c r="Y110" s="144">
        <f>SUMIF(민감도분석!$21:$21,'A&amp;R'!Y$103&amp;'A&amp;R'!$R110,민감도분석!$30:$30)</f>
        <v>2.6001451588413022E-2</v>
      </c>
      <c r="Z110" s="144">
        <f>SUMIF(민감도분석!$21:$21,'A&amp;R'!Z$103&amp;'A&amp;R'!$R110,민감도분석!$30:$30)</f>
        <v>2.4349659752584941E-2</v>
      </c>
      <c r="AA110" s="144">
        <f>SUMIF(민감도분석!$21:$21,'A&amp;R'!AA$103&amp;'A&amp;R'!$R110,민감도분석!$30:$30)</f>
        <v>2.2697867916756882E-2</v>
      </c>
      <c r="AB110" s="144">
        <f>SUMIF(민감도분석!$21:$21,'A&amp;R'!AB$103&amp;'A&amp;R'!$R110,민감도분석!$30:$30)</f>
        <v>2.1046076080928806E-2</v>
      </c>
      <c r="AC110" s="144">
        <f>SUMIF(민감도분석!$21:$21,'A&amp;R'!AC$103&amp;'A&amp;R'!$R110,민감도분석!$30:$30)</f>
        <v>6.2403400557176879E-3</v>
      </c>
    </row>
    <row r="111" spans="2:29" ht="13.5" customHeight="1">
      <c r="C111" s="30" t="str">
        <f>현금흐름!D36</f>
        <v>담보대출</v>
      </c>
      <c r="D111" s="41"/>
      <c r="E111" s="41">
        <f ca="1">SUMIF(현금흐름!$15:$15,'A&amp;R'!E$89,현금흐름!36:36)</f>
        <v>25426.307263550061</v>
      </c>
      <c r="F111" s="41">
        <f ca="1">SUMIF(현금흐름!$15:$15,'A&amp;R'!F$89,현금흐름!36:36)</f>
        <v>0</v>
      </c>
      <c r="G111" s="41">
        <f ca="1">SUMIF(현금흐름!$15:$15,'A&amp;R'!G$89,현금흐름!36:36)</f>
        <v>0</v>
      </c>
      <c r="H111" s="41">
        <f ca="1">SUMIF(현금흐름!$15:$15,'A&amp;R'!H$89,현금흐름!36:36)</f>
        <v>0</v>
      </c>
      <c r="I111" s="41">
        <f ca="1">SUMIF(현금흐름!$15:$15,'A&amp;R'!I$89,현금흐름!36:36)</f>
        <v>0</v>
      </c>
      <c r="J111" s="41">
        <f ca="1">SUMIF(현금흐름!$15:$15,'A&amp;R'!J$89,현금흐름!36:36)</f>
        <v>0</v>
      </c>
      <c r="K111" s="41">
        <f ca="1">SUMIF(현금흐름!$15:$15,'A&amp;R'!K$89,현금흐름!36:36)</f>
        <v>0</v>
      </c>
      <c r="L111" s="41">
        <f ca="1">SUMIF(현금흐름!$15:$15,'A&amp;R'!L$89,현금흐름!36:36)</f>
        <v>0</v>
      </c>
      <c r="M111" s="41">
        <f ca="1">SUMIF(현금흐름!$15:$15,'A&amp;R'!M$89,현금흐름!36:36)</f>
        <v>0</v>
      </c>
      <c r="N111" s="41">
        <f ca="1">SUMIF(현금흐름!$15:$15,'A&amp;R'!N$89,현금흐름!36:36)</f>
        <v>0</v>
      </c>
      <c r="O111" s="41">
        <f ca="1">SUMIF(현금흐름!$15:$15,'A&amp;R'!O$89,현금흐름!36:36)</f>
        <v>0</v>
      </c>
      <c r="R111" s="266">
        <f t="shared" si="28"/>
        <v>5.2500000000000012E-2</v>
      </c>
      <c r="S111" s="144">
        <f>SUMIF(민감도분석!$21:$21,'A&amp;R'!S$103&amp;'A&amp;R'!$R111,민감도분석!$30:$30)</f>
        <v>0.06</v>
      </c>
      <c r="T111" s="144">
        <f>SUMIF(민감도분석!$21:$21,'A&amp;R'!T$103&amp;'A&amp;R'!$R111,민감도분석!$30:$30)</f>
        <v>0.06</v>
      </c>
      <c r="U111" s="144">
        <f>SUMIF(민감도분석!$21:$21,'A&amp;R'!U$103&amp;'A&amp;R'!$R111,민감도분석!$30:$30)</f>
        <v>0.06</v>
      </c>
      <c r="V111" s="144">
        <f>SUMIF(민감도분석!$21:$21,'A&amp;R'!V$103&amp;'A&amp;R'!$R111,민감도분석!$30:$30)</f>
        <v>5.7435834181653753E-2</v>
      </c>
      <c r="W111" s="144">
        <f>SUMIF(민감도분석!$21:$21,'A&amp;R'!W$103&amp;'A&amp;R'!$R111,민감도분석!$30:$30)</f>
        <v>4.4947510098603226E-2</v>
      </c>
      <c r="X111" s="144">
        <f>SUMIF(민감도분석!$21:$21,'A&amp;R'!X$103&amp;'A&amp;R'!$R111,민감도분석!$30:$30)</f>
        <v>3.7496568606032614E-2</v>
      </c>
      <c r="Y111" s="144">
        <f>SUMIF(민감도분석!$21:$21,'A&amp;R'!Y$103&amp;'A&amp;R'!$R111,민감도분석!$30:$30)</f>
        <v>2.6001451588413022E-2</v>
      </c>
      <c r="Z111" s="144">
        <f>SUMIF(민감도분석!$21:$21,'A&amp;R'!Z$103&amp;'A&amp;R'!$R111,민감도분석!$30:$30)</f>
        <v>2.4349659752584941E-2</v>
      </c>
      <c r="AA111" s="144">
        <f>SUMIF(민감도분석!$21:$21,'A&amp;R'!AA$103&amp;'A&amp;R'!$R111,민감도분석!$30:$30)</f>
        <v>2.2697867916756882E-2</v>
      </c>
      <c r="AB111" s="144">
        <f>SUMIF(민감도분석!$21:$21,'A&amp;R'!AB$103&amp;'A&amp;R'!$R111,민감도분석!$30:$30)</f>
        <v>2.1046076080928806E-2</v>
      </c>
      <c r="AC111" s="144">
        <f>SUMIF(민감도분석!$21:$21,'A&amp;R'!AC$103&amp;'A&amp;R'!$R111,민감도분석!$30:$30)</f>
        <v>6.2403400557176879E-3</v>
      </c>
    </row>
    <row r="112" spans="2:29" ht="13.5" customHeight="1">
      <c r="C112" s="33" t="str">
        <f>현금흐름!D37</f>
        <v>VAT Loan</v>
      </c>
      <c r="D112" s="43"/>
      <c r="E112" s="43">
        <f ca="1">SUMIF(현금흐름!$15:$15,'A&amp;R'!E$89,현금흐름!37:37)</f>
        <v>2997.8680304266668</v>
      </c>
      <c r="F112" s="43">
        <f ca="1">SUMIF(현금흐름!$15:$15,'A&amp;R'!F$89,현금흐름!37:37)</f>
        <v>0</v>
      </c>
      <c r="G112" s="43">
        <f ca="1">SUMIF(현금흐름!$15:$15,'A&amp;R'!G$89,현금흐름!37:37)</f>
        <v>0</v>
      </c>
      <c r="H112" s="43">
        <f ca="1">SUMIF(현금흐름!$15:$15,'A&amp;R'!H$89,현금흐름!37:37)</f>
        <v>0</v>
      </c>
      <c r="I112" s="43">
        <f ca="1">SUMIF(현금흐름!$15:$15,'A&amp;R'!I$89,현금흐름!37:37)</f>
        <v>0</v>
      </c>
      <c r="J112" s="43">
        <f ca="1">SUMIF(현금흐름!$15:$15,'A&amp;R'!J$89,현금흐름!37:37)</f>
        <v>0</v>
      </c>
      <c r="K112" s="43">
        <f ca="1">SUMIF(현금흐름!$15:$15,'A&amp;R'!K$89,현금흐름!37:37)</f>
        <v>0</v>
      </c>
      <c r="L112" s="43">
        <f ca="1">SUMIF(현금흐름!$15:$15,'A&amp;R'!L$89,현금흐름!37:37)</f>
        <v>0</v>
      </c>
      <c r="M112" s="43">
        <f ca="1">SUMIF(현금흐름!$15:$15,'A&amp;R'!M$89,현금흐름!37:37)</f>
        <v>0</v>
      </c>
      <c r="N112" s="43">
        <f ca="1">SUMIF(현금흐름!$15:$15,'A&amp;R'!N$89,현금흐름!37:37)</f>
        <v>0</v>
      </c>
      <c r="O112" s="43">
        <f ca="1">SUMIF(현금흐름!$15:$15,'A&amp;R'!O$89,현금흐름!37:37)</f>
        <v>0</v>
      </c>
      <c r="R112" s="266">
        <f t="shared" si="28"/>
        <v>5.4000000000000013E-2</v>
      </c>
      <c r="S112" s="144">
        <f>SUMIF(민감도분석!$21:$21,'A&amp;R'!S$103&amp;'A&amp;R'!$R112,민감도분석!$30:$30)</f>
        <v>0.06</v>
      </c>
      <c r="T112" s="144">
        <f>SUMIF(민감도분석!$21:$21,'A&amp;R'!T$103&amp;'A&amp;R'!$R112,민감도분석!$30:$30)</f>
        <v>0.06</v>
      </c>
      <c r="U112" s="144">
        <f>SUMIF(민감도분석!$21:$21,'A&amp;R'!U$103&amp;'A&amp;R'!$R112,민감도분석!$30:$30)</f>
        <v>0.06</v>
      </c>
      <c r="V112" s="144">
        <f>SUMIF(민감도분석!$21:$21,'A&amp;R'!V$103&amp;'A&amp;R'!$R112,민감도분석!$30:$30)</f>
        <v>5.7435834181653753E-2</v>
      </c>
      <c r="W112" s="144">
        <f>SUMIF(민감도분석!$21:$21,'A&amp;R'!W$103&amp;'A&amp;R'!$R112,민감도분석!$30:$30)</f>
        <v>4.4947510098603226E-2</v>
      </c>
      <c r="X112" s="144">
        <f>SUMIF(민감도분석!$21:$21,'A&amp;R'!X$103&amp;'A&amp;R'!$R112,민감도분석!$30:$30)</f>
        <v>3.7496568606032614E-2</v>
      </c>
      <c r="Y112" s="144">
        <f>SUMIF(민감도분석!$21:$21,'A&amp;R'!Y$103&amp;'A&amp;R'!$R112,민감도분석!$30:$30)</f>
        <v>2.6001451588413022E-2</v>
      </c>
      <c r="Z112" s="144">
        <f>SUMIF(민감도분석!$21:$21,'A&amp;R'!Z$103&amp;'A&amp;R'!$R112,민감도분석!$30:$30)</f>
        <v>2.4349659752584941E-2</v>
      </c>
      <c r="AA112" s="144">
        <f>SUMIF(민감도분석!$21:$21,'A&amp;R'!AA$103&amp;'A&amp;R'!$R112,민감도분석!$30:$30)</f>
        <v>2.2697867916756882E-2</v>
      </c>
      <c r="AB112" s="144">
        <f>SUMIF(민감도분석!$21:$21,'A&amp;R'!AB$103&amp;'A&amp;R'!$R112,민감도분석!$30:$30)</f>
        <v>2.1046076080928806E-2</v>
      </c>
      <c r="AC112" s="144">
        <f>SUMIF(민감도분석!$21:$21,'A&amp;R'!AC$103&amp;'A&amp;R'!$R112,민감도분석!$30:$30)</f>
        <v>6.2403400557176879E-3</v>
      </c>
    </row>
    <row r="113" spans="2:29" ht="13.5" customHeight="1">
      <c r="B113" s="34"/>
      <c r="C113" s="36" t="str">
        <f>현금흐름!D38</f>
        <v>보증금</v>
      </c>
      <c r="D113" s="42"/>
      <c r="E113" s="42">
        <f>SUMIF(현금흐름!$15:$15,'A&amp;R'!E$89,현금흐름!38:38)</f>
        <v>1481.7</v>
      </c>
      <c r="F113" s="42">
        <f>SUMIF(현금흐름!$15:$15,'A&amp;R'!F$89,현금흐름!38:38)</f>
        <v>0</v>
      </c>
      <c r="G113" s="42">
        <f>SUMIF(현금흐름!$15:$15,'A&amp;R'!G$89,현금흐름!38:38)</f>
        <v>0</v>
      </c>
      <c r="H113" s="42">
        <f>SUMIF(현금흐름!$15:$15,'A&amp;R'!H$89,현금흐름!38:38)</f>
        <v>0</v>
      </c>
      <c r="I113" s="42">
        <f>SUMIF(현금흐름!$15:$15,'A&amp;R'!I$89,현금흐름!38:38)</f>
        <v>0</v>
      </c>
      <c r="J113" s="42">
        <f>SUMIF(현금흐름!$15:$15,'A&amp;R'!J$89,현금흐름!38:38)</f>
        <v>0</v>
      </c>
      <c r="K113" s="42">
        <f>SUMIF(현금흐름!$15:$15,'A&amp;R'!K$89,현금흐름!38:38)</f>
        <v>0</v>
      </c>
      <c r="L113" s="42">
        <f>SUMIF(현금흐름!$15:$15,'A&amp;R'!L$89,현금흐름!38:38)</f>
        <v>0</v>
      </c>
      <c r="M113" s="42">
        <f>SUMIF(현금흐름!$15:$15,'A&amp;R'!M$89,현금흐름!38:38)</f>
        <v>0</v>
      </c>
      <c r="N113" s="42">
        <f>SUMIF(현금흐름!$15:$15,'A&amp;R'!N$89,현금흐름!38:38)</f>
        <v>0</v>
      </c>
      <c r="O113" s="42">
        <f>SUMIF(현금흐름!$15:$15,'A&amp;R'!O$89,현금흐름!38:38)</f>
        <v>0</v>
      </c>
      <c r="R113" s="266">
        <f t="shared" si="28"/>
        <v>5.5500000000000015E-2</v>
      </c>
      <c r="S113" s="153">
        <f>SUMIF(민감도분석!$21:$21,'A&amp;R'!S$103&amp;'A&amp;R'!$R113,민감도분석!$30:$30)</f>
        <v>0.06</v>
      </c>
      <c r="T113" s="153">
        <f>SUMIF(민감도분석!$21:$21,'A&amp;R'!T$103&amp;'A&amp;R'!$R113,민감도분석!$30:$30)</f>
        <v>0.06</v>
      </c>
      <c r="U113" s="153">
        <f>SUMIF(민감도분석!$21:$21,'A&amp;R'!U$103&amp;'A&amp;R'!$R113,민감도분석!$30:$30)</f>
        <v>0.06</v>
      </c>
      <c r="V113" s="153">
        <f>SUMIF(민감도분석!$21:$21,'A&amp;R'!V$103&amp;'A&amp;R'!$R113,민감도분석!$30:$30)</f>
        <v>5.7435834181653753E-2</v>
      </c>
      <c r="W113" s="153">
        <f>SUMIF(민감도분석!$21:$21,'A&amp;R'!W$103&amp;'A&amp;R'!$R113,민감도분석!$30:$30)</f>
        <v>4.4947510098603226E-2</v>
      </c>
      <c r="X113" s="153">
        <f>SUMIF(민감도분석!$21:$21,'A&amp;R'!X$103&amp;'A&amp;R'!$R113,민감도분석!$30:$30)</f>
        <v>3.7496568606032614E-2</v>
      </c>
      <c r="Y113" s="153">
        <f>SUMIF(민감도분석!$21:$21,'A&amp;R'!Y$103&amp;'A&amp;R'!$R113,민감도분석!$30:$30)</f>
        <v>2.6001451588413022E-2</v>
      </c>
      <c r="Z113" s="153">
        <f>SUMIF(민감도분석!$21:$21,'A&amp;R'!Z$103&amp;'A&amp;R'!$R113,민감도분석!$30:$30)</f>
        <v>2.4349659752584941E-2</v>
      </c>
      <c r="AA113" s="153">
        <f>SUMIF(민감도분석!$21:$21,'A&amp;R'!AA$103&amp;'A&amp;R'!$R113,민감도분석!$30:$30)</f>
        <v>2.2697867916756882E-2</v>
      </c>
      <c r="AB113" s="153">
        <f>SUMIF(민감도분석!$21:$21,'A&amp;R'!AB$103&amp;'A&amp;R'!$R113,민감도분석!$30:$30)</f>
        <v>2.1046076080928806E-2</v>
      </c>
      <c r="AC113" s="153">
        <f>SUMIF(민감도분석!$21:$21,'A&amp;R'!AC$103&amp;'A&amp;R'!$R113,민감도분석!$30:$30)</f>
        <v>6.2403400557176879E-3</v>
      </c>
    </row>
    <row r="114" spans="2:29" ht="13.5" customHeight="1">
      <c r="B114" s="1" t="str">
        <f>현금흐름!C39</f>
        <v>자기자본 감자</v>
      </c>
      <c r="R114" s="251">
        <f t="shared" si="28"/>
        <v>5.7000000000000016E-2</v>
      </c>
      <c r="S114" s="255">
        <f>SUMIF(민감도분석!$21:$21,'A&amp;R'!S$103&amp;'A&amp;R'!$R114,민감도분석!$30:$30)</f>
        <v>0.06</v>
      </c>
      <c r="T114" s="255">
        <f>SUMIF(민감도분석!$21:$21,'A&amp;R'!T$103&amp;'A&amp;R'!$R114,민감도분석!$30:$30)</f>
        <v>0.06</v>
      </c>
      <c r="U114" s="255">
        <f>SUMIF(민감도분석!$21:$21,'A&amp;R'!U$103&amp;'A&amp;R'!$R114,민감도분석!$30:$30)</f>
        <v>0.06</v>
      </c>
      <c r="V114" s="255">
        <f>SUMIF(민감도분석!$21:$21,'A&amp;R'!V$103&amp;'A&amp;R'!$R114,민감도분석!$30:$30)</f>
        <v>5.7435834181653753E-2</v>
      </c>
      <c r="W114" s="255">
        <f>SUMIF(민감도분석!$21:$21,'A&amp;R'!W$103&amp;'A&amp;R'!$R114,민감도분석!$30:$30)</f>
        <v>4.4947510098603226E-2</v>
      </c>
      <c r="X114" s="255">
        <f>SUMIF(민감도분석!$21:$21,'A&amp;R'!X$103&amp;'A&amp;R'!$R114,민감도분석!$30:$30)</f>
        <v>3.7496568606032614E-2</v>
      </c>
      <c r="Y114" s="255">
        <f>SUMIF(민감도분석!$21:$21,'A&amp;R'!Y$103&amp;'A&amp;R'!$R114,민감도분석!$30:$30)</f>
        <v>2.6001451588413022E-2</v>
      </c>
      <c r="Z114" s="255">
        <f>SUMIF(민감도분석!$21:$21,'A&amp;R'!Z$103&amp;'A&amp;R'!$R114,민감도분석!$30:$30)</f>
        <v>2.4349659752584941E-2</v>
      </c>
      <c r="AA114" s="255">
        <f>SUMIF(민감도분석!$21:$21,'A&amp;R'!AA$103&amp;'A&amp;R'!$R114,민감도분석!$30:$30)</f>
        <v>2.2697867916756882E-2</v>
      </c>
      <c r="AB114" s="255">
        <f>SUMIF(민감도분석!$21:$21,'A&amp;R'!AB$103&amp;'A&amp;R'!$R114,민감도분석!$30:$30)</f>
        <v>2.1046076080928806E-2</v>
      </c>
      <c r="AC114" s="255">
        <f>SUMIF(민감도분석!$21:$21,'A&amp;R'!AC$103&amp;'A&amp;R'!$R114,민감도분석!$30:$30)</f>
        <v>6.2403400557176879E-3</v>
      </c>
    </row>
    <row r="115" spans="2:29" ht="13.5" customHeight="1">
      <c r="C115" s="30" t="str">
        <f>현금흐름!D40</f>
        <v>보통주</v>
      </c>
      <c r="D115" s="41"/>
      <c r="E115" s="41">
        <f>SUMIF(현금흐름!$15:$15,'A&amp;R'!E$89,현금흐름!40:40)</f>
        <v>0</v>
      </c>
      <c r="F115" s="41">
        <f ca="1">SUMIF(현금흐름!$15:$15,'A&amp;R'!F$89,현금흐름!40:40)</f>
        <v>0</v>
      </c>
      <c r="G115" s="41">
        <f ca="1">SUMIF(현금흐름!$15:$15,'A&amp;R'!G$89,현금흐름!40:40)</f>
        <v>0</v>
      </c>
      <c r="H115" s="41">
        <f ca="1">SUMIF(현금흐름!$15:$15,'A&amp;R'!H$89,현금흐름!40:40)</f>
        <v>0</v>
      </c>
      <c r="I115" s="41">
        <f ca="1">SUMIF(현금흐름!$15:$15,'A&amp;R'!I$89,현금흐름!40:40)</f>
        <v>0</v>
      </c>
      <c r="J115" s="41">
        <f ca="1">SUMIF(현금흐름!$15:$15,'A&amp;R'!J$89,현금흐름!40:40)</f>
        <v>0</v>
      </c>
      <c r="K115" s="41">
        <f ca="1">SUMIF(현금흐름!$15:$15,'A&amp;R'!K$89,현금흐름!40:40)</f>
        <v>0</v>
      </c>
      <c r="L115" s="41">
        <f ca="1">SUMIF(현금흐름!$15:$15,'A&amp;R'!L$89,현금흐름!40:40)</f>
        <v>0</v>
      </c>
      <c r="M115" s="41">
        <f ca="1">SUMIF(현금흐름!$15:$15,'A&amp;R'!M$89,현금흐름!40:40)</f>
        <v>0</v>
      </c>
      <c r="N115" s="41">
        <f ca="1">SUMIF(현금흐름!$15:$15,'A&amp;R'!N$89,현금흐름!40:40)</f>
        <v>0</v>
      </c>
      <c r="O115" s="41">
        <f ca="1">SUMIF(현금흐름!$15:$15,'A&amp;R'!O$89,현금흐름!40:40)</f>
        <v>-5568.3407939072104</v>
      </c>
      <c r="Q115" s="1" t="s">
        <v>538</v>
      </c>
    </row>
    <row r="116" spans="2:29" ht="13.5" customHeight="1">
      <c r="B116" s="34"/>
      <c r="C116" s="36" t="str">
        <f>현금흐름!D41</f>
        <v>우선주</v>
      </c>
      <c r="D116" s="42"/>
      <c r="E116" s="42">
        <f>SUMIF(현금흐름!$15:$15,'A&amp;R'!E$89,현금흐름!41:41)</f>
        <v>0</v>
      </c>
      <c r="F116" s="42">
        <f ca="1">SUMIF(현금흐름!$15:$15,'A&amp;R'!F$89,현금흐름!41:41)</f>
        <v>0</v>
      </c>
      <c r="G116" s="42">
        <f ca="1">SUMIF(현금흐름!$15:$15,'A&amp;R'!G$89,현금흐름!41:41)</f>
        <v>0</v>
      </c>
      <c r="H116" s="42">
        <f ca="1">SUMIF(현금흐름!$15:$15,'A&amp;R'!H$89,현금흐름!41:41)</f>
        <v>0</v>
      </c>
      <c r="I116" s="42">
        <f ca="1">SUMIF(현금흐름!$15:$15,'A&amp;R'!I$89,현금흐름!41:41)</f>
        <v>0</v>
      </c>
      <c r="J116" s="42">
        <f ca="1">SUMIF(현금흐름!$15:$15,'A&amp;R'!J$89,현금흐름!41:41)</f>
        <v>0</v>
      </c>
      <c r="K116" s="42">
        <f ca="1">SUMIF(현금흐름!$15:$15,'A&amp;R'!K$89,현금흐름!41:41)</f>
        <v>0</v>
      </c>
      <c r="L116" s="42">
        <f ca="1">SUMIF(현금흐름!$15:$15,'A&amp;R'!L$89,현금흐름!41:41)</f>
        <v>0</v>
      </c>
      <c r="M116" s="42">
        <f ca="1">SUMIF(현금흐름!$15:$15,'A&amp;R'!M$89,현금흐름!41:41)</f>
        <v>0</v>
      </c>
      <c r="N116" s="42">
        <f ca="1">SUMIF(현금흐름!$15:$15,'A&amp;R'!N$89,현금흐름!41:41)</f>
        <v>0</v>
      </c>
      <c r="O116" s="42">
        <f ca="1">SUMIF(현금흐름!$15:$15,'A&amp;R'!O$89,현금흐름!41:41)</f>
        <v>-17000</v>
      </c>
      <c r="Q116" s="1" t="s">
        <v>531</v>
      </c>
      <c r="R116" s="251">
        <f ca="1">E157</f>
        <v>7.083915233612062E-2</v>
      </c>
      <c r="S116" s="255">
        <v>0</v>
      </c>
      <c r="T116" s="255">
        <f>S116+3%</f>
        <v>0.03</v>
      </c>
      <c r="U116" s="255">
        <f t="shared" ref="U116" si="29">T116+3%</f>
        <v>0.06</v>
      </c>
      <c r="V116" s="255">
        <f t="shared" ref="V116" si="30">U116+3%</f>
        <v>0.09</v>
      </c>
      <c r="W116" s="255">
        <f t="shared" ref="W116" si="31">V116+3%</f>
        <v>0.12</v>
      </c>
      <c r="X116" s="255">
        <f t="shared" ref="X116" si="32">W116+3%</f>
        <v>0.15</v>
      </c>
      <c r="Y116" s="255">
        <f t="shared" ref="Y116" si="33">X116+3%</f>
        <v>0.18</v>
      </c>
      <c r="Z116" s="255">
        <f t="shared" ref="Z116" si="34">Y116+3%</f>
        <v>0.21</v>
      </c>
      <c r="AA116" s="255">
        <f t="shared" ref="AA116" si="35">Z116+3%</f>
        <v>0.24</v>
      </c>
      <c r="AB116" s="255">
        <f t="shared" ref="AB116" si="36">AA116+3%</f>
        <v>0.27</v>
      </c>
      <c r="AC116" s="255">
        <f t="shared" ref="AC116" si="37">AB116+3%</f>
        <v>0.30000000000000004</v>
      </c>
    </row>
    <row r="117" spans="2:29" ht="13.5" customHeight="1">
      <c r="B117" s="1" t="str">
        <f>현금흐름!C42</f>
        <v>타인자본 상환</v>
      </c>
      <c r="Q117" s="1" t="s">
        <v>537</v>
      </c>
      <c r="R117" s="266">
        <v>4.2000000000000003E-2</v>
      </c>
      <c r="S117" s="144">
        <f>SUMIF(민감도분석!$21:$21,'A&amp;R'!S$116&amp;'A&amp;R'!$R117,민감도분석!$31:$31)</f>
        <v>8.3810677528381339E-2</v>
      </c>
      <c r="T117" s="144">
        <f>SUMIF(민감도분석!$21:$21,'A&amp;R'!T$116&amp;'A&amp;R'!$R117,민감도분석!$31:$31)</f>
        <v>8.3492369651794435E-2</v>
      </c>
      <c r="U117" s="144">
        <f>SUMIF(민감도분석!$21:$21,'A&amp;R'!U$116&amp;'A&amp;R'!$R117,민감도분석!$31:$31)</f>
        <v>8.3026442527770999E-2</v>
      </c>
      <c r="V117" s="144">
        <f>SUMIF(민감도분석!$21:$21,'A&amp;R'!V$116&amp;'A&amp;R'!$R117,민감도분석!$31:$31)</f>
        <v>8.2528195381164543E-2</v>
      </c>
      <c r="W117" s="144">
        <f>SUMIF(민감도분석!$21:$21,'A&amp;R'!W$116&amp;'A&amp;R'!$R117,민감도분석!$31:$31)</f>
        <v>8.01384687423706E-2</v>
      </c>
      <c r="X117" s="144">
        <f>SUMIF(민감도분석!$21:$21,'A&amp;R'!X$116&amp;'A&amp;R'!$R117,민감도분석!$31:$31)</f>
        <v>7.9042220115661643E-2</v>
      </c>
      <c r="Y117" s="144">
        <f>SUMIF(민감도분석!$21:$21,'A&amp;R'!Y$116&amp;'A&amp;R'!$R117,민감도분석!$31:$31)</f>
        <v>7.819349765777589E-2</v>
      </c>
      <c r="Z117" s="144">
        <f>SUMIF(민감도분석!$21:$21,'A&amp;R'!Z$116&amp;'A&amp;R'!$R117,민감도분석!$31:$31)</f>
        <v>7.7947468757629396E-2</v>
      </c>
      <c r="AA117" s="144">
        <f>SUMIF(민감도분석!$21:$21,'A&amp;R'!AA$116&amp;'A&amp;R'!$R117,민감도분석!$31:$31)</f>
        <v>7.7702231407165506E-2</v>
      </c>
      <c r="AB117" s="144">
        <f>SUMIF(민감도분석!$21:$21,'A&amp;R'!AB$116&amp;'A&amp;R'!$R117,민감도분석!$31:$31)</f>
        <v>7.7457785606384305E-2</v>
      </c>
      <c r="AC117" s="144">
        <f>SUMIF(민감도분석!$21:$21,'A&amp;R'!AC$116&amp;'A&amp;R'!$R117,민감도분석!$31:$31)</f>
        <v>7.5989136695861853E-2</v>
      </c>
    </row>
    <row r="118" spans="2:29" ht="13.5" customHeight="1">
      <c r="C118" s="30" t="str">
        <f>현금흐름!D43</f>
        <v>담보대출</v>
      </c>
      <c r="D118" s="41"/>
      <c r="E118" s="41">
        <f ca="1">SUMIF(현금흐름!$15:$15,'A&amp;R'!E$89,현금흐름!43:43)</f>
        <v>0</v>
      </c>
      <c r="F118" s="41">
        <f ca="1">SUMIF(현금흐름!$15:$15,'A&amp;R'!F$89,현금흐름!43:43)</f>
        <v>0</v>
      </c>
      <c r="G118" s="41">
        <f ca="1">SUMIF(현금흐름!$15:$15,'A&amp;R'!G$89,현금흐름!43:43)</f>
        <v>0</v>
      </c>
      <c r="H118" s="41">
        <f ca="1">SUMIF(현금흐름!$15:$15,'A&amp;R'!H$89,현금흐름!43:43)</f>
        <v>0</v>
      </c>
      <c r="I118" s="41">
        <f ca="1">SUMIF(현금흐름!$15:$15,'A&amp;R'!I$89,현금흐름!43:43)</f>
        <v>0</v>
      </c>
      <c r="J118" s="41">
        <f ca="1">SUMIF(현금흐름!$15:$15,'A&amp;R'!J$89,현금흐름!43:43)</f>
        <v>0</v>
      </c>
      <c r="K118" s="41">
        <f ca="1">SUMIF(현금흐름!$15:$15,'A&amp;R'!K$89,현금흐름!43:43)</f>
        <v>0</v>
      </c>
      <c r="L118" s="41">
        <f ca="1">SUMIF(현금흐름!$15:$15,'A&amp;R'!L$89,현금흐름!43:43)</f>
        <v>0</v>
      </c>
      <c r="M118" s="41">
        <f ca="1">SUMIF(현금흐름!$15:$15,'A&amp;R'!M$89,현금흐름!43:43)</f>
        <v>0</v>
      </c>
      <c r="N118" s="41">
        <f ca="1">SUMIF(현금흐름!$15:$15,'A&amp;R'!N$89,현금흐름!43:43)</f>
        <v>0</v>
      </c>
      <c r="O118" s="41">
        <f ca="1">SUMIF(현금흐름!$15:$15,'A&amp;R'!O$89,현금흐름!43:43)</f>
        <v>-25426.307263550061</v>
      </c>
      <c r="R118" s="266">
        <f>R117+0.15%</f>
        <v>4.3500000000000004E-2</v>
      </c>
      <c r="S118" s="144">
        <f>SUMIF(민감도분석!$21:$21,'A&amp;R'!S$116&amp;'A&amp;R'!$R118,민감도분석!$31:$31)</f>
        <v>7.9264302253723135E-2</v>
      </c>
      <c r="T118" s="144">
        <f>SUMIF(민감도분석!$21:$21,'A&amp;R'!T$116&amp;'A&amp;R'!$R118,민감도분석!$31:$31)</f>
        <v>7.8953642845153799E-2</v>
      </c>
      <c r="U118" s="144">
        <f>SUMIF(민감도분석!$21:$21,'A&amp;R'!U$116&amp;'A&amp;R'!$R118,민감도분석!$31:$31)</f>
        <v>7.8500971794128432E-2</v>
      </c>
      <c r="V118" s="144">
        <f>SUMIF(민감도분석!$21:$21,'A&amp;R'!V$116&amp;'A&amp;R'!$R118,민감도분석!$31:$31)</f>
        <v>7.8017258644103998E-2</v>
      </c>
      <c r="W118" s="144">
        <f>SUMIF(민감도분석!$21:$21,'A&amp;R'!W$116&amp;'A&amp;R'!$R118,민감도분석!$31:$31)</f>
        <v>7.5724501609802264E-2</v>
      </c>
      <c r="X118" s="144">
        <f>SUMIF(민감도분석!$21:$21,'A&amp;R'!X$116&amp;'A&amp;R'!$R118,민감도분석!$31:$31)</f>
        <v>7.4668669700622581E-2</v>
      </c>
      <c r="Y118" s="144">
        <f>SUMIF(민감도분석!$21:$21,'A&amp;R'!Y$116&amp;'A&amp;R'!$R118,민감도분석!$31:$31)</f>
        <v>7.3848996162414554E-2</v>
      </c>
      <c r="Z118" s="144">
        <f>SUMIF(민감도분석!$21:$21,'A&amp;R'!Z$116&amp;'A&amp;R'!$R118,민감도분석!$31:$31)</f>
        <v>7.3607907295227037E-2</v>
      </c>
      <c r="AA118" s="144">
        <f>SUMIF(민감도분석!$21:$21,'A&amp;R'!AA$116&amp;'A&amp;R'!$R118,민감도분석!$31:$31)</f>
        <v>7.3367609977722181E-2</v>
      </c>
      <c r="AB118" s="144">
        <f>SUMIF(민감도분석!$21:$21,'A&amp;R'!AB$116&amp;'A&amp;R'!$R118,민감도분석!$31:$31)</f>
        <v>7.312810420989993E-2</v>
      </c>
      <c r="AC118" s="144">
        <f>SUMIF(민감도분석!$21:$21,'A&amp;R'!AC$116&amp;'A&amp;R'!$R118,민감도분석!$31:$31)</f>
        <v>7.1719164848327632E-2</v>
      </c>
    </row>
    <row r="119" spans="2:29" ht="13.5" customHeight="1">
      <c r="C119" s="33" t="str">
        <f>현금흐름!D44</f>
        <v>VAT Loan</v>
      </c>
      <c r="D119" s="43"/>
      <c r="E119" s="43">
        <f ca="1">SUMIF(현금흐름!$15:$15,'A&amp;R'!E$89,현금흐름!44:44)</f>
        <v>0</v>
      </c>
      <c r="F119" s="43">
        <f ca="1">SUMIF(현금흐름!$15:$15,'A&amp;R'!F$89,현금흐름!44:44)</f>
        <v>-2997.8680304266668</v>
      </c>
      <c r="G119" s="43">
        <f ca="1">SUMIF(현금흐름!$15:$15,'A&amp;R'!G$89,현금흐름!44:44)</f>
        <v>0</v>
      </c>
      <c r="H119" s="43">
        <f ca="1">SUMIF(현금흐름!$15:$15,'A&amp;R'!H$89,현금흐름!44:44)</f>
        <v>0</v>
      </c>
      <c r="I119" s="43">
        <f ca="1">SUMIF(현금흐름!$15:$15,'A&amp;R'!I$89,현금흐름!44:44)</f>
        <v>0</v>
      </c>
      <c r="J119" s="43">
        <f ca="1">SUMIF(현금흐름!$15:$15,'A&amp;R'!J$89,현금흐름!44:44)</f>
        <v>0</v>
      </c>
      <c r="K119" s="43">
        <f ca="1">SUMIF(현금흐름!$15:$15,'A&amp;R'!K$89,현금흐름!44:44)</f>
        <v>0</v>
      </c>
      <c r="L119" s="43">
        <f ca="1">SUMIF(현금흐름!$15:$15,'A&amp;R'!L$89,현금흐름!44:44)</f>
        <v>0</v>
      </c>
      <c r="M119" s="43">
        <f ca="1">SUMIF(현금흐름!$15:$15,'A&amp;R'!M$89,현금흐름!44:44)</f>
        <v>0</v>
      </c>
      <c r="N119" s="43">
        <f ca="1">SUMIF(현금흐름!$15:$15,'A&amp;R'!N$89,현금흐름!44:44)</f>
        <v>0</v>
      </c>
      <c r="O119" s="43">
        <f ca="1">SUMIF(현금흐름!$15:$15,'A&amp;R'!O$89,현금흐름!44:44)</f>
        <v>0</v>
      </c>
      <c r="R119" s="266">
        <f t="shared" ref="R119:R127" si="38">R118+0.15%</f>
        <v>4.5000000000000005E-2</v>
      </c>
      <c r="S119" s="144">
        <f>SUMIF(민감도분석!$21:$21,'A&amp;R'!S$116&amp;'A&amp;R'!$R119,민감도분석!$31:$31)</f>
        <v>7.4946360588073746E-2</v>
      </c>
      <c r="T119" s="144">
        <f>SUMIF(민감도분석!$21:$21,'A&amp;R'!T$116&amp;'A&amp;R'!$R119,민감도분석!$31:$31)</f>
        <v>7.4643139839172395E-2</v>
      </c>
      <c r="U119" s="144">
        <f>SUMIF(민감도분석!$21:$21,'A&amp;R'!U$116&amp;'A&amp;R'!$R119,민감도분석!$31:$31)</f>
        <v>7.4203448295593277E-2</v>
      </c>
      <c r="V119" s="144">
        <f>SUMIF(민감도분석!$21:$21,'A&amp;R'!V$116&amp;'A&amp;R'!$R119,민감도분석!$31:$31)</f>
        <v>7.3733983039855983E-2</v>
      </c>
      <c r="W119" s="144">
        <f>SUMIF(민감도분석!$21:$21,'A&amp;R'!W$116&amp;'A&amp;R'!$R119,민감도분석!$31:$31)</f>
        <v>7.1535696983337393E-2</v>
      </c>
      <c r="X119" s="144">
        <f>SUMIF(민감도분석!$21:$21,'A&amp;R'!X$116&amp;'A&amp;R'!$R119,민감도분석!$31:$31)</f>
        <v>7.0519385337829588E-2</v>
      </c>
      <c r="Y119" s="144">
        <f>SUMIF(민감도분석!$21:$21,'A&amp;R'!Y$116&amp;'A&amp;R'!$R119,민감도분석!$31:$31)</f>
        <v>6.9728236198425303E-2</v>
      </c>
      <c r="Z119" s="144">
        <f>SUMIF(민감도분석!$21:$21,'A&amp;R'!Z$116&amp;'A&amp;R'!$R119,민감도분석!$31:$31)</f>
        <v>6.9491972923278827E-2</v>
      </c>
      <c r="AA119" s="144">
        <f>SUMIF(민감도분석!$21:$21,'A&amp;R'!AA$116&amp;'A&amp;R'!$R119,민감도분석!$31:$31)</f>
        <v>6.9256501197814929E-2</v>
      </c>
      <c r="AB119" s="144">
        <f>SUMIF(민감도분석!$21:$21,'A&amp;R'!AB$116&amp;'A&amp;R'!$R119,민감도분석!$31:$31)</f>
        <v>6.9021821022033691E-2</v>
      </c>
      <c r="AC119" s="144">
        <f>SUMIF(민감도분석!$21:$21,'A&amp;R'!AC$116&amp;'A&amp;R'!$R119,민감도분석!$31:$31)</f>
        <v>6.7670960426330556E-2</v>
      </c>
    </row>
    <row r="120" spans="2:29" ht="13.5" customHeight="1">
      <c r="B120" s="34"/>
      <c r="C120" s="36" t="str">
        <f>현금흐름!D45</f>
        <v>보증금</v>
      </c>
      <c r="D120" s="42"/>
      <c r="E120" s="42">
        <f ca="1">SUMIF(현금흐름!$15:$15,'A&amp;R'!E$89,현금흐름!45:45)</f>
        <v>0</v>
      </c>
      <c r="F120" s="42">
        <f ca="1">SUMIF(현금흐름!$15:$15,'A&amp;R'!F$89,현금흐름!45:45)</f>
        <v>-794.1</v>
      </c>
      <c r="G120" s="42">
        <f ca="1">SUMIF(현금흐름!$15:$15,'A&amp;R'!G$89,현금흐름!45:45)</f>
        <v>794.1</v>
      </c>
      <c r="H120" s="42">
        <f ca="1">SUMIF(현금흐름!$15:$15,'A&amp;R'!H$89,현금흐름!45:45)</f>
        <v>0</v>
      </c>
      <c r="I120" s="42">
        <f ca="1">SUMIF(현금흐름!$15:$15,'A&amp;R'!I$89,현금흐름!45:45)</f>
        <v>0</v>
      </c>
      <c r="J120" s="42">
        <f ca="1">SUMIF(현금흐름!$15:$15,'A&amp;R'!J$89,현금흐름!45:45)</f>
        <v>-687.6</v>
      </c>
      <c r="K120" s="42">
        <f ca="1">SUMIF(현금흐름!$15:$15,'A&amp;R'!K$89,현금흐름!45:45)</f>
        <v>714.56399999999996</v>
      </c>
      <c r="L120" s="42">
        <f ca="1">SUMIF(현금흐름!$15:$15,'A&amp;R'!L$89,현금흐름!45:45)</f>
        <v>0</v>
      </c>
      <c r="M120" s="42">
        <f ca="1">SUMIF(현금흐름!$15:$15,'A&amp;R'!M$89,현금흐름!45:45)</f>
        <v>0</v>
      </c>
      <c r="N120" s="42">
        <f ca="1">SUMIF(현금흐름!$15:$15,'A&amp;R'!N$89,현금흐름!45:45)</f>
        <v>0</v>
      </c>
      <c r="O120" s="42">
        <f ca="1">SUMIF(현금흐름!$15:$15,'A&amp;R'!O$89,현금흐름!45:45)</f>
        <v>-1508.664</v>
      </c>
      <c r="R120" s="266">
        <f t="shared" si="38"/>
        <v>4.6500000000000007E-2</v>
      </c>
      <c r="S120" s="144">
        <f>SUMIF(민감도분석!$21:$21,'A&amp;R'!S$116&amp;'A&amp;R'!$R120,민감도분석!$31:$31)</f>
        <v>7.083915233612062E-2</v>
      </c>
      <c r="T120" s="144">
        <f>SUMIF(민감도분석!$21:$21,'A&amp;R'!T$116&amp;'A&amp;R'!$R120,민감도분석!$31:$31)</f>
        <v>7.0543179512023935E-2</v>
      </c>
      <c r="U120" s="144">
        <f>SUMIF(민감도분석!$21:$21,'A&amp;R'!U$116&amp;'A&amp;R'!$R120,민감도분석!$31:$31)</f>
        <v>7.0116190910339382E-2</v>
      </c>
      <c r="V120" s="144">
        <f>SUMIF(민감도분석!$21:$21,'A&amp;R'!V$116&amp;'A&amp;R'!$R120,민감도분석!$31:$31)</f>
        <v>6.9660696983337406E-2</v>
      </c>
      <c r="W120" s="144">
        <f>SUMIF(민감도분석!$21:$21,'A&amp;R'!W$116&amp;'A&amp;R'!$R120,민감도분석!$31:$31)</f>
        <v>6.7554469108581539E-2</v>
      </c>
      <c r="X120" s="144">
        <f>SUMIF(민감도분석!$21:$21,'A&amp;R'!X$116&amp;'A&amp;R'!$R120,민감도분석!$31:$31)</f>
        <v>6.6576790809631331E-2</v>
      </c>
      <c r="Y120" s="144">
        <f>SUMIF(민감도분석!$21:$21,'A&amp;R'!Y$116&amp;'A&amp;R'!$R120,민감도분석!$31:$31)</f>
        <v>6.5813651084899921E-2</v>
      </c>
      <c r="Z120" s="144">
        <f>SUMIF(민감도분석!$21:$21,'A&amp;R'!Z$116&amp;'A&amp;R'!$R120,민감도분석!$31:$31)</f>
        <v>6.5582108497619612E-2</v>
      </c>
      <c r="AA120" s="144">
        <f>SUMIF(민감도분석!$21:$21,'A&amp;R'!AA$116&amp;'A&amp;R'!$R120,민감도분석!$31:$31)</f>
        <v>6.5351347923278791E-2</v>
      </c>
      <c r="AB120" s="144">
        <f>SUMIF(민감도분석!$21:$21,'A&amp;R'!AB$116&amp;'A&amp;R'!$R120,민감도분석!$31:$31)</f>
        <v>6.5121369361877457E-2</v>
      </c>
      <c r="AC120" s="144">
        <f>SUMIF(민감도분석!$21:$21,'A&amp;R'!AC$116&amp;'A&amp;R'!$R120,민감도분석!$31:$31)</f>
        <v>6.3827004432678219E-2</v>
      </c>
    </row>
    <row r="121" spans="2:29" ht="13.5" customHeight="1">
      <c r="B121" s="51" t="str">
        <f>현금흐름!C46</f>
        <v>한도대출</v>
      </c>
      <c r="C121" s="51"/>
      <c r="D121" s="51"/>
      <c r="E121" s="51">
        <f ca="1">SUMIF(현금흐름!$15:$15,'A&amp;R'!E$89,현금흐름!46:46)</f>
        <v>0</v>
      </c>
      <c r="F121" s="51">
        <f ca="1">SUMIF(현금흐름!$15:$15,'A&amp;R'!F$89,현금흐름!46:46)</f>
        <v>447.48151952610795</v>
      </c>
      <c r="G121" s="51">
        <f ca="1">SUMIF(현금흐름!$15:$15,'A&amp;R'!G$89,현금흐름!46:46)</f>
        <v>-447.48151952610795</v>
      </c>
      <c r="H121" s="51">
        <f ca="1">SUMIF(현금흐름!$15:$15,'A&amp;R'!H$89,현금흐름!46:46)</f>
        <v>0</v>
      </c>
      <c r="I121" s="51">
        <f ca="1">SUMIF(현금흐름!$15:$15,'A&amp;R'!I$89,현금흐름!46:46)</f>
        <v>0</v>
      </c>
      <c r="J121" s="51">
        <f ca="1">SUMIF(현금흐름!$15:$15,'A&amp;R'!J$89,현금흐름!46:46)</f>
        <v>264.32310004908112</v>
      </c>
      <c r="K121" s="51">
        <f ca="1">SUMIF(현금흐름!$15:$15,'A&amp;R'!K$89,현금흐름!46:46)</f>
        <v>-264.32310004908112</v>
      </c>
      <c r="L121" s="51">
        <f ca="1">SUMIF(현금흐름!$15:$15,'A&amp;R'!L$89,현금흐름!46:46)</f>
        <v>0</v>
      </c>
      <c r="M121" s="51">
        <f ca="1">SUMIF(현금흐름!$15:$15,'A&amp;R'!M$89,현금흐름!46:46)</f>
        <v>0</v>
      </c>
      <c r="N121" s="51">
        <f ca="1">SUMIF(현금흐름!$15:$15,'A&amp;R'!N$89,현금흐름!46:46)</f>
        <v>0</v>
      </c>
      <c r="O121" s="51">
        <f ca="1">SUMIF(현금흐름!$15:$15,'A&amp;R'!O$89,현금흐름!46:46)</f>
        <v>0</v>
      </c>
      <c r="R121" s="266">
        <f t="shared" si="38"/>
        <v>4.8000000000000008E-2</v>
      </c>
      <c r="S121" s="144">
        <f>SUMIF(민감도분석!$21:$21,'A&amp;R'!S$116&amp;'A&amp;R'!$R121,민감도분석!$31:$31)</f>
        <v>6.6926836967468262E-2</v>
      </c>
      <c r="T121" s="144">
        <f>SUMIF(민감도분석!$21:$21,'A&amp;R'!T$116&amp;'A&amp;R'!$R121,민감도분석!$31:$31)</f>
        <v>6.6637911796569804E-2</v>
      </c>
      <c r="U121" s="144">
        <f>SUMIF(민감도분석!$21:$21,'A&amp;R'!U$116&amp;'A&amp;R'!$R121,민감도분석!$31:$31)</f>
        <v>6.6223387718200688E-2</v>
      </c>
      <c r="V121" s="144">
        <f>SUMIF(민감도분석!$21:$21,'A&amp;R'!V$116&amp;'A&amp;R'!$R121,민감도분석!$31:$31)</f>
        <v>6.5781579017639175E-2</v>
      </c>
      <c r="W121" s="144">
        <f>SUMIF(민감도분석!$21:$21,'A&amp;R'!W$116&amp;'A&amp;R'!$R121,민감도분석!$31:$31)</f>
        <v>6.3765091896057113E-2</v>
      </c>
      <c r="X121" s="144">
        <f>SUMIF(민감도분석!$21:$21,'A&amp;R'!X$116&amp;'A&amp;R'!$R121,민감도분석!$31:$31)</f>
        <v>6.2825179100036599E-2</v>
      </c>
      <c r="Y121" s="144">
        <f>SUMIF(민감도분석!$21:$21,'A&amp;R'!Y$116&amp;'A&amp;R'!$R121,민감도분석!$31:$31)</f>
        <v>6.2089533805847169E-2</v>
      </c>
      <c r="Z121" s="144">
        <f>SUMIF(민감도분석!$21:$21,'A&amp;R'!Z$116&amp;'A&amp;R'!$R121,민감도분석!$31:$31)</f>
        <v>6.1862587928771966E-2</v>
      </c>
      <c r="AA121" s="144">
        <f>SUMIF(민감도분석!$21:$21,'A&amp;R'!AA$116&amp;'A&amp;R'!$R121,민감도분석!$31:$31)</f>
        <v>6.1636433601379409E-2</v>
      </c>
      <c r="AB121" s="144">
        <f>SUMIF(민감도분석!$21:$21,'A&amp;R'!AB$116&amp;'A&amp;R'!$R121,민감도분석!$31:$31)</f>
        <v>6.1411042213439931E-2</v>
      </c>
      <c r="AC121" s="144">
        <f>SUMIF(민감도분석!$21:$21,'A&amp;R'!AC$116&amp;'A&amp;R'!$R121,민감도분석!$31:$31)</f>
        <v>6.0171656608581536E-2</v>
      </c>
    </row>
    <row r="122" spans="2:29" ht="13.5" customHeight="1">
      <c r="B122" s="1" t="str">
        <f>현금흐름!C47</f>
        <v>운영배당</v>
      </c>
      <c r="R122" s="266">
        <f t="shared" si="38"/>
        <v>4.9500000000000009E-2</v>
      </c>
      <c r="S122" s="144">
        <f>SUMIF(민감도분석!$21:$21,'A&amp;R'!S$116&amp;'A&amp;R'!$R122,민감도분석!$31:$31)</f>
        <v>6.3195176124572761E-2</v>
      </c>
      <c r="T122" s="144">
        <f>SUMIF(민감도분석!$21:$21,'A&amp;R'!T$116&amp;'A&amp;R'!$R122,민감도분석!$31:$31)</f>
        <v>6.2913126945495584E-2</v>
      </c>
      <c r="U122" s="144">
        <f>SUMIF(민감도분석!$21:$21,'A&amp;R'!U$116&amp;'A&amp;R'!$R122,민감도분석!$31:$31)</f>
        <v>6.2510800361633284E-2</v>
      </c>
      <c r="V122" s="144">
        <f>SUMIF(민감도분석!$21:$21,'A&amp;R'!V$116&amp;'A&amp;R'!$R122,민감도분석!$31:$31)</f>
        <v>6.2082409858703599E-2</v>
      </c>
      <c r="W122" s="144">
        <f>SUMIF(민감도분석!$21:$21,'A&amp;R'!W$116&amp;'A&amp;R'!$R122,민감도분석!$31:$31)</f>
        <v>6.0153422355651853E-2</v>
      </c>
      <c r="X122" s="144">
        <f>SUMIF(민감도분석!$21:$21,'A&amp;R'!X$116&amp;'A&amp;R'!$R122,민감도분석!$31:$31)</f>
        <v>5.9250426292419431E-2</v>
      </c>
      <c r="Y122" s="144">
        <f>SUMIF(민감도분석!$21:$21,'A&amp;R'!Y$116&amp;'A&amp;R'!$R122,민감도분석!$31:$31)</f>
        <v>5.8541760444641114E-2</v>
      </c>
      <c r="Z122" s="144">
        <f>SUMIF(민감도분석!$21:$21,'A&amp;R'!Z$116&amp;'A&amp;R'!$R122,민감도분석!$31:$31)</f>
        <v>5.8319315910339342E-2</v>
      </c>
      <c r="AA122" s="144">
        <f>SUMIF(민감도분석!$21:$21,'A&amp;R'!AA$116&amp;'A&amp;R'!$R122,민감도분석!$31:$31)</f>
        <v>5.8097653388977044E-2</v>
      </c>
      <c r="AB122" s="144">
        <f>SUMIF(민감도분석!$21:$21,'A&amp;R'!AB$116&amp;'A&amp;R'!$R122,민감도분석!$31:$31)</f>
        <v>5.7876753807067874E-2</v>
      </c>
      <c r="AC122" s="144">
        <f>SUMIF(민감도분석!$21:$21,'A&amp;R'!AC$116&amp;'A&amp;R'!$R122,민감도분석!$31:$31)</f>
        <v>5.6690888404846193E-2</v>
      </c>
    </row>
    <row r="123" spans="2:29" ht="13.5" customHeight="1">
      <c r="C123" s="30" t="str">
        <f>현금흐름!D48</f>
        <v>보통주</v>
      </c>
      <c r="D123" s="41"/>
      <c r="E123" s="41">
        <f>SUMIF(현금흐름!$15:$15,'A&amp;R'!E$89,현금흐름!48:48)</f>
        <v>0</v>
      </c>
      <c r="F123" s="41">
        <f ca="1">SUMIF(현금흐름!$15:$15,'A&amp;R'!F$89,현금흐름!48:48)</f>
        <v>0</v>
      </c>
      <c r="G123" s="41">
        <f ca="1">SUMIF(현금흐름!$15:$15,'A&amp;R'!G$89,현금흐름!48:48)</f>
        <v>0</v>
      </c>
      <c r="H123" s="41">
        <f ca="1">SUMIF(현금흐름!$15:$15,'A&amp;R'!H$89,현금흐름!48:48)</f>
        <v>0</v>
      </c>
      <c r="I123" s="41">
        <f ca="1">SUMIF(현금흐름!$15:$15,'A&amp;R'!I$89,현금흐름!48:48)</f>
        <v>0</v>
      </c>
      <c r="J123" s="41">
        <f ca="1">SUMIF(현금흐름!$15:$15,'A&amp;R'!J$89,현금흐름!48:48)</f>
        <v>0</v>
      </c>
      <c r="K123" s="41">
        <f ca="1">SUMIF(현금흐름!$15:$15,'A&amp;R'!K$89,현금흐름!48:48)</f>
        <v>0</v>
      </c>
      <c r="L123" s="41">
        <f ca="1">SUMIF(현금흐름!$15:$15,'A&amp;R'!L$89,현금흐름!48:48)</f>
        <v>0</v>
      </c>
      <c r="M123" s="41">
        <f ca="1">SUMIF(현금흐름!$15:$15,'A&amp;R'!M$89,현금흐름!48:48)</f>
        <v>-212.32087165162898</v>
      </c>
      <c r="N123" s="41">
        <f ca="1">SUMIF(현금흐름!$15:$15,'A&amp;R'!N$89,현금흐름!48:48)</f>
        <v>-142.93713956767328</v>
      </c>
      <c r="O123" s="41">
        <f ca="1">SUMIF(현금흐름!$15:$15,'A&amp;R'!O$89,현금흐름!48:48)</f>
        <v>-348.98879093919504</v>
      </c>
      <c r="R123" s="266">
        <f t="shared" si="38"/>
        <v>5.1000000000000011E-2</v>
      </c>
      <c r="S123" s="144">
        <f>SUMIF(민감도분석!$21:$21,'A&amp;R'!S$116&amp;'A&amp;R'!$R123,민감도분석!$31:$31)</f>
        <v>5.9996819496154784E-2</v>
      </c>
      <c r="T123" s="144">
        <f>SUMIF(민감도분석!$21:$21,'A&amp;R'!T$116&amp;'A&amp;R'!$R123,민감도분석!$31:$31)</f>
        <v>5.9829010963439941E-2</v>
      </c>
      <c r="U123" s="144">
        <f>SUMIF(민감도분석!$21:$21,'A&amp;R'!U$116&amp;'A&amp;R'!$R123,민감도분석!$31:$31)</f>
        <v>5.9544825553894037E-2</v>
      </c>
      <c r="V123" s="144">
        <f>SUMIF(민감도분석!$21:$21,'A&amp;R'!V$116&amp;'A&amp;R'!$R123,민감도분석!$31:$31)</f>
        <v>5.9234776496887215E-2</v>
      </c>
      <c r="W123" s="144">
        <f>SUMIF(민감도분석!$21:$21,'A&amp;R'!W$116&amp;'A&amp;R'!$R123,민감도분석!$31:$31)</f>
        <v>5.7479138374328609E-2</v>
      </c>
      <c r="X123" s="144">
        <f>SUMIF(민감도분석!$21:$21,'A&amp;R'!X$116&amp;'A&amp;R'!$R123,민감도분석!$31:$31)</f>
        <v>5.6707625389099112E-2</v>
      </c>
      <c r="Y123" s="144">
        <f>SUMIF(민감도분석!$21:$21,'A&amp;R'!Y$116&amp;'A&amp;R'!$R123,민감도분석!$31:$31)</f>
        <v>5.6121296882629401E-2</v>
      </c>
      <c r="Z123" s="144">
        <f>SUMIF(민감도분석!$21:$21,'A&amp;R'!Z$116&amp;'A&amp;R'!$R123,민감도분석!$31:$31)</f>
        <v>5.6004490852355954E-2</v>
      </c>
      <c r="AA123" s="144">
        <f>SUMIF(민감도분석!$21:$21,'A&amp;R'!AA$116&amp;'A&amp;R'!$R123,민감도분석!$31:$31)</f>
        <v>5.5888133049011218E-2</v>
      </c>
      <c r="AB123" s="144">
        <f>SUMIF(민감도분석!$21:$21,'A&amp;R'!AB$116&amp;'A&amp;R'!$R123,민감도분석!$31:$31)</f>
        <v>5.5772242546081541E-2</v>
      </c>
      <c r="AC123" s="144">
        <f>SUMIF(민감도분석!$21:$21,'A&amp;R'!AC$116&amp;'A&amp;R'!$R123,민감도분석!$31:$31)</f>
        <v>5.4719290733337402E-2</v>
      </c>
    </row>
    <row r="124" spans="2:29" ht="13.5" customHeight="1">
      <c r="B124" s="34"/>
      <c r="C124" s="36" t="str">
        <f>현금흐름!D49</f>
        <v>우선주</v>
      </c>
      <c r="D124" s="42"/>
      <c r="E124" s="42">
        <f>SUMIF(현금흐름!$15:$15,'A&amp;R'!E$89,현금흐름!49:49)</f>
        <v>0</v>
      </c>
      <c r="F124" s="42">
        <f ca="1">SUMIF(현금흐름!$15:$15,'A&amp;R'!F$89,현금흐름!49:49)</f>
        <v>0</v>
      </c>
      <c r="G124" s="42">
        <f ca="1">SUMIF(현금흐름!$15:$15,'A&amp;R'!G$89,현금흐름!49:49)</f>
        <v>-444.75039238012704</v>
      </c>
      <c r="H124" s="42">
        <f ca="1">SUMIF(현금흐름!$15:$15,'A&amp;R'!H$89,현금흐름!49:49)</f>
        <v>-608.44136532235825</v>
      </c>
      <c r="I124" s="42">
        <f ca="1">SUMIF(현금흐름!$15:$15,'A&amp;R'!I$89,현금흐름!49:49)</f>
        <v>-770.09622573600359</v>
      </c>
      <c r="J124" s="42">
        <f ca="1">SUMIF(현금흐름!$15:$15,'A&amp;R'!J$89,현금흐름!49:49)</f>
        <v>-496.5684952474457</v>
      </c>
      <c r="K124" s="42">
        <f ca="1">SUMIF(현금흐름!$15:$15,'A&amp;R'!K$89,현금흐름!49:49)</f>
        <v>-514.77997541327272</v>
      </c>
      <c r="L124" s="42">
        <f ca="1">SUMIF(현금흐름!$15:$15,'A&amp;R'!L$89,현금흐름!49:49)</f>
        <v>-642.67357826255648</v>
      </c>
      <c r="M124" s="42">
        <f ca="1">SUMIF(현금흐름!$15:$15,'A&amp;R'!M$89,현금흐름!49:49)</f>
        <v>-602.68996763823611</v>
      </c>
      <c r="N124" s="42">
        <f ca="1">SUMIF(현금흐름!$15:$15,'A&amp;R'!N$89,현금흐름!49:49)</f>
        <v>-510</v>
      </c>
      <c r="O124" s="42">
        <f ca="1">SUMIF(현금흐름!$15:$15,'A&amp;R'!O$89,현금흐름!49:49)</f>
        <v>-510</v>
      </c>
      <c r="R124" s="266">
        <f t="shared" si="38"/>
        <v>5.2500000000000012E-2</v>
      </c>
      <c r="S124" s="144">
        <f>SUMIF(민감도분석!$21:$21,'A&amp;R'!S$116&amp;'A&amp;R'!$R124,민감도분석!$31:$31)</f>
        <v>5.9996819496154784E-2</v>
      </c>
      <c r="T124" s="144">
        <f>SUMIF(민감도분석!$21:$21,'A&amp;R'!T$116&amp;'A&amp;R'!$R124,민감도분석!$31:$31)</f>
        <v>5.9829010963439941E-2</v>
      </c>
      <c r="U124" s="144">
        <f>SUMIF(민감도분석!$21:$21,'A&amp;R'!U$116&amp;'A&amp;R'!$R124,민감도분석!$31:$31)</f>
        <v>5.9544825553894037E-2</v>
      </c>
      <c r="V124" s="144">
        <f>SUMIF(민감도분석!$21:$21,'A&amp;R'!V$116&amp;'A&amp;R'!$R124,민감도분석!$31:$31)</f>
        <v>5.9234776496887215E-2</v>
      </c>
      <c r="W124" s="144">
        <f>SUMIF(민감도분석!$21:$21,'A&amp;R'!W$116&amp;'A&amp;R'!$R124,민감도분석!$31:$31)</f>
        <v>5.7479138374328609E-2</v>
      </c>
      <c r="X124" s="144">
        <f>SUMIF(민감도분석!$21:$21,'A&amp;R'!X$116&amp;'A&amp;R'!$R124,민감도분석!$31:$31)</f>
        <v>5.6707625389099112E-2</v>
      </c>
      <c r="Y124" s="144">
        <f>SUMIF(민감도분석!$21:$21,'A&amp;R'!Y$116&amp;'A&amp;R'!$R124,민감도분석!$31:$31)</f>
        <v>5.6121296882629401E-2</v>
      </c>
      <c r="Z124" s="144">
        <f>SUMIF(민감도분석!$21:$21,'A&amp;R'!Z$116&amp;'A&amp;R'!$R124,민감도분석!$31:$31)</f>
        <v>5.6004490852355954E-2</v>
      </c>
      <c r="AA124" s="144">
        <f>SUMIF(민감도분석!$21:$21,'A&amp;R'!AA$116&amp;'A&amp;R'!$R124,민감도분석!$31:$31)</f>
        <v>5.5888133049011218E-2</v>
      </c>
      <c r="AB124" s="144">
        <f>SUMIF(민감도분석!$21:$21,'A&amp;R'!AB$116&amp;'A&amp;R'!$R124,민감도분석!$31:$31)</f>
        <v>5.5772242546081541E-2</v>
      </c>
      <c r="AC124" s="144">
        <f>SUMIF(민감도분석!$21:$21,'A&amp;R'!AC$116&amp;'A&amp;R'!$R124,민감도분석!$31:$31)</f>
        <v>5.4719290733337402E-2</v>
      </c>
    </row>
    <row r="125" spans="2:29" ht="13.5" customHeight="1">
      <c r="B125" s="1" t="str">
        <f>현금흐름!C50</f>
        <v>청산배당</v>
      </c>
      <c r="R125" s="266">
        <f t="shared" si="38"/>
        <v>5.4000000000000013E-2</v>
      </c>
      <c r="S125" s="144">
        <f>SUMIF(민감도분석!$21:$21,'A&amp;R'!S$116&amp;'A&amp;R'!$R125,민감도분석!$31:$31)</f>
        <v>5.9996819496154784E-2</v>
      </c>
      <c r="T125" s="144">
        <f>SUMIF(민감도분석!$21:$21,'A&amp;R'!T$116&amp;'A&amp;R'!$R125,민감도분석!$31:$31)</f>
        <v>5.9829010963439941E-2</v>
      </c>
      <c r="U125" s="144">
        <f>SUMIF(민감도분석!$21:$21,'A&amp;R'!U$116&amp;'A&amp;R'!$R125,민감도분석!$31:$31)</f>
        <v>5.9544825553894037E-2</v>
      </c>
      <c r="V125" s="144">
        <f>SUMIF(민감도분석!$21:$21,'A&amp;R'!V$116&amp;'A&amp;R'!$R125,민감도분석!$31:$31)</f>
        <v>5.9234776496887215E-2</v>
      </c>
      <c r="W125" s="144">
        <f>SUMIF(민감도분석!$21:$21,'A&amp;R'!W$116&amp;'A&amp;R'!$R125,민감도분석!$31:$31)</f>
        <v>5.7479138374328609E-2</v>
      </c>
      <c r="X125" s="144">
        <f>SUMIF(민감도분석!$21:$21,'A&amp;R'!X$116&amp;'A&amp;R'!$R125,민감도분석!$31:$31)</f>
        <v>5.6707625389099112E-2</v>
      </c>
      <c r="Y125" s="144">
        <f>SUMIF(민감도분석!$21:$21,'A&amp;R'!Y$116&amp;'A&amp;R'!$R125,민감도분석!$31:$31)</f>
        <v>5.6121296882629401E-2</v>
      </c>
      <c r="Z125" s="144">
        <f>SUMIF(민감도분석!$21:$21,'A&amp;R'!Z$116&amp;'A&amp;R'!$R125,민감도분석!$31:$31)</f>
        <v>5.6004490852355954E-2</v>
      </c>
      <c r="AA125" s="144">
        <f>SUMIF(민감도분석!$21:$21,'A&amp;R'!AA$116&amp;'A&amp;R'!$R125,민감도분석!$31:$31)</f>
        <v>5.5888133049011218E-2</v>
      </c>
      <c r="AB125" s="144">
        <f>SUMIF(민감도분석!$21:$21,'A&amp;R'!AB$116&amp;'A&amp;R'!$R125,민감도분석!$31:$31)</f>
        <v>5.5772242546081541E-2</v>
      </c>
      <c r="AC125" s="144">
        <f>SUMIF(민감도분석!$21:$21,'A&amp;R'!AC$116&amp;'A&amp;R'!$R125,민감도분석!$31:$31)</f>
        <v>5.4661078453063956E-2</v>
      </c>
    </row>
    <row r="126" spans="2:29" ht="13.5" customHeight="1">
      <c r="C126" s="30" t="str">
        <f>현금흐름!D51</f>
        <v>보통주</v>
      </c>
      <c r="D126" s="41"/>
      <c r="E126" s="41">
        <f>SUMIF(현금흐름!$15:$15,'A&amp;R'!E$89,현금흐름!51:51)</f>
        <v>0</v>
      </c>
      <c r="F126" s="41">
        <f ca="1">SUMIF(현금흐름!$15:$15,'A&amp;R'!F$89,현금흐름!51:51)</f>
        <v>0</v>
      </c>
      <c r="G126" s="41">
        <f ca="1">SUMIF(현금흐름!$15:$15,'A&amp;R'!G$89,현금흐름!51:51)</f>
        <v>0</v>
      </c>
      <c r="H126" s="41">
        <f ca="1">SUMIF(현금흐름!$15:$15,'A&amp;R'!H$89,현금흐름!51:51)</f>
        <v>0</v>
      </c>
      <c r="I126" s="41">
        <f ca="1">SUMIF(현금흐름!$15:$15,'A&amp;R'!I$89,현금흐름!51:51)</f>
        <v>0</v>
      </c>
      <c r="J126" s="41">
        <f ca="1">SUMIF(현금흐름!$15:$15,'A&amp;R'!J$89,현금흐름!51:51)</f>
        <v>0</v>
      </c>
      <c r="K126" s="41">
        <f ca="1">SUMIF(현금흐름!$15:$15,'A&amp;R'!K$89,현금흐름!51:51)</f>
        <v>0</v>
      </c>
      <c r="L126" s="41">
        <f ca="1">SUMIF(현금흐름!$15:$15,'A&amp;R'!L$89,현금흐름!51:51)</f>
        <v>0</v>
      </c>
      <c r="M126" s="41">
        <f ca="1">SUMIF(현금흐름!$15:$15,'A&amp;R'!M$89,현금흐름!51:51)</f>
        <v>0</v>
      </c>
      <c r="N126" s="41">
        <f ca="1">SUMIF(현금흐름!$15:$15,'A&amp;R'!N$89,현금흐름!51:51)</f>
        <v>0</v>
      </c>
      <c r="O126" s="41">
        <f ca="1">SUMIF(현금흐름!$15:$15,'A&amp;R'!O$89,현금흐름!51:51)</f>
        <v>-2479.9136332783264</v>
      </c>
      <c r="R126" s="266">
        <f t="shared" si="38"/>
        <v>5.5500000000000015E-2</v>
      </c>
      <c r="S126" s="153">
        <f>SUMIF(민감도분석!$21:$21,'A&amp;R'!S$116&amp;'A&amp;R'!$R126,민감도분석!$31:$31)</f>
        <v>5.9996819496154784E-2</v>
      </c>
      <c r="T126" s="153">
        <f>SUMIF(민감도분석!$21:$21,'A&amp;R'!T$116&amp;'A&amp;R'!$R126,민감도분석!$31:$31)</f>
        <v>5.9829010963439941E-2</v>
      </c>
      <c r="U126" s="153">
        <f>SUMIF(민감도분석!$21:$21,'A&amp;R'!U$116&amp;'A&amp;R'!$R126,민감도분석!$31:$31)</f>
        <v>5.9544825553894037E-2</v>
      </c>
      <c r="V126" s="153">
        <f>SUMIF(민감도분석!$21:$21,'A&amp;R'!V$116&amp;'A&amp;R'!$R126,민감도분석!$31:$31)</f>
        <v>5.9234776496887215E-2</v>
      </c>
      <c r="W126" s="153">
        <f>SUMIF(민감도분석!$21:$21,'A&amp;R'!W$116&amp;'A&amp;R'!$R126,민감도분석!$31:$31)</f>
        <v>5.7479138374328609E-2</v>
      </c>
      <c r="X126" s="153">
        <f>SUMIF(민감도분석!$21:$21,'A&amp;R'!X$116&amp;'A&amp;R'!$R126,민감도분석!$31:$31)</f>
        <v>5.6707625389099112E-2</v>
      </c>
      <c r="Y126" s="153">
        <f>SUMIF(민감도분석!$21:$21,'A&amp;R'!Y$116&amp;'A&amp;R'!$R126,민감도분석!$31:$31)</f>
        <v>5.6121296882629401E-2</v>
      </c>
      <c r="Z126" s="153">
        <f>SUMIF(민감도분석!$21:$21,'A&amp;R'!Z$116&amp;'A&amp;R'!$R126,민감도분석!$31:$31)</f>
        <v>5.4417395591735848E-2</v>
      </c>
      <c r="AA126" s="153">
        <f>SUMIF(민감도분석!$21:$21,'A&amp;R'!AA$116&amp;'A&amp;R'!$R126,민감도분석!$31:$31)</f>
        <v>5.0808625221252443E-2</v>
      </c>
      <c r="AB126" s="153">
        <f>SUMIF(민감도분석!$21:$21,'A&amp;R'!AB$116&amp;'A&amp;R'!$R126,민감도분석!$31:$31)</f>
        <v>4.7164731025695794E-2</v>
      </c>
      <c r="AC126" s="153">
        <f>SUMIF(민감도분석!$21:$21,'A&amp;R'!AC$116&amp;'A&amp;R'!$R126,민감도분석!$31:$31)</f>
        <v>4.2726616859436038E-2</v>
      </c>
    </row>
    <row r="127" spans="2:29" ht="13.5" customHeight="1">
      <c r="B127" s="34"/>
      <c r="C127" s="36" t="str">
        <f>현금흐름!D52</f>
        <v>우선주</v>
      </c>
      <c r="D127" s="42"/>
      <c r="E127" s="42">
        <f>SUMIF(현금흐름!$15:$15,'A&amp;R'!E$89,현금흐름!52:52)</f>
        <v>0</v>
      </c>
      <c r="F127" s="42">
        <f ca="1">SUMIF(현금흐름!$15:$15,'A&amp;R'!F$89,현금흐름!52:52)</f>
        <v>0</v>
      </c>
      <c r="G127" s="42">
        <f ca="1">SUMIF(현금흐름!$15:$15,'A&amp;R'!G$89,현금흐름!52:52)</f>
        <v>0</v>
      </c>
      <c r="H127" s="42">
        <f ca="1">SUMIF(현금흐름!$15:$15,'A&amp;R'!H$89,현금흐름!52:52)</f>
        <v>0</v>
      </c>
      <c r="I127" s="42">
        <f ca="1">SUMIF(현금흐름!$15:$15,'A&amp;R'!I$89,현금흐름!52:52)</f>
        <v>0</v>
      </c>
      <c r="J127" s="42">
        <f ca="1">SUMIF(현금흐름!$15:$15,'A&amp;R'!J$89,현금흐름!52:52)</f>
        <v>0</v>
      </c>
      <c r="K127" s="42">
        <f ca="1">SUMIF(현금흐름!$15:$15,'A&amp;R'!K$89,현금흐름!52:52)</f>
        <v>0</v>
      </c>
      <c r="L127" s="42">
        <f ca="1">SUMIF(현금흐름!$15:$15,'A&amp;R'!L$89,현금흐름!52:52)</f>
        <v>0</v>
      </c>
      <c r="M127" s="42">
        <f ca="1">SUMIF(현금흐름!$15:$15,'A&amp;R'!M$89,현금흐름!52:52)</f>
        <v>0</v>
      </c>
      <c r="N127" s="42">
        <f ca="1">SUMIF(현금흐름!$15:$15,'A&amp;R'!N$89,현금흐름!52:52)</f>
        <v>0</v>
      </c>
      <c r="O127" s="42">
        <f ca="1">SUMIF(현금흐름!$15:$15,'A&amp;R'!O$89,현금흐름!52:52)</f>
        <v>-1062.8201285478542</v>
      </c>
      <c r="R127" s="251">
        <f t="shared" si="38"/>
        <v>5.7000000000000016E-2</v>
      </c>
      <c r="S127" s="255">
        <f>SUMIF(민감도분석!$21:$21,'A&amp;R'!S$116&amp;'A&amp;R'!$R127,민감도분석!$31:$31)</f>
        <v>5.9996819496154784E-2</v>
      </c>
      <c r="T127" s="255">
        <f>SUMIF(민감도분석!$21:$21,'A&amp;R'!T$116&amp;'A&amp;R'!$R127,민감도분석!$31:$31)</f>
        <v>5.9829010963439941E-2</v>
      </c>
      <c r="U127" s="255">
        <f>SUMIF(민감도분석!$21:$21,'A&amp;R'!U$116&amp;'A&amp;R'!$R127,민감도분석!$31:$31)</f>
        <v>5.9544825553894037E-2</v>
      </c>
      <c r="V127" s="255">
        <f>SUMIF(민감도분석!$21:$21,'A&amp;R'!V$116&amp;'A&amp;R'!$R127,민감도분석!$31:$31)</f>
        <v>5.9234776496887215E-2</v>
      </c>
      <c r="W127" s="255">
        <f>SUMIF(민감도분석!$21:$21,'A&amp;R'!W$116&amp;'A&amp;R'!$R127,민감도분석!$31:$31)</f>
        <v>5.4936623573303221E-2</v>
      </c>
      <c r="X127" s="255">
        <f>SUMIF(민감도분석!$21:$21,'A&amp;R'!X$116&amp;'A&amp;R'!$R127,민감도분석!$31:$31)</f>
        <v>5.0642657279968264E-2</v>
      </c>
      <c r="Y127" s="255">
        <f>SUMIF(민감도분석!$21:$21,'A&amp;R'!Y$116&amp;'A&amp;R'!$R127,민감도분석!$31:$31)</f>
        <v>4.653814792633057E-2</v>
      </c>
      <c r="Z127" s="255">
        <f>SUMIF(민감도분석!$21:$21,'A&amp;R'!Z$116&amp;'A&amp;R'!$R127,민감도분석!$31:$31)</f>
        <v>4.2825284004211414E-2</v>
      </c>
      <c r="AA127" s="255">
        <f>SUMIF(민감도분석!$21:$21,'A&amp;R'!AA$116&amp;'A&amp;R'!$R127,민감도분석!$31:$31)</f>
        <v>3.9074549674987788E-2</v>
      </c>
      <c r="AB127" s="255">
        <f>SUMIF(민감도분석!$21:$21,'A&amp;R'!AB$116&amp;'A&amp;R'!$R127,민감도분석!$31:$31)</f>
        <v>3.5284972190856939E-2</v>
      </c>
      <c r="AC127" s="255">
        <f>SUMIF(민감도분석!$21:$21,'A&amp;R'!AC$116&amp;'A&amp;R'!$R127,민감도분석!$31:$31)</f>
        <v>3.0887722969055179E-2</v>
      </c>
    </row>
    <row r="128" spans="2:29" ht="13.5" customHeight="1">
      <c r="B128" s="44" t="str">
        <f>현금흐름!C53</f>
        <v>재무현금흐름 합계</v>
      </c>
      <c r="C128" s="44"/>
      <c r="D128" s="135" t="b">
        <f ca="1">ABS(SUM(E128:O128)-현금흐름!F53)&lt;0.001</f>
        <v>1</v>
      </c>
      <c r="E128" s="44">
        <f ca="1">SUM(E108:E127)</f>
        <v>51905.875293976722</v>
      </c>
      <c r="F128" s="44">
        <f t="shared" ref="F128:O128" ca="1" si="39">SUM(F108:F127)</f>
        <v>-3344.4865109005586</v>
      </c>
      <c r="G128" s="44">
        <f t="shared" ca="1" si="39"/>
        <v>-98.131911906234961</v>
      </c>
      <c r="H128" s="44">
        <f t="shared" ca="1" si="39"/>
        <v>-608.44136532235825</v>
      </c>
      <c r="I128" s="44">
        <f t="shared" ca="1" si="39"/>
        <v>-770.09622573600359</v>
      </c>
      <c r="J128" s="44">
        <f t="shared" ca="1" si="39"/>
        <v>-919.8453951983646</v>
      </c>
      <c r="K128" s="44">
        <f t="shared" ca="1" si="39"/>
        <v>-64.539075462353878</v>
      </c>
      <c r="L128" s="44">
        <f t="shared" ca="1" si="39"/>
        <v>-642.67357826255648</v>
      </c>
      <c r="M128" s="44">
        <f t="shared" ca="1" si="39"/>
        <v>-815.01083928986509</v>
      </c>
      <c r="N128" s="44">
        <f t="shared" ca="1" si="39"/>
        <v>-652.93713956767328</v>
      </c>
      <c r="O128" s="44">
        <f t="shared" ca="1" si="39"/>
        <v>-53905.034610222647</v>
      </c>
      <c r="Q128" s="1" t="s">
        <v>539</v>
      </c>
    </row>
    <row r="129" spans="2:29" ht="13.5" customHeight="1">
      <c r="Q129" s="1" t="s">
        <v>531</v>
      </c>
      <c r="R129" s="178">
        <f ca="1">D153</f>
        <v>17000</v>
      </c>
      <c r="S129" s="255">
        <v>0</v>
      </c>
      <c r="T129" s="255">
        <f>S129+3%</f>
        <v>0.03</v>
      </c>
      <c r="U129" s="255">
        <f t="shared" ref="U129" si="40">T129+3%</f>
        <v>0.06</v>
      </c>
      <c r="V129" s="255">
        <f t="shared" ref="V129" si="41">U129+3%</f>
        <v>0.09</v>
      </c>
      <c r="W129" s="255">
        <f t="shared" ref="W129" si="42">V129+3%</f>
        <v>0.12</v>
      </c>
      <c r="X129" s="255">
        <f t="shared" ref="X129" si="43">W129+3%</f>
        <v>0.15</v>
      </c>
      <c r="Y129" s="255">
        <f t="shared" ref="Y129" si="44">X129+3%</f>
        <v>0.18</v>
      </c>
      <c r="Z129" s="255">
        <f t="shared" ref="Z129" si="45">Y129+3%</f>
        <v>0.21</v>
      </c>
      <c r="AA129" s="255">
        <f t="shared" ref="AA129" si="46">Z129+3%</f>
        <v>0.24</v>
      </c>
      <c r="AB129" s="255">
        <f t="shared" ref="AB129" si="47">AA129+3%</f>
        <v>0.27</v>
      </c>
      <c r="AC129" s="255">
        <f t="shared" ref="AC129" si="48">AB129+3%</f>
        <v>0.30000000000000004</v>
      </c>
    </row>
    <row r="130" spans="2:29" ht="13.5" customHeight="1">
      <c r="B130" s="173" t="str">
        <f>현금흐름!B55</f>
        <v>순 현금흐름</v>
      </c>
      <c r="C130" s="173"/>
      <c r="D130" s="173"/>
      <c r="E130" s="173">
        <f ca="1">E128+E104+E97</f>
        <v>-7.2759576141834259E-12</v>
      </c>
      <c r="F130" s="173">
        <f t="shared" ref="F130:O130" ca="1" si="49">F128+F104+F97</f>
        <v>7.1622707764618099E-12</v>
      </c>
      <c r="G130" s="173">
        <f t="shared" ca="1" si="49"/>
        <v>415.51220140410891</v>
      </c>
      <c r="H130" s="173">
        <f t="shared" ca="1" si="49"/>
        <v>-30.319098494209811</v>
      </c>
      <c r="I130" s="173">
        <f t="shared" ca="1" si="49"/>
        <v>69.17171302130987</v>
      </c>
      <c r="J130" s="173">
        <f t="shared" ca="1" si="49"/>
        <v>-454.36481593120925</v>
      </c>
      <c r="K130" s="173">
        <f t="shared" ca="1" si="49"/>
        <v>520.18682325830764</v>
      </c>
      <c r="L130" s="173">
        <f t="shared" ca="1" si="49"/>
        <v>-31.616436828519454</v>
      </c>
      <c r="M130" s="173">
        <f t="shared" ca="1" si="49"/>
        <v>70.46905135561633</v>
      </c>
      <c r="N130" s="173">
        <f t="shared" ca="1" si="49"/>
        <v>-32.191569889256243</v>
      </c>
      <c r="O130" s="173">
        <f t="shared" ca="1" si="49"/>
        <v>-526.84786789615146</v>
      </c>
      <c r="Q130" s="1" t="s">
        <v>537</v>
      </c>
      <c r="R130" s="266">
        <v>4.2000000000000003E-2</v>
      </c>
      <c r="S130" s="1">
        <f>SUMIF(민감도분석!$21:$21,'A&amp;R'!S$129&amp;'A&amp;R'!$R130,민감도분석!$32:$32)</f>
        <v>17000</v>
      </c>
      <c r="T130" s="1">
        <f>SUMIF(민감도분석!$21:$21,'A&amp;R'!T$129&amp;'A&amp;R'!$R130,민감도분석!$32:$32)</f>
        <v>17000</v>
      </c>
      <c r="U130" s="1">
        <f>SUMIF(민감도분석!$21:$21,'A&amp;R'!U$129&amp;'A&amp;R'!$R130,민감도분석!$32:$32)</f>
        <v>17000</v>
      </c>
      <c r="V130" s="1">
        <f>SUMIF(민감도분석!$21:$21,'A&amp;R'!V$129&amp;'A&amp;R'!$R130,민감도분석!$32:$32)</f>
        <v>17000</v>
      </c>
      <c r="W130" s="1">
        <f>SUMIF(민감도분석!$21:$21,'A&amp;R'!W$129&amp;'A&amp;R'!$R130,민감도분석!$32:$32)</f>
        <v>17000</v>
      </c>
      <c r="X130" s="1">
        <f>SUMIF(민감도분석!$21:$21,'A&amp;R'!X$129&amp;'A&amp;R'!$R130,민감도분석!$32:$32)</f>
        <v>17000</v>
      </c>
      <c r="Y130" s="1">
        <f>SUMIF(민감도분석!$21:$21,'A&amp;R'!Y$129&amp;'A&amp;R'!$R130,민감도분석!$32:$32)</f>
        <v>17000</v>
      </c>
      <c r="Z130" s="1">
        <f>SUMIF(민감도분석!$21:$21,'A&amp;R'!Z$129&amp;'A&amp;R'!$R130,민감도분석!$32:$32)</f>
        <v>17000</v>
      </c>
      <c r="AA130" s="1">
        <f>SUMIF(민감도분석!$21:$21,'A&amp;R'!AA$129&amp;'A&amp;R'!$R130,민감도분석!$32:$32)</f>
        <v>17000</v>
      </c>
      <c r="AB130" s="1">
        <f>SUMIF(민감도분석!$21:$21,'A&amp;R'!AB$129&amp;'A&amp;R'!$R130,민감도분석!$32:$32)</f>
        <v>17000</v>
      </c>
      <c r="AC130" s="1">
        <f>SUMIF(민감도분석!$21:$21,'A&amp;R'!AC$129&amp;'A&amp;R'!$R130,민감도분석!$32:$32)</f>
        <v>17000</v>
      </c>
    </row>
    <row r="131" spans="2:29" ht="13.5" customHeight="1">
      <c r="C131" s="174" t="str">
        <f>현금흐름!C56</f>
        <v>기초현금</v>
      </c>
      <c r="D131" s="175"/>
      <c r="E131" s="175">
        <v>0</v>
      </c>
      <c r="F131" s="175">
        <f ca="1">E132</f>
        <v>-7.2759576141834259E-12</v>
      </c>
      <c r="G131" s="175">
        <f t="shared" ref="G131:O131" ca="1" si="50">F132</f>
        <v>-1.1368683772161603E-13</v>
      </c>
      <c r="H131" s="175">
        <f t="shared" ca="1" si="50"/>
        <v>415.51220140410879</v>
      </c>
      <c r="I131" s="175">
        <f t="shared" ca="1" si="50"/>
        <v>385.19310290989898</v>
      </c>
      <c r="J131" s="175">
        <f t="shared" ca="1" si="50"/>
        <v>454.36481593120885</v>
      </c>
      <c r="K131" s="175">
        <f t="shared" ca="1" si="50"/>
        <v>0</v>
      </c>
      <c r="L131" s="175">
        <f t="shared" ca="1" si="50"/>
        <v>520.18682325830764</v>
      </c>
      <c r="M131" s="175">
        <f t="shared" ca="1" si="50"/>
        <v>488.57038642978819</v>
      </c>
      <c r="N131" s="175">
        <f t="shared" ca="1" si="50"/>
        <v>559.03943778540452</v>
      </c>
      <c r="O131" s="175">
        <f t="shared" ca="1" si="50"/>
        <v>526.84786789614827</v>
      </c>
      <c r="R131" s="266">
        <f>R130+0.15%</f>
        <v>4.3500000000000004E-2</v>
      </c>
      <c r="S131" s="1">
        <f>SUMIF(민감도분석!$21:$21,'A&amp;R'!S$129&amp;'A&amp;R'!$R131,민감도분석!$32:$32)</f>
        <v>17000</v>
      </c>
      <c r="T131" s="1">
        <f>SUMIF(민감도분석!$21:$21,'A&amp;R'!T$129&amp;'A&amp;R'!$R131,민감도분석!$32:$32)</f>
        <v>17000</v>
      </c>
      <c r="U131" s="1">
        <f>SUMIF(민감도분석!$21:$21,'A&amp;R'!U$129&amp;'A&amp;R'!$R131,민감도분석!$32:$32)</f>
        <v>17000</v>
      </c>
      <c r="V131" s="1">
        <f>SUMIF(민감도분석!$21:$21,'A&amp;R'!V$129&amp;'A&amp;R'!$R131,민감도분석!$32:$32)</f>
        <v>17000</v>
      </c>
      <c r="W131" s="1">
        <f>SUMIF(민감도분석!$21:$21,'A&amp;R'!W$129&amp;'A&amp;R'!$R131,민감도분석!$32:$32)</f>
        <v>17000</v>
      </c>
      <c r="X131" s="1">
        <f>SUMIF(민감도분석!$21:$21,'A&amp;R'!X$129&amp;'A&amp;R'!$R131,민감도분석!$32:$32)</f>
        <v>17000</v>
      </c>
      <c r="Y131" s="1">
        <f>SUMIF(민감도분석!$21:$21,'A&amp;R'!Y$129&amp;'A&amp;R'!$R131,민감도분석!$32:$32)</f>
        <v>17000</v>
      </c>
      <c r="Z131" s="1">
        <f>SUMIF(민감도분석!$21:$21,'A&amp;R'!Z$129&amp;'A&amp;R'!$R131,민감도분석!$32:$32)</f>
        <v>17000</v>
      </c>
      <c r="AA131" s="1">
        <f>SUMIF(민감도분석!$21:$21,'A&amp;R'!AA$129&amp;'A&amp;R'!$R131,민감도분석!$32:$32)</f>
        <v>17000</v>
      </c>
      <c r="AB131" s="1">
        <f>SUMIF(민감도분석!$21:$21,'A&amp;R'!AB$129&amp;'A&amp;R'!$R131,민감도분석!$32:$32)</f>
        <v>17000</v>
      </c>
      <c r="AC131" s="1">
        <f>SUMIF(민감도분석!$21:$21,'A&amp;R'!AC$129&amp;'A&amp;R'!$R131,민감도분석!$32:$32)</f>
        <v>17000</v>
      </c>
    </row>
    <row r="132" spans="2:29" ht="13.5" customHeight="1">
      <c r="B132" s="178"/>
      <c r="C132" s="176" t="str">
        <f>현금흐름!C57</f>
        <v>기말현금</v>
      </c>
      <c r="D132" s="177"/>
      <c r="E132" s="177">
        <f ca="1">SUM(E130:E131)</f>
        <v>-7.2759576141834259E-12</v>
      </c>
      <c r="F132" s="177">
        <f t="shared" ref="F132" ca="1" si="51">SUM(F130:F131)</f>
        <v>-1.1368683772161603E-13</v>
      </c>
      <c r="G132" s="177">
        <f t="shared" ref="G132" ca="1" si="52">SUM(G130:G131)</f>
        <v>415.51220140410879</v>
      </c>
      <c r="H132" s="177">
        <f t="shared" ref="H132" ca="1" si="53">SUM(H130:H131)</f>
        <v>385.19310290989898</v>
      </c>
      <c r="I132" s="177">
        <f t="shared" ref="I132" ca="1" si="54">SUM(I130:I131)</f>
        <v>454.36481593120885</v>
      </c>
      <c r="J132" s="177">
        <f t="shared" ref="J132" ca="1" si="55">SUM(J130:J131)</f>
        <v>0</v>
      </c>
      <c r="K132" s="177">
        <f t="shared" ref="K132" ca="1" si="56">SUM(K130:K131)</f>
        <v>520.18682325830764</v>
      </c>
      <c r="L132" s="177">
        <f t="shared" ref="L132" ca="1" si="57">SUM(L130:L131)</f>
        <v>488.57038642978819</v>
      </c>
      <c r="M132" s="177">
        <f t="shared" ref="M132" ca="1" si="58">SUM(M130:M131)</f>
        <v>559.03943778540452</v>
      </c>
      <c r="N132" s="177">
        <f t="shared" ref="N132" ca="1" si="59">SUM(N130:N131)</f>
        <v>526.84786789614827</v>
      </c>
      <c r="O132" s="177">
        <f t="shared" ref="O132" ca="1" si="60">SUM(O130:O131)</f>
        <v>-3.1832314562052488E-12</v>
      </c>
      <c r="R132" s="266">
        <f t="shared" ref="R132:R140" si="61">R131+0.15%</f>
        <v>4.5000000000000005E-2</v>
      </c>
      <c r="S132" s="1">
        <f>SUMIF(민감도분석!$21:$21,'A&amp;R'!S$129&amp;'A&amp;R'!$R132,민감도분석!$32:$32)</f>
        <v>17000</v>
      </c>
      <c r="T132" s="1">
        <f>SUMIF(민감도분석!$21:$21,'A&amp;R'!T$129&amp;'A&amp;R'!$R132,민감도분석!$32:$32)</f>
        <v>17000</v>
      </c>
      <c r="U132" s="1">
        <f>SUMIF(민감도분석!$21:$21,'A&amp;R'!U$129&amp;'A&amp;R'!$R132,민감도분석!$32:$32)</f>
        <v>17000</v>
      </c>
      <c r="V132" s="1">
        <f>SUMIF(민감도분석!$21:$21,'A&amp;R'!V$129&amp;'A&amp;R'!$R132,민감도분석!$32:$32)</f>
        <v>17000</v>
      </c>
      <c r="W132" s="1">
        <f>SUMIF(민감도분석!$21:$21,'A&amp;R'!W$129&amp;'A&amp;R'!$R132,민감도분석!$32:$32)</f>
        <v>17000</v>
      </c>
      <c r="X132" s="1">
        <f>SUMIF(민감도분석!$21:$21,'A&amp;R'!X$129&amp;'A&amp;R'!$R132,민감도분석!$32:$32)</f>
        <v>17000</v>
      </c>
      <c r="Y132" s="1">
        <f>SUMIF(민감도분석!$21:$21,'A&amp;R'!Y$129&amp;'A&amp;R'!$R132,민감도분석!$32:$32)</f>
        <v>17000</v>
      </c>
      <c r="Z132" s="1">
        <f>SUMIF(민감도분석!$21:$21,'A&amp;R'!Z$129&amp;'A&amp;R'!$R132,민감도분석!$32:$32)</f>
        <v>17000</v>
      </c>
      <c r="AA132" s="1">
        <f>SUMIF(민감도분석!$21:$21,'A&amp;R'!AA$129&amp;'A&amp;R'!$R132,민감도분석!$32:$32)</f>
        <v>17000</v>
      </c>
      <c r="AB132" s="1">
        <f>SUMIF(민감도분석!$21:$21,'A&amp;R'!AB$129&amp;'A&amp;R'!$R132,민감도분석!$32:$32)</f>
        <v>17000</v>
      </c>
      <c r="AC132" s="1">
        <f>SUMIF(민감도분석!$21:$21,'A&amp;R'!AC$129&amp;'A&amp;R'!$R132,민감도분석!$32:$32)</f>
        <v>17000</v>
      </c>
    </row>
    <row r="133" spans="2:29" ht="13.5" customHeight="1">
      <c r="B133" s="1" t="s">
        <v>512</v>
      </c>
      <c r="R133" s="266">
        <f t="shared" si="61"/>
        <v>4.6500000000000007E-2</v>
      </c>
      <c r="S133" s="1">
        <f>SUMIF(민감도분석!$21:$21,'A&amp;R'!S$129&amp;'A&amp;R'!$R133,민감도분석!$32:$32)</f>
        <v>17000</v>
      </c>
      <c r="T133" s="1">
        <f>SUMIF(민감도분석!$21:$21,'A&amp;R'!T$129&amp;'A&amp;R'!$R133,민감도분석!$32:$32)</f>
        <v>17000</v>
      </c>
      <c r="U133" s="1">
        <f>SUMIF(민감도분석!$21:$21,'A&amp;R'!U$129&amp;'A&amp;R'!$R133,민감도분석!$32:$32)</f>
        <v>17000</v>
      </c>
      <c r="V133" s="1">
        <f>SUMIF(민감도분석!$21:$21,'A&amp;R'!V$129&amp;'A&amp;R'!$R133,민감도분석!$32:$32)</f>
        <v>17000</v>
      </c>
      <c r="W133" s="1">
        <f>SUMIF(민감도분석!$21:$21,'A&amp;R'!W$129&amp;'A&amp;R'!$R133,민감도분석!$32:$32)</f>
        <v>17000</v>
      </c>
      <c r="X133" s="1">
        <f>SUMIF(민감도분석!$21:$21,'A&amp;R'!X$129&amp;'A&amp;R'!$R133,민감도분석!$32:$32)</f>
        <v>17000</v>
      </c>
      <c r="Y133" s="1">
        <f>SUMIF(민감도분석!$21:$21,'A&amp;R'!Y$129&amp;'A&amp;R'!$R133,민감도분석!$32:$32)</f>
        <v>17000</v>
      </c>
      <c r="Z133" s="1">
        <f>SUMIF(민감도분석!$21:$21,'A&amp;R'!Z$129&amp;'A&amp;R'!$R133,민감도분석!$32:$32)</f>
        <v>17000</v>
      </c>
      <c r="AA133" s="1">
        <f>SUMIF(민감도분석!$21:$21,'A&amp;R'!AA$129&amp;'A&amp;R'!$R133,민감도분석!$32:$32)</f>
        <v>17000</v>
      </c>
      <c r="AB133" s="1">
        <f>SUMIF(민감도분석!$21:$21,'A&amp;R'!AB$129&amp;'A&amp;R'!$R133,민감도분석!$32:$32)</f>
        <v>17000</v>
      </c>
      <c r="AC133" s="1">
        <f>SUMIF(민감도분석!$21:$21,'A&amp;R'!AC$129&amp;'A&amp;R'!$R133,민감도분석!$32:$32)</f>
        <v>17000</v>
      </c>
    </row>
    <row r="134" spans="2:29" ht="13.5" customHeight="1">
      <c r="C134" s="1" t="s">
        <v>515</v>
      </c>
      <c r="E134" s="147">
        <f ca="1">SUMIF(현금흐름!$14:$14,'A&amp;R'!E91,현금흐름!121:121)</f>
        <v>0</v>
      </c>
      <c r="F134" s="147">
        <f ca="1">SUMIF(현금흐름!$14:$14,'A&amp;R'!F91,현금흐름!121:121)</f>
        <v>1.4511806088421064</v>
      </c>
      <c r="G134" s="147">
        <f ca="1">SUMIF(현금흐름!$14:$14,'A&amp;R'!G91,현금흐름!121:121)</f>
        <v>3.0949814871218875</v>
      </c>
      <c r="H134" s="147">
        <f ca="1">SUMIF(현금흐름!$14:$14,'A&amp;R'!H91,현금흐름!121:121)</f>
        <v>2.2293309944138162</v>
      </c>
      <c r="I134" s="147">
        <f ca="1">SUMIF(현금흐름!$14:$14,'A&amp;R'!I91,현금흐름!121:121)</f>
        <v>3.1087134784634256</v>
      </c>
      <c r="J134" s="147">
        <f ca="1">SUMIF(현금흐름!$14:$14,'A&amp;R'!J91,현금흐름!121:121)</f>
        <v>1.5919703598274677</v>
      </c>
      <c r="K134" s="147">
        <f ca="1">SUMIF(현금흐름!$14:$14,'A&amp;R'!K91,현금흐름!121:121)</f>
        <v>3.2040247920368596</v>
      </c>
      <c r="L134" s="147">
        <f ca="1">SUMIF(현금흐름!$14:$14,'A&amp;R'!L91,현금흐름!121:121)</f>
        <v>2.3215509599737176</v>
      </c>
      <c r="M134" s="147">
        <f ca="1">SUMIF(현금흐름!$14:$14,'A&amp;R'!M91,현금흐름!121:121)</f>
        <v>3.2391256153604786</v>
      </c>
      <c r="N134" s="147">
        <f ca="1">SUMIF(현금흐름!$14:$14,'A&amp;R'!N91,현금흐름!121:121)</f>
        <v>2.3489335175298227</v>
      </c>
      <c r="O134" s="147">
        <f ca="1">SUMIF(현금흐름!$14:$14,'A&amp;R'!O91,현금흐름!121:121)</f>
        <v>3.9277845999949093</v>
      </c>
      <c r="R134" s="266">
        <f t="shared" si="61"/>
        <v>4.8000000000000008E-2</v>
      </c>
      <c r="S134" s="1">
        <f>SUMIF(민감도분석!$21:$21,'A&amp;R'!S$129&amp;'A&amp;R'!$R134,민감도분석!$32:$32)</f>
        <v>17000</v>
      </c>
      <c r="T134" s="1">
        <f>SUMIF(민감도분석!$21:$21,'A&amp;R'!T$129&amp;'A&amp;R'!$R134,민감도분석!$32:$32)</f>
        <v>17000</v>
      </c>
      <c r="U134" s="1">
        <f>SUMIF(민감도분석!$21:$21,'A&amp;R'!U$129&amp;'A&amp;R'!$R134,민감도분석!$32:$32)</f>
        <v>17000</v>
      </c>
      <c r="V134" s="1">
        <f>SUMIF(민감도분석!$21:$21,'A&amp;R'!V$129&amp;'A&amp;R'!$R134,민감도분석!$32:$32)</f>
        <v>17000</v>
      </c>
      <c r="W134" s="1">
        <f>SUMIF(민감도분석!$21:$21,'A&amp;R'!W$129&amp;'A&amp;R'!$R134,민감도분석!$32:$32)</f>
        <v>17000</v>
      </c>
      <c r="X134" s="1">
        <f>SUMIF(민감도분석!$21:$21,'A&amp;R'!X$129&amp;'A&amp;R'!$R134,민감도분석!$32:$32)</f>
        <v>17000</v>
      </c>
      <c r="Y134" s="1">
        <f>SUMIF(민감도분석!$21:$21,'A&amp;R'!Y$129&amp;'A&amp;R'!$R134,민감도분석!$32:$32)</f>
        <v>17000</v>
      </c>
      <c r="Z134" s="1">
        <f>SUMIF(민감도분석!$21:$21,'A&amp;R'!Z$129&amp;'A&amp;R'!$R134,민감도분석!$32:$32)</f>
        <v>17000</v>
      </c>
      <c r="AA134" s="1">
        <f>SUMIF(민감도분석!$21:$21,'A&amp;R'!AA$129&amp;'A&amp;R'!$R134,민감도분석!$32:$32)</f>
        <v>17000</v>
      </c>
      <c r="AB134" s="1">
        <f>SUMIF(민감도분석!$21:$21,'A&amp;R'!AB$129&amp;'A&amp;R'!$R134,민감도분석!$32:$32)</f>
        <v>17000</v>
      </c>
      <c r="AC134" s="1">
        <f>SUMIF(민감도분석!$21:$21,'A&amp;R'!AC$129&amp;'A&amp;R'!$R134,민감도분석!$32:$32)</f>
        <v>17000</v>
      </c>
    </row>
    <row r="135" spans="2:29" ht="13.5" customHeight="1">
      <c r="C135" s="30" t="s">
        <v>513</v>
      </c>
      <c r="D135" s="248">
        <f ca="1">현금흐름!F122</f>
        <v>2.8333855899035028</v>
      </c>
      <c r="R135" s="266">
        <f t="shared" si="61"/>
        <v>4.9500000000000009E-2</v>
      </c>
      <c r="S135" s="1">
        <f>SUMIF(민감도분석!$21:$21,'A&amp;R'!S$129&amp;'A&amp;R'!$R135,민감도분석!$32:$32)</f>
        <v>17000</v>
      </c>
      <c r="T135" s="1">
        <f>SUMIF(민감도분석!$21:$21,'A&amp;R'!T$129&amp;'A&amp;R'!$R135,민감도분석!$32:$32)</f>
        <v>17000</v>
      </c>
      <c r="U135" s="1">
        <f>SUMIF(민감도분석!$21:$21,'A&amp;R'!U$129&amp;'A&amp;R'!$R135,민감도분석!$32:$32)</f>
        <v>17000</v>
      </c>
      <c r="V135" s="1">
        <f>SUMIF(민감도분석!$21:$21,'A&amp;R'!V$129&amp;'A&amp;R'!$R135,민감도분석!$32:$32)</f>
        <v>17000</v>
      </c>
      <c r="W135" s="1">
        <f>SUMIF(민감도분석!$21:$21,'A&amp;R'!W$129&amp;'A&amp;R'!$R135,민감도분석!$32:$32)</f>
        <v>17000</v>
      </c>
      <c r="X135" s="1">
        <f>SUMIF(민감도분석!$21:$21,'A&amp;R'!X$129&amp;'A&amp;R'!$R135,민감도분석!$32:$32)</f>
        <v>17000</v>
      </c>
      <c r="Y135" s="1">
        <f>SUMIF(민감도분석!$21:$21,'A&amp;R'!Y$129&amp;'A&amp;R'!$R135,민감도분석!$32:$32)</f>
        <v>17000</v>
      </c>
      <c r="Z135" s="1">
        <f>SUMIF(민감도분석!$21:$21,'A&amp;R'!Z$129&amp;'A&amp;R'!$R135,민감도분석!$32:$32)</f>
        <v>17000</v>
      </c>
      <c r="AA135" s="1">
        <f>SUMIF(민감도분석!$21:$21,'A&amp;R'!AA$129&amp;'A&amp;R'!$R135,민감도분석!$32:$32)</f>
        <v>17000</v>
      </c>
      <c r="AB135" s="1">
        <f>SUMIF(민감도분석!$21:$21,'A&amp;R'!AB$129&amp;'A&amp;R'!$R135,민감도분석!$32:$32)</f>
        <v>17000</v>
      </c>
      <c r="AC135" s="1">
        <f>SUMIF(민감도분석!$21:$21,'A&amp;R'!AC$129&amp;'A&amp;R'!$R135,민감도분석!$32:$32)</f>
        <v>17000</v>
      </c>
    </row>
    <row r="136" spans="2:29" ht="13.5" customHeight="1">
      <c r="B136" s="177"/>
      <c r="C136" s="240" t="s">
        <v>514</v>
      </c>
      <c r="D136" s="249">
        <f ca="1">현금흐름!F123</f>
        <v>1.4511806088421064</v>
      </c>
      <c r="E136" s="177"/>
      <c r="F136" s="177"/>
      <c r="G136" s="177"/>
      <c r="H136" s="177"/>
      <c r="I136" s="177"/>
      <c r="J136" s="177"/>
      <c r="K136" s="177"/>
      <c r="L136" s="177"/>
      <c r="M136" s="177"/>
      <c r="N136" s="177"/>
      <c r="O136" s="177"/>
      <c r="R136" s="266">
        <f t="shared" si="61"/>
        <v>5.1000000000000011E-2</v>
      </c>
      <c r="S136" s="1">
        <f>SUMIF(민감도분석!$21:$21,'A&amp;R'!S$129&amp;'A&amp;R'!$R136,민감도분석!$32:$32)</f>
        <v>17000</v>
      </c>
      <c r="T136" s="1">
        <f>SUMIF(민감도분석!$21:$21,'A&amp;R'!T$129&amp;'A&amp;R'!$R136,민감도분석!$32:$32)</f>
        <v>17000</v>
      </c>
      <c r="U136" s="1">
        <f>SUMIF(민감도분석!$21:$21,'A&amp;R'!U$129&amp;'A&amp;R'!$R136,민감도분석!$32:$32)</f>
        <v>17000</v>
      </c>
      <c r="V136" s="1">
        <f>SUMIF(민감도분석!$21:$21,'A&amp;R'!V$129&amp;'A&amp;R'!$R136,민감도분석!$32:$32)</f>
        <v>17000</v>
      </c>
      <c r="W136" s="1">
        <f>SUMIF(민감도분석!$21:$21,'A&amp;R'!W$129&amp;'A&amp;R'!$R136,민감도분석!$32:$32)</f>
        <v>17000</v>
      </c>
      <c r="X136" s="1">
        <f>SUMIF(민감도분석!$21:$21,'A&amp;R'!X$129&amp;'A&amp;R'!$R136,민감도분석!$32:$32)</f>
        <v>17000</v>
      </c>
      <c r="Y136" s="1">
        <f>SUMIF(민감도분석!$21:$21,'A&amp;R'!Y$129&amp;'A&amp;R'!$R136,민감도분석!$32:$32)</f>
        <v>17000</v>
      </c>
      <c r="Z136" s="1">
        <f>SUMIF(민감도분석!$21:$21,'A&amp;R'!Z$129&amp;'A&amp;R'!$R136,민감도분석!$32:$32)</f>
        <v>17000</v>
      </c>
      <c r="AA136" s="1">
        <f>SUMIF(민감도분석!$21:$21,'A&amp;R'!AA$129&amp;'A&amp;R'!$R136,민감도분석!$32:$32)</f>
        <v>17000</v>
      </c>
      <c r="AB136" s="1">
        <f>SUMIF(민감도분석!$21:$21,'A&amp;R'!AB$129&amp;'A&amp;R'!$R136,민감도분석!$32:$32)</f>
        <v>17000</v>
      </c>
      <c r="AC136" s="1">
        <f>SUMIF(민감도분석!$21:$21,'A&amp;R'!AC$129&amp;'A&amp;R'!$R136,민감도분석!$32:$32)</f>
        <v>17000</v>
      </c>
    </row>
    <row r="137" spans="2:29" ht="13.5" customHeight="1">
      <c r="R137" s="266">
        <f t="shared" si="61"/>
        <v>5.2500000000000012E-2</v>
      </c>
      <c r="S137" s="1">
        <f>SUMIF(민감도분석!$21:$21,'A&amp;R'!S$129&amp;'A&amp;R'!$R137,민감도분석!$32:$32)</f>
        <v>17000</v>
      </c>
      <c r="T137" s="1">
        <f>SUMIF(민감도분석!$21:$21,'A&amp;R'!T$129&amp;'A&amp;R'!$R137,민감도분석!$32:$32)</f>
        <v>17000</v>
      </c>
      <c r="U137" s="1">
        <f>SUMIF(민감도분석!$21:$21,'A&amp;R'!U$129&amp;'A&amp;R'!$R137,민감도분석!$32:$32)</f>
        <v>17000</v>
      </c>
      <c r="V137" s="1">
        <f>SUMIF(민감도분석!$21:$21,'A&amp;R'!V$129&amp;'A&amp;R'!$R137,민감도분석!$32:$32)</f>
        <v>17000</v>
      </c>
      <c r="W137" s="1">
        <f>SUMIF(민감도분석!$21:$21,'A&amp;R'!W$129&amp;'A&amp;R'!$R137,민감도분석!$32:$32)</f>
        <v>17000</v>
      </c>
      <c r="X137" s="1">
        <f>SUMIF(민감도분석!$21:$21,'A&amp;R'!X$129&amp;'A&amp;R'!$R137,민감도분석!$32:$32)</f>
        <v>17000</v>
      </c>
      <c r="Y137" s="1">
        <f>SUMIF(민감도분석!$21:$21,'A&amp;R'!Y$129&amp;'A&amp;R'!$R137,민감도분석!$32:$32)</f>
        <v>17000</v>
      </c>
      <c r="Z137" s="1">
        <f>SUMIF(민감도분석!$21:$21,'A&amp;R'!Z$129&amp;'A&amp;R'!$R137,민감도분석!$32:$32)</f>
        <v>17000</v>
      </c>
      <c r="AA137" s="1">
        <f>SUMIF(민감도분석!$21:$21,'A&amp;R'!AA$129&amp;'A&amp;R'!$R137,민감도분석!$32:$32)</f>
        <v>17000</v>
      </c>
      <c r="AB137" s="1">
        <f>SUMIF(민감도분석!$21:$21,'A&amp;R'!AB$129&amp;'A&amp;R'!$R137,민감도분석!$32:$32)</f>
        <v>17000</v>
      </c>
      <c r="AC137" s="1">
        <f>SUMIF(민감도분석!$21:$21,'A&amp;R'!AC$129&amp;'A&amp;R'!$R137,민감도분석!$32:$32)</f>
        <v>17000</v>
      </c>
    </row>
    <row r="138" spans="2:29" ht="13.5" customHeight="1">
      <c r="B138" s="1" t="s">
        <v>516</v>
      </c>
      <c r="R138" s="266">
        <f t="shared" si="61"/>
        <v>5.4000000000000013E-2</v>
      </c>
      <c r="S138" s="1">
        <f>SUMIF(민감도분석!$21:$21,'A&amp;R'!S$129&amp;'A&amp;R'!$R138,민감도분석!$32:$32)</f>
        <v>17000</v>
      </c>
      <c r="T138" s="1">
        <f>SUMIF(민감도분석!$21:$21,'A&amp;R'!T$129&amp;'A&amp;R'!$R138,민감도분석!$32:$32)</f>
        <v>17000</v>
      </c>
      <c r="U138" s="1">
        <f>SUMIF(민감도분석!$21:$21,'A&amp;R'!U$129&amp;'A&amp;R'!$R138,민감도분석!$32:$32)</f>
        <v>17000</v>
      </c>
      <c r="V138" s="1">
        <f>SUMIF(민감도분석!$21:$21,'A&amp;R'!V$129&amp;'A&amp;R'!$R138,민감도분석!$32:$32)</f>
        <v>17000</v>
      </c>
      <c r="W138" s="1">
        <f>SUMIF(민감도분석!$21:$21,'A&amp;R'!W$129&amp;'A&amp;R'!$R138,민감도분석!$32:$32)</f>
        <v>17000</v>
      </c>
      <c r="X138" s="1">
        <f>SUMIF(민감도분석!$21:$21,'A&amp;R'!X$129&amp;'A&amp;R'!$R138,민감도분석!$32:$32)</f>
        <v>17000</v>
      </c>
      <c r="Y138" s="1">
        <f>SUMIF(민감도분석!$21:$21,'A&amp;R'!Y$129&amp;'A&amp;R'!$R138,민감도분석!$32:$32)</f>
        <v>17000</v>
      </c>
      <c r="Z138" s="1">
        <f>SUMIF(민감도분석!$21:$21,'A&amp;R'!Z$129&amp;'A&amp;R'!$R138,민감도분석!$32:$32)</f>
        <v>17000</v>
      </c>
      <c r="AA138" s="1">
        <f>SUMIF(민감도분석!$21:$21,'A&amp;R'!AA$129&amp;'A&amp;R'!$R138,민감도분석!$32:$32)</f>
        <v>17000</v>
      </c>
      <c r="AB138" s="1">
        <f>SUMIF(민감도분석!$21:$21,'A&amp;R'!AB$129&amp;'A&amp;R'!$R138,민감도분석!$32:$32)</f>
        <v>17000</v>
      </c>
      <c r="AC138" s="1">
        <f>SUMIF(민감도분석!$21:$21,'A&amp;R'!AC$129&amp;'A&amp;R'!$R138,민감도분석!$32:$32)</f>
        <v>16993.975779898508</v>
      </c>
    </row>
    <row r="139" spans="2:29" ht="13.5" customHeight="1">
      <c r="B139" s="40"/>
      <c r="C139" s="40"/>
      <c r="D139" s="40"/>
      <c r="E139" s="236">
        <f>E91</f>
        <v>44286</v>
      </c>
      <c r="F139" s="236">
        <f t="shared" ref="F139:O139" si="62">F91</f>
        <v>44469</v>
      </c>
      <c r="G139" s="236">
        <f t="shared" si="62"/>
        <v>44651</v>
      </c>
      <c r="H139" s="236">
        <f t="shared" si="62"/>
        <v>44834</v>
      </c>
      <c r="I139" s="236">
        <f t="shared" si="62"/>
        <v>45016</v>
      </c>
      <c r="J139" s="236">
        <f t="shared" si="62"/>
        <v>45199</v>
      </c>
      <c r="K139" s="236">
        <f t="shared" si="62"/>
        <v>45382</v>
      </c>
      <c r="L139" s="236">
        <f t="shared" si="62"/>
        <v>45565</v>
      </c>
      <c r="M139" s="236">
        <f t="shared" si="62"/>
        <v>45747</v>
      </c>
      <c r="N139" s="236">
        <f t="shared" si="62"/>
        <v>45930</v>
      </c>
      <c r="O139" s="236">
        <f t="shared" si="62"/>
        <v>46112</v>
      </c>
      <c r="R139" s="266">
        <f t="shared" si="61"/>
        <v>5.5500000000000015E-2</v>
      </c>
      <c r="S139" s="43">
        <f>SUMIF(민감도분석!$21:$21,'A&amp;R'!S$129&amp;'A&amp;R'!$R139,민감도분석!$32:$32)</f>
        <v>17000</v>
      </c>
      <c r="T139" s="43">
        <f>SUMIF(민감도분석!$21:$21,'A&amp;R'!T$129&amp;'A&amp;R'!$R139,민감도분석!$32:$32)</f>
        <v>17000</v>
      </c>
      <c r="U139" s="43">
        <f>SUMIF(민감도분석!$21:$21,'A&amp;R'!U$129&amp;'A&amp;R'!$R139,민감도분석!$32:$32)</f>
        <v>17000</v>
      </c>
      <c r="V139" s="43">
        <f>SUMIF(민감도분석!$21:$21,'A&amp;R'!V$129&amp;'A&amp;R'!$R139,민감도분석!$32:$32)</f>
        <v>17000</v>
      </c>
      <c r="W139" s="43">
        <f>SUMIF(민감도분석!$21:$21,'A&amp;R'!W$129&amp;'A&amp;R'!$R139,민감도분석!$32:$32)</f>
        <v>17000</v>
      </c>
      <c r="X139" s="43">
        <f>SUMIF(민감도분석!$21:$21,'A&amp;R'!X$129&amp;'A&amp;R'!$R139,민감도분석!$32:$32)</f>
        <v>17000</v>
      </c>
      <c r="Y139" s="43">
        <f>SUMIF(민감도분석!$21:$21,'A&amp;R'!Y$129&amp;'A&amp;R'!$R139,민감도분석!$32:$32)</f>
        <v>17000</v>
      </c>
      <c r="Z139" s="43">
        <f>SUMIF(민감도분석!$21:$21,'A&amp;R'!Z$129&amp;'A&amp;R'!$R139,민감도분석!$32:$32)</f>
        <v>16839.417973462547</v>
      </c>
      <c r="AA139" s="43">
        <f>SUMIF(민감도분석!$21:$21,'A&amp;R'!AA$129&amp;'A&amp;R'!$R139,민감도분석!$32:$32)</f>
        <v>16488.629059203507</v>
      </c>
      <c r="AB139" s="43">
        <f>SUMIF(민감도분석!$21:$21,'A&amp;R'!AB$129&amp;'A&amp;R'!$R139,민감도분석!$32:$32)</f>
        <v>16137.840049211998</v>
      </c>
      <c r="AC139" s="43">
        <f>SUMIF(민감도분석!$21:$21,'A&amp;R'!AC$129&amp;'A&amp;R'!$R139,민감도분석!$32:$32)</f>
        <v>15787.050943449256</v>
      </c>
    </row>
    <row r="140" spans="2:29" ht="13.5" customHeight="1">
      <c r="B140" s="1" t="s">
        <v>130</v>
      </c>
      <c r="R140" s="251">
        <f t="shared" si="61"/>
        <v>5.7000000000000016E-2</v>
      </c>
      <c r="S140" s="177">
        <f>SUMIF(민감도분석!$21:$21,'A&amp;R'!S$129&amp;'A&amp;R'!$R140,민감도분석!$32:$32)</f>
        <v>17000</v>
      </c>
      <c r="T140" s="177">
        <f>SUMIF(민감도분석!$21:$21,'A&amp;R'!T$129&amp;'A&amp;R'!$R140,민감도분석!$32:$32)</f>
        <v>17000</v>
      </c>
      <c r="U140" s="177">
        <f>SUMIF(민감도분석!$21:$21,'A&amp;R'!U$129&amp;'A&amp;R'!$R140,민감도분석!$32:$32)</f>
        <v>17000</v>
      </c>
      <c r="V140" s="177">
        <f>SUMIF(민감도분석!$21:$21,'A&amp;R'!V$129&amp;'A&amp;R'!$R140,민감도분석!$32:$32)</f>
        <v>17000</v>
      </c>
      <c r="W140" s="177">
        <f>SUMIF(민감도분석!$21:$21,'A&amp;R'!W$129&amp;'A&amp;R'!$R140,민감도분석!$32:$32)</f>
        <v>16748.593138338001</v>
      </c>
      <c r="X140" s="177">
        <f>SUMIF(민감도분석!$21:$21,'A&amp;R'!X$129&amp;'A&amp;R'!$R140,민감도분석!$32:$32)</f>
        <v>16397.76925929272</v>
      </c>
      <c r="Y140" s="177">
        <f>SUMIF(민감도분석!$21:$21,'A&amp;R'!Y$129&amp;'A&amp;R'!$R140,민감도분석!$32:$32)</f>
        <v>16046.94528714757</v>
      </c>
      <c r="Z140" s="177">
        <f>SUMIF(민감도분석!$21:$21,'A&amp;R'!Z$129&amp;'A&amp;R'!$R140,민감도분석!$32:$32)</f>
        <v>15696.121221864796</v>
      </c>
      <c r="AA140" s="177">
        <f>SUMIF(민감도분석!$21:$21,'A&amp;R'!AA$129&amp;'A&amp;R'!$R140,민감도분석!$32:$32)</f>
        <v>15345.297063406671</v>
      </c>
      <c r="AB140" s="177">
        <f>SUMIF(민감도분석!$21:$21,'A&amp;R'!AB$129&amp;'A&amp;R'!$R140,민감도분석!$32:$32)</f>
        <v>14994.472811735366</v>
      </c>
      <c r="AC140" s="177">
        <f>SUMIF(민감도분석!$21:$21,'A&amp;R'!AC$129&amp;'A&amp;R'!$R140,민감도분석!$32:$32)</f>
        <v>14643.648466813116</v>
      </c>
    </row>
    <row r="141" spans="2:29" ht="13.5" customHeight="1">
      <c r="C141" s="1" t="s">
        <v>517</v>
      </c>
      <c r="E141" s="1">
        <f>E108*-1</f>
        <v>-5000</v>
      </c>
      <c r="F141" s="1">
        <f t="shared" ref="F141:O141" si="63">F108*-1</f>
        <v>0</v>
      </c>
      <c r="G141" s="1">
        <f t="shared" si="63"/>
        <v>0</v>
      </c>
      <c r="H141" s="1">
        <f t="shared" si="63"/>
        <v>0</v>
      </c>
      <c r="I141" s="1">
        <f t="shared" si="63"/>
        <v>0</v>
      </c>
      <c r="J141" s="1">
        <f t="shared" si="63"/>
        <v>0</v>
      </c>
      <c r="K141" s="1">
        <f t="shared" si="63"/>
        <v>0</v>
      </c>
      <c r="L141" s="1">
        <f t="shared" si="63"/>
        <v>0</v>
      </c>
      <c r="M141" s="1">
        <f t="shared" si="63"/>
        <v>0</v>
      </c>
      <c r="N141" s="1">
        <f t="shared" si="63"/>
        <v>0</v>
      </c>
      <c r="O141" s="1">
        <f t="shared" si="63"/>
        <v>0</v>
      </c>
    </row>
    <row r="142" spans="2:29" ht="13.5" customHeight="1">
      <c r="C142" s="1" t="s">
        <v>377</v>
      </c>
      <c r="D142" s="1">
        <f ca="1">SUM(E142:O142)</f>
        <v>704.2468021584973</v>
      </c>
      <c r="E142" s="1">
        <f>E123*-1</f>
        <v>0</v>
      </c>
      <c r="F142" s="1">
        <f t="shared" ref="F142:O142" ca="1" si="64">F123*-1</f>
        <v>0</v>
      </c>
      <c r="G142" s="1">
        <f t="shared" ca="1" si="64"/>
        <v>0</v>
      </c>
      <c r="H142" s="1">
        <f t="shared" ca="1" si="64"/>
        <v>0</v>
      </c>
      <c r="I142" s="1">
        <f t="shared" ca="1" si="64"/>
        <v>0</v>
      </c>
      <c r="J142" s="1">
        <f t="shared" ca="1" si="64"/>
        <v>0</v>
      </c>
      <c r="K142" s="1">
        <f t="shared" ca="1" si="64"/>
        <v>0</v>
      </c>
      <c r="L142" s="1">
        <f t="shared" ca="1" si="64"/>
        <v>0</v>
      </c>
      <c r="M142" s="1">
        <f t="shared" ca="1" si="64"/>
        <v>212.32087165162898</v>
      </c>
      <c r="N142" s="1">
        <f t="shared" ca="1" si="64"/>
        <v>142.93713956767328</v>
      </c>
      <c r="O142" s="1">
        <f t="shared" ca="1" si="64"/>
        <v>348.98879093919504</v>
      </c>
      <c r="Q142" s="13" t="s">
        <v>540</v>
      </c>
    </row>
    <row r="143" spans="2:29" ht="13.5" customHeight="1">
      <c r="C143" s="1" t="s">
        <v>378</v>
      </c>
      <c r="D143" s="1">
        <f ca="1">SUM(E143:O143)</f>
        <v>2479.9136332783264</v>
      </c>
      <c r="E143" s="1">
        <f>E126*-1</f>
        <v>0</v>
      </c>
      <c r="F143" s="1">
        <f t="shared" ref="F143:O143" ca="1" si="65">F126*-1</f>
        <v>0</v>
      </c>
      <c r="G143" s="1">
        <f t="shared" ca="1" si="65"/>
        <v>0</v>
      </c>
      <c r="H143" s="1">
        <f t="shared" ca="1" si="65"/>
        <v>0</v>
      </c>
      <c r="I143" s="1">
        <f t="shared" ca="1" si="65"/>
        <v>0</v>
      </c>
      <c r="J143" s="1">
        <f t="shared" ca="1" si="65"/>
        <v>0</v>
      </c>
      <c r="K143" s="1">
        <f t="shared" ca="1" si="65"/>
        <v>0</v>
      </c>
      <c r="L143" s="1">
        <f t="shared" ca="1" si="65"/>
        <v>0</v>
      </c>
      <c r="M143" s="1">
        <f t="shared" ca="1" si="65"/>
        <v>0</v>
      </c>
      <c r="N143" s="1">
        <f t="shared" ca="1" si="65"/>
        <v>0</v>
      </c>
      <c r="O143" s="1">
        <f t="shared" ca="1" si="65"/>
        <v>2479.9136332783264</v>
      </c>
      <c r="Q143" s="1" t="s">
        <v>536</v>
      </c>
    </row>
    <row r="144" spans="2:29" ht="13.5" customHeight="1">
      <c r="C144" s="42" t="s">
        <v>518</v>
      </c>
      <c r="D144" s="42"/>
      <c r="E144" s="42">
        <f>E115*-1</f>
        <v>0</v>
      </c>
      <c r="F144" s="42">
        <f t="shared" ref="F144:O144" ca="1" si="66">F115*-1</f>
        <v>0</v>
      </c>
      <c r="G144" s="42">
        <f t="shared" ca="1" si="66"/>
        <v>0</v>
      </c>
      <c r="H144" s="42">
        <f t="shared" ca="1" si="66"/>
        <v>0</v>
      </c>
      <c r="I144" s="42">
        <f t="shared" ca="1" si="66"/>
        <v>0</v>
      </c>
      <c r="J144" s="42">
        <f t="shared" ca="1" si="66"/>
        <v>0</v>
      </c>
      <c r="K144" s="42">
        <f t="shared" ca="1" si="66"/>
        <v>0</v>
      </c>
      <c r="L144" s="42">
        <f t="shared" ca="1" si="66"/>
        <v>0</v>
      </c>
      <c r="M144" s="42">
        <f t="shared" ca="1" si="66"/>
        <v>0</v>
      </c>
      <c r="N144" s="42">
        <f t="shared" ca="1" si="66"/>
        <v>0</v>
      </c>
      <c r="O144" s="42">
        <f t="shared" ca="1" si="66"/>
        <v>5568.3407939072104</v>
      </c>
      <c r="Q144" s="1" t="s">
        <v>531</v>
      </c>
      <c r="R144" s="251">
        <f ca="1">E147</f>
        <v>2.8169872086339892E-2</v>
      </c>
      <c r="S144" s="255">
        <v>0</v>
      </c>
      <c r="T144" s="255">
        <f>S144+3%</f>
        <v>0.03</v>
      </c>
      <c r="U144" s="255">
        <f t="shared" ref="U144" si="67">T144+3%</f>
        <v>0.06</v>
      </c>
      <c r="V144" s="255">
        <f t="shared" ref="V144" si="68">U144+3%</f>
        <v>0.09</v>
      </c>
      <c r="W144" s="255">
        <f t="shared" ref="W144" si="69">V144+3%</f>
        <v>0.12</v>
      </c>
      <c r="X144" s="255">
        <f t="shared" ref="X144" si="70">W144+3%</f>
        <v>0.15</v>
      </c>
      <c r="Y144" s="255">
        <f t="shared" ref="Y144" si="71">X144+3%</f>
        <v>0.18</v>
      </c>
      <c r="Z144" s="255">
        <f t="shared" ref="Z144" si="72">Y144+3%</f>
        <v>0.21</v>
      </c>
      <c r="AA144" s="255">
        <f t="shared" ref="AA144" si="73">Z144+3%</f>
        <v>0.24</v>
      </c>
      <c r="AB144" s="255">
        <f t="shared" ref="AB144" si="74">AA144+3%</f>
        <v>0.27</v>
      </c>
      <c r="AC144" s="255">
        <f t="shared" ref="AC144" si="75">AB144+3%</f>
        <v>0.30000000000000004</v>
      </c>
    </row>
    <row r="145" spans="2:29" ht="13.5" customHeight="1">
      <c r="C145" s="51" t="s">
        <v>519</v>
      </c>
      <c r="D145" s="51"/>
      <c r="E145" s="51">
        <f>SUM(E141:E144)</f>
        <v>-5000</v>
      </c>
      <c r="F145" s="51">
        <f t="shared" ref="F145:O145" ca="1" si="76">SUM(F141:F144)</f>
        <v>0</v>
      </c>
      <c r="G145" s="51">
        <f t="shared" ca="1" si="76"/>
        <v>0</v>
      </c>
      <c r="H145" s="51">
        <f t="shared" ca="1" si="76"/>
        <v>0</v>
      </c>
      <c r="I145" s="51">
        <f t="shared" ca="1" si="76"/>
        <v>0</v>
      </c>
      <c r="J145" s="51">
        <f t="shared" ca="1" si="76"/>
        <v>0</v>
      </c>
      <c r="K145" s="51">
        <f t="shared" ca="1" si="76"/>
        <v>0</v>
      </c>
      <c r="L145" s="51">
        <f t="shared" ca="1" si="76"/>
        <v>0</v>
      </c>
      <c r="M145" s="51">
        <f t="shared" ca="1" si="76"/>
        <v>212.32087165162898</v>
      </c>
      <c r="N145" s="51">
        <f t="shared" ca="1" si="76"/>
        <v>142.93713956767328</v>
      </c>
      <c r="O145" s="51">
        <f t="shared" ca="1" si="76"/>
        <v>8397.2432181247314</v>
      </c>
      <c r="Q145" s="1" t="s">
        <v>537</v>
      </c>
      <c r="R145" s="266">
        <v>4.2000000000000003E-2</v>
      </c>
      <c r="S145" s="144">
        <f>SUMIF(민감도분석!$21:$21,'A&amp;R'!S$144&amp;'A&amp;R'!$R145,민감도분석!$34:$34)</f>
        <v>2.8169872086339892E-2</v>
      </c>
      <c r="T145" s="144">
        <f>SUMIF(민감도분석!$21:$21,'A&amp;R'!T$144&amp;'A&amp;R'!$R145,민감도분석!$34:$34)</f>
        <v>1.5873860130100784E-2</v>
      </c>
      <c r="U145" s="144">
        <f>SUMIF(민감도분석!$21:$21,'A&amp;R'!U$144&amp;'A&amp;R'!$R145,민감도분석!$34:$34)</f>
        <v>3.577848173861785E-3</v>
      </c>
      <c r="V145" s="144">
        <f>SUMIF(민감도분석!$21:$21,'A&amp;R'!V$144&amp;'A&amp;R'!$R145,민감도분석!$34:$34)</f>
        <v>0</v>
      </c>
      <c r="W145" s="144">
        <f>SUMIF(민감도분석!$21:$21,'A&amp;R'!W$144&amp;'A&amp;R'!$R145,민감도분석!$34:$34)</f>
        <v>0</v>
      </c>
      <c r="X145" s="144">
        <f>SUMIF(민감도분석!$21:$21,'A&amp;R'!X$144&amp;'A&amp;R'!$R145,민감도분석!$34:$34)</f>
        <v>0</v>
      </c>
      <c r="Y145" s="144">
        <f>SUMIF(민감도분석!$21:$21,'A&amp;R'!Y$144&amp;'A&amp;R'!$R145,민감도분석!$34:$34)</f>
        <v>0</v>
      </c>
      <c r="Z145" s="144">
        <f>SUMIF(민감도분석!$21:$21,'A&amp;R'!Z$144&amp;'A&amp;R'!$R145,민감도분석!$34:$34)</f>
        <v>0</v>
      </c>
      <c r="AA145" s="144">
        <f>SUMIF(민감도분석!$21:$21,'A&amp;R'!AA$144&amp;'A&amp;R'!$R145,민감도분석!$34:$34)</f>
        <v>0</v>
      </c>
      <c r="AB145" s="144">
        <f>SUMIF(민감도분석!$21:$21,'A&amp;R'!AB$144&amp;'A&amp;R'!$R145,민감도분석!$34:$34)</f>
        <v>0</v>
      </c>
      <c r="AC145" s="144">
        <f>SUMIF(민감도분석!$21:$21,'A&amp;R'!AC$144&amp;'A&amp;R'!$R145,민감도분석!$34:$34)</f>
        <v>0</v>
      </c>
    </row>
    <row r="146" spans="2:29" ht="13.5" customHeight="1">
      <c r="C146" s="1" t="s">
        <v>520</v>
      </c>
      <c r="F146" s="144">
        <f t="shared" ref="F146:O146" ca="1" si="77">F142/$E$76*(12/period)</f>
        <v>0</v>
      </c>
      <c r="G146" s="144">
        <f t="shared" ca="1" si="77"/>
        <v>0</v>
      </c>
      <c r="H146" s="144">
        <f t="shared" ca="1" si="77"/>
        <v>0</v>
      </c>
      <c r="I146" s="144">
        <f t="shared" ca="1" si="77"/>
        <v>0</v>
      </c>
      <c r="J146" s="144">
        <f t="shared" ca="1" si="77"/>
        <v>0</v>
      </c>
      <c r="K146" s="144">
        <f t="shared" ca="1" si="77"/>
        <v>0</v>
      </c>
      <c r="L146" s="144">
        <f t="shared" ca="1" si="77"/>
        <v>0</v>
      </c>
      <c r="M146" s="144">
        <f t="shared" ca="1" si="77"/>
        <v>8.492834866065159E-2</v>
      </c>
      <c r="N146" s="144">
        <f t="shared" ca="1" si="77"/>
        <v>5.7174855827069312E-2</v>
      </c>
      <c r="O146" s="144">
        <f t="shared" ca="1" si="77"/>
        <v>0.13959551637567802</v>
      </c>
      <c r="R146" s="266">
        <f>R145+0.15%</f>
        <v>4.3500000000000004E-2</v>
      </c>
      <c r="S146" s="144">
        <f>SUMIF(민감도분석!$21:$21,'A&amp;R'!S$144&amp;'A&amp;R'!$R146,민감도분석!$34:$34)</f>
        <v>2.8169872086339892E-2</v>
      </c>
      <c r="T146" s="144">
        <f>SUMIF(민감도분석!$21:$21,'A&amp;R'!T$144&amp;'A&amp;R'!$R146,민감도분석!$34:$34)</f>
        <v>1.5873860130100784E-2</v>
      </c>
      <c r="U146" s="144">
        <f>SUMIF(민감도분석!$21:$21,'A&amp;R'!U$144&amp;'A&amp;R'!$R146,민감도분석!$34:$34)</f>
        <v>3.577848173861785E-3</v>
      </c>
      <c r="V146" s="144">
        <f>SUMIF(민감도분석!$21:$21,'A&amp;R'!V$144&amp;'A&amp;R'!$R146,민감도분석!$34:$34)</f>
        <v>0</v>
      </c>
      <c r="W146" s="144">
        <f>SUMIF(민감도분석!$21:$21,'A&amp;R'!W$144&amp;'A&amp;R'!$R146,민감도분석!$34:$34)</f>
        <v>0</v>
      </c>
      <c r="X146" s="144">
        <f>SUMIF(민감도분석!$21:$21,'A&amp;R'!X$144&amp;'A&amp;R'!$R146,민감도분석!$34:$34)</f>
        <v>0</v>
      </c>
      <c r="Y146" s="144">
        <f>SUMIF(민감도분석!$21:$21,'A&amp;R'!Y$144&amp;'A&amp;R'!$R146,민감도분석!$34:$34)</f>
        <v>0</v>
      </c>
      <c r="Z146" s="144">
        <f>SUMIF(민감도분석!$21:$21,'A&amp;R'!Z$144&amp;'A&amp;R'!$R146,민감도분석!$34:$34)</f>
        <v>0</v>
      </c>
      <c r="AA146" s="144">
        <f>SUMIF(민감도분석!$21:$21,'A&amp;R'!AA$144&amp;'A&amp;R'!$R146,민감도분석!$34:$34)</f>
        <v>0</v>
      </c>
      <c r="AB146" s="144">
        <f>SUMIF(민감도분석!$21:$21,'A&amp;R'!AB$144&amp;'A&amp;R'!$R146,민감도분석!$34:$34)</f>
        <v>0</v>
      </c>
      <c r="AC146" s="144">
        <f>SUMIF(민감도분석!$21:$21,'A&amp;R'!AC$144&amp;'A&amp;R'!$R146,민감도분석!$34:$34)</f>
        <v>0</v>
      </c>
    </row>
    <row r="147" spans="2:29" ht="13.5" customHeight="1">
      <c r="C147" s="174" t="s">
        <v>521</v>
      </c>
      <c r="D147" s="175"/>
      <c r="E147" s="250">
        <f ca="1">D142/$E$76/D15</f>
        <v>2.8169872086339892E-2</v>
      </c>
      <c r="R147" s="266">
        <f t="shared" ref="R147:R155" si="78">R146+0.15%</f>
        <v>4.5000000000000005E-2</v>
      </c>
      <c r="S147" s="144">
        <f>SUMIF(민감도분석!$21:$21,'A&amp;R'!S$144&amp;'A&amp;R'!$R147,민감도분석!$34:$34)</f>
        <v>2.8169872086339892E-2</v>
      </c>
      <c r="T147" s="144">
        <f>SUMIF(민감도분석!$21:$21,'A&amp;R'!T$144&amp;'A&amp;R'!$R147,민감도분석!$34:$34)</f>
        <v>1.5873860130100784E-2</v>
      </c>
      <c r="U147" s="144">
        <f>SUMIF(민감도분석!$21:$21,'A&amp;R'!U$144&amp;'A&amp;R'!$R147,민감도분석!$34:$34)</f>
        <v>3.577848173861785E-3</v>
      </c>
      <c r="V147" s="144">
        <f>SUMIF(민감도분석!$21:$21,'A&amp;R'!V$144&amp;'A&amp;R'!$R147,민감도분석!$34:$34)</f>
        <v>0</v>
      </c>
      <c r="W147" s="144">
        <f>SUMIF(민감도분석!$21:$21,'A&amp;R'!W$144&amp;'A&amp;R'!$R147,민감도분석!$34:$34)</f>
        <v>0</v>
      </c>
      <c r="X147" s="144">
        <f>SUMIF(민감도분석!$21:$21,'A&amp;R'!X$144&amp;'A&amp;R'!$R147,민감도분석!$34:$34)</f>
        <v>0</v>
      </c>
      <c r="Y147" s="144">
        <f>SUMIF(민감도분석!$21:$21,'A&amp;R'!Y$144&amp;'A&amp;R'!$R147,민감도분석!$34:$34)</f>
        <v>0</v>
      </c>
      <c r="Z147" s="144">
        <f>SUMIF(민감도분석!$21:$21,'A&amp;R'!Z$144&amp;'A&amp;R'!$R147,민감도분석!$34:$34)</f>
        <v>0</v>
      </c>
      <c r="AA147" s="144">
        <f>SUMIF(민감도분석!$21:$21,'A&amp;R'!AA$144&amp;'A&amp;R'!$R147,민감도분석!$34:$34)</f>
        <v>0</v>
      </c>
      <c r="AB147" s="144">
        <f>SUMIF(민감도분석!$21:$21,'A&amp;R'!AB$144&amp;'A&amp;R'!$R147,민감도분석!$34:$34)</f>
        <v>0</v>
      </c>
      <c r="AC147" s="144">
        <f>SUMIF(민감도분석!$21:$21,'A&amp;R'!AC$144&amp;'A&amp;R'!$R147,민감도분석!$34:$34)</f>
        <v>0</v>
      </c>
    </row>
    <row r="148" spans="2:29" ht="13.5" customHeight="1">
      <c r="C148" s="176" t="s">
        <v>522</v>
      </c>
      <c r="D148" s="177"/>
      <c r="E148" s="251">
        <f ca="1">XIRR(E145:O145,$E$139:$O$139,1%)</f>
        <v>0.11927883625030516</v>
      </c>
      <c r="R148" s="266">
        <f t="shared" si="78"/>
        <v>4.6500000000000007E-2</v>
      </c>
      <c r="S148" s="144">
        <f>SUMIF(민감도분석!$21:$21,'A&amp;R'!S$144&amp;'A&amp;R'!$R148,민감도분석!$34:$34)</f>
        <v>2.8169872086339892E-2</v>
      </c>
      <c r="T148" s="144">
        <f>SUMIF(민감도분석!$21:$21,'A&amp;R'!T$144&amp;'A&amp;R'!$R148,민감도분석!$34:$34)</f>
        <v>1.5873860130100784E-2</v>
      </c>
      <c r="U148" s="144">
        <f>SUMIF(민감도분석!$21:$21,'A&amp;R'!U$144&amp;'A&amp;R'!$R148,민감도분석!$34:$34)</f>
        <v>3.577848173861785E-3</v>
      </c>
      <c r="V148" s="144">
        <f>SUMIF(민감도분석!$21:$21,'A&amp;R'!V$144&amp;'A&amp;R'!$R148,민감도분석!$34:$34)</f>
        <v>0</v>
      </c>
      <c r="W148" s="144">
        <f>SUMIF(민감도분석!$21:$21,'A&amp;R'!W$144&amp;'A&amp;R'!$R148,민감도분석!$34:$34)</f>
        <v>0</v>
      </c>
      <c r="X148" s="144">
        <f>SUMIF(민감도분석!$21:$21,'A&amp;R'!X$144&amp;'A&amp;R'!$R148,민감도분석!$34:$34)</f>
        <v>0</v>
      </c>
      <c r="Y148" s="144">
        <f>SUMIF(민감도분석!$21:$21,'A&amp;R'!Y$144&amp;'A&amp;R'!$R148,민감도분석!$34:$34)</f>
        <v>0</v>
      </c>
      <c r="Z148" s="144">
        <f>SUMIF(민감도분석!$21:$21,'A&amp;R'!Z$144&amp;'A&amp;R'!$R148,민감도분석!$34:$34)</f>
        <v>0</v>
      </c>
      <c r="AA148" s="144">
        <f>SUMIF(민감도분석!$21:$21,'A&amp;R'!AA$144&amp;'A&amp;R'!$R148,민감도분석!$34:$34)</f>
        <v>0</v>
      </c>
      <c r="AB148" s="144">
        <f>SUMIF(민감도분석!$21:$21,'A&amp;R'!AB$144&amp;'A&amp;R'!$R148,민감도분석!$34:$34)</f>
        <v>0</v>
      </c>
      <c r="AC148" s="144">
        <f>SUMIF(민감도분석!$21:$21,'A&amp;R'!AC$144&amp;'A&amp;R'!$R148,민감도분석!$34:$34)</f>
        <v>0</v>
      </c>
    </row>
    <row r="149" spans="2:29" ht="13.5" customHeight="1">
      <c r="B149" s="1" t="str">
        <f>C124</f>
        <v>우선주</v>
      </c>
      <c r="R149" s="266">
        <f t="shared" si="78"/>
        <v>4.8000000000000008E-2</v>
      </c>
      <c r="S149" s="144">
        <f>SUMIF(민감도분석!$21:$21,'A&amp;R'!S$144&amp;'A&amp;R'!$R149,민감도분석!$34:$34)</f>
        <v>2.8169872086339892E-2</v>
      </c>
      <c r="T149" s="144">
        <f>SUMIF(민감도분석!$21:$21,'A&amp;R'!T$144&amp;'A&amp;R'!$R149,민감도분석!$34:$34)</f>
        <v>1.5873860130100784E-2</v>
      </c>
      <c r="U149" s="144">
        <f>SUMIF(민감도분석!$21:$21,'A&amp;R'!U$144&amp;'A&amp;R'!$R149,민감도분석!$34:$34)</f>
        <v>3.577848173861785E-3</v>
      </c>
      <c r="V149" s="144">
        <f>SUMIF(민감도분석!$21:$21,'A&amp;R'!V$144&amp;'A&amp;R'!$R149,민감도분석!$34:$34)</f>
        <v>0</v>
      </c>
      <c r="W149" s="144">
        <f>SUMIF(민감도분석!$21:$21,'A&amp;R'!W$144&amp;'A&amp;R'!$R149,민감도분석!$34:$34)</f>
        <v>0</v>
      </c>
      <c r="X149" s="144">
        <f>SUMIF(민감도분석!$21:$21,'A&amp;R'!X$144&amp;'A&amp;R'!$R149,민감도분석!$34:$34)</f>
        <v>0</v>
      </c>
      <c r="Y149" s="144">
        <f>SUMIF(민감도분석!$21:$21,'A&amp;R'!Y$144&amp;'A&amp;R'!$R149,민감도분석!$34:$34)</f>
        <v>0</v>
      </c>
      <c r="Z149" s="144">
        <f>SUMIF(민감도분석!$21:$21,'A&amp;R'!Z$144&amp;'A&amp;R'!$R149,민감도분석!$34:$34)</f>
        <v>0</v>
      </c>
      <c r="AA149" s="144">
        <f>SUMIF(민감도분석!$21:$21,'A&amp;R'!AA$144&amp;'A&amp;R'!$R149,민감도분석!$34:$34)</f>
        <v>0</v>
      </c>
      <c r="AB149" s="144">
        <f>SUMIF(민감도분석!$21:$21,'A&amp;R'!AB$144&amp;'A&amp;R'!$R149,민감도분석!$34:$34)</f>
        <v>0</v>
      </c>
      <c r="AC149" s="144">
        <f>SUMIF(민감도분석!$21:$21,'A&amp;R'!AC$144&amp;'A&amp;R'!$R149,민감도분석!$34:$34)</f>
        <v>0</v>
      </c>
    </row>
    <row r="150" spans="2:29" ht="13.5" customHeight="1">
      <c r="C150" s="1" t="s">
        <v>517</v>
      </c>
      <c r="E150" s="1">
        <f>E109*-1</f>
        <v>-17000</v>
      </c>
      <c r="F150" s="1">
        <f t="shared" ref="F150:O150" si="79">F109*-1</f>
        <v>0</v>
      </c>
      <c r="G150" s="1">
        <f t="shared" si="79"/>
        <v>0</v>
      </c>
      <c r="H150" s="1">
        <f t="shared" si="79"/>
        <v>0</v>
      </c>
      <c r="I150" s="1">
        <f t="shared" si="79"/>
        <v>0</v>
      </c>
      <c r="J150" s="1">
        <f t="shared" si="79"/>
        <v>0</v>
      </c>
      <c r="K150" s="1">
        <f t="shared" si="79"/>
        <v>0</v>
      </c>
      <c r="L150" s="1">
        <f t="shared" si="79"/>
        <v>0</v>
      </c>
      <c r="M150" s="1">
        <f t="shared" si="79"/>
        <v>0</v>
      </c>
      <c r="N150" s="1">
        <f t="shared" si="79"/>
        <v>0</v>
      </c>
      <c r="O150" s="1">
        <f t="shared" si="79"/>
        <v>0</v>
      </c>
      <c r="R150" s="266">
        <f t="shared" si="78"/>
        <v>4.9500000000000009E-2</v>
      </c>
      <c r="S150" s="144">
        <f>SUMIF(민감도분석!$21:$21,'A&amp;R'!S$144&amp;'A&amp;R'!$R150,민감도분석!$34:$34)</f>
        <v>2.8169872086339892E-2</v>
      </c>
      <c r="T150" s="144">
        <f>SUMIF(민감도분석!$21:$21,'A&amp;R'!T$144&amp;'A&amp;R'!$R150,민감도분석!$34:$34)</f>
        <v>1.5873860130100784E-2</v>
      </c>
      <c r="U150" s="144">
        <f>SUMIF(민감도분석!$21:$21,'A&amp;R'!U$144&amp;'A&amp;R'!$R150,민감도분석!$34:$34)</f>
        <v>3.577848173861785E-3</v>
      </c>
      <c r="V150" s="144">
        <f>SUMIF(민감도분석!$21:$21,'A&amp;R'!V$144&amp;'A&amp;R'!$R150,민감도분석!$34:$34)</f>
        <v>0</v>
      </c>
      <c r="W150" s="144">
        <f>SUMIF(민감도분석!$21:$21,'A&amp;R'!W$144&amp;'A&amp;R'!$R150,민감도분석!$34:$34)</f>
        <v>0</v>
      </c>
      <c r="X150" s="144">
        <f>SUMIF(민감도분석!$21:$21,'A&amp;R'!X$144&amp;'A&amp;R'!$R150,민감도분석!$34:$34)</f>
        <v>0</v>
      </c>
      <c r="Y150" s="144">
        <f>SUMIF(민감도분석!$21:$21,'A&amp;R'!Y$144&amp;'A&amp;R'!$R150,민감도분석!$34:$34)</f>
        <v>0</v>
      </c>
      <c r="Z150" s="144">
        <f>SUMIF(민감도분석!$21:$21,'A&amp;R'!Z$144&amp;'A&amp;R'!$R150,민감도분석!$34:$34)</f>
        <v>0</v>
      </c>
      <c r="AA150" s="144">
        <f>SUMIF(민감도분석!$21:$21,'A&amp;R'!AA$144&amp;'A&amp;R'!$R150,민감도분석!$34:$34)</f>
        <v>0</v>
      </c>
      <c r="AB150" s="144">
        <f>SUMIF(민감도분석!$21:$21,'A&amp;R'!AB$144&amp;'A&amp;R'!$R150,민감도분석!$34:$34)</f>
        <v>0</v>
      </c>
      <c r="AC150" s="144">
        <f>SUMIF(민감도분석!$21:$21,'A&amp;R'!AC$144&amp;'A&amp;R'!$R150,민감도분석!$34:$34)</f>
        <v>0</v>
      </c>
    </row>
    <row r="151" spans="2:29" ht="13.5" customHeight="1">
      <c r="C151" s="1" t="s">
        <v>377</v>
      </c>
      <c r="D151" s="1">
        <f ca="1">SUM(E151:O151)</f>
        <v>5100</v>
      </c>
      <c r="E151" s="1">
        <f>E124*-1</f>
        <v>0</v>
      </c>
      <c r="F151" s="1">
        <f t="shared" ref="F151:O151" ca="1" si="80">F124*-1</f>
        <v>0</v>
      </c>
      <c r="G151" s="1">
        <f t="shared" ca="1" si="80"/>
        <v>444.75039238012704</v>
      </c>
      <c r="H151" s="1">
        <f t="shared" ca="1" si="80"/>
        <v>608.44136532235825</v>
      </c>
      <c r="I151" s="1">
        <f t="shared" ca="1" si="80"/>
        <v>770.09622573600359</v>
      </c>
      <c r="J151" s="1">
        <f t="shared" ca="1" si="80"/>
        <v>496.5684952474457</v>
      </c>
      <c r="K151" s="1">
        <f t="shared" ca="1" si="80"/>
        <v>514.77997541327272</v>
      </c>
      <c r="L151" s="1">
        <f t="shared" ca="1" si="80"/>
        <v>642.67357826255648</v>
      </c>
      <c r="M151" s="1">
        <f t="shared" ca="1" si="80"/>
        <v>602.68996763823611</v>
      </c>
      <c r="N151" s="1">
        <f t="shared" ca="1" si="80"/>
        <v>510</v>
      </c>
      <c r="O151" s="1">
        <f t="shared" ca="1" si="80"/>
        <v>510</v>
      </c>
      <c r="R151" s="266">
        <f t="shared" si="78"/>
        <v>5.1000000000000011E-2</v>
      </c>
      <c r="S151" s="144">
        <f>SUMIF(민감도분석!$21:$21,'A&amp;R'!S$144&amp;'A&amp;R'!$R151,민감도분석!$34:$34)</f>
        <v>2.8169872086339892E-2</v>
      </c>
      <c r="T151" s="144">
        <f>SUMIF(민감도분석!$21:$21,'A&amp;R'!T$144&amp;'A&amp;R'!$R151,민감도분석!$34:$34)</f>
        <v>1.5873860130100784E-2</v>
      </c>
      <c r="U151" s="144">
        <f>SUMIF(민감도분석!$21:$21,'A&amp;R'!U$144&amp;'A&amp;R'!$R151,민감도분석!$34:$34)</f>
        <v>3.577848173861785E-3</v>
      </c>
      <c r="V151" s="144">
        <f>SUMIF(민감도분석!$21:$21,'A&amp;R'!V$144&amp;'A&amp;R'!$R151,민감도분석!$34:$34)</f>
        <v>0</v>
      </c>
      <c r="W151" s="144">
        <f>SUMIF(민감도분석!$21:$21,'A&amp;R'!W$144&amp;'A&amp;R'!$R151,민감도분석!$34:$34)</f>
        <v>0</v>
      </c>
      <c r="X151" s="144">
        <f>SUMIF(민감도분석!$21:$21,'A&amp;R'!X$144&amp;'A&amp;R'!$R151,민감도분석!$34:$34)</f>
        <v>0</v>
      </c>
      <c r="Y151" s="144">
        <f>SUMIF(민감도분석!$21:$21,'A&amp;R'!Y$144&amp;'A&amp;R'!$R151,민감도분석!$34:$34)</f>
        <v>0</v>
      </c>
      <c r="Z151" s="144">
        <f>SUMIF(민감도분석!$21:$21,'A&amp;R'!Z$144&amp;'A&amp;R'!$R151,민감도분석!$34:$34)</f>
        <v>0</v>
      </c>
      <c r="AA151" s="144">
        <f>SUMIF(민감도분석!$21:$21,'A&amp;R'!AA$144&amp;'A&amp;R'!$R151,민감도분석!$34:$34)</f>
        <v>0</v>
      </c>
      <c r="AB151" s="144">
        <f>SUMIF(민감도분석!$21:$21,'A&amp;R'!AB$144&amp;'A&amp;R'!$R151,민감도분석!$34:$34)</f>
        <v>0</v>
      </c>
      <c r="AC151" s="144">
        <f>SUMIF(민감도분석!$21:$21,'A&amp;R'!AC$144&amp;'A&amp;R'!$R151,민감도분석!$34:$34)</f>
        <v>0</v>
      </c>
    </row>
    <row r="152" spans="2:29" ht="13.5" customHeight="1">
      <c r="C152" s="1" t="s">
        <v>378</v>
      </c>
      <c r="D152" s="1">
        <f ca="1">SUM(E152:O152)</f>
        <v>1062.8201285478542</v>
      </c>
      <c r="E152" s="1">
        <f>E127*-1</f>
        <v>0</v>
      </c>
      <c r="F152" s="1">
        <f t="shared" ref="F152:O152" ca="1" si="81">F127*-1</f>
        <v>0</v>
      </c>
      <c r="G152" s="1">
        <f t="shared" ca="1" si="81"/>
        <v>0</v>
      </c>
      <c r="H152" s="1">
        <f t="shared" ca="1" si="81"/>
        <v>0</v>
      </c>
      <c r="I152" s="1">
        <f t="shared" ca="1" si="81"/>
        <v>0</v>
      </c>
      <c r="J152" s="1">
        <f t="shared" ca="1" si="81"/>
        <v>0</v>
      </c>
      <c r="K152" s="1">
        <f t="shared" ca="1" si="81"/>
        <v>0</v>
      </c>
      <c r="L152" s="1">
        <f t="shared" ca="1" si="81"/>
        <v>0</v>
      </c>
      <c r="M152" s="1">
        <f t="shared" ca="1" si="81"/>
        <v>0</v>
      </c>
      <c r="N152" s="1">
        <f t="shared" ca="1" si="81"/>
        <v>0</v>
      </c>
      <c r="O152" s="1">
        <f t="shared" ca="1" si="81"/>
        <v>1062.8201285478542</v>
      </c>
      <c r="R152" s="266">
        <f t="shared" si="78"/>
        <v>5.2500000000000012E-2</v>
      </c>
      <c r="S152" s="144">
        <f>SUMIF(민감도분석!$21:$21,'A&amp;R'!S$144&amp;'A&amp;R'!$R152,민감도분석!$34:$34)</f>
        <v>2.8169872086339892E-2</v>
      </c>
      <c r="T152" s="144">
        <f>SUMIF(민감도분석!$21:$21,'A&amp;R'!T$144&amp;'A&amp;R'!$R152,민감도분석!$34:$34)</f>
        <v>1.5873860130100784E-2</v>
      </c>
      <c r="U152" s="144">
        <f>SUMIF(민감도분석!$21:$21,'A&amp;R'!U$144&amp;'A&amp;R'!$R152,민감도분석!$34:$34)</f>
        <v>3.577848173861785E-3</v>
      </c>
      <c r="V152" s="144">
        <f>SUMIF(민감도분석!$21:$21,'A&amp;R'!V$144&amp;'A&amp;R'!$R152,민감도분석!$34:$34)</f>
        <v>0</v>
      </c>
      <c r="W152" s="144">
        <f>SUMIF(민감도분석!$21:$21,'A&amp;R'!W$144&amp;'A&amp;R'!$R152,민감도분석!$34:$34)</f>
        <v>0</v>
      </c>
      <c r="X152" s="144">
        <f>SUMIF(민감도분석!$21:$21,'A&amp;R'!X$144&amp;'A&amp;R'!$R152,민감도분석!$34:$34)</f>
        <v>0</v>
      </c>
      <c r="Y152" s="144">
        <f>SUMIF(민감도분석!$21:$21,'A&amp;R'!Y$144&amp;'A&amp;R'!$R152,민감도분석!$34:$34)</f>
        <v>0</v>
      </c>
      <c r="Z152" s="144">
        <f>SUMIF(민감도분석!$21:$21,'A&amp;R'!Z$144&amp;'A&amp;R'!$R152,민감도분석!$34:$34)</f>
        <v>0</v>
      </c>
      <c r="AA152" s="144">
        <f>SUMIF(민감도분석!$21:$21,'A&amp;R'!AA$144&amp;'A&amp;R'!$R152,민감도분석!$34:$34)</f>
        <v>0</v>
      </c>
      <c r="AB152" s="144">
        <f>SUMIF(민감도분석!$21:$21,'A&amp;R'!AB$144&amp;'A&amp;R'!$R152,민감도분석!$34:$34)</f>
        <v>0</v>
      </c>
      <c r="AC152" s="144">
        <f>SUMIF(민감도분석!$21:$21,'A&amp;R'!AC$144&amp;'A&amp;R'!$R152,민감도분석!$34:$34)</f>
        <v>0</v>
      </c>
    </row>
    <row r="153" spans="2:29" ht="13.5" customHeight="1">
      <c r="C153" s="42" t="s">
        <v>518</v>
      </c>
      <c r="D153" s="42">
        <f ca="1">SUM(E153:O153)</f>
        <v>17000</v>
      </c>
      <c r="E153" s="42">
        <f>E116*-1</f>
        <v>0</v>
      </c>
      <c r="F153" s="42">
        <f t="shared" ref="F153:O153" ca="1" si="82">F116*-1</f>
        <v>0</v>
      </c>
      <c r="G153" s="42">
        <f t="shared" ca="1" si="82"/>
        <v>0</v>
      </c>
      <c r="H153" s="42">
        <f t="shared" ca="1" si="82"/>
        <v>0</v>
      </c>
      <c r="I153" s="42">
        <f t="shared" ca="1" si="82"/>
        <v>0</v>
      </c>
      <c r="J153" s="42">
        <f t="shared" ca="1" si="82"/>
        <v>0</v>
      </c>
      <c r="K153" s="42">
        <f t="shared" ca="1" si="82"/>
        <v>0</v>
      </c>
      <c r="L153" s="42">
        <f t="shared" ca="1" si="82"/>
        <v>0</v>
      </c>
      <c r="M153" s="42">
        <f t="shared" ca="1" si="82"/>
        <v>0</v>
      </c>
      <c r="N153" s="42">
        <f t="shared" ca="1" si="82"/>
        <v>0</v>
      </c>
      <c r="O153" s="42">
        <f t="shared" ca="1" si="82"/>
        <v>17000</v>
      </c>
      <c r="R153" s="266">
        <f t="shared" si="78"/>
        <v>5.4000000000000013E-2</v>
      </c>
      <c r="S153" s="144">
        <f>SUMIF(민감도분석!$21:$21,'A&amp;R'!S$144&amp;'A&amp;R'!$R153,민감도분석!$34:$34)</f>
        <v>2.8169872086339892E-2</v>
      </c>
      <c r="T153" s="144">
        <f>SUMIF(민감도분석!$21:$21,'A&amp;R'!T$144&amp;'A&amp;R'!$R153,민감도분석!$34:$34)</f>
        <v>1.5873860130100784E-2</v>
      </c>
      <c r="U153" s="144">
        <f>SUMIF(민감도분석!$21:$21,'A&amp;R'!U$144&amp;'A&amp;R'!$R153,민감도분석!$34:$34)</f>
        <v>3.577848173861785E-3</v>
      </c>
      <c r="V153" s="144">
        <f>SUMIF(민감도분석!$21:$21,'A&amp;R'!V$144&amp;'A&amp;R'!$R153,민감도분석!$34:$34)</f>
        <v>0</v>
      </c>
      <c r="W153" s="144">
        <f>SUMIF(민감도분석!$21:$21,'A&amp;R'!W$144&amp;'A&amp;R'!$R153,민감도분석!$34:$34)</f>
        <v>0</v>
      </c>
      <c r="X153" s="144">
        <f>SUMIF(민감도분석!$21:$21,'A&amp;R'!X$144&amp;'A&amp;R'!$R153,민감도분석!$34:$34)</f>
        <v>0</v>
      </c>
      <c r="Y153" s="144">
        <f>SUMIF(민감도분석!$21:$21,'A&amp;R'!Y$144&amp;'A&amp;R'!$R153,민감도분석!$34:$34)</f>
        <v>0</v>
      </c>
      <c r="Z153" s="144">
        <f>SUMIF(민감도분석!$21:$21,'A&amp;R'!Z$144&amp;'A&amp;R'!$R153,민감도분석!$34:$34)</f>
        <v>0</v>
      </c>
      <c r="AA153" s="144">
        <f>SUMIF(민감도분석!$21:$21,'A&amp;R'!AA$144&amp;'A&amp;R'!$R153,민감도분석!$34:$34)</f>
        <v>0</v>
      </c>
      <c r="AB153" s="144">
        <f>SUMIF(민감도분석!$21:$21,'A&amp;R'!AB$144&amp;'A&amp;R'!$R153,민감도분석!$34:$34)</f>
        <v>0</v>
      </c>
      <c r="AC153" s="144">
        <f>SUMIF(민감도분석!$21:$21,'A&amp;R'!AC$144&amp;'A&amp;R'!$R153,민감도분석!$34:$34)</f>
        <v>0</v>
      </c>
    </row>
    <row r="154" spans="2:29" ht="13.5" customHeight="1">
      <c r="C154" s="51" t="s">
        <v>519</v>
      </c>
      <c r="D154" s="51"/>
      <c r="E154" s="51">
        <f>SUM(E150:E153)</f>
        <v>-17000</v>
      </c>
      <c r="F154" s="51">
        <f t="shared" ref="F154" ca="1" si="83">SUM(F150:F153)</f>
        <v>0</v>
      </c>
      <c r="G154" s="51">
        <f t="shared" ref="G154" ca="1" si="84">SUM(G150:G153)</f>
        <v>444.75039238012704</v>
      </c>
      <c r="H154" s="51">
        <f t="shared" ref="H154" ca="1" si="85">SUM(H150:H153)</f>
        <v>608.44136532235825</v>
      </c>
      <c r="I154" s="51">
        <f t="shared" ref="I154" ca="1" si="86">SUM(I150:I153)</f>
        <v>770.09622573600359</v>
      </c>
      <c r="J154" s="51">
        <f t="shared" ref="J154" ca="1" si="87">SUM(J150:J153)</f>
        <v>496.5684952474457</v>
      </c>
      <c r="K154" s="51">
        <f t="shared" ref="K154" ca="1" si="88">SUM(K150:K153)</f>
        <v>514.77997541327272</v>
      </c>
      <c r="L154" s="51">
        <f t="shared" ref="L154" ca="1" si="89">SUM(L150:L153)</f>
        <v>642.67357826255648</v>
      </c>
      <c r="M154" s="51">
        <f t="shared" ref="M154" ca="1" si="90">SUM(M150:M153)</f>
        <v>602.68996763823611</v>
      </c>
      <c r="N154" s="51">
        <f t="shared" ref="N154" ca="1" si="91">SUM(N150:N153)</f>
        <v>510</v>
      </c>
      <c r="O154" s="51">
        <f t="shared" ref="O154" ca="1" si="92">SUM(O150:O153)</f>
        <v>18572.820128547854</v>
      </c>
      <c r="R154" s="266">
        <f t="shared" si="78"/>
        <v>5.5500000000000015E-2</v>
      </c>
      <c r="S154" s="153">
        <f>SUMIF(민감도분석!$21:$21,'A&amp;R'!S$144&amp;'A&amp;R'!$R154,민감도분석!$34:$34)</f>
        <v>2.8169872086339892E-2</v>
      </c>
      <c r="T154" s="153">
        <f>SUMIF(민감도분석!$21:$21,'A&amp;R'!T$144&amp;'A&amp;R'!$R154,민감도분석!$34:$34)</f>
        <v>1.5873860130100784E-2</v>
      </c>
      <c r="U154" s="153">
        <f>SUMIF(민감도분석!$21:$21,'A&amp;R'!U$144&amp;'A&amp;R'!$R154,민감도분석!$34:$34)</f>
        <v>3.577848173861785E-3</v>
      </c>
      <c r="V154" s="153">
        <f>SUMIF(민감도분석!$21:$21,'A&amp;R'!V$144&amp;'A&amp;R'!$R154,민감도분석!$34:$34)</f>
        <v>0</v>
      </c>
      <c r="W154" s="153">
        <f>SUMIF(민감도분석!$21:$21,'A&amp;R'!W$144&amp;'A&amp;R'!$R154,민감도분석!$34:$34)</f>
        <v>0</v>
      </c>
      <c r="X154" s="153">
        <f>SUMIF(민감도분석!$21:$21,'A&amp;R'!X$144&amp;'A&amp;R'!$R154,민감도분석!$34:$34)</f>
        <v>0</v>
      </c>
      <c r="Y154" s="153">
        <f>SUMIF(민감도분석!$21:$21,'A&amp;R'!Y$144&amp;'A&amp;R'!$R154,민감도분석!$34:$34)</f>
        <v>0</v>
      </c>
      <c r="Z154" s="153">
        <f>SUMIF(민감도분석!$21:$21,'A&amp;R'!Z$144&amp;'A&amp;R'!$R154,민감도분석!$34:$34)</f>
        <v>0</v>
      </c>
      <c r="AA154" s="153">
        <f>SUMIF(민감도분석!$21:$21,'A&amp;R'!AA$144&amp;'A&amp;R'!$R154,민감도분석!$34:$34)</f>
        <v>0</v>
      </c>
      <c r="AB154" s="153">
        <f>SUMIF(민감도분석!$21:$21,'A&amp;R'!AB$144&amp;'A&amp;R'!$R154,민감도분석!$34:$34)</f>
        <v>0</v>
      </c>
      <c r="AC154" s="153">
        <f>SUMIF(민감도분석!$21:$21,'A&amp;R'!AC$144&amp;'A&amp;R'!$R154,민감도분석!$34:$34)</f>
        <v>0</v>
      </c>
    </row>
    <row r="155" spans="2:29" ht="13.5" customHeight="1">
      <c r="C155" s="1" t="s">
        <v>520</v>
      </c>
      <c r="F155" s="144">
        <f t="shared" ref="F155:O155" ca="1" si="93">F151/$E$77*(12/period)</f>
        <v>0</v>
      </c>
      <c r="G155" s="144">
        <f t="shared" ca="1" si="93"/>
        <v>5.2323575574132593E-2</v>
      </c>
      <c r="H155" s="144">
        <f t="shared" ca="1" si="93"/>
        <v>7.1581337096748035E-2</v>
      </c>
      <c r="I155" s="144">
        <f t="shared" ca="1" si="93"/>
        <v>9.0599555968941592E-2</v>
      </c>
      <c r="J155" s="144">
        <f t="shared" ca="1" si="93"/>
        <v>5.8419822970287728E-2</v>
      </c>
      <c r="K155" s="144">
        <f t="shared" ca="1" si="93"/>
        <v>6.0562350048620317E-2</v>
      </c>
      <c r="L155" s="144">
        <f t="shared" ca="1" si="93"/>
        <v>7.5608656266183114E-2</v>
      </c>
      <c r="M155" s="144">
        <f t="shared" ca="1" si="93"/>
        <v>7.0904702075086604E-2</v>
      </c>
      <c r="N155" s="144">
        <f t="shared" ca="1" si="93"/>
        <v>0.06</v>
      </c>
      <c r="O155" s="144">
        <f t="shared" ca="1" si="93"/>
        <v>0.06</v>
      </c>
      <c r="R155" s="251">
        <f t="shared" si="78"/>
        <v>5.7000000000000016E-2</v>
      </c>
      <c r="S155" s="255">
        <f>SUMIF(민감도분석!$21:$21,'A&amp;R'!S$144&amp;'A&amp;R'!$R155,민감도분석!$34:$34)</f>
        <v>2.8169872086339892E-2</v>
      </c>
      <c r="T155" s="255">
        <f>SUMIF(민감도분석!$21:$21,'A&amp;R'!T$144&amp;'A&amp;R'!$R155,민감도분석!$34:$34)</f>
        <v>1.5873860130100784E-2</v>
      </c>
      <c r="U155" s="255">
        <f>SUMIF(민감도분석!$21:$21,'A&amp;R'!U$144&amp;'A&amp;R'!$R155,민감도분석!$34:$34)</f>
        <v>3.577848173861785E-3</v>
      </c>
      <c r="V155" s="255">
        <f>SUMIF(민감도분석!$21:$21,'A&amp;R'!V$144&amp;'A&amp;R'!$R155,민감도분석!$34:$34)</f>
        <v>0</v>
      </c>
      <c r="W155" s="255">
        <f>SUMIF(민감도분석!$21:$21,'A&amp;R'!W$144&amp;'A&amp;R'!$R155,민감도분석!$34:$34)</f>
        <v>0</v>
      </c>
      <c r="X155" s="255">
        <f>SUMIF(민감도분석!$21:$21,'A&amp;R'!X$144&amp;'A&amp;R'!$R155,민감도분석!$34:$34)</f>
        <v>0</v>
      </c>
      <c r="Y155" s="255">
        <f>SUMIF(민감도분석!$21:$21,'A&amp;R'!Y$144&amp;'A&amp;R'!$R155,민감도분석!$34:$34)</f>
        <v>0</v>
      </c>
      <c r="Z155" s="255">
        <f>SUMIF(민감도분석!$21:$21,'A&amp;R'!Z$144&amp;'A&amp;R'!$R155,민감도분석!$34:$34)</f>
        <v>0</v>
      </c>
      <c r="AA155" s="255">
        <f>SUMIF(민감도분석!$21:$21,'A&amp;R'!AA$144&amp;'A&amp;R'!$R155,민감도분석!$34:$34)</f>
        <v>0</v>
      </c>
      <c r="AB155" s="255">
        <f>SUMIF(민감도분석!$21:$21,'A&amp;R'!AB$144&amp;'A&amp;R'!$R155,민감도분석!$34:$34)</f>
        <v>0</v>
      </c>
      <c r="AC155" s="255">
        <f>SUMIF(민감도분석!$21:$21,'A&amp;R'!AC$144&amp;'A&amp;R'!$R155,민감도분석!$34:$34)</f>
        <v>0</v>
      </c>
    </row>
    <row r="156" spans="2:29" ht="13.5" customHeight="1">
      <c r="C156" s="174" t="s">
        <v>521</v>
      </c>
      <c r="D156" s="175"/>
      <c r="E156" s="250">
        <f ca="1">D151/$E$77/D15</f>
        <v>0.06</v>
      </c>
      <c r="Q156" s="1" t="s">
        <v>538</v>
      </c>
    </row>
    <row r="157" spans="2:29" ht="13.5" customHeight="1">
      <c r="C157" s="176" t="s">
        <v>522</v>
      </c>
      <c r="D157" s="177"/>
      <c r="E157" s="251">
        <f ca="1">XIRR(E154:O154,$E$139:$O$139,1%)</f>
        <v>7.083915233612062E-2</v>
      </c>
      <c r="Q157" s="1" t="s">
        <v>531</v>
      </c>
      <c r="R157" s="251">
        <f ca="1">E148</f>
        <v>0.11927883625030516</v>
      </c>
      <c r="S157" s="255">
        <v>0</v>
      </c>
      <c r="T157" s="255">
        <f>S157+3%</f>
        <v>0.03</v>
      </c>
      <c r="U157" s="255">
        <f t="shared" ref="U157" si="94">T157+3%</f>
        <v>0.06</v>
      </c>
      <c r="V157" s="255">
        <f t="shared" ref="V157" si="95">U157+3%</f>
        <v>0.09</v>
      </c>
      <c r="W157" s="255">
        <f t="shared" ref="W157" si="96">V157+3%</f>
        <v>0.12</v>
      </c>
      <c r="X157" s="255">
        <f t="shared" ref="X157" si="97">W157+3%</f>
        <v>0.15</v>
      </c>
      <c r="Y157" s="255">
        <f t="shared" ref="Y157" si="98">X157+3%</f>
        <v>0.18</v>
      </c>
      <c r="Z157" s="255">
        <f t="shared" ref="Z157" si="99">Y157+3%</f>
        <v>0.21</v>
      </c>
      <c r="AA157" s="255">
        <f t="shared" ref="AA157" si="100">Z157+3%</f>
        <v>0.24</v>
      </c>
      <c r="AB157" s="255">
        <f t="shared" ref="AB157" si="101">AA157+3%</f>
        <v>0.27</v>
      </c>
      <c r="AC157" s="255">
        <f t="shared" ref="AC157" si="102">AB157+3%</f>
        <v>0.30000000000000004</v>
      </c>
    </row>
    <row r="158" spans="2:29" ht="13.5" customHeight="1">
      <c r="Q158" s="1" t="s">
        <v>537</v>
      </c>
      <c r="R158" s="266">
        <v>4.2000000000000003E-2</v>
      </c>
      <c r="S158" s="144">
        <f>SUMIF(민감도분석!$21:$21,'A&amp;R'!S$157&amp;'A&amp;R'!$R158,민감도분석!$35:$35)</f>
        <v>0.18957708835601805</v>
      </c>
      <c r="T158" s="144">
        <f>SUMIF(민감도분석!$21:$21,'A&amp;R'!T$157&amp;'A&amp;R'!$R158,민감도분석!$35:$35)</f>
        <v>0.18196803569793701</v>
      </c>
      <c r="U158" s="144">
        <f>SUMIF(민감도분석!$21:$21,'A&amp;R'!U$157&amp;'A&amp;R'!$R158,민감도분석!$35:$35)</f>
        <v>0.17492944240570069</v>
      </c>
      <c r="V158" s="144">
        <f>SUMIF(민감도분석!$21:$21,'A&amp;R'!V$157&amp;'A&amp;R'!$R158,민감도분석!$35:$35)</f>
        <v>0.16789431095123286</v>
      </c>
      <c r="W158" s="144">
        <f>SUMIF(민감도분석!$21:$21,'A&amp;R'!W$157&amp;'A&amp;R'!$R158,민감도분석!$35:$35)</f>
        <v>0.16071173191070554</v>
      </c>
      <c r="X158" s="144">
        <f>SUMIF(민감도분석!$21:$21,'A&amp;R'!X$157&amp;'A&amp;R'!$R158,민감도분석!$35:$35)</f>
        <v>0.15332142353057859</v>
      </c>
      <c r="Y158" s="144">
        <f>SUMIF(민감도분석!$21:$21,'A&amp;R'!Y$157&amp;'A&amp;R'!$R158,민감도분석!$35:$35)</f>
        <v>0.1457365560531616</v>
      </c>
      <c r="Z158" s="144">
        <f>SUMIF(민감도분석!$21:$21,'A&amp;R'!Z$157&amp;'A&amp;R'!$R158,민감도분석!$35:$35)</f>
        <v>0.13794520854949954</v>
      </c>
      <c r="AA158" s="144">
        <f>SUMIF(민감도분석!$21:$21,'A&amp;R'!AA$157&amp;'A&amp;R'!$R158,민감도분석!$35:$35)</f>
        <v>0.12993427753448489</v>
      </c>
      <c r="AB158" s="144">
        <f>SUMIF(민감도분석!$21:$21,'A&amp;R'!AB$157&amp;'A&amp;R'!$R158,민감도분석!$35:$35)</f>
        <v>0.12168933391571043</v>
      </c>
      <c r="AC158" s="144">
        <f>SUMIF(민감도분석!$21:$21,'A&amp;R'!AC$157&amp;'A&amp;R'!$R158,민감도분석!$35:$35)</f>
        <v>0.11319442272186278</v>
      </c>
    </row>
    <row r="159" spans="2:29" ht="13.5" customHeight="1">
      <c r="R159" s="266">
        <f>R158+0.15%</f>
        <v>4.3500000000000004E-2</v>
      </c>
      <c r="S159" s="144">
        <f>SUMIF(민감도분석!$21:$21,'A&amp;R'!S$157&amp;'A&amp;R'!$R159,민감도분석!$35:$35)</f>
        <v>0.16644913196563721</v>
      </c>
      <c r="T159" s="144">
        <f>SUMIF(민감도분석!$21:$21,'A&amp;R'!T$157&amp;'A&amp;R'!$R159,민감도분석!$35:$35)</f>
        <v>0.15832607746124266</v>
      </c>
      <c r="U159" s="144">
        <f>SUMIF(민감도분석!$21:$21,'A&amp;R'!U$157&amp;'A&amp;R'!$R159,민감도분석!$35:$35)</f>
        <v>0.15070744991302487</v>
      </c>
      <c r="V159" s="144">
        <f>SUMIF(민감도분석!$21:$21,'A&amp;R'!V$157&amp;'A&amp;R'!$R159,민감도분석!$35:$35)</f>
        <v>0.14304955005645753</v>
      </c>
      <c r="W159" s="144">
        <f>SUMIF(민감도분석!$21:$21,'A&amp;R'!W$157&amp;'A&amp;R'!$R159,민감도분석!$35:$35)</f>
        <v>0.13520946979522702</v>
      </c>
      <c r="X159" s="144">
        <f>SUMIF(민감도분석!$21:$21,'A&amp;R'!X$157&amp;'A&amp;R'!$R159,민감도분석!$35:$35)</f>
        <v>0.12711873531341555</v>
      </c>
      <c r="Y159" s="144">
        <f>SUMIF(민감도분석!$21:$21,'A&amp;R'!Y$157&amp;'A&amp;R'!$R159,민감도분석!$35:$35)</f>
        <v>0.11878862857818601</v>
      </c>
      <c r="Z159" s="144">
        <f>SUMIF(민감도분석!$21:$21,'A&amp;R'!Z$157&amp;'A&amp;R'!$R159,민감도분석!$35:$35)</f>
        <v>0.11020259380340575</v>
      </c>
      <c r="AA159" s="144">
        <f>SUMIF(민감도분석!$21:$21,'A&amp;R'!AA$157&amp;'A&amp;R'!$R159,민감도분석!$35:$35)</f>
        <v>0.10134223461151123</v>
      </c>
      <c r="AB159" s="144">
        <f>SUMIF(민감도분석!$21:$21,'A&amp;R'!AB$157&amp;'A&amp;R'!$R159,민감도분석!$35:$35)</f>
        <v>9.2186999320983898E-2</v>
      </c>
      <c r="AC159" s="144">
        <f>SUMIF(민감도분석!$21:$21,'A&amp;R'!AC$157&amp;'A&amp;R'!$R159,민감도분석!$35:$35)</f>
        <v>8.2713856697082505E-2</v>
      </c>
    </row>
    <row r="160" spans="2:29" ht="13.5" customHeight="1">
      <c r="R160" s="266">
        <f t="shared" ref="R160:R168" si="103">R159+0.15%</f>
        <v>4.5000000000000005E-2</v>
      </c>
      <c r="S160" s="144">
        <f>SUMIF(민감도분석!$21:$21,'A&amp;R'!S$157&amp;'A&amp;R'!$R160,민감도분석!$35:$35)</f>
        <v>0.14305799961090088</v>
      </c>
      <c r="T160" s="144">
        <f>SUMIF(민감도분석!$21:$21,'A&amp;R'!T$157&amp;'A&amp;R'!$R160,민감도분석!$35:$35)</f>
        <v>0.1343666791915894</v>
      </c>
      <c r="U160" s="144">
        <f>SUMIF(민감도분석!$21:$21,'A&amp;R'!U$157&amp;'A&amp;R'!$R160,민감도분석!$35:$35)</f>
        <v>0.12609641551971434</v>
      </c>
      <c r="V160" s="144">
        <f>SUMIF(민감도분석!$21:$21,'A&amp;R'!V$157&amp;'A&amp;R'!$R160,민감도분석!$35:$35)</f>
        <v>0.11773257732391354</v>
      </c>
      <c r="W160" s="144">
        <f>SUMIF(민감도분석!$21:$21,'A&amp;R'!W$157&amp;'A&amp;R'!$R160,민감도분석!$35:$35)</f>
        <v>0.1091421175003052</v>
      </c>
      <c r="X160" s="144">
        <f>SUMIF(민감도분석!$21:$21,'A&amp;R'!X$157&amp;'A&amp;R'!$R160,민감도분석!$35:$35)</f>
        <v>0.1002462339401245</v>
      </c>
      <c r="Y160" s="144">
        <f>SUMIF(민감도분석!$21:$21,'A&amp;R'!Y$157&amp;'A&amp;R'!$R160,민감도분석!$35:$35)</f>
        <v>9.105277538299561E-2</v>
      </c>
      <c r="Z160" s="144">
        <f>SUMIF(민감도분석!$21:$21,'A&amp;R'!Z$157&amp;'A&amp;R'!$R160,민감도분석!$35:$35)</f>
        <v>8.1538348197936983E-2</v>
      </c>
      <c r="AA160" s="144">
        <f>SUMIF(민감도분석!$21:$21,'A&amp;R'!AA$157&amp;'A&amp;R'!$R160,민감도분석!$35:$35)</f>
        <v>7.1676592826843272E-2</v>
      </c>
      <c r="AB160" s="144">
        <f>SUMIF(민감도분석!$21:$21,'A&amp;R'!AB$157&amp;'A&amp;R'!$R160,민감도분석!$35:$35)</f>
        <v>6.1437611579895017E-2</v>
      </c>
      <c r="AC160" s="144">
        <f>SUMIF(민감도분석!$21:$21,'A&amp;R'!AC$157&amp;'A&amp;R'!$R160,민감도분석!$35:$35)</f>
        <v>5.0787301063537592E-2</v>
      </c>
    </row>
    <row r="161" spans="5:29" ht="13.5" customHeight="1">
      <c r="E161" s="87"/>
      <c r="F161" s="252">
        <f>F89</f>
        <v>1</v>
      </c>
      <c r="G161" s="252">
        <f t="shared" ref="G161:O161" si="104">G89</f>
        <v>2</v>
      </c>
      <c r="H161" s="252">
        <f t="shared" si="104"/>
        <v>3</v>
      </c>
      <c r="I161" s="252">
        <f t="shared" si="104"/>
        <v>4</v>
      </c>
      <c r="J161" s="252">
        <f t="shared" si="104"/>
        <v>5</v>
      </c>
      <c r="K161" s="252">
        <f t="shared" si="104"/>
        <v>6</v>
      </c>
      <c r="L161" s="252">
        <f t="shared" si="104"/>
        <v>7</v>
      </c>
      <c r="M161" s="252">
        <f t="shared" si="104"/>
        <v>8</v>
      </c>
      <c r="N161" s="252">
        <f t="shared" si="104"/>
        <v>9</v>
      </c>
      <c r="O161" s="252">
        <f t="shared" si="104"/>
        <v>10</v>
      </c>
      <c r="R161" s="266">
        <f t="shared" si="103"/>
        <v>4.6500000000000007E-2</v>
      </c>
      <c r="S161" s="144">
        <f>SUMIF(민감도분석!$21:$21,'A&amp;R'!S$157&amp;'A&amp;R'!$R161,민감도분석!$35:$35)</f>
        <v>0.11927883625030516</v>
      </c>
      <c r="T161" s="144">
        <f>SUMIF(민감도분석!$21:$21,'A&amp;R'!T$157&amp;'A&amp;R'!$R161,민감도분석!$35:$35)</f>
        <v>0.10995384693145752</v>
      </c>
      <c r="U161" s="144">
        <f>SUMIF(민감도분석!$21:$21,'A&amp;R'!U$157&amp;'A&amp;R'!$R161,민감도분석!$35:$35)</f>
        <v>0.10094439029693603</v>
      </c>
      <c r="V161" s="144">
        <f>SUMIF(민감도분석!$21:$21,'A&amp;R'!V$157&amp;'A&amp;R'!$R161,민감도분석!$35:$35)</f>
        <v>9.1771664619445803E-2</v>
      </c>
      <c r="W161" s="144">
        <f>SUMIF(민감도분석!$21:$21,'A&amp;R'!W$157&amp;'A&amp;R'!$R161,민감도분석!$35:$35)</f>
        <v>8.2314591407775861E-2</v>
      </c>
      <c r="X161" s="144">
        <f>SUMIF(민감도분석!$21:$21,'A&amp;R'!X$157&amp;'A&amp;R'!$R161,민감도분석!$35:$35)</f>
        <v>7.2480874061584488E-2</v>
      </c>
      <c r="Y161" s="144">
        <f>SUMIF(민감도분석!$21:$21,'A&amp;R'!Y$157&amp;'A&amp;R'!$R161,민감도분석!$35:$35)</f>
        <v>6.2272410392761227E-2</v>
      </c>
      <c r="Z161" s="144">
        <f>SUMIF(민감도분석!$21:$21,'A&amp;R'!Z$157&amp;'A&amp;R'!$R161,민감도분석!$35:$35)</f>
        <v>5.165544986724855E-2</v>
      </c>
      <c r="AA161" s="144">
        <f>SUMIF(민감도분석!$21:$21,'A&amp;R'!AA$157&amp;'A&amp;R'!$R161,민감도분석!$35:$35)</f>
        <v>4.0591263771057123E-2</v>
      </c>
      <c r="AB161" s="144">
        <f>SUMIF(민감도분석!$21:$21,'A&amp;R'!AB$157&amp;'A&amp;R'!$R161,민감도분석!$35:$35)</f>
        <v>2.9035105705261226E-2</v>
      </c>
      <c r="AC161" s="144">
        <f>SUMIF(민감도분석!$21:$21,'A&amp;R'!AC$157&amp;'A&amp;R'!$R161,민감도분석!$35:$35)</f>
        <v>1.6934847831726076E-2</v>
      </c>
    </row>
    <row r="162" spans="5:29" ht="13.5" customHeight="1">
      <c r="E162" s="87" t="str">
        <f>B140</f>
        <v>보통주</v>
      </c>
      <c r="F162" s="87">
        <f ca="1">F142</f>
        <v>0</v>
      </c>
      <c r="G162" s="87">
        <f t="shared" ref="G162:O162" ca="1" si="105">G142</f>
        <v>0</v>
      </c>
      <c r="H162" s="87">
        <f t="shared" ca="1" si="105"/>
        <v>0</v>
      </c>
      <c r="I162" s="87">
        <f t="shared" ca="1" si="105"/>
        <v>0</v>
      </c>
      <c r="J162" s="87">
        <f t="shared" ca="1" si="105"/>
        <v>0</v>
      </c>
      <c r="K162" s="87">
        <f t="shared" ca="1" si="105"/>
        <v>0</v>
      </c>
      <c r="L162" s="87">
        <f t="shared" ca="1" si="105"/>
        <v>0</v>
      </c>
      <c r="M162" s="87">
        <f t="shared" ca="1" si="105"/>
        <v>212.32087165162898</v>
      </c>
      <c r="N162" s="87">
        <f t="shared" ca="1" si="105"/>
        <v>142.93713956767328</v>
      </c>
      <c r="O162" s="87">
        <f t="shared" ca="1" si="105"/>
        <v>348.98879093919504</v>
      </c>
      <c r="R162" s="266">
        <f t="shared" si="103"/>
        <v>4.8000000000000008E-2</v>
      </c>
      <c r="S162" s="144">
        <f>SUMIF(민감도분석!$21:$21,'A&amp;R'!S$157&amp;'A&amp;R'!$R162,민감도분석!$35:$35)</f>
        <v>9.4968829154968265E-2</v>
      </c>
      <c r="T162" s="144">
        <f>SUMIF(민감도분석!$21:$21,'A&amp;R'!T$157&amp;'A&amp;R'!$R162,민감도분석!$35:$35)</f>
        <v>8.4930205345153803E-2</v>
      </c>
      <c r="U162" s="144">
        <f>SUMIF(민감도분석!$21:$21,'A&amp;R'!U$157&amp;'A&amp;R'!$R162,민감도분석!$35:$35)</f>
        <v>7.5072798728942874E-2</v>
      </c>
      <c r="V162" s="144">
        <f>SUMIF(민감도분석!$21:$21,'A&amp;R'!V$157&amp;'A&amp;R'!$R162,민감도분석!$35:$35)</f>
        <v>6.4961514472961446E-2</v>
      </c>
      <c r="W162" s="144">
        <f>SUMIF(민감도분석!$21:$21,'A&amp;R'!W$157&amp;'A&amp;R'!$R162,민감도분석!$35:$35)</f>
        <v>5.4489445686340329E-2</v>
      </c>
      <c r="X162" s="144">
        <f>SUMIF(민감도분석!$21:$21,'A&amp;R'!X$157&amp;'A&amp;R'!$R162,민감도분석!$35:$35)</f>
        <v>4.3546013832092285E-2</v>
      </c>
      <c r="Y162" s="144">
        <f>SUMIF(민감도분석!$21:$21,'A&amp;R'!Y$157&amp;'A&amp;R'!$R162,민감도분석!$35:$35)</f>
        <v>3.2122950553894039E-2</v>
      </c>
      <c r="Z162" s="144">
        <f>SUMIF(민감도분석!$21:$21,'A&amp;R'!Z$157&amp;'A&amp;R'!$R162,민감도분석!$35:$35)</f>
        <v>2.0170207023620604E-2</v>
      </c>
      <c r="AA162" s="144">
        <f>SUMIF(민감도분석!$21:$21,'A&amp;R'!AA$157&amp;'A&amp;R'!$R162,민감도분석!$35:$35)</f>
        <v>7.6290941238403324E-3</v>
      </c>
      <c r="AB162" s="144">
        <f>SUMIF(민감도분석!$21:$21,'A&amp;R'!AB$157&amp;'A&amp;R'!$R162,민감도분석!$35:$35)</f>
        <v>-5.5698442459106443E-3</v>
      </c>
      <c r="AC162" s="144">
        <f>SUMIF(민감도분석!$21:$21,'A&amp;R'!AC$157&amp;'A&amp;R'!$R162,민감도분석!$35:$35)</f>
        <v>-1.950972612947225E-2</v>
      </c>
    </row>
    <row r="163" spans="5:29" ht="13.5" customHeight="1">
      <c r="E163" s="87" t="str">
        <f>B149</f>
        <v>우선주</v>
      </c>
      <c r="F163" s="87">
        <f ca="1">F151</f>
        <v>0</v>
      </c>
      <c r="G163" s="87">
        <f t="shared" ref="G163:O163" ca="1" si="106">G151</f>
        <v>444.75039238012704</v>
      </c>
      <c r="H163" s="87">
        <f t="shared" ca="1" si="106"/>
        <v>608.44136532235825</v>
      </c>
      <c r="I163" s="87">
        <f t="shared" ca="1" si="106"/>
        <v>770.09622573600359</v>
      </c>
      <c r="J163" s="87">
        <f t="shared" ca="1" si="106"/>
        <v>496.5684952474457</v>
      </c>
      <c r="K163" s="87">
        <f t="shared" ca="1" si="106"/>
        <v>514.77997541327272</v>
      </c>
      <c r="L163" s="87">
        <f t="shared" ca="1" si="106"/>
        <v>642.67357826255648</v>
      </c>
      <c r="M163" s="87">
        <f t="shared" ca="1" si="106"/>
        <v>602.68996763823611</v>
      </c>
      <c r="N163" s="87">
        <f t="shared" ca="1" si="106"/>
        <v>510</v>
      </c>
      <c r="O163" s="87">
        <f t="shared" ca="1" si="106"/>
        <v>510</v>
      </c>
      <c r="R163" s="266">
        <f t="shared" si="103"/>
        <v>4.9500000000000009E-2</v>
      </c>
      <c r="S163" s="144">
        <f>SUMIF(민감도분석!$21:$21,'A&amp;R'!S$157&amp;'A&amp;R'!$R163,민감도분석!$35:$35)</f>
        <v>6.9959845542907739E-2</v>
      </c>
      <c r="T163" s="144">
        <f>SUMIF(민감도분석!$21:$21,'A&amp;R'!T$157&amp;'A&amp;R'!$R163,민감도분석!$35:$35)</f>
        <v>5.9108271598815917E-2</v>
      </c>
      <c r="U163" s="144">
        <f>SUMIF(민감도분석!$21:$21,'A&amp;R'!U$157&amp;'A&amp;R'!$R163,민감도분석!$35:$35)</f>
        <v>4.8265252113342282E-2</v>
      </c>
      <c r="V163" s="144">
        <f>SUMIF(민감도분석!$21:$21,'A&amp;R'!V$157&amp;'A&amp;R'!$R163,민감도분석!$35:$35)</f>
        <v>3.7048611640930179E-2</v>
      </c>
      <c r="W163" s="144">
        <f>SUMIF(민감도분석!$21:$21,'A&amp;R'!W$157&amp;'A&amp;R'!$R163,민감도분석!$35:$35)</f>
        <v>2.536756992340088E-2</v>
      </c>
      <c r="X163" s="144">
        <f>SUMIF(민감도분석!$21:$21,'A&amp;R'!X$157&amp;'A&amp;R'!$R163,민감도분석!$35:$35)</f>
        <v>1.3085761070251466E-2</v>
      </c>
      <c r="Y163" s="144">
        <f>SUMIF(민감도분석!$21:$21,'A&amp;R'!Y$157&amp;'A&amp;R'!$R163,민감도분석!$35:$35)</f>
        <v>1.7731189727783204E-4</v>
      </c>
      <c r="Z163" s="144">
        <f>SUMIF(민감도분석!$21:$21,'A&amp;R'!Z$157&amp;'A&amp;R'!$R163,민감도분석!$35:$35)</f>
        <v>-1.3434650786221025E-2</v>
      </c>
      <c r="AA163" s="144">
        <f>SUMIF(민감도분석!$21:$21,'A&amp;R'!AA$157&amp;'A&amp;R'!$R163,민감도분석!$35:$35)</f>
        <v>-2.7842721231281758E-2</v>
      </c>
      <c r="AB163" s="144">
        <f>SUMIF(민감도분석!$21:$21,'A&amp;R'!AB$157&amp;'A&amp;R'!$R163,민감도분석!$35:$35)</f>
        <v>-4.3160010911524306E-2</v>
      </c>
      <c r="AC163" s="144">
        <f>SUMIF(민감도분석!$21:$21,'A&amp;R'!AC$157&amp;'A&amp;R'!$R163,민감도분석!$35:$35)</f>
        <v>-5.9526739008724704E-2</v>
      </c>
    </row>
    <row r="164" spans="5:29" ht="13.5" customHeight="1">
      <c r="R164" s="266">
        <f t="shared" si="103"/>
        <v>5.1000000000000011E-2</v>
      </c>
      <c r="S164" s="144">
        <f>SUMIF(민감도분석!$21:$21,'A&amp;R'!S$157&amp;'A&amp;R'!$R164,민감도분석!$35:$35)</f>
        <v>4.1857571601867677E-2</v>
      </c>
      <c r="T164" s="144">
        <f>SUMIF(민감도분석!$21:$21,'A&amp;R'!T$157&amp;'A&amp;R'!$R164,민감도분석!$35:$35)</f>
        <v>2.930351734161377E-2</v>
      </c>
      <c r="U164" s="144">
        <f>SUMIF(민감도분석!$21:$21,'A&amp;R'!U$157&amp;'A&amp;R'!$R164,민감도분석!$35:$35)</f>
        <v>1.6445879936218263E-2</v>
      </c>
      <c r="V164" s="144">
        <f>SUMIF(민감도분석!$21:$21,'A&amp;R'!V$157&amp;'A&amp;R'!$R164,민감도분석!$35:$35)</f>
        <v>2.9563188552856447E-3</v>
      </c>
      <c r="W164" s="144">
        <f>SUMIF(민감도분석!$21:$21,'A&amp;R'!W$157&amp;'A&amp;R'!$R164,민감도분석!$35:$35)</f>
        <v>-1.1251030229032042E-2</v>
      </c>
      <c r="X164" s="144">
        <f>SUMIF(민감도분석!$21:$21,'A&amp;R'!X$157&amp;'A&amp;R'!$R164,민감도분석!$35:$35)</f>
        <v>-2.637568634003401E-2</v>
      </c>
      <c r="Y164" s="144">
        <f>SUMIF(민감도분석!$21:$21,'A&amp;R'!Y$157&amp;'A&amp;R'!$R164,민감도분석!$35:$35)</f>
        <v>-4.2503850050270561E-2</v>
      </c>
      <c r="Z164" s="144">
        <f>SUMIF(민감도분석!$21:$21,'A&amp;R'!Z$157&amp;'A&amp;R'!$R164,민감도분석!$35:$35)</f>
        <v>-5.9798989929258826E-2</v>
      </c>
      <c r="AA164" s="144">
        <f>SUMIF(민감도분석!$21:$21,'A&amp;R'!AA$157&amp;'A&amp;R'!$R164,민감도분석!$35:$35)</f>
        <v>-7.8470173440873647E-2</v>
      </c>
      <c r="AB164" s="144">
        <f>SUMIF(민감도분석!$21:$21,'A&amp;R'!AB$157&amp;'A&amp;R'!$R164,민감도분석!$35:$35)</f>
        <v>-9.8791237361729151E-2</v>
      </c>
      <c r="AC164" s="144">
        <f>SUMIF(민감도분석!$21:$21,'A&amp;R'!AC$157&amp;'A&amp;R'!$R164,민감도분석!$35:$35)</f>
        <v>-0.12113148700445892</v>
      </c>
    </row>
    <row r="165" spans="5:29" ht="13.5" customHeight="1">
      <c r="R165" s="266">
        <f t="shared" si="103"/>
        <v>5.2500000000000012E-2</v>
      </c>
      <c r="S165" s="144">
        <f>SUMIF(민감도분석!$21:$21,'A&amp;R'!S$157&amp;'A&amp;R'!$R165,민감도분석!$35:$35)</f>
        <v>-9.2241334915161149E-3</v>
      </c>
      <c r="T165" s="144">
        <f>SUMIF(민감도분석!$21:$21,'A&amp;R'!T$157&amp;'A&amp;R'!$R165,민감도분석!$35:$35)</f>
        <v>-2.4160887114703655E-2</v>
      </c>
      <c r="U165" s="144">
        <f>SUMIF(민감도분석!$21:$21,'A&amp;R'!U$157&amp;'A&amp;R'!$R165,민감도분석!$35:$35)</f>
        <v>-4.0088605992496008E-2</v>
      </c>
      <c r="V165" s="144">
        <f>SUMIF(민감도분석!$21:$21,'A&amp;R'!V$157&amp;'A&amp;R'!$R165,민감도분석!$35:$35)</f>
        <v>-5.7208283804357059E-2</v>
      </c>
      <c r="W165" s="144">
        <f>SUMIF(민감도분석!$21:$21,'A&amp;R'!W$157&amp;'A&amp;R'!$R165,민감도분석!$35:$35)</f>
        <v>-7.5605460889637488E-2</v>
      </c>
      <c r="X165" s="144">
        <f>SUMIF(민감도분석!$21:$21,'A&amp;R'!X$157&amp;'A&amp;R'!$R165,민감도분석!$35:$35)</f>
        <v>-9.5663825906813132E-2</v>
      </c>
      <c r="Y165" s="144">
        <f>SUMIF(민감도분석!$21:$21,'A&amp;R'!Y$157&amp;'A&amp;R'!$R165,민감도분석!$35:$35)</f>
        <v>-0.11767943236976862</v>
      </c>
      <c r="Z165" s="144">
        <f>SUMIF(민감도분석!$21:$21,'A&amp;R'!Z$157&amp;'A&amp;R'!$R165,민감도분석!$35:$35)</f>
        <v>-0.14214256059378388</v>
      </c>
      <c r="AA165" s="144">
        <f>SUMIF(민감도분석!$21:$21,'A&amp;R'!AA$157&amp;'A&amp;R'!$R165,민감도분석!$35:$35)</f>
        <v>-0.16976602707058186</v>
      </c>
      <c r="AB165" s="144">
        <f>SUMIF(민감도분석!$21:$21,'A&amp;R'!AB$157&amp;'A&amp;R'!$R165,민감도분석!$35:$35)</f>
        <v>-0.20164930950850249</v>
      </c>
      <c r="AC165" s="144">
        <f>SUMIF(민감도분석!$21:$21,'A&amp;R'!AC$157&amp;'A&amp;R'!$R165,민감도분석!$35:$35)</f>
        <v>-0.23963364951312544</v>
      </c>
    </row>
    <row r="166" spans="5:29" ht="13.5" customHeight="1">
      <c r="R166" s="266">
        <f t="shared" si="103"/>
        <v>5.4000000000000013E-2</v>
      </c>
      <c r="S166" s="144">
        <f>SUMIF(민감도분석!$21:$21,'A&amp;R'!S$157&amp;'A&amp;R'!$R166,민감도분석!$35:$35)</f>
        <v>-6.9841722287237645E-2</v>
      </c>
      <c r="T166" s="144">
        <f>SUMIF(민감도분석!$21:$21,'A&amp;R'!T$157&amp;'A&amp;R'!$R166,민감도분석!$35:$35)</f>
        <v>-8.8479565940797339E-2</v>
      </c>
      <c r="U166" s="144">
        <f>SUMIF(민감도분석!$21:$21,'A&amp;R'!U$157&amp;'A&amp;R'!$R166,민감도분석!$35:$35)</f>
        <v>-0.10950276579707863</v>
      </c>
      <c r="V166" s="144">
        <f>SUMIF(민감도분석!$21:$21,'A&amp;R'!V$157&amp;'A&amp;R'!$R166,민감도분석!$35:$35)</f>
        <v>-0.13302528958767654</v>
      </c>
      <c r="W166" s="144">
        <f>SUMIF(민감도분석!$21:$21,'A&amp;R'!W$157&amp;'A&amp;R'!$R166,민감도분석!$35:$35)</f>
        <v>-0.15932427857071157</v>
      </c>
      <c r="X166" s="144">
        <f>SUMIF(민감도분석!$21:$21,'A&amp;R'!X$157&amp;'A&amp;R'!$R166,민감도분석!$35:$35)</f>
        <v>-0.18950361397117377</v>
      </c>
      <c r="Y166" s="144">
        <f>SUMIF(민감도분석!$21:$21,'A&amp;R'!Y$157&amp;'A&amp;R'!$R166,민감도분석!$35:$35)</f>
        <v>-0.22499435018748046</v>
      </c>
      <c r="Z166" s="144">
        <f>SUMIF(민감도분석!$21:$21,'A&amp;R'!Z$157&amp;'A&amp;R'!$R166,민감도분석!$35:$35)</f>
        <v>-0.26851412821561099</v>
      </c>
      <c r="AA166" s="144">
        <f>SUMIF(민감도분석!$21:$21,'A&amp;R'!AA$157&amp;'A&amp;R'!$R166,민감도분석!$35:$35)</f>
        <v>-0.32584975533187388</v>
      </c>
      <c r="AB166" s="144">
        <f>SUMIF(민감도분석!$21:$21,'A&amp;R'!AB$157&amp;'A&amp;R'!$R166,민감도분석!$35:$35)</f>
        <v>-0.41409331914037467</v>
      </c>
      <c r="AC166" s="144" t="e">
        <f>SUMIF(민감도분석!$21:$21,'A&amp;R'!AC$157&amp;'A&amp;R'!$R166,민감도분석!$35:$35)</f>
        <v>#NUM!</v>
      </c>
    </row>
    <row r="167" spans="5:29" ht="13.5" customHeight="1">
      <c r="R167" s="266">
        <f t="shared" si="103"/>
        <v>5.5500000000000015E-2</v>
      </c>
      <c r="S167" s="153">
        <f>SUMIF(민감도분석!$21:$21,'A&amp;R'!S$157&amp;'A&amp;R'!$R167,민감도분석!$35:$35)</f>
        <v>-0.14738809306174513</v>
      </c>
      <c r="T167" s="153">
        <f>SUMIF(민감도분석!$21:$21,'A&amp;R'!T$157&amp;'A&amp;R'!$R167,민감도분석!$35:$35)</f>
        <v>-0.17287311743944886</v>
      </c>
      <c r="U167" s="153">
        <f>SUMIF(민감도분석!$21:$21,'A&amp;R'!U$157&amp;'A&amp;R'!$R167,민감도분석!$35:$35)</f>
        <v>-0.20445167947560547</v>
      </c>
      <c r="V167" s="153">
        <f>SUMIF(민감도분석!$21:$21,'A&amp;R'!V$157&amp;'A&amp;R'!$R167,민감도분석!$35:$35)</f>
        <v>-0.24306541625410316</v>
      </c>
      <c r="W167" s="153">
        <f>SUMIF(민감도분석!$21:$21,'A&amp;R'!W$157&amp;'A&amp;R'!$R167,민감도분석!$35:$35)</f>
        <v>-0.29149983603507279</v>
      </c>
      <c r="X167" s="153">
        <f>SUMIF(민감도분석!$21:$21,'A&amp;R'!X$157&amp;'A&amp;R'!$R167,민감도분석!$35:$35)</f>
        <v>-0.35886348392814404</v>
      </c>
      <c r="Y167" s="153">
        <f>SUMIF(민감도분석!$21:$21,'A&amp;R'!Y$157&amp;'A&amp;R'!$R167,민감도분석!$35:$35)</f>
        <v>-0.47975644802674644</v>
      </c>
      <c r="Z167" s="153" t="e">
        <f>SUMIF(민감도분석!$21:$21,'A&amp;R'!Z$157&amp;'A&amp;R'!$R167,민감도분석!$35:$35)</f>
        <v>#NUM!</v>
      </c>
      <c r="AA167" s="153" t="e">
        <f>SUMIF(민감도분석!$21:$21,'A&amp;R'!AA$157&amp;'A&amp;R'!$R167,민감도분석!$35:$35)</f>
        <v>#NUM!</v>
      </c>
      <c r="AB167" s="153" t="e">
        <f>SUMIF(민감도분석!$21:$21,'A&amp;R'!AB$157&amp;'A&amp;R'!$R167,민감도분석!$35:$35)</f>
        <v>#NUM!</v>
      </c>
      <c r="AC167" s="153" t="e">
        <f>SUMIF(민감도분석!$21:$21,'A&amp;R'!AC$157&amp;'A&amp;R'!$R167,민감도분석!$35:$35)</f>
        <v>#NUM!</v>
      </c>
    </row>
    <row r="168" spans="5:29" ht="13.5" customHeight="1">
      <c r="R168" s="251">
        <f t="shared" si="103"/>
        <v>5.7000000000000016E-2</v>
      </c>
      <c r="S168" s="255">
        <f>SUMIF(민감도분석!$21:$21,'A&amp;R'!S$157&amp;'A&amp;R'!$R168,민감도분석!$35:$35)</f>
        <v>-0.26460316739976414</v>
      </c>
      <c r="T168" s="255">
        <f>SUMIF(민감도분석!$21:$21,'A&amp;R'!T$157&amp;'A&amp;R'!$R168,민감도분석!$35:$35)</f>
        <v>-0.3094783065468073</v>
      </c>
      <c r="U168" s="255">
        <f>SUMIF(민감도분석!$21:$21,'A&amp;R'!U$157&amp;'A&amp;R'!$R168,민감도분석!$35:$35)</f>
        <v>-0.38225575545802704</v>
      </c>
      <c r="V168" s="255">
        <f>SUMIF(민감도분석!$21:$21,'A&amp;R'!V$157&amp;'A&amp;R'!$R168,민감도분석!$35:$35)</f>
        <v>-0.54406654663383969</v>
      </c>
      <c r="W168" s="255" t="e">
        <f>SUMIF(민감도분석!$21:$21,'A&amp;R'!W$157&amp;'A&amp;R'!$R168,민감도분석!$35:$35)</f>
        <v>#NUM!</v>
      </c>
      <c r="X168" s="255" t="e">
        <f>SUMIF(민감도분석!$21:$21,'A&amp;R'!X$157&amp;'A&amp;R'!$R168,민감도분석!$35:$35)</f>
        <v>#NUM!</v>
      </c>
      <c r="Y168" s="255" t="e">
        <f>SUMIF(민감도분석!$21:$21,'A&amp;R'!Y$157&amp;'A&amp;R'!$R168,민감도분석!$35:$35)</f>
        <v>#NUM!</v>
      </c>
      <c r="Z168" s="255" t="e">
        <f>SUMIF(민감도분석!$21:$21,'A&amp;R'!Z$157&amp;'A&amp;R'!$R168,민감도분석!$35:$35)</f>
        <v>#NUM!</v>
      </c>
      <c r="AA168" s="255" t="e">
        <f>SUMIF(민감도분석!$21:$21,'A&amp;R'!AA$157&amp;'A&amp;R'!$R168,민감도분석!$35:$35)</f>
        <v>#NUM!</v>
      </c>
      <c r="AB168" s="255" t="e">
        <f>SUMIF(민감도분석!$21:$21,'A&amp;R'!AB$157&amp;'A&amp;R'!$R168,민감도분석!$35:$35)</f>
        <v>#NUM!</v>
      </c>
      <c r="AC168" s="255" t="e">
        <f>SUMIF(민감도분석!$21:$21,'A&amp;R'!AC$157&amp;'A&amp;R'!$R168,민감도분석!$35:$35)</f>
        <v>#NUM!</v>
      </c>
    </row>
  </sheetData>
  <mergeCells count="14">
    <mergeCell ref="O34:O35"/>
    <mergeCell ref="Q10:R11"/>
    <mergeCell ref="S10:S11"/>
    <mergeCell ref="Y10:Z10"/>
    <mergeCell ref="C25:C26"/>
    <mergeCell ref="D25:I25"/>
    <mergeCell ref="J25:O25"/>
    <mergeCell ref="J34:K34"/>
    <mergeCell ref="L34:M34"/>
    <mergeCell ref="C34:D35"/>
    <mergeCell ref="E34:E35"/>
    <mergeCell ref="F34:F35"/>
    <mergeCell ref="G34:H34"/>
    <mergeCell ref="I34:I35"/>
  </mergeCells>
  <phoneticPr fontId="2" type="noConversion"/>
  <conditionalFormatting sqref="H11:O16">
    <cfRule type="containsText" dxfId="7" priority="10" operator="containsText" text="False">
      <formula>NOT(ISERROR(SEARCH("False",H11)))</formula>
    </cfRule>
    <cfRule type="containsText" dxfId="6" priority="11" operator="containsText" text="True">
      <formula>NOT(ISERROR(SEARCH("True",H11)))</formula>
    </cfRule>
  </conditionalFormatting>
  <conditionalFormatting sqref="S92:AC94">
    <cfRule type="cellIs" dxfId="5" priority="9" operator="lessThan">
      <formula>1.2</formula>
    </cfRule>
  </conditionalFormatting>
  <conditionalFormatting sqref="S97:AC99">
    <cfRule type="cellIs" dxfId="4" priority="8" operator="lessThan">
      <formula>1.2</formula>
    </cfRule>
  </conditionalFormatting>
  <conditionalFormatting sqref="S104:AC114">
    <cfRule type="cellIs" dxfId="3" priority="7" operator="lessThan">
      <formula>0.06</formula>
    </cfRule>
  </conditionalFormatting>
  <conditionalFormatting sqref="S117:AC127">
    <cfRule type="cellIs" dxfId="2" priority="6" operator="lessThan">
      <formula>0.06</formula>
    </cfRule>
  </conditionalFormatting>
  <conditionalFormatting sqref="S130:AC140">
    <cfRule type="cellIs" dxfId="1" priority="4" operator="lessThan">
      <formula>17000</formula>
    </cfRule>
    <cfRule type="cellIs" dxfId="0" priority="5" operator="lessThan">
      <formula>0.06</formula>
    </cfRule>
  </conditionalFormatting>
  <conditionalFormatting sqref="S145:AC155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158:AC16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rintOptions horizontalCentered="1"/>
  <pageMargins left="0.31496062992125984" right="0.31496062992125984" top="0.35433070866141736" bottom="0.35433070866141736" header="0.31496062992125984" footer="0.31496062992125984"/>
  <pageSetup paperSize="8" scale="7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Drop Down 1">
              <controlPr defaultSize="0" autoLine="0" autoPict="0">
                <anchor moveWithCells="1">
                  <from>
                    <xdr:col>19</xdr:col>
                    <xdr:colOff>123825</xdr:colOff>
                    <xdr:row>26</xdr:row>
                    <xdr:rowOff>66675</xdr:rowOff>
                  </from>
                  <to>
                    <xdr:col>22</xdr:col>
                    <xdr:colOff>276225</xdr:colOff>
                    <xdr:row>27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93FE5B-8815-4780-90D5-09C572F393A4}">
  <sheetPr codeName="Sheet2"/>
  <dimension ref="A2:BY333"/>
  <sheetViews>
    <sheetView showGridLines="0" topLeftCell="A4" workbookViewId="0">
      <pane xSplit="6" ySplit="13" topLeftCell="G299" activePane="bottomRight" state="frozen"/>
      <selection activeCell="A4" sqref="A4"/>
      <selection pane="topRight" activeCell="G4" sqref="G4"/>
      <selection pane="bottomLeft" activeCell="A17" sqref="A17"/>
      <selection pane="bottomRight" activeCell="H30" sqref="H30"/>
    </sheetView>
  </sheetViews>
  <sheetFormatPr defaultRowHeight="13.5" customHeight="1" outlineLevelRow="1"/>
  <cols>
    <col min="1" max="1" width="2.5" style="1" customWidth="1"/>
    <col min="2" max="2" width="3.75" style="1" customWidth="1"/>
    <col min="3" max="3" width="3.875" style="1" customWidth="1"/>
    <col min="4" max="4" width="9" style="1"/>
    <col min="5" max="5" width="11.625" style="1" customWidth="1"/>
    <col min="6" max="6" width="9" style="1"/>
    <col min="7" max="7" width="3" style="1" customWidth="1"/>
    <col min="8" max="8" width="8.875" style="1" customWidth="1"/>
    <col min="9" max="29" width="9" style="1"/>
    <col min="30" max="30" width="9.75" style="1" bestFit="1" customWidth="1"/>
    <col min="31" max="16384" width="9" style="1"/>
  </cols>
  <sheetData>
    <row r="2" spans="1:77" ht="13.5" customHeight="1">
      <c r="A2" s="14" t="s">
        <v>0</v>
      </c>
      <c r="AB2" s="3" t="s">
        <v>1</v>
      </c>
      <c r="AC2" s="6" t="s">
        <v>4</v>
      </c>
      <c r="AD2" s="9" t="s">
        <v>7</v>
      </c>
    </row>
    <row r="3" spans="1:77" ht="13.5" customHeight="1">
      <c r="AB3" s="4" t="s">
        <v>2</v>
      </c>
      <c r="AC3" s="7" t="s">
        <v>5</v>
      </c>
      <c r="AD3" s="10" t="s">
        <v>8</v>
      </c>
    </row>
    <row r="4" spans="1:77" ht="13.5" customHeight="1">
      <c r="AB4" s="5" t="s">
        <v>3</v>
      </c>
      <c r="AC4" s="8" t="s">
        <v>6</v>
      </c>
      <c r="AD4" s="11" t="s">
        <v>9</v>
      </c>
    </row>
    <row r="5" spans="1:77" s="2" customFormat="1" ht="13.5" customHeight="1" thickBot="1"/>
    <row r="6" spans="1:77" ht="13.5" customHeight="1" thickTop="1">
      <c r="A6" s="1" t="s">
        <v>10</v>
      </c>
      <c r="AD6" s="12">
        <v>44381</v>
      </c>
    </row>
    <row r="7" spans="1:77" ht="13.5" customHeight="1">
      <c r="A7" s="13" t="s">
        <v>12</v>
      </c>
    </row>
    <row r="8" spans="1:77" ht="13.5" customHeight="1" outlineLevel="1">
      <c r="H8" s="87" t="s">
        <v>54</v>
      </c>
      <c r="I8" s="88">
        <v>1</v>
      </c>
      <c r="J8" s="88">
        <v>2</v>
      </c>
      <c r="K8" s="88">
        <v>3</v>
      </c>
      <c r="L8" s="88">
        <v>4</v>
      </c>
      <c r="M8" s="88">
        <v>5</v>
      </c>
      <c r="N8" s="88">
        <v>6</v>
      </c>
      <c r="O8" s="88">
        <v>7</v>
      </c>
      <c r="P8" s="88">
        <v>8</v>
      </c>
      <c r="Q8" s="88">
        <v>9</v>
      </c>
      <c r="R8" s="88">
        <v>10</v>
      </c>
    </row>
    <row r="9" spans="1:77" ht="13.5" customHeight="1" outlineLevel="1">
      <c r="H9" s="87" t="s">
        <v>74</v>
      </c>
      <c r="I9" s="89">
        <f>start</f>
        <v>44316</v>
      </c>
      <c r="J9" s="89">
        <f>EOMONTH(I10,1)</f>
        <v>44500</v>
      </c>
      <c r="K9" s="89">
        <f t="shared" ref="K9:R9" si="0">EOMONTH(J10,1)</f>
        <v>44681</v>
      </c>
      <c r="L9" s="89">
        <f t="shared" si="0"/>
        <v>44865</v>
      </c>
      <c r="M9" s="89">
        <f t="shared" si="0"/>
        <v>45046</v>
      </c>
      <c r="N9" s="89">
        <f t="shared" si="0"/>
        <v>45230</v>
      </c>
      <c r="O9" s="89">
        <f t="shared" si="0"/>
        <v>45412</v>
      </c>
      <c r="P9" s="89">
        <f t="shared" si="0"/>
        <v>45596</v>
      </c>
      <c r="Q9" s="89">
        <f t="shared" si="0"/>
        <v>45777</v>
      </c>
      <c r="R9" s="89">
        <f t="shared" si="0"/>
        <v>45961</v>
      </c>
    </row>
    <row r="10" spans="1:77" ht="13.5" customHeight="1" outlineLevel="1">
      <c r="H10" s="87" t="s">
        <v>75</v>
      </c>
      <c r="I10" s="89">
        <f t="shared" ref="I10:R10" si="1">EOMONTH(I9,period-1)</f>
        <v>44469</v>
      </c>
      <c r="J10" s="89">
        <f t="shared" si="1"/>
        <v>44651</v>
      </c>
      <c r="K10" s="89">
        <f t="shared" si="1"/>
        <v>44834</v>
      </c>
      <c r="L10" s="89">
        <f t="shared" si="1"/>
        <v>45016</v>
      </c>
      <c r="M10" s="89">
        <f t="shared" si="1"/>
        <v>45199</v>
      </c>
      <c r="N10" s="89">
        <f t="shared" si="1"/>
        <v>45382</v>
      </c>
      <c r="O10" s="89">
        <f t="shared" si="1"/>
        <v>45565</v>
      </c>
      <c r="P10" s="89">
        <f t="shared" si="1"/>
        <v>45747</v>
      </c>
      <c r="Q10" s="89">
        <f t="shared" si="1"/>
        <v>45930</v>
      </c>
      <c r="R10" s="89">
        <f t="shared" si="1"/>
        <v>46112</v>
      </c>
    </row>
    <row r="11" spans="1:77" s="11" customFormat="1" ht="13.5" customHeight="1" outlineLevel="1">
      <c r="F11" s="11" t="s">
        <v>152</v>
      </c>
      <c r="H11" s="11">
        <f t="shared" ref="H11:AM11" si="2">(H14&gt;=start)*(H14&lt;=exit)*1</f>
        <v>0</v>
      </c>
      <c r="I11" s="11">
        <f t="shared" si="2"/>
        <v>1</v>
      </c>
      <c r="J11" s="11">
        <f t="shared" si="2"/>
        <v>1</v>
      </c>
      <c r="K11" s="11">
        <f t="shared" si="2"/>
        <v>1</v>
      </c>
      <c r="L11" s="11">
        <f t="shared" si="2"/>
        <v>1</v>
      </c>
      <c r="M11" s="11">
        <f t="shared" si="2"/>
        <v>1</v>
      </c>
      <c r="N11" s="11">
        <f t="shared" si="2"/>
        <v>1</v>
      </c>
      <c r="O11" s="11">
        <f t="shared" si="2"/>
        <v>1</v>
      </c>
      <c r="P11" s="11">
        <f t="shared" si="2"/>
        <v>1</v>
      </c>
      <c r="Q11" s="11">
        <f t="shared" si="2"/>
        <v>1</v>
      </c>
      <c r="R11" s="11">
        <f t="shared" si="2"/>
        <v>1</v>
      </c>
      <c r="S11" s="11">
        <f t="shared" si="2"/>
        <v>1</v>
      </c>
      <c r="T11" s="11">
        <f t="shared" si="2"/>
        <v>1</v>
      </c>
      <c r="U11" s="11">
        <f t="shared" si="2"/>
        <v>1</v>
      </c>
      <c r="V11" s="11">
        <f t="shared" si="2"/>
        <v>1</v>
      </c>
      <c r="W11" s="11">
        <f t="shared" si="2"/>
        <v>1</v>
      </c>
      <c r="X11" s="11">
        <f t="shared" si="2"/>
        <v>1</v>
      </c>
      <c r="Y11" s="11">
        <f t="shared" si="2"/>
        <v>1</v>
      </c>
      <c r="Z11" s="11">
        <f t="shared" si="2"/>
        <v>1</v>
      </c>
      <c r="AA11" s="11">
        <f t="shared" si="2"/>
        <v>1</v>
      </c>
      <c r="AB11" s="11">
        <f t="shared" si="2"/>
        <v>1</v>
      </c>
      <c r="AC11" s="11">
        <f t="shared" si="2"/>
        <v>1</v>
      </c>
      <c r="AD11" s="11">
        <f t="shared" si="2"/>
        <v>1</v>
      </c>
      <c r="AE11" s="11">
        <f t="shared" si="2"/>
        <v>1</v>
      </c>
      <c r="AF11" s="11">
        <f t="shared" si="2"/>
        <v>1</v>
      </c>
      <c r="AG11" s="11">
        <f t="shared" si="2"/>
        <v>1</v>
      </c>
      <c r="AH11" s="11">
        <f t="shared" si="2"/>
        <v>1</v>
      </c>
      <c r="AI11" s="11">
        <f t="shared" si="2"/>
        <v>1</v>
      </c>
      <c r="AJ11" s="11">
        <f t="shared" si="2"/>
        <v>1</v>
      </c>
      <c r="AK11" s="11">
        <f t="shared" si="2"/>
        <v>1</v>
      </c>
      <c r="AL11" s="11">
        <f t="shared" si="2"/>
        <v>1</v>
      </c>
      <c r="AM11" s="11">
        <f t="shared" si="2"/>
        <v>1</v>
      </c>
      <c r="AN11" s="11">
        <f t="shared" ref="AN11:BS11" si="3">(AN14&gt;=start)*(AN14&lt;=exit)*1</f>
        <v>1</v>
      </c>
      <c r="AO11" s="11">
        <f t="shared" si="3"/>
        <v>1</v>
      </c>
      <c r="AP11" s="11">
        <f t="shared" si="3"/>
        <v>1</v>
      </c>
      <c r="AQ11" s="11">
        <f t="shared" si="3"/>
        <v>1</v>
      </c>
      <c r="AR11" s="11">
        <f t="shared" si="3"/>
        <v>1</v>
      </c>
      <c r="AS11" s="11">
        <f t="shared" si="3"/>
        <v>1</v>
      </c>
      <c r="AT11" s="11">
        <f t="shared" si="3"/>
        <v>1</v>
      </c>
      <c r="AU11" s="11">
        <f t="shared" si="3"/>
        <v>1</v>
      </c>
      <c r="AV11" s="11">
        <f t="shared" si="3"/>
        <v>1</v>
      </c>
      <c r="AW11" s="11">
        <f t="shared" si="3"/>
        <v>1</v>
      </c>
      <c r="AX11" s="11">
        <f t="shared" si="3"/>
        <v>1</v>
      </c>
      <c r="AY11" s="11">
        <f t="shared" si="3"/>
        <v>1</v>
      </c>
      <c r="AZ11" s="11">
        <f t="shared" si="3"/>
        <v>1</v>
      </c>
      <c r="BA11" s="11">
        <f t="shared" si="3"/>
        <v>1</v>
      </c>
      <c r="BB11" s="11">
        <f t="shared" si="3"/>
        <v>1</v>
      </c>
      <c r="BC11" s="11">
        <f t="shared" si="3"/>
        <v>1</v>
      </c>
      <c r="BD11" s="11">
        <f t="shared" si="3"/>
        <v>1</v>
      </c>
      <c r="BE11" s="11">
        <f t="shared" si="3"/>
        <v>1</v>
      </c>
      <c r="BF11" s="11">
        <f t="shared" si="3"/>
        <v>1</v>
      </c>
      <c r="BG11" s="11">
        <f t="shared" si="3"/>
        <v>1</v>
      </c>
      <c r="BH11" s="11">
        <f t="shared" si="3"/>
        <v>1</v>
      </c>
      <c r="BI11" s="11">
        <f t="shared" si="3"/>
        <v>1</v>
      </c>
      <c r="BJ11" s="11">
        <f t="shared" si="3"/>
        <v>1</v>
      </c>
      <c r="BK11" s="11">
        <f t="shared" si="3"/>
        <v>1</v>
      </c>
      <c r="BL11" s="11">
        <f t="shared" si="3"/>
        <v>1</v>
      </c>
      <c r="BM11" s="11">
        <f t="shared" si="3"/>
        <v>1</v>
      </c>
      <c r="BN11" s="11">
        <f t="shared" si="3"/>
        <v>1</v>
      </c>
      <c r="BO11" s="11">
        <f t="shared" si="3"/>
        <v>1</v>
      </c>
      <c r="BP11" s="11">
        <f t="shared" si="3"/>
        <v>1</v>
      </c>
      <c r="BQ11" s="11">
        <f t="shared" si="3"/>
        <v>0</v>
      </c>
      <c r="BR11" s="11">
        <f t="shared" si="3"/>
        <v>0</v>
      </c>
      <c r="BS11" s="11">
        <f t="shared" si="3"/>
        <v>0</v>
      </c>
      <c r="BT11" s="11">
        <f t="shared" ref="BT11:BY11" si="4">(BT14&gt;=start)*(BT14&lt;=exit)*1</f>
        <v>0</v>
      </c>
      <c r="BU11" s="11">
        <f t="shared" si="4"/>
        <v>0</v>
      </c>
      <c r="BV11" s="11">
        <f t="shared" si="4"/>
        <v>0</v>
      </c>
      <c r="BW11" s="11">
        <f t="shared" si="4"/>
        <v>0</v>
      </c>
      <c r="BX11" s="11">
        <f t="shared" si="4"/>
        <v>0</v>
      </c>
      <c r="BY11" s="11">
        <f t="shared" si="4"/>
        <v>0</v>
      </c>
    </row>
    <row r="12" spans="1:77" s="11" customFormat="1" ht="13.5" customHeight="1" outlineLevel="1">
      <c r="F12" s="11" t="s">
        <v>153</v>
      </c>
      <c r="H12" s="11">
        <f>SUM($H$11:H11)*H11</f>
        <v>0</v>
      </c>
      <c r="I12" s="11">
        <f>SUM($H$11:I11)*I11</f>
        <v>1</v>
      </c>
      <c r="J12" s="11">
        <f>SUM($H$11:J11)*J11</f>
        <v>2</v>
      </c>
      <c r="K12" s="11">
        <f>SUM($H$11:K11)*K11</f>
        <v>3</v>
      </c>
      <c r="L12" s="11">
        <f>SUM($H$11:L11)*L11</f>
        <v>4</v>
      </c>
      <c r="M12" s="11">
        <f>SUM($H$11:M11)*M11</f>
        <v>5</v>
      </c>
      <c r="N12" s="11">
        <f>SUM($H$11:N11)*N11</f>
        <v>6</v>
      </c>
      <c r="O12" s="11">
        <f>SUM($H$11:O11)*O11</f>
        <v>7</v>
      </c>
      <c r="P12" s="11">
        <f>SUM($H$11:P11)*P11</f>
        <v>8</v>
      </c>
      <c r="Q12" s="11">
        <f>SUM($H$11:Q11)*Q11</f>
        <v>9</v>
      </c>
      <c r="R12" s="11">
        <f>SUM($H$11:R11)*R11</f>
        <v>10</v>
      </c>
      <c r="S12" s="11">
        <f>SUM($H$11:S11)*S11</f>
        <v>11</v>
      </c>
      <c r="T12" s="11">
        <f>SUM($H$11:T11)*T11</f>
        <v>12</v>
      </c>
      <c r="U12" s="11">
        <f>SUM($H$11:U11)*U11</f>
        <v>13</v>
      </c>
      <c r="V12" s="11">
        <f>SUM($H$11:V11)*V11</f>
        <v>14</v>
      </c>
      <c r="W12" s="11">
        <f>SUM($H$11:W11)*W11</f>
        <v>15</v>
      </c>
      <c r="X12" s="11">
        <f>SUM($H$11:X11)*X11</f>
        <v>16</v>
      </c>
      <c r="Y12" s="11">
        <f>SUM($H$11:Y11)*Y11</f>
        <v>17</v>
      </c>
      <c r="Z12" s="11">
        <f>SUM($H$11:Z11)*Z11</f>
        <v>18</v>
      </c>
      <c r="AA12" s="11">
        <f>SUM($H$11:AA11)*AA11</f>
        <v>19</v>
      </c>
      <c r="AB12" s="11">
        <f>SUM($H$11:AB11)*AB11</f>
        <v>20</v>
      </c>
      <c r="AC12" s="11">
        <f>SUM($H$11:AC11)*AC11</f>
        <v>21</v>
      </c>
      <c r="AD12" s="11">
        <f>SUM($H$11:AD11)*AD11</f>
        <v>22</v>
      </c>
      <c r="AE12" s="11">
        <f>SUM($H$11:AE11)*AE11</f>
        <v>23</v>
      </c>
      <c r="AF12" s="11">
        <f>SUM($H$11:AF11)*AF11</f>
        <v>24</v>
      </c>
      <c r="AG12" s="11">
        <f>SUM($H$11:AG11)*AG11</f>
        <v>25</v>
      </c>
      <c r="AH12" s="11">
        <f>SUM($H$11:AH11)*AH11</f>
        <v>26</v>
      </c>
      <c r="AI12" s="11">
        <f>SUM($H$11:AI11)*AI11</f>
        <v>27</v>
      </c>
      <c r="AJ12" s="11">
        <f>SUM($H$11:AJ11)*AJ11</f>
        <v>28</v>
      </c>
      <c r="AK12" s="11">
        <f>SUM($H$11:AK11)*AK11</f>
        <v>29</v>
      </c>
      <c r="AL12" s="11">
        <f>SUM($H$11:AL11)*AL11</f>
        <v>30</v>
      </c>
      <c r="AM12" s="11">
        <f>SUM($H$11:AM11)*AM11</f>
        <v>31</v>
      </c>
      <c r="AN12" s="11">
        <f>SUM($H$11:AN11)*AN11</f>
        <v>32</v>
      </c>
      <c r="AO12" s="11">
        <f>SUM($H$11:AO11)*AO11</f>
        <v>33</v>
      </c>
      <c r="AP12" s="11">
        <f>SUM($H$11:AP11)*AP11</f>
        <v>34</v>
      </c>
      <c r="AQ12" s="11">
        <f>SUM($H$11:AQ11)*AQ11</f>
        <v>35</v>
      </c>
      <c r="AR12" s="11">
        <f>SUM($H$11:AR11)*AR11</f>
        <v>36</v>
      </c>
      <c r="AS12" s="11">
        <f>SUM($H$11:AS11)*AS11</f>
        <v>37</v>
      </c>
      <c r="AT12" s="11">
        <f>SUM($H$11:AT11)*AT11</f>
        <v>38</v>
      </c>
      <c r="AU12" s="11">
        <f>SUM($H$11:AU11)*AU11</f>
        <v>39</v>
      </c>
      <c r="AV12" s="11">
        <f>SUM($H$11:AV11)*AV11</f>
        <v>40</v>
      </c>
      <c r="AW12" s="11">
        <f>SUM($H$11:AW11)*AW11</f>
        <v>41</v>
      </c>
      <c r="AX12" s="11">
        <f>SUM($H$11:AX11)*AX11</f>
        <v>42</v>
      </c>
      <c r="AY12" s="11">
        <f>SUM($H$11:AY11)*AY11</f>
        <v>43</v>
      </c>
      <c r="AZ12" s="11">
        <f>SUM($H$11:AZ11)*AZ11</f>
        <v>44</v>
      </c>
      <c r="BA12" s="11">
        <f>SUM($H$11:BA11)*BA11</f>
        <v>45</v>
      </c>
      <c r="BB12" s="11">
        <f>SUM($H$11:BB11)*BB11</f>
        <v>46</v>
      </c>
      <c r="BC12" s="11">
        <f>SUM($H$11:BC11)*BC11</f>
        <v>47</v>
      </c>
      <c r="BD12" s="11">
        <f>SUM($H$11:BD11)*BD11</f>
        <v>48</v>
      </c>
      <c r="BE12" s="11">
        <f>SUM($H$11:BE11)*BE11</f>
        <v>49</v>
      </c>
      <c r="BF12" s="11">
        <f>SUM($H$11:BF11)*BF11</f>
        <v>50</v>
      </c>
      <c r="BG12" s="11">
        <f>SUM($H$11:BG11)*BG11</f>
        <v>51</v>
      </c>
      <c r="BH12" s="11">
        <f>SUM($H$11:BH11)*BH11</f>
        <v>52</v>
      </c>
      <c r="BI12" s="11">
        <f>SUM($H$11:BI11)*BI11</f>
        <v>53</v>
      </c>
      <c r="BJ12" s="11">
        <f>SUM($H$11:BJ11)*BJ11</f>
        <v>54</v>
      </c>
      <c r="BK12" s="11">
        <f>SUM($H$11:BK11)*BK11</f>
        <v>55</v>
      </c>
      <c r="BL12" s="11">
        <f>SUM($H$11:BL11)*BL11</f>
        <v>56</v>
      </c>
      <c r="BM12" s="11">
        <f>SUM($H$11:BM11)*BM11</f>
        <v>57</v>
      </c>
      <c r="BN12" s="11">
        <f>SUM($H$11:BN11)*BN11</f>
        <v>58</v>
      </c>
      <c r="BO12" s="11">
        <f>SUM($H$11:BO11)*BO11</f>
        <v>59</v>
      </c>
      <c r="BP12" s="11">
        <f>SUM($H$11:BP11)*BP11</f>
        <v>60</v>
      </c>
      <c r="BQ12" s="11">
        <f>SUM($H$11:BQ11)*BQ11</f>
        <v>0</v>
      </c>
      <c r="BR12" s="11">
        <f>SUM($H$11:BR11)*BR11</f>
        <v>0</v>
      </c>
      <c r="BS12" s="11">
        <f>SUM($H$11:BS11)*BS11</f>
        <v>0</v>
      </c>
      <c r="BT12" s="11">
        <f>SUM($H$11:BT11)*BT11</f>
        <v>0</v>
      </c>
      <c r="BU12" s="11">
        <f>SUM($H$11:BU11)*BU11</f>
        <v>0</v>
      </c>
      <c r="BV12" s="11">
        <f>SUM($H$11:BV11)*BV11</f>
        <v>0</v>
      </c>
      <c r="BW12" s="11">
        <f>SUM($H$11:BW11)*BW11</f>
        <v>0</v>
      </c>
      <c r="BX12" s="11">
        <f>SUM($H$11:BX11)*BX11</f>
        <v>0</v>
      </c>
      <c r="BY12" s="11">
        <f>SUM($H$11:BY11)*BY11</f>
        <v>0</v>
      </c>
    </row>
    <row r="13" spans="1:77" s="11" customFormat="1" ht="13.5" customHeight="1" outlineLevel="1">
      <c r="F13" s="11" t="s">
        <v>154</v>
      </c>
      <c r="H13" s="11">
        <f>(MOD(H12,12)=1)*1</f>
        <v>0</v>
      </c>
      <c r="I13" s="11">
        <f t="shared" ref="I13:BT13" si="5">(MOD(I12,12)=1)*1</f>
        <v>1</v>
      </c>
      <c r="J13" s="11">
        <f t="shared" si="5"/>
        <v>0</v>
      </c>
      <c r="K13" s="11">
        <f t="shared" si="5"/>
        <v>0</v>
      </c>
      <c r="L13" s="11">
        <f t="shared" si="5"/>
        <v>0</v>
      </c>
      <c r="M13" s="11">
        <f t="shared" si="5"/>
        <v>0</v>
      </c>
      <c r="N13" s="11">
        <f t="shared" si="5"/>
        <v>0</v>
      </c>
      <c r="O13" s="11">
        <f t="shared" si="5"/>
        <v>0</v>
      </c>
      <c r="P13" s="11">
        <f t="shared" si="5"/>
        <v>0</v>
      </c>
      <c r="Q13" s="11">
        <f t="shared" si="5"/>
        <v>0</v>
      </c>
      <c r="R13" s="11">
        <f t="shared" si="5"/>
        <v>0</v>
      </c>
      <c r="S13" s="11">
        <f t="shared" si="5"/>
        <v>0</v>
      </c>
      <c r="T13" s="11">
        <f t="shared" si="5"/>
        <v>0</v>
      </c>
      <c r="U13" s="11">
        <f t="shared" si="5"/>
        <v>1</v>
      </c>
      <c r="V13" s="11">
        <f t="shared" si="5"/>
        <v>0</v>
      </c>
      <c r="W13" s="11">
        <f t="shared" si="5"/>
        <v>0</v>
      </c>
      <c r="X13" s="11">
        <f t="shared" si="5"/>
        <v>0</v>
      </c>
      <c r="Y13" s="11">
        <f t="shared" si="5"/>
        <v>0</v>
      </c>
      <c r="Z13" s="11">
        <f t="shared" si="5"/>
        <v>0</v>
      </c>
      <c r="AA13" s="11">
        <f t="shared" si="5"/>
        <v>0</v>
      </c>
      <c r="AB13" s="11">
        <f t="shared" si="5"/>
        <v>0</v>
      </c>
      <c r="AC13" s="11">
        <f t="shared" si="5"/>
        <v>0</v>
      </c>
      <c r="AD13" s="11">
        <f t="shared" si="5"/>
        <v>0</v>
      </c>
      <c r="AE13" s="11">
        <f t="shared" si="5"/>
        <v>0</v>
      </c>
      <c r="AF13" s="11">
        <f t="shared" si="5"/>
        <v>0</v>
      </c>
      <c r="AG13" s="11">
        <f t="shared" si="5"/>
        <v>1</v>
      </c>
      <c r="AH13" s="11">
        <f t="shared" si="5"/>
        <v>0</v>
      </c>
      <c r="AI13" s="11">
        <f t="shared" si="5"/>
        <v>0</v>
      </c>
      <c r="AJ13" s="11">
        <f t="shared" si="5"/>
        <v>0</v>
      </c>
      <c r="AK13" s="11">
        <f t="shared" si="5"/>
        <v>0</v>
      </c>
      <c r="AL13" s="11">
        <f t="shared" si="5"/>
        <v>0</v>
      </c>
      <c r="AM13" s="11">
        <f t="shared" si="5"/>
        <v>0</v>
      </c>
      <c r="AN13" s="11">
        <f t="shared" si="5"/>
        <v>0</v>
      </c>
      <c r="AO13" s="11">
        <f t="shared" si="5"/>
        <v>0</v>
      </c>
      <c r="AP13" s="11">
        <f t="shared" si="5"/>
        <v>0</v>
      </c>
      <c r="AQ13" s="11">
        <f t="shared" si="5"/>
        <v>0</v>
      </c>
      <c r="AR13" s="11">
        <f t="shared" si="5"/>
        <v>0</v>
      </c>
      <c r="AS13" s="11">
        <f t="shared" si="5"/>
        <v>1</v>
      </c>
      <c r="AT13" s="11">
        <f t="shared" si="5"/>
        <v>0</v>
      </c>
      <c r="AU13" s="11">
        <f t="shared" si="5"/>
        <v>0</v>
      </c>
      <c r="AV13" s="11">
        <f t="shared" si="5"/>
        <v>0</v>
      </c>
      <c r="AW13" s="11">
        <f t="shared" si="5"/>
        <v>0</v>
      </c>
      <c r="AX13" s="11">
        <f t="shared" si="5"/>
        <v>0</v>
      </c>
      <c r="AY13" s="11">
        <f t="shared" si="5"/>
        <v>0</v>
      </c>
      <c r="AZ13" s="11">
        <f t="shared" si="5"/>
        <v>0</v>
      </c>
      <c r="BA13" s="11">
        <f t="shared" si="5"/>
        <v>0</v>
      </c>
      <c r="BB13" s="11">
        <f t="shared" si="5"/>
        <v>0</v>
      </c>
      <c r="BC13" s="11">
        <f t="shared" si="5"/>
        <v>0</v>
      </c>
      <c r="BD13" s="11">
        <f t="shared" si="5"/>
        <v>0</v>
      </c>
      <c r="BE13" s="11">
        <f t="shared" si="5"/>
        <v>1</v>
      </c>
      <c r="BF13" s="11">
        <f t="shared" si="5"/>
        <v>0</v>
      </c>
      <c r="BG13" s="11">
        <f t="shared" si="5"/>
        <v>0</v>
      </c>
      <c r="BH13" s="11">
        <f t="shared" si="5"/>
        <v>0</v>
      </c>
      <c r="BI13" s="11">
        <f t="shared" si="5"/>
        <v>0</v>
      </c>
      <c r="BJ13" s="11">
        <f t="shared" si="5"/>
        <v>0</v>
      </c>
      <c r="BK13" s="11">
        <f t="shared" si="5"/>
        <v>0</v>
      </c>
      <c r="BL13" s="11">
        <f t="shared" si="5"/>
        <v>0</v>
      </c>
      <c r="BM13" s="11">
        <f t="shared" si="5"/>
        <v>0</v>
      </c>
      <c r="BN13" s="11">
        <f t="shared" si="5"/>
        <v>0</v>
      </c>
      <c r="BO13" s="11">
        <f t="shared" si="5"/>
        <v>0</v>
      </c>
      <c r="BP13" s="11">
        <f t="shared" si="5"/>
        <v>0</v>
      </c>
      <c r="BQ13" s="11">
        <f t="shared" si="5"/>
        <v>0</v>
      </c>
      <c r="BR13" s="11">
        <f t="shared" si="5"/>
        <v>0</v>
      </c>
      <c r="BS13" s="11">
        <f t="shared" si="5"/>
        <v>0</v>
      </c>
      <c r="BT13" s="11">
        <f t="shared" si="5"/>
        <v>0</v>
      </c>
      <c r="BU13" s="11">
        <f t="shared" ref="BU13:BY13" si="6">(MOD(BU12,12)=1)*1</f>
        <v>0</v>
      </c>
      <c r="BV13" s="11">
        <f t="shared" si="6"/>
        <v>0</v>
      </c>
      <c r="BW13" s="11">
        <f t="shared" si="6"/>
        <v>0</v>
      </c>
      <c r="BX13" s="11">
        <f t="shared" si="6"/>
        <v>0</v>
      </c>
      <c r="BY13" s="11">
        <f t="shared" si="6"/>
        <v>0</v>
      </c>
    </row>
    <row r="14" spans="1:77" ht="13.5" customHeight="1">
      <c r="B14" s="90"/>
      <c r="C14" s="90"/>
      <c r="D14" s="90"/>
      <c r="E14" s="90"/>
      <c r="F14" s="90" t="s">
        <v>149</v>
      </c>
      <c r="G14" s="90"/>
      <c r="H14" s="91">
        <f>acq</f>
        <v>44286</v>
      </c>
      <c r="I14" s="91">
        <f>EOMONTH(H14,1)</f>
        <v>44316</v>
      </c>
      <c r="J14" s="91">
        <f t="shared" ref="J14:BU14" si="7">EOMONTH(I14,1)</f>
        <v>44347</v>
      </c>
      <c r="K14" s="91">
        <f t="shared" si="7"/>
        <v>44377</v>
      </c>
      <c r="L14" s="91">
        <f t="shared" si="7"/>
        <v>44408</v>
      </c>
      <c r="M14" s="91">
        <f t="shared" si="7"/>
        <v>44439</v>
      </c>
      <c r="N14" s="91">
        <f t="shared" si="7"/>
        <v>44469</v>
      </c>
      <c r="O14" s="91">
        <f t="shared" si="7"/>
        <v>44500</v>
      </c>
      <c r="P14" s="91">
        <f t="shared" si="7"/>
        <v>44530</v>
      </c>
      <c r="Q14" s="91">
        <f t="shared" si="7"/>
        <v>44561</v>
      </c>
      <c r="R14" s="91">
        <f t="shared" si="7"/>
        <v>44592</v>
      </c>
      <c r="S14" s="91">
        <f t="shared" si="7"/>
        <v>44620</v>
      </c>
      <c r="T14" s="91">
        <f t="shared" si="7"/>
        <v>44651</v>
      </c>
      <c r="U14" s="91">
        <f t="shared" si="7"/>
        <v>44681</v>
      </c>
      <c r="V14" s="91">
        <f t="shared" si="7"/>
        <v>44712</v>
      </c>
      <c r="W14" s="91">
        <f t="shared" si="7"/>
        <v>44742</v>
      </c>
      <c r="X14" s="91">
        <f t="shared" si="7"/>
        <v>44773</v>
      </c>
      <c r="Y14" s="91">
        <f t="shared" si="7"/>
        <v>44804</v>
      </c>
      <c r="Z14" s="91">
        <f t="shared" si="7"/>
        <v>44834</v>
      </c>
      <c r="AA14" s="91">
        <f t="shared" si="7"/>
        <v>44865</v>
      </c>
      <c r="AB14" s="91">
        <f t="shared" si="7"/>
        <v>44895</v>
      </c>
      <c r="AC14" s="91">
        <f t="shared" si="7"/>
        <v>44926</v>
      </c>
      <c r="AD14" s="91">
        <f t="shared" si="7"/>
        <v>44957</v>
      </c>
      <c r="AE14" s="91">
        <f t="shared" si="7"/>
        <v>44985</v>
      </c>
      <c r="AF14" s="91">
        <f t="shared" si="7"/>
        <v>45016</v>
      </c>
      <c r="AG14" s="91">
        <f t="shared" si="7"/>
        <v>45046</v>
      </c>
      <c r="AH14" s="91">
        <f t="shared" si="7"/>
        <v>45077</v>
      </c>
      <c r="AI14" s="91">
        <f t="shared" si="7"/>
        <v>45107</v>
      </c>
      <c r="AJ14" s="91">
        <f t="shared" si="7"/>
        <v>45138</v>
      </c>
      <c r="AK14" s="91">
        <f t="shared" si="7"/>
        <v>45169</v>
      </c>
      <c r="AL14" s="91">
        <f t="shared" si="7"/>
        <v>45199</v>
      </c>
      <c r="AM14" s="91">
        <f t="shared" si="7"/>
        <v>45230</v>
      </c>
      <c r="AN14" s="91">
        <f t="shared" si="7"/>
        <v>45260</v>
      </c>
      <c r="AO14" s="91">
        <f t="shared" si="7"/>
        <v>45291</v>
      </c>
      <c r="AP14" s="91">
        <f t="shared" si="7"/>
        <v>45322</v>
      </c>
      <c r="AQ14" s="91">
        <f t="shared" si="7"/>
        <v>45351</v>
      </c>
      <c r="AR14" s="91">
        <f t="shared" si="7"/>
        <v>45382</v>
      </c>
      <c r="AS14" s="91">
        <f t="shared" si="7"/>
        <v>45412</v>
      </c>
      <c r="AT14" s="91">
        <f t="shared" si="7"/>
        <v>45443</v>
      </c>
      <c r="AU14" s="91">
        <f t="shared" si="7"/>
        <v>45473</v>
      </c>
      <c r="AV14" s="91">
        <f t="shared" si="7"/>
        <v>45504</v>
      </c>
      <c r="AW14" s="91">
        <f t="shared" si="7"/>
        <v>45535</v>
      </c>
      <c r="AX14" s="91">
        <f t="shared" si="7"/>
        <v>45565</v>
      </c>
      <c r="AY14" s="91">
        <f t="shared" si="7"/>
        <v>45596</v>
      </c>
      <c r="AZ14" s="91">
        <f t="shared" si="7"/>
        <v>45626</v>
      </c>
      <c r="BA14" s="91">
        <f t="shared" si="7"/>
        <v>45657</v>
      </c>
      <c r="BB14" s="91">
        <f t="shared" si="7"/>
        <v>45688</v>
      </c>
      <c r="BC14" s="91">
        <f t="shared" si="7"/>
        <v>45716</v>
      </c>
      <c r="BD14" s="91">
        <f t="shared" si="7"/>
        <v>45747</v>
      </c>
      <c r="BE14" s="91">
        <f t="shared" si="7"/>
        <v>45777</v>
      </c>
      <c r="BF14" s="91">
        <f t="shared" si="7"/>
        <v>45808</v>
      </c>
      <c r="BG14" s="91">
        <f t="shared" si="7"/>
        <v>45838</v>
      </c>
      <c r="BH14" s="91">
        <f t="shared" si="7"/>
        <v>45869</v>
      </c>
      <c r="BI14" s="91">
        <f t="shared" si="7"/>
        <v>45900</v>
      </c>
      <c r="BJ14" s="91">
        <f t="shared" si="7"/>
        <v>45930</v>
      </c>
      <c r="BK14" s="91">
        <f t="shared" si="7"/>
        <v>45961</v>
      </c>
      <c r="BL14" s="91">
        <f t="shared" si="7"/>
        <v>45991</v>
      </c>
      <c r="BM14" s="91">
        <f t="shared" si="7"/>
        <v>46022</v>
      </c>
      <c r="BN14" s="91">
        <f t="shared" si="7"/>
        <v>46053</v>
      </c>
      <c r="BO14" s="91">
        <f t="shared" si="7"/>
        <v>46081</v>
      </c>
      <c r="BP14" s="91">
        <f t="shared" si="7"/>
        <v>46112</v>
      </c>
      <c r="BQ14" s="91">
        <f t="shared" si="7"/>
        <v>46142</v>
      </c>
      <c r="BR14" s="91">
        <f t="shared" si="7"/>
        <v>46173</v>
      </c>
      <c r="BS14" s="91">
        <f t="shared" si="7"/>
        <v>46203</v>
      </c>
      <c r="BT14" s="91">
        <f t="shared" si="7"/>
        <v>46234</v>
      </c>
      <c r="BU14" s="91">
        <f t="shared" si="7"/>
        <v>46265</v>
      </c>
      <c r="BV14" s="91">
        <f t="shared" ref="BV14:BY14" si="8">EOMONTH(BU14,1)</f>
        <v>46295</v>
      </c>
      <c r="BW14" s="91">
        <f t="shared" si="8"/>
        <v>46326</v>
      </c>
      <c r="BX14" s="91">
        <f t="shared" si="8"/>
        <v>46356</v>
      </c>
      <c r="BY14" s="91">
        <f t="shared" si="8"/>
        <v>46387</v>
      </c>
    </row>
    <row r="15" spans="1:77" ht="13.5" customHeight="1">
      <c r="B15" s="90"/>
      <c r="C15" s="90"/>
      <c r="D15" s="90"/>
      <c r="E15" s="90"/>
      <c r="F15" s="90" t="s">
        <v>150</v>
      </c>
      <c r="G15" s="90"/>
      <c r="H15" s="92">
        <f>SUMIFS($I$8:$R$8,$I$9:$R$9,"&lt;="&amp;H$14,$I$10:$R$10,"&gt;="&amp;H$14)</f>
        <v>0</v>
      </c>
      <c r="I15" s="92">
        <f t="shared" ref="I15:BT15" si="9">SUMIFS($I$8:$R$8,$I$9:$R$9,"&lt;="&amp;I$14,$I$10:$R$10,"&gt;="&amp;I$14)</f>
        <v>1</v>
      </c>
      <c r="J15" s="92">
        <f t="shared" si="9"/>
        <v>1</v>
      </c>
      <c r="K15" s="92">
        <f t="shared" si="9"/>
        <v>1</v>
      </c>
      <c r="L15" s="92">
        <f t="shared" si="9"/>
        <v>1</v>
      </c>
      <c r="M15" s="92">
        <f t="shared" si="9"/>
        <v>1</v>
      </c>
      <c r="N15" s="92">
        <f t="shared" si="9"/>
        <v>1</v>
      </c>
      <c r="O15" s="92">
        <f t="shared" si="9"/>
        <v>2</v>
      </c>
      <c r="P15" s="92">
        <f t="shared" si="9"/>
        <v>2</v>
      </c>
      <c r="Q15" s="92">
        <f t="shared" si="9"/>
        <v>2</v>
      </c>
      <c r="R15" s="92">
        <f t="shared" si="9"/>
        <v>2</v>
      </c>
      <c r="S15" s="92">
        <f t="shared" si="9"/>
        <v>2</v>
      </c>
      <c r="T15" s="92">
        <f t="shared" si="9"/>
        <v>2</v>
      </c>
      <c r="U15" s="92">
        <f t="shared" si="9"/>
        <v>3</v>
      </c>
      <c r="V15" s="92">
        <f t="shared" si="9"/>
        <v>3</v>
      </c>
      <c r="W15" s="92">
        <f t="shared" si="9"/>
        <v>3</v>
      </c>
      <c r="X15" s="92">
        <f t="shared" si="9"/>
        <v>3</v>
      </c>
      <c r="Y15" s="92">
        <f t="shared" si="9"/>
        <v>3</v>
      </c>
      <c r="Z15" s="92">
        <f t="shared" si="9"/>
        <v>3</v>
      </c>
      <c r="AA15" s="92">
        <f t="shared" si="9"/>
        <v>4</v>
      </c>
      <c r="AB15" s="92">
        <f t="shared" si="9"/>
        <v>4</v>
      </c>
      <c r="AC15" s="92">
        <f t="shared" si="9"/>
        <v>4</v>
      </c>
      <c r="AD15" s="92">
        <f t="shared" si="9"/>
        <v>4</v>
      </c>
      <c r="AE15" s="92">
        <f t="shared" si="9"/>
        <v>4</v>
      </c>
      <c r="AF15" s="92">
        <f t="shared" si="9"/>
        <v>4</v>
      </c>
      <c r="AG15" s="92">
        <f t="shared" si="9"/>
        <v>5</v>
      </c>
      <c r="AH15" s="92">
        <f t="shared" si="9"/>
        <v>5</v>
      </c>
      <c r="AI15" s="92">
        <f t="shared" si="9"/>
        <v>5</v>
      </c>
      <c r="AJ15" s="92">
        <f t="shared" si="9"/>
        <v>5</v>
      </c>
      <c r="AK15" s="92">
        <f t="shared" si="9"/>
        <v>5</v>
      </c>
      <c r="AL15" s="92">
        <f t="shared" si="9"/>
        <v>5</v>
      </c>
      <c r="AM15" s="92">
        <f t="shared" si="9"/>
        <v>6</v>
      </c>
      <c r="AN15" s="92">
        <f t="shared" si="9"/>
        <v>6</v>
      </c>
      <c r="AO15" s="92">
        <f t="shared" si="9"/>
        <v>6</v>
      </c>
      <c r="AP15" s="92">
        <f t="shared" si="9"/>
        <v>6</v>
      </c>
      <c r="AQ15" s="92">
        <f t="shared" si="9"/>
        <v>6</v>
      </c>
      <c r="AR15" s="92">
        <f t="shared" si="9"/>
        <v>6</v>
      </c>
      <c r="AS15" s="92">
        <f t="shared" si="9"/>
        <v>7</v>
      </c>
      <c r="AT15" s="92">
        <f t="shared" si="9"/>
        <v>7</v>
      </c>
      <c r="AU15" s="92">
        <f t="shared" si="9"/>
        <v>7</v>
      </c>
      <c r="AV15" s="92">
        <f t="shared" si="9"/>
        <v>7</v>
      </c>
      <c r="AW15" s="92">
        <f t="shared" si="9"/>
        <v>7</v>
      </c>
      <c r="AX15" s="92">
        <f t="shared" si="9"/>
        <v>7</v>
      </c>
      <c r="AY15" s="92">
        <f t="shared" si="9"/>
        <v>8</v>
      </c>
      <c r="AZ15" s="92">
        <f t="shared" si="9"/>
        <v>8</v>
      </c>
      <c r="BA15" s="92">
        <f t="shared" si="9"/>
        <v>8</v>
      </c>
      <c r="BB15" s="92">
        <f t="shared" si="9"/>
        <v>8</v>
      </c>
      <c r="BC15" s="92">
        <f t="shared" si="9"/>
        <v>8</v>
      </c>
      <c r="BD15" s="92">
        <f t="shared" si="9"/>
        <v>8</v>
      </c>
      <c r="BE15" s="92">
        <f t="shared" si="9"/>
        <v>9</v>
      </c>
      <c r="BF15" s="92">
        <f t="shared" si="9"/>
        <v>9</v>
      </c>
      <c r="BG15" s="92">
        <f t="shared" si="9"/>
        <v>9</v>
      </c>
      <c r="BH15" s="92">
        <f t="shared" si="9"/>
        <v>9</v>
      </c>
      <c r="BI15" s="92">
        <f t="shared" si="9"/>
        <v>9</v>
      </c>
      <c r="BJ15" s="92">
        <f t="shared" si="9"/>
        <v>9</v>
      </c>
      <c r="BK15" s="92">
        <f t="shared" si="9"/>
        <v>10</v>
      </c>
      <c r="BL15" s="92">
        <f t="shared" si="9"/>
        <v>10</v>
      </c>
      <c r="BM15" s="92">
        <f t="shared" si="9"/>
        <v>10</v>
      </c>
      <c r="BN15" s="92">
        <f t="shared" si="9"/>
        <v>10</v>
      </c>
      <c r="BO15" s="92">
        <f t="shared" si="9"/>
        <v>10</v>
      </c>
      <c r="BP15" s="92">
        <f t="shared" si="9"/>
        <v>10</v>
      </c>
      <c r="BQ15" s="92">
        <f t="shared" si="9"/>
        <v>0</v>
      </c>
      <c r="BR15" s="92">
        <f t="shared" si="9"/>
        <v>0</v>
      </c>
      <c r="BS15" s="92">
        <f t="shared" si="9"/>
        <v>0</v>
      </c>
      <c r="BT15" s="92">
        <f t="shared" si="9"/>
        <v>0</v>
      </c>
      <c r="BU15" s="92">
        <f t="shared" ref="BU15:BY15" si="10">SUMIFS($I$8:$R$8,$I$9:$R$9,"&lt;="&amp;BU$14,$I$10:$R$10,"&gt;="&amp;BU$14)</f>
        <v>0</v>
      </c>
      <c r="BV15" s="92">
        <f t="shared" si="10"/>
        <v>0</v>
      </c>
      <c r="BW15" s="92">
        <f t="shared" si="10"/>
        <v>0</v>
      </c>
      <c r="BX15" s="92">
        <f t="shared" si="10"/>
        <v>0</v>
      </c>
      <c r="BY15" s="92">
        <f t="shared" si="10"/>
        <v>0</v>
      </c>
    </row>
    <row r="16" spans="1:77" ht="13.5" customHeight="1">
      <c r="B16" s="93"/>
      <c r="C16" s="93"/>
      <c r="D16" s="93"/>
      <c r="E16" s="93"/>
      <c r="F16" s="93" t="s">
        <v>151</v>
      </c>
      <c r="G16" s="93"/>
      <c r="H16" s="94">
        <f>SUM($H$13:H13)*H11</f>
        <v>0</v>
      </c>
      <c r="I16" s="94">
        <f>SUM($H$13:I13)*I11</f>
        <v>1</v>
      </c>
      <c r="J16" s="94">
        <f>SUM($H$13:J13)*J11</f>
        <v>1</v>
      </c>
      <c r="K16" s="94">
        <f>SUM($H$13:K13)*K11</f>
        <v>1</v>
      </c>
      <c r="L16" s="94">
        <f>SUM($H$13:L13)*L11</f>
        <v>1</v>
      </c>
      <c r="M16" s="94">
        <f>SUM($H$13:M13)*M11</f>
        <v>1</v>
      </c>
      <c r="N16" s="94">
        <f>SUM($H$13:N13)*N11</f>
        <v>1</v>
      </c>
      <c r="O16" s="94">
        <f>SUM($H$13:O13)*O11</f>
        <v>1</v>
      </c>
      <c r="P16" s="94">
        <f>SUM($H$13:P13)*P11</f>
        <v>1</v>
      </c>
      <c r="Q16" s="94">
        <f>SUM($H$13:Q13)*Q11</f>
        <v>1</v>
      </c>
      <c r="R16" s="94">
        <f>SUM($H$13:R13)*R11</f>
        <v>1</v>
      </c>
      <c r="S16" s="94">
        <f>SUM($H$13:S13)*S11</f>
        <v>1</v>
      </c>
      <c r="T16" s="94">
        <f>SUM($H$13:T13)*T11</f>
        <v>1</v>
      </c>
      <c r="U16" s="94">
        <f>SUM($H$13:U13)*U11</f>
        <v>2</v>
      </c>
      <c r="V16" s="94">
        <f>SUM($H$13:V13)*V11</f>
        <v>2</v>
      </c>
      <c r="W16" s="94">
        <f>SUM($H$13:W13)*W11</f>
        <v>2</v>
      </c>
      <c r="X16" s="94">
        <f>SUM($H$13:X13)*X11</f>
        <v>2</v>
      </c>
      <c r="Y16" s="94">
        <f>SUM($H$13:Y13)*Y11</f>
        <v>2</v>
      </c>
      <c r="Z16" s="94">
        <f>SUM($H$13:Z13)*Z11</f>
        <v>2</v>
      </c>
      <c r="AA16" s="94">
        <f>SUM($H$13:AA13)*AA11</f>
        <v>2</v>
      </c>
      <c r="AB16" s="94">
        <f>SUM($H$13:AB13)*AB11</f>
        <v>2</v>
      </c>
      <c r="AC16" s="94">
        <f>SUM($H$13:AC13)*AC11</f>
        <v>2</v>
      </c>
      <c r="AD16" s="94">
        <f>SUM($H$13:AD13)*AD11</f>
        <v>2</v>
      </c>
      <c r="AE16" s="94">
        <f>SUM($H$13:AE13)*AE11</f>
        <v>2</v>
      </c>
      <c r="AF16" s="94">
        <f>SUM($H$13:AF13)*AF11</f>
        <v>2</v>
      </c>
      <c r="AG16" s="94">
        <f>SUM($H$13:AG13)*AG11</f>
        <v>3</v>
      </c>
      <c r="AH16" s="94">
        <f>SUM($H$13:AH13)*AH11</f>
        <v>3</v>
      </c>
      <c r="AI16" s="94">
        <f>SUM($H$13:AI13)*AI11</f>
        <v>3</v>
      </c>
      <c r="AJ16" s="94">
        <f>SUM($H$13:AJ13)*AJ11</f>
        <v>3</v>
      </c>
      <c r="AK16" s="94">
        <f>SUM($H$13:AK13)*AK11</f>
        <v>3</v>
      </c>
      <c r="AL16" s="94">
        <f>SUM($H$13:AL13)*AL11</f>
        <v>3</v>
      </c>
      <c r="AM16" s="94">
        <f>SUM($H$13:AM13)*AM11</f>
        <v>3</v>
      </c>
      <c r="AN16" s="94">
        <f>SUM($H$13:AN13)*AN11</f>
        <v>3</v>
      </c>
      <c r="AO16" s="94">
        <f>SUM($H$13:AO13)*AO11</f>
        <v>3</v>
      </c>
      <c r="AP16" s="94">
        <f>SUM($H$13:AP13)*AP11</f>
        <v>3</v>
      </c>
      <c r="AQ16" s="94">
        <f>SUM($H$13:AQ13)*AQ11</f>
        <v>3</v>
      </c>
      <c r="AR16" s="94">
        <f>SUM($H$13:AR13)*AR11</f>
        <v>3</v>
      </c>
      <c r="AS16" s="94">
        <f>SUM($H$13:AS13)*AS11</f>
        <v>4</v>
      </c>
      <c r="AT16" s="94">
        <f>SUM($H$13:AT13)*AT11</f>
        <v>4</v>
      </c>
      <c r="AU16" s="94">
        <f>SUM($H$13:AU13)*AU11</f>
        <v>4</v>
      </c>
      <c r="AV16" s="94">
        <f>SUM($H$13:AV13)*AV11</f>
        <v>4</v>
      </c>
      <c r="AW16" s="94">
        <f>SUM($H$13:AW13)*AW11</f>
        <v>4</v>
      </c>
      <c r="AX16" s="94">
        <f>SUM($H$13:AX13)*AX11</f>
        <v>4</v>
      </c>
      <c r="AY16" s="94">
        <f>SUM($H$13:AY13)*AY11</f>
        <v>4</v>
      </c>
      <c r="AZ16" s="94">
        <f>SUM($H$13:AZ13)*AZ11</f>
        <v>4</v>
      </c>
      <c r="BA16" s="94">
        <f>SUM($H$13:BA13)*BA11</f>
        <v>4</v>
      </c>
      <c r="BB16" s="94">
        <f>SUM($H$13:BB13)*BB11</f>
        <v>4</v>
      </c>
      <c r="BC16" s="94">
        <f>SUM($H$13:BC13)*BC11</f>
        <v>4</v>
      </c>
      <c r="BD16" s="94">
        <f>SUM($H$13:BD13)*BD11</f>
        <v>4</v>
      </c>
      <c r="BE16" s="94">
        <f>SUM($H$13:BE13)*BE11</f>
        <v>5</v>
      </c>
      <c r="BF16" s="94">
        <f>SUM($H$13:BF13)*BF11</f>
        <v>5</v>
      </c>
      <c r="BG16" s="94">
        <f>SUM($H$13:BG13)*BG11</f>
        <v>5</v>
      </c>
      <c r="BH16" s="94">
        <f>SUM($H$13:BH13)*BH11</f>
        <v>5</v>
      </c>
      <c r="BI16" s="94">
        <f>SUM($H$13:BI13)*BI11</f>
        <v>5</v>
      </c>
      <c r="BJ16" s="94">
        <f>SUM($H$13:BJ13)*BJ11</f>
        <v>5</v>
      </c>
      <c r="BK16" s="94">
        <f>SUM($H$13:BK13)*BK11</f>
        <v>5</v>
      </c>
      <c r="BL16" s="94">
        <f>SUM($H$13:BL13)*BL11</f>
        <v>5</v>
      </c>
      <c r="BM16" s="94">
        <f>SUM($H$13:BM13)*BM11</f>
        <v>5</v>
      </c>
      <c r="BN16" s="94">
        <f>SUM($H$13:BN13)*BN11</f>
        <v>5</v>
      </c>
      <c r="BO16" s="94">
        <f>SUM($H$13:BO13)*BO11</f>
        <v>5</v>
      </c>
      <c r="BP16" s="94">
        <f>SUM($H$13:BP13)*BP11</f>
        <v>5</v>
      </c>
      <c r="BQ16" s="94">
        <f>SUM($H$13:BQ13)*BQ11</f>
        <v>0</v>
      </c>
      <c r="BR16" s="94">
        <f>SUM($H$13:BR13)*BR11</f>
        <v>0</v>
      </c>
      <c r="BS16" s="94">
        <f>SUM($H$13:BS13)*BS11</f>
        <v>0</v>
      </c>
      <c r="BT16" s="94">
        <f>SUM($H$13:BT13)*BT11</f>
        <v>0</v>
      </c>
      <c r="BU16" s="94">
        <f>SUM($H$13:BU13)*BU11</f>
        <v>0</v>
      </c>
      <c r="BV16" s="94">
        <f>SUM($H$13:BV13)*BV11</f>
        <v>0</v>
      </c>
      <c r="BW16" s="94">
        <f>SUM($H$13:BW13)*BW11</f>
        <v>0</v>
      </c>
      <c r="BX16" s="94">
        <f>SUM($H$13:BX13)*BX11</f>
        <v>0</v>
      </c>
      <c r="BY16" s="94">
        <f>SUM($H$13:BY13)*BY11</f>
        <v>0</v>
      </c>
    </row>
    <row r="17" spans="2:77" ht="13.5" customHeight="1">
      <c r="B17" s="13" t="str">
        <f>'A&amp;R'!C36</f>
        <v>지상3층</v>
      </c>
    </row>
    <row r="18" spans="2:77" ht="13.5" customHeight="1">
      <c r="C18" s="13" t="s">
        <v>155</v>
      </c>
    </row>
    <row r="19" spans="2:77" s="11" customFormat="1" ht="13.5" customHeight="1">
      <c r="F19" s="11" t="s">
        <v>160</v>
      </c>
      <c r="H19" s="11">
        <f>(H$14&lt;=$F20)*1</f>
        <v>1</v>
      </c>
      <c r="I19" s="11">
        <f t="shared" ref="I19:BT19" si="11">(I$14&lt;=$F20)*1</f>
        <v>1</v>
      </c>
      <c r="J19" s="11">
        <f t="shared" si="11"/>
        <v>1</v>
      </c>
      <c r="K19" s="11">
        <f t="shared" si="11"/>
        <v>1</v>
      </c>
      <c r="L19" s="11">
        <f t="shared" si="11"/>
        <v>1</v>
      </c>
      <c r="M19" s="11">
        <f t="shared" si="11"/>
        <v>1</v>
      </c>
      <c r="N19" s="11">
        <f t="shared" si="11"/>
        <v>1</v>
      </c>
      <c r="O19" s="11">
        <f t="shared" si="11"/>
        <v>1</v>
      </c>
      <c r="P19" s="11">
        <f t="shared" si="11"/>
        <v>1</v>
      </c>
      <c r="Q19" s="11">
        <f t="shared" si="11"/>
        <v>1</v>
      </c>
      <c r="R19" s="11">
        <f t="shared" si="11"/>
        <v>1</v>
      </c>
      <c r="S19" s="11">
        <f t="shared" si="11"/>
        <v>1</v>
      </c>
      <c r="T19" s="11">
        <f t="shared" si="11"/>
        <v>1</v>
      </c>
      <c r="U19" s="11">
        <f t="shared" si="11"/>
        <v>1</v>
      </c>
      <c r="V19" s="11">
        <f t="shared" si="11"/>
        <v>1</v>
      </c>
      <c r="W19" s="11">
        <f t="shared" si="11"/>
        <v>1</v>
      </c>
      <c r="X19" s="11">
        <f t="shared" si="11"/>
        <v>1</v>
      </c>
      <c r="Y19" s="11">
        <f t="shared" si="11"/>
        <v>1</v>
      </c>
      <c r="Z19" s="11">
        <f t="shared" si="11"/>
        <v>1</v>
      </c>
      <c r="AA19" s="11">
        <f t="shared" si="11"/>
        <v>1</v>
      </c>
      <c r="AB19" s="11">
        <f t="shared" si="11"/>
        <v>1</v>
      </c>
      <c r="AC19" s="11">
        <f t="shared" si="11"/>
        <v>1</v>
      </c>
      <c r="AD19" s="11">
        <f t="shared" si="11"/>
        <v>1</v>
      </c>
      <c r="AE19" s="11">
        <f t="shared" si="11"/>
        <v>1</v>
      </c>
      <c r="AF19" s="11">
        <f t="shared" si="11"/>
        <v>1</v>
      </c>
      <c r="AG19" s="11">
        <f t="shared" si="11"/>
        <v>1</v>
      </c>
      <c r="AH19" s="11">
        <f t="shared" si="11"/>
        <v>1</v>
      </c>
      <c r="AI19" s="11">
        <f t="shared" si="11"/>
        <v>1</v>
      </c>
      <c r="AJ19" s="11">
        <f t="shared" si="11"/>
        <v>1</v>
      </c>
      <c r="AK19" s="11">
        <f t="shared" si="11"/>
        <v>1</v>
      </c>
      <c r="AL19" s="11">
        <f t="shared" si="11"/>
        <v>0</v>
      </c>
      <c r="AM19" s="11">
        <f t="shared" si="11"/>
        <v>0</v>
      </c>
      <c r="AN19" s="11">
        <f t="shared" si="11"/>
        <v>0</v>
      </c>
      <c r="AO19" s="11">
        <f t="shared" si="11"/>
        <v>0</v>
      </c>
      <c r="AP19" s="11">
        <f t="shared" si="11"/>
        <v>0</v>
      </c>
      <c r="AQ19" s="11">
        <f t="shared" si="11"/>
        <v>0</v>
      </c>
      <c r="AR19" s="11">
        <f t="shared" si="11"/>
        <v>0</v>
      </c>
      <c r="AS19" s="11">
        <f t="shared" si="11"/>
        <v>0</v>
      </c>
      <c r="AT19" s="11">
        <f t="shared" si="11"/>
        <v>0</v>
      </c>
      <c r="AU19" s="11">
        <f t="shared" si="11"/>
        <v>0</v>
      </c>
      <c r="AV19" s="11">
        <f t="shared" si="11"/>
        <v>0</v>
      </c>
      <c r="AW19" s="11">
        <f t="shared" si="11"/>
        <v>0</v>
      </c>
      <c r="AX19" s="11">
        <f t="shared" si="11"/>
        <v>0</v>
      </c>
      <c r="AY19" s="11">
        <f t="shared" si="11"/>
        <v>0</v>
      </c>
      <c r="AZ19" s="11">
        <f t="shared" si="11"/>
        <v>0</v>
      </c>
      <c r="BA19" s="11">
        <f t="shared" si="11"/>
        <v>0</v>
      </c>
      <c r="BB19" s="11">
        <f t="shared" si="11"/>
        <v>0</v>
      </c>
      <c r="BC19" s="11">
        <f t="shared" si="11"/>
        <v>0</v>
      </c>
      <c r="BD19" s="11">
        <f t="shared" si="11"/>
        <v>0</v>
      </c>
      <c r="BE19" s="11">
        <f t="shared" si="11"/>
        <v>0</v>
      </c>
      <c r="BF19" s="11">
        <f t="shared" si="11"/>
        <v>0</v>
      </c>
      <c r="BG19" s="11">
        <f t="shared" si="11"/>
        <v>0</v>
      </c>
      <c r="BH19" s="11">
        <f t="shared" si="11"/>
        <v>0</v>
      </c>
      <c r="BI19" s="11">
        <f t="shared" si="11"/>
        <v>0</v>
      </c>
      <c r="BJ19" s="11">
        <f t="shared" si="11"/>
        <v>0</v>
      </c>
      <c r="BK19" s="11">
        <f t="shared" si="11"/>
        <v>0</v>
      </c>
      <c r="BL19" s="11">
        <f t="shared" si="11"/>
        <v>0</v>
      </c>
      <c r="BM19" s="11">
        <f t="shared" si="11"/>
        <v>0</v>
      </c>
      <c r="BN19" s="11">
        <f t="shared" si="11"/>
        <v>0</v>
      </c>
      <c r="BO19" s="11">
        <f t="shared" si="11"/>
        <v>0</v>
      </c>
      <c r="BP19" s="11">
        <f t="shared" si="11"/>
        <v>0</v>
      </c>
      <c r="BQ19" s="11">
        <f t="shared" si="11"/>
        <v>0</v>
      </c>
      <c r="BR19" s="11">
        <f t="shared" si="11"/>
        <v>0</v>
      </c>
      <c r="BS19" s="11">
        <f t="shared" si="11"/>
        <v>0</v>
      </c>
      <c r="BT19" s="11">
        <f t="shared" si="11"/>
        <v>0</v>
      </c>
      <c r="BU19" s="11">
        <f t="shared" ref="BU19:BY19" si="12">(BU$14&lt;=$F20)*1</f>
        <v>0</v>
      </c>
      <c r="BV19" s="11">
        <f t="shared" si="12"/>
        <v>0</v>
      </c>
      <c r="BW19" s="11">
        <f t="shared" si="12"/>
        <v>0</v>
      </c>
      <c r="BX19" s="11">
        <f t="shared" si="12"/>
        <v>0</v>
      </c>
      <c r="BY19" s="11">
        <f t="shared" si="12"/>
        <v>0</v>
      </c>
    </row>
    <row r="20" spans="2:77" ht="13.5" customHeight="1">
      <c r="E20" s="95" t="s">
        <v>156</v>
      </c>
      <c r="F20" s="100">
        <f>VLOOKUP(B17,'A&amp;R'!$C$36:$N$40,6,0)</f>
        <v>45169</v>
      </c>
    </row>
    <row r="21" spans="2:77" ht="13.5" customHeight="1">
      <c r="E21" s="96" t="s">
        <v>157</v>
      </c>
      <c r="F21" s="97">
        <f>VLOOKUP(B17,'A&amp;R'!$C$36:$N$40,8,0)</f>
        <v>24000</v>
      </c>
    </row>
    <row r="22" spans="2:77" ht="13.5" customHeight="1">
      <c r="E22" s="96" t="s">
        <v>158</v>
      </c>
      <c r="F22" s="97">
        <f>VLOOKUP(B17,'A&amp;R'!$C$36:$N$40,12,0)</f>
        <v>1</v>
      </c>
    </row>
    <row r="23" spans="2:77" ht="13.5" customHeight="1">
      <c r="E23" s="96" t="s">
        <v>72</v>
      </c>
      <c r="F23" s="97">
        <f>VLOOKUP(B17,'A&amp;R'!$C$36:$N$40,4,0)</f>
        <v>1687</v>
      </c>
    </row>
    <row r="24" spans="2:77" ht="13.5" customHeight="1">
      <c r="E24" s="96" t="s">
        <v>159</v>
      </c>
      <c r="F24" s="97">
        <f>VLOOKUP(B17,'A&amp;R'!$C$36:$N$40,10,0)</f>
        <v>2000</v>
      </c>
    </row>
    <row r="25" spans="2:77" ht="13.5" customHeight="1">
      <c r="E25" s="98" t="s">
        <v>76</v>
      </c>
      <c r="F25" s="99">
        <f>VLOOKUP(B17,'A&amp;R'!$C$36:$N$40,7,0)</f>
        <v>242.928</v>
      </c>
    </row>
    <row r="26" spans="2:77" ht="13.5" customHeight="1">
      <c r="D26" s="1" t="s">
        <v>161</v>
      </c>
    </row>
    <row r="27" spans="2:77" ht="13.5" customHeight="1">
      <c r="E27" s="30" t="s">
        <v>162</v>
      </c>
      <c r="F27" s="41"/>
      <c r="G27" s="41"/>
      <c r="H27" s="41">
        <f>$F21*H19</f>
        <v>24000</v>
      </c>
      <c r="I27" s="41">
        <f t="shared" ref="I27:BT27" si="13">$F21*I19</f>
        <v>24000</v>
      </c>
      <c r="J27" s="41">
        <f t="shared" si="13"/>
        <v>24000</v>
      </c>
      <c r="K27" s="41">
        <f t="shared" si="13"/>
        <v>24000</v>
      </c>
      <c r="L27" s="41">
        <f t="shared" si="13"/>
        <v>24000</v>
      </c>
      <c r="M27" s="41">
        <f t="shared" si="13"/>
        <v>24000</v>
      </c>
      <c r="N27" s="41">
        <f t="shared" si="13"/>
        <v>24000</v>
      </c>
      <c r="O27" s="41">
        <f t="shared" si="13"/>
        <v>24000</v>
      </c>
      <c r="P27" s="41">
        <f t="shared" si="13"/>
        <v>24000</v>
      </c>
      <c r="Q27" s="41">
        <f t="shared" si="13"/>
        <v>24000</v>
      </c>
      <c r="R27" s="41">
        <f t="shared" si="13"/>
        <v>24000</v>
      </c>
      <c r="S27" s="41">
        <f t="shared" si="13"/>
        <v>24000</v>
      </c>
      <c r="T27" s="41">
        <f t="shared" si="13"/>
        <v>24000</v>
      </c>
      <c r="U27" s="41">
        <f t="shared" si="13"/>
        <v>24000</v>
      </c>
      <c r="V27" s="41">
        <f t="shared" si="13"/>
        <v>24000</v>
      </c>
      <c r="W27" s="41">
        <f t="shared" si="13"/>
        <v>24000</v>
      </c>
      <c r="X27" s="41">
        <f t="shared" si="13"/>
        <v>24000</v>
      </c>
      <c r="Y27" s="41">
        <f t="shared" si="13"/>
        <v>24000</v>
      </c>
      <c r="Z27" s="41">
        <f t="shared" si="13"/>
        <v>24000</v>
      </c>
      <c r="AA27" s="41">
        <f t="shared" si="13"/>
        <v>24000</v>
      </c>
      <c r="AB27" s="41">
        <f t="shared" si="13"/>
        <v>24000</v>
      </c>
      <c r="AC27" s="41">
        <f t="shared" si="13"/>
        <v>24000</v>
      </c>
      <c r="AD27" s="41">
        <f t="shared" si="13"/>
        <v>24000</v>
      </c>
      <c r="AE27" s="41">
        <f t="shared" si="13"/>
        <v>24000</v>
      </c>
      <c r="AF27" s="41">
        <f t="shared" si="13"/>
        <v>24000</v>
      </c>
      <c r="AG27" s="41">
        <f t="shared" si="13"/>
        <v>24000</v>
      </c>
      <c r="AH27" s="41">
        <f t="shared" si="13"/>
        <v>24000</v>
      </c>
      <c r="AI27" s="41">
        <f t="shared" si="13"/>
        <v>24000</v>
      </c>
      <c r="AJ27" s="41">
        <f t="shared" si="13"/>
        <v>24000</v>
      </c>
      <c r="AK27" s="41">
        <f t="shared" si="13"/>
        <v>24000</v>
      </c>
      <c r="AL27" s="41">
        <f t="shared" si="13"/>
        <v>0</v>
      </c>
      <c r="AM27" s="41">
        <f t="shared" si="13"/>
        <v>0</v>
      </c>
      <c r="AN27" s="41">
        <f t="shared" si="13"/>
        <v>0</v>
      </c>
      <c r="AO27" s="41">
        <f t="shared" si="13"/>
        <v>0</v>
      </c>
      <c r="AP27" s="41">
        <f t="shared" si="13"/>
        <v>0</v>
      </c>
      <c r="AQ27" s="41">
        <f t="shared" si="13"/>
        <v>0</v>
      </c>
      <c r="AR27" s="41">
        <f t="shared" si="13"/>
        <v>0</v>
      </c>
      <c r="AS27" s="41">
        <f t="shared" si="13"/>
        <v>0</v>
      </c>
      <c r="AT27" s="41">
        <f t="shared" si="13"/>
        <v>0</v>
      </c>
      <c r="AU27" s="41">
        <f t="shared" si="13"/>
        <v>0</v>
      </c>
      <c r="AV27" s="41">
        <f t="shared" si="13"/>
        <v>0</v>
      </c>
      <c r="AW27" s="41">
        <f t="shared" si="13"/>
        <v>0</v>
      </c>
      <c r="AX27" s="41">
        <f t="shared" si="13"/>
        <v>0</v>
      </c>
      <c r="AY27" s="41">
        <f t="shared" si="13"/>
        <v>0</v>
      </c>
      <c r="AZ27" s="41">
        <f t="shared" si="13"/>
        <v>0</v>
      </c>
      <c r="BA27" s="41">
        <f t="shared" si="13"/>
        <v>0</v>
      </c>
      <c r="BB27" s="41">
        <f t="shared" si="13"/>
        <v>0</v>
      </c>
      <c r="BC27" s="41">
        <f t="shared" si="13"/>
        <v>0</v>
      </c>
      <c r="BD27" s="41">
        <f t="shared" si="13"/>
        <v>0</v>
      </c>
      <c r="BE27" s="41">
        <f t="shared" si="13"/>
        <v>0</v>
      </c>
      <c r="BF27" s="41">
        <f t="shared" si="13"/>
        <v>0</v>
      </c>
      <c r="BG27" s="41">
        <f t="shared" si="13"/>
        <v>0</v>
      </c>
      <c r="BH27" s="41">
        <f t="shared" si="13"/>
        <v>0</v>
      </c>
      <c r="BI27" s="41">
        <f t="shared" si="13"/>
        <v>0</v>
      </c>
      <c r="BJ27" s="41">
        <f t="shared" si="13"/>
        <v>0</v>
      </c>
      <c r="BK27" s="41">
        <f t="shared" si="13"/>
        <v>0</v>
      </c>
      <c r="BL27" s="41">
        <f t="shared" si="13"/>
        <v>0</v>
      </c>
      <c r="BM27" s="41">
        <f t="shared" si="13"/>
        <v>0</v>
      </c>
      <c r="BN27" s="41">
        <f t="shared" si="13"/>
        <v>0</v>
      </c>
      <c r="BO27" s="41">
        <f t="shared" si="13"/>
        <v>0</v>
      </c>
      <c r="BP27" s="41">
        <f t="shared" si="13"/>
        <v>0</v>
      </c>
      <c r="BQ27" s="41">
        <f t="shared" si="13"/>
        <v>0</v>
      </c>
      <c r="BR27" s="41">
        <f t="shared" si="13"/>
        <v>0</v>
      </c>
      <c r="BS27" s="41">
        <f t="shared" si="13"/>
        <v>0</v>
      </c>
      <c r="BT27" s="41">
        <f t="shared" si="13"/>
        <v>0</v>
      </c>
      <c r="BU27" s="41">
        <f t="shared" ref="BU27:BY27" si="14">$F21*BU19</f>
        <v>0</v>
      </c>
      <c r="BV27" s="41">
        <f t="shared" si="14"/>
        <v>0</v>
      </c>
      <c r="BW27" s="41">
        <f t="shared" si="14"/>
        <v>0</v>
      </c>
      <c r="BX27" s="41">
        <f t="shared" si="14"/>
        <v>0</v>
      </c>
      <c r="BY27" s="28">
        <f t="shared" si="14"/>
        <v>0</v>
      </c>
    </row>
    <row r="28" spans="2:77" ht="13.5" customHeight="1">
      <c r="E28" s="36" t="s">
        <v>163</v>
      </c>
      <c r="F28" s="42"/>
      <c r="G28" s="42"/>
      <c r="H28" s="42">
        <f>H27*((12-$F22)/12)</f>
        <v>22000</v>
      </c>
      <c r="I28" s="42">
        <f t="shared" ref="I28:BT28" si="15">I27*((12-$F22)/12)</f>
        <v>22000</v>
      </c>
      <c r="J28" s="42">
        <f t="shared" si="15"/>
        <v>22000</v>
      </c>
      <c r="K28" s="42">
        <f t="shared" si="15"/>
        <v>22000</v>
      </c>
      <c r="L28" s="42">
        <f t="shared" si="15"/>
        <v>22000</v>
      </c>
      <c r="M28" s="42">
        <f t="shared" si="15"/>
        <v>22000</v>
      </c>
      <c r="N28" s="42">
        <f t="shared" si="15"/>
        <v>22000</v>
      </c>
      <c r="O28" s="42">
        <f t="shared" si="15"/>
        <v>22000</v>
      </c>
      <c r="P28" s="42">
        <f t="shared" si="15"/>
        <v>22000</v>
      </c>
      <c r="Q28" s="42">
        <f t="shared" si="15"/>
        <v>22000</v>
      </c>
      <c r="R28" s="42">
        <f t="shared" si="15"/>
        <v>22000</v>
      </c>
      <c r="S28" s="42">
        <f t="shared" si="15"/>
        <v>22000</v>
      </c>
      <c r="T28" s="42">
        <f t="shared" si="15"/>
        <v>22000</v>
      </c>
      <c r="U28" s="42">
        <f t="shared" si="15"/>
        <v>22000</v>
      </c>
      <c r="V28" s="42">
        <f t="shared" si="15"/>
        <v>22000</v>
      </c>
      <c r="W28" s="42">
        <f t="shared" si="15"/>
        <v>22000</v>
      </c>
      <c r="X28" s="42">
        <f t="shared" si="15"/>
        <v>22000</v>
      </c>
      <c r="Y28" s="42">
        <f t="shared" si="15"/>
        <v>22000</v>
      </c>
      <c r="Z28" s="42">
        <f t="shared" si="15"/>
        <v>22000</v>
      </c>
      <c r="AA28" s="42">
        <f t="shared" si="15"/>
        <v>22000</v>
      </c>
      <c r="AB28" s="42">
        <f t="shared" si="15"/>
        <v>22000</v>
      </c>
      <c r="AC28" s="42">
        <f t="shared" si="15"/>
        <v>22000</v>
      </c>
      <c r="AD28" s="42">
        <f t="shared" si="15"/>
        <v>22000</v>
      </c>
      <c r="AE28" s="42">
        <f t="shared" si="15"/>
        <v>22000</v>
      </c>
      <c r="AF28" s="42">
        <f t="shared" si="15"/>
        <v>22000</v>
      </c>
      <c r="AG28" s="42">
        <f t="shared" si="15"/>
        <v>22000</v>
      </c>
      <c r="AH28" s="42">
        <f t="shared" si="15"/>
        <v>22000</v>
      </c>
      <c r="AI28" s="42">
        <f t="shared" si="15"/>
        <v>22000</v>
      </c>
      <c r="AJ28" s="42">
        <f t="shared" si="15"/>
        <v>22000</v>
      </c>
      <c r="AK28" s="42">
        <f t="shared" si="15"/>
        <v>22000</v>
      </c>
      <c r="AL28" s="42">
        <f t="shared" si="15"/>
        <v>0</v>
      </c>
      <c r="AM28" s="42">
        <f t="shared" si="15"/>
        <v>0</v>
      </c>
      <c r="AN28" s="42">
        <f t="shared" si="15"/>
        <v>0</v>
      </c>
      <c r="AO28" s="42">
        <f t="shared" si="15"/>
        <v>0</v>
      </c>
      <c r="AP28" s="42">
        <f t="shared" si="15"/>
        <v>0</v>
      </c>
      <c r="AQ28" s="42">
        <f t="shared" si="15"/>
        <v>0</v>
      </c>
      <c r="AR28" s="42">
        <f t="shared" si="15"/>
        <v>0</v>
      </c>
      <c r="AS28" s="42">
        <f t="shared" si="15"/>
        <v>0</v>
      </c>
      <c r="AT28" s="42">
        <f t="shared" si="15"/>
        <v>0</v>
      </c>
      <c r="AU28" s="42">
        <f t="shared" si="15"/>
        <v>0</v>
      </c>
      <c r="AV28" s="42">
        <f t="shared" si="15"/>
        <v>0</v>
      </c>
      <c r="AW28" s="42">
        <f t="shared" si="15"/>
        <v>0</v>
      </c>
      <c r="AX28" s="42">
        <f t="shared" si="15"/>
        <v>0</v>
      </c>
      <c r="AY28" s="42">
        <f t="shared" si="15"/>
        <v>0</v>
      </c>
      <c r="AZ28" s="42">
        <f t="shared" si="15"/>
        <v>0</v>
      </c>
      <c r="BA28" s="42">
        <f t="shared" si="15"/>
        <v>0</v>
      </c>
      <c r="BB28" s="42">
        <f t="shared" si="15"/>
        <v>0</v>
      </c>
      <c r="BC28" s="42">
        <f t="shared" si="15"/>
        <v>0</v>
      </c>
      <c r="BD28" s="42">
        <f t="shared" si="15"/>
        <v>0</v>
      </c>
      <c r="BE28" s="42">
        <f t="shared" si="15"/>
        <v>0</v>
      </c>
      <c r="BF28" s="42">
        <f t="shared" si="15"/>
        <v>0</v>
      </c>
      <c r="BG28" s="42">
        <f t="shared" si="15"/>
        <v>0</v>
      </c>
      <c r="BH28" s="42">
        <f t="shared" si="15"/>
        <v>0</v>
      </c>
      <c r="BI28" s="42">
        <f t="shared" si="15"/>
        <v>0</v>
      </c>
      <c r="BJ28" s="42">
        <f t="shared" si="15"/>
        <v>0</v>
      </c>
      <c r="BK28" s="42">
        <f t="shared" si="15"/>
        <v>0</v>
      </c>
      <c r="BL28" s="42">
        <f t="shared" si="15"/>
        <v>0</v>
      </c>
      <c r="BM28" s="42">
        <f t="shared" si="15"/>
        <v>0</v>
      </c>
      <c r="BN28" s="42">
        <f t="shared" si="15"/>
        <v>0</v>
      </c>
      <c r="BO28" s="42">
        <f t="shared" si="15"/>
        <v>0</v>
      </c>
      <c r="BP28" s="42">
        <f t="shared" si="15"/>
        <v>0</v>
      </c>
      <c r="BQ28" s="42">
        <f t="shared" si="15"/>
        <v>0</v>
      </c>
      <c r="BR28" s="42">
        <f t="shared" si="15"/>
        <v>0</v>
      </c>
      <c r="BS28" s="42">
        <f t="shared" si="15"/>
        <v>0</v>
      </c>
      <c r="BT28" s="42">
        <f t="shared" si="15"/>
        <v>0</v>
      </c>
      <c r="BU28" s="42">
        <f t="shared" ref="BU28:BY28" si="16">BU27*((12-$F22)/12)</f>
        <v>0</v>
      </c>
      <c r="BV28" s="42">
        <f t="shared" si="16"/>
        <v>0</v>
      </c>
      <c r="BW28" s="42">
        <f t="shared" si="16"/>
        <v>0</v>
      </c>
      <c r="BX28" s="42">
        <f t="shared" si="16"/>
        <v>0</v>
      </c>
      <c r="BY28" s="34">
        <f t="shared" si="16"/>
        <v>0</v>
      </c>
    </row>
    <row r="29" spans="2:77" ht="13.5" customHeight="1">
      <c r="D29" s="101" t="s">
        <v>164</v>
      </c>
      <c r="E29" s="101"/>
      <c r="F29" s="101"/>
      <c r="G29" s="101"/>
      <c r="H29" s="101">
        <f t="shared" ref="H29:AM29" si="17">H28*$F23/unit</f>
        <v>37.113999999999997</v>
      </c>
      <c r="I29" s="101">
        <f t="shared" si="17"/>
        <v>37.113999999999997</v>
      </c>
      <c r="J29" s="101">
        <f t="shared" si="17"/>
        <v>37.113999999999997</v>
      </c>
      <c r="K29" s="101">
        <f t="shared" si="17"/>
        <v>37.113999999999997</v>
      </c>
      <c r="L29" s="101">
        <f t="shared" si="17"/>
        <v>37.113999999999997</v>
      </c>
      <c r="M29" s="101">
        <f t="shared" si="17"/>
        <v>37.113999999999997</v>
      </c>
      <c r="N29" s="101">
        <f t="shared" si="17"/>
        <v>37.113999999999997</v>
      </c>
      <c r="O29" s="101">
        <f t="shared" si="17"/>
        <v>37.113999999999997</v>
      </c>
      <c r="P29" s="101">
        <f t="shared" si="17"/>
        <v>37.113999999999997</v>
      </c>
      <c r="Q29" s="101">
        <f t="shared" si="17"/>
        <v>37.113999999999997</v>
      </c>
      <c r="R29" s="101">
        <f t="shared" si="17"/>
        <v>37.113999999999997</v>
      </c>
      <c r="S29" s="101">
        <f t="shared" si="17"/>
        <v>37.113999999999997</v>
      </c>
      <c r="T29" s="101">
        <f t="shared" si="17"/>
        <v>37.113999999999997</v>
      </c>
      <c r="U29" s="101">
        <f t="shared" si="17"/>
        <v>37.113999999999997</v>
      </c>
      <c r="V29" s="101">
        <f t="shared" si="17"/>
        <v>37.113999999999997</v>
      </c>
      <c r="W29" s="101">
        <f t="shared" si="17"/>
        <v>37.113999999999997</v>
      </c>
      <c r="X29" s="101">
        <f t="shared" si="17"/>
        <v>37.113999999999997</v>
      </c>
      <c r="Y29" s="101">
        <f t="shared" si="17"/>
        <v>37.113999999999997</v>
      </c>
      <c r="Z29" s="101">
        <f t="shared" si="17"/>
        <v>37.113999999999997</v>
      </c>
      <c r="AA29" s="101">
        <f t="shared" si="17"/>
        <v>37.113999999999997</v>
      </c>
      <c r="AB29" s="101">
        <f t="shared" si="17"/>
        <v>37.113999999999997</v>
      </c>
      <c r="AC29" s="101">
        <f t="shared" si="17"/>
        <v>37.113999999999997</v>
      </c>
      <c r="AD29" s="101">
        <f t="shared" si="17"/>
        <v>37.113999999999997</v>
      </c>
      <c r="AE29" s="101">
        <f t="shared" si="17"/>
        <v>37.113999999999997</v>
      </c>
      <c r="AF29" s="101">
        <f t="shared" si="17"/>
        <v>37.113999999999997</v>
      </c>
      <c r="AG29" s="101">
        <f t="shared" si="17"/>
        <v>37.113999999999997</v>
      </c>
      <c r="AH29" s="101">
        <f t="shared" si="17"/>
        <v>37.113999999999997</v>
      </c>
      <c r="AI29" s="101">
        <f t="shared" si="17"/>
        <v>37.113999999999997</v>
      </c>
      <c r="AJ29" s="101">
        <f t="shared" si="17"/>
        <v>37.113999999999997</v>
      </c>
      <c r="AK29" s="101">
        <f t="shared" si="17"/>
        <v>37.113999999999997</v>
      </c>
      <c r="AL29" s="101">
        <f t="shared" si="17"/>
        <v>0</v>
      </c>
      <c r="AM29" s="101">
        <f t="shared" si="17"/>
        <v>0</v>
      </c>
      <c r="AN29" s="101">
        <f t="shared" ref="AN29:BS29" si="18">AN28*$F23/unit</f>
        <v>0</v>
      </c>
      <c r="AO29" s="101">
        <f t="shared" si="18"/>
        <v>0</v>
      </c>
      <c r="AP29" s="101">
        <f t="shared" si="18"/>
        <v>0</v>
      </c>
      <c r="AQ29" s="101">
        <f t="shared" si="18"/>
        <v>0</v>
      </c>
      <c r="AR29" s="101">
        <f t="shared" si="18"/>
        <v>0</v>
      </c>
      <c r="AS29" s="101">
        <f t="shared" si="18"/>
        <v>0</v>
      </c>
      <c r="AT29" s="101">
        <f t="shared" si="18"/>
        <v>0</v>
      </c>
      <c r="AU29" s="101">
        <f t="shared" si="18"/>
        <v>0</v>
      </c>
      <c r="AV29" s="101">
        <f t="shared" si="18"/>
        <v>0</v>
      </c>
      <c r="AW29" s="101">
        <f t="shared" si="18"/>
        <v>0</v>
      </c>
      <c r="AX29" s="101">
        <f t="shared" si="18"/>
        <v>0</v>
      </c>
      <c r="AY29" s="101">
        <f t="shared" si="18"/>
        <v>0</v>
      </c>
      <c r="AZ29" s="101">
        <f t="shared" si="18"/>
        <v>0</v>
      </c>
      <c r="BA29" s="101">
        <f t="shared" si="18"/>
        <v>0</v>
      </c>
      <c r="BB29" s="101">
        <f t="shared" si="18"/>
        <v>0</v>
      </c>
      <c r="BC29" s="101">
        <f t="shared" si="18"/>
        <v>0</v>
      </c>
      <c r="BD29" s="101">
        <f t="shared" si="18"/>
        <v>0</v>
      </c>
      <c r="BE29" s="101">
        <f t="shared" si="18"/>
        <v>0</v>
      </c>
      <c r="BF29" s="101">
        <f t="shared" si="18"/>
        <v>0</v>
      </c>
      <c r="BG29" s="101">
        <f t="shared" si="18"/>
        <v>0</v>
      </c>
      <c r="BH29" s="101">
        <f t="shared" si="18"/>
        <v>0</v>
      </c>
      <c r="BI29" s="101">
        <f t="shared" si="18"/>
        <v>0</v>
      </c>
      <c r="BJ29" s="101">
        <f t="shared" si="18"/>
        <v>0</v>
      </c>
      <c r="BK29" s="101">
        <f t="shared" si="18"/>
        <v>0</v>
      </c>
      <c r="BL29" s="101">
        <f t="shared" si="18"/>
        <v>0</v>
      </c>
      <c r="BM29" s="101">
        <f t="shared" si="18"/>
        <v>0</v>
      </c>
      <c r="BN29" s="101">
        <f t="shared" si="18"/>
        <v>0</v>
      </c>
      <c r="BO29" s="101">
        <f t="shared" si="18"/>
        <v>0</v>
      </c>
      <c r="BP29" s="101">
        <f t="shared" si="18"/>
        <v>0</v>
      </c>
      <c r="BQ29" s="101">
        <f t="shared" si="18"/>
        <v>0</v>
      </c>
      <c r="BR29" s="101">
        <f t="shared" si="18"/>
        <v>0</v>
      </c>
      <c r="BS29" s="101">
        <f t="shared" si="18"/>
        <v>0</v>
      </c>
      <c r="BT29" s="101">
        <f t="shared" ref="BT29:BY29" si="19">BT28*$F23/unit</f>
        <v>0</v>
      </c>
      <c r="BU29" s="101">
        <f t="shared" si="19"/>
        <v>0</v>
      </c>
      <c r="BV29" s="101">
        <f t="shared" si="19"/>
        <v>0</v>
      </c>
      <c r="BW29" s="101">
        <f t="shared" si="19"/>
        <v>0</v>
      </c>
      <c r="BX29" s="101">
        <f t="shared" si="19"/>
        <v>0</v>
      </c>
      <c r="BY29" s="101">
        <f t="shared" si="19"/>
        <v>0</v>
      </c>
    </row>
    <row r="31" spans="2:77" ht="13.5" customHeight="1">
      <c r="D31" s="1" t="s">
        <v>165</v>
      </c>
    </row>
    <row r="32" spans="2:77" ht="13.5" customHeight="1">
      <c r="E32" s="25" t="s">
        <v>166</v>
      </c>
      <c r="F32" s="51"/>
      <c r="G32" s="51"/>
      <c r="H32" s="51">
        <f>$F24*H19</f>
        <v>2000</v>
      </c>
      <c r="I32" s="51">
        <f t="shared" ref="I32:BT32" si="20">$F24*I19</f>
        <v>2000</v>
      </c>
      <c r="J32" s="51">
        <f t="shared" si="20"/>
        <v>2000</v>
      </c>
      <c r="K32" s="51">
        <f t="shared" si="20"/>
        <v>2000</v>
      </c>
      <c r="L32" s="51">
        <f t="shared" si="20"/>
        <v>2000</v>
      </c>
      <c r="M32" s="51">
        <f t="shared" si="20"/>
        <v>2000</v>
      </c>
      <c r="N32" s="51">
        <f t="shared" si="20"/>
        <v>2000</v>
      </c>
      <c r="O32" s="51">
        <f t="shared" si="20"/>
        <v>2000</v>
      </c>
      <c r="P32" s="51">
        <f t="shared" si="20"/>
        <v>2000</v>
      </c>
      <c r="Q32" s="51">
        <f t="shared" si="20"/>
        <v>2000</v>
      </c>
      <c r="R32" s="51">
        <f t="shared" si="20"/>
        <v>2000</v>
      </c>
      <c r="S32" s="51">
        <f t="shared" si="20"/>
        <v>2000</v>
      </c>
      <c r="T32" s="51">
        <f t="shared" si="20"/>
        <v>2000</v>
      </c>
      <c r="U32" s="51">
        <f t="shared" si="20"/>
        <v>2000</v>
      </c>
      <c r="V32" s="51">
        <f t="shared" si="20"/>
        <v>2000</v>
      </c>
      <c r="W32" s="51">
        <f t="shared" si="20"/>
        <v>2000</v>
      </c>
      <c r="X32" s="51">
        <f t="shared" si="20"/>
        <v>2000</v>
      </c>
      <c r="Y32" s="51">
        <f t="shared" si="20"/>
        <v>2000</v>
      </c>
      <c r="Z32" s="51">
        <f t="shared" si="20"/>
        <v>2000</v>
      </c>
      <c r="AA32" s="51">
        <f t="shared" si="20"/>
        <v>2000</v>
      </c>
      <c r="AB32" s="51">
        <f t="shared" si="20"/>
        <v>2000</v>
      </c>
      <c r="AC32" s="51">
        <f t="shared" si="20"/>
        <v>2000</v>
      </c>
      <c r="AD32" s="51">
        <f t="shared" si="20"/>
        <v>2000</v>
      </c>
      <c r="AE32" s="51">
        <f t="shared" si="20"/>
        <v>2000</v>
      </c>
      <c r="AF32" s="51">
        <f t="shared" si="20"/>
        <v>2000</v>
      </c>
      <c r="AG32" s="51">
        <f t="shared" si="20"/>
        <v>2000</v>
      </c>
      <c r="AH32" s="51">
        <f t="shared" si="20"/>
        <v>2000</v>
      </c>
      <c r="AI32" s="51">
        <f t="shared" si="20"/>
        <v>2000</v>
      </c>
      <c r="AJ32" s="51">
        <f t="shared" si="20"/>
        <v>2000</v>
      </c>
      <c r="AK32" s="51">
        <f t="shared" si="20"/>
        <v>2000</v>
      </c>
      <c r="AL32" s="51">
        <f t="shared" si="20"/>
        <v>0</v>
      </c>
      <c r="AM32" s="51">
        <f t="shared" si="20"/>
        <v>0</v>
      </c>
      <c r="AN32" s="51">
        <f t="shared" si="20"/>
        <v>0</v>
      </c>
      <c r="AO32" s="51">
        <f t="shared" si="20"/>
        <v>0</v>
      </c>
      <c r="AP32" s="51">
        <f t="shared" si="20"/>
        <v>0</v>
      </c>
      <c r="AQ32" s="51">
        <f t="shared" si="20"/>
        <v>0</v>
      </c>
      <c r="AR32" s="51">
        <f t="shared" si="20"/>
        <v>0</v>
      </c>
      <c r="AS32" s="51">
        <f t="shared" si="20"/>
        <v>0</v>
      </c>
      <c r="AT32" s="51">
        <f t="shared" si="20"/>
        <v>0</v>
      </c>
      <c r="AU32" s="51">
        <f t="shared" si="20"/>
        <v>0</v>
      </c>
      <c r="AV32" s="51">
        <f t="shared" si="20"/>
        <v>0</v>
      </c>
      <c r="AW32" s="51">
        <f t="shared" si="20"/>
        <v>0</v>
      </c>
      <c r="AX32" s="51">
        <f t="shared" si="20"/>
        <v>0</v>
      </c>
      <c r="AY32" s="51">
        <f t="shared" si="20"/>
        <v>0</v>
      </c>
      <c r="AZ32" s="51">
        <f t="shared" si="20"/>
        <v>0</v>
      </c>
      <c r="BA32" s="51">
        <f t="shared" si="20"/>
        <v>0</v>
      </c>
      <c r="BB32" s="51">
        <f t="shared" si="20"/>
        <v>0</v>
      </c>
      <c r="BC32" s="51">
        <f t="shared" si="20"/>
        <v>0</v>
      </c>
      <c r="BD32" s="51">
        <f t="shared" si="20"/>
        <v>0</v>
      </c>
      <c r="BE32" s="51">
        <f t="shared" si="20"/>
        <v>0</v>
      </c>
      <c r="BF32" s="51">
        <f t="shared" si="20"/>
        <v>0</v>
      </c>
      <c r="BG32" s="51">
        <f t="shared" si="20"/>
        <v>0</v>
      </c>
      <c r="BH32" s="51">
        <f t="shared" si="20"/>
        <v>0</v>
      </c>
      <c r="BI32" s="51">
        <f t="shared" si="20"/>
        <v>0</v>
      </c>
      <c r="BJ32" s="51">
        <f t="shared" si="20"/>
        <v>0</v>
      </c>
      <c r="BK32" s="51">
        <f t="shared" si="20"/>
        <v>0</v>
      </c>
      <c r="BL32" s="51">
        <f t="shared" si="20"/>
        <v>0</v>
      </c>
      <c r="BM32" s="51">
        <f t="shared" si="20"/>
        <v>0</v>
      </c>
      <c r="BN32" s="51">
        <f t="shared" si="20"/>
        <v>0</v>
      </c>
      <c r="BO32" s="51">
        <f t="shared" si="20"/>
        <v>0</v>
      </c>
      <c r="BP32" s="51">
        <f t="shared" si="20"/>
        <v>0</v>
      </c>
      <c r="BQ32" s="51">
        <f t="shared" si="20"/>
        <v>0</v>
      </c>
      <c r="BR32" s="51">
        <f t="shared" si="20"/>
        <v>0</v>
      </c>
      <c r="BS32" s="51">
        <f t="shared" si="20"/>
        <v>0</v>
      </c>
      <c r="BT32" s="51">
        <f t="shared" si="20"/>
        <v>0</v>
      </c>
      <c r="BU32" s="51">
        <f t="shared" ref="BU32:BY32" si="21">$F24*BU19</f>
        <v>0</v>
      </c>
      <c r="BV32" s="51">
        <f t="shared" si="21"/>
        <v>0</v>
      </c>
      <c r="BW32" s="51">
        <f t="shared" si="21"/>
        <v>0</v>
      </c>
      <c r="BX32" s="51">
        <f t="shared" si="21"/>
        <v>0</v>
      </c>
      <c r="BY32" s="23">
        <f t="shared" si="21"/>
        <v>0</v>
      </c>
    </row>
    <row r="33" spans="3:77" ht="13.5" customHeight="1">
      <c r="D33" s="101" t="s">
        <v>167</v>
      </c>
      <c r="E33" s="101"/>
      <c r="F33" s="101"/>
      <c r="G33" s="101"/>
      <c r="H33" s="101">
        <f t="shared" ref="H33:AM33" si="22">H32*$F23/unit</f>
        <v>3.3740000000000001</v>
      </c>
      <c r="I33" s="101">
        <f t="shared" si="22"/>
        <v>3.3740000000000001</v>
      </c>
      <c r="J33" s="101">
        <f t="shared" si="22"/>
        <v>3.3740000000000001</v>
      </c>
      <c r="K33" s="101">
        <f t="shared" si="22"/>
        <v>3.3740000000000001</v>
      </c>
      <c r="L33" s="101">
        <f t="shared" si="22"/>
        <v>3.3740000000000001</v>
      </c>
      <c r="M33" s="101">
        <f t="shared" si="22"/>
        <v>3.3740000000000001</v>
      </c>
      <c r="N33" s="101">
        <f t="shared" si="22"/>
        <v>3.3740000000000001</v>
      </c>
      <c r="O33" s="101">
        <f t="shared" si="22"/>
        <v>3.3740000000000001</v>
      </c>
      <c r="P33" s="101">
        <f t="shared" si="22"/>
        <v>3.3740000000000001</v>
      </c>
      <c r="Q33" s="101">
        <f t="shared" si="22"/>
        <v>3.3740000000000001</v>
      </c>
      <c r="R33" s="101">
        <f t="shared" si="22"/>
        <v>3.3740000000000001</v>
      </c>
      <c r="S33" s="101">
        <f t="shared" si="22"/>
        <v>3.3740000000000001</v>
      </c>
      <c r="T33" s="101">
        <f t="shared" si="22"/>
        <v>3.3740000000000001</v>
      </c>
      <c r="U33" s="101">
        <f t="shared" si="22"/>
        <v>3.3740000000000001</v>
      </c>
      <c r="V33" s="101">
        <f t="shared" si="22"/>
        <v>3.3740000000000001</v>
      </c>
      <c r="W33" s="101">
        <f t="shared" si="22"/>
        <v>3.3740000000000001</v>
      </c>
      <c r="X33" s="101">
        <f t="shared" si="22"/>
        <v>3.3740000000000001</v>
      </c>
      <c r="Y33" s="101">
        <f t="shared" si="22"/>
        <v>3.3740000000000001</v>
      </c>
      <c r="Z33" s="101">
        <f t="shared" si="22"/>
        <v>3.3740000000000001</v>
      </c>
      <c r="AA33" s="101">
        <f t="shared" si="22"/>
        <v>3.3740000000000001</v>
      </c>
      <c r="AB33" s="101">
        <f t="shared" si="22"/>
        <v>3.3740000000000001</v>
      </c>
      <c r="AC33" s="101">
        <f t="shared" si="22"/>
        <v>3.3740000000000001</v>
      </c>
      <c r="AD33" s="101">
        <f t="shared" si="22"/>
        <v>3.3740000000000001</v>
      </c>
      <c r="AE33" s="101">
        <f t="shared" si="22"/>
        <v>3.3740000000000001</v>
      </c>
      <c r="AF33" s="101">
        <f t="shared" si="22"/>
        <v>3.3740000000000001</v>
      </c>
      <c r="AG33" s="101">
        <f t="shared" si="22"/>
        <v>3.3740000000000001</v>
      </c>
      <c r="AH33" s="101">
        <f t="shared" si="22"/>
        <v>3.3740000000000001</v>
      </c>
      <c r="AI33" s="101">
        <f t="shared" si="22"/>
        <v>3.3740000000000001</v>
      </c>
      <c r="AJ33" s="101">
        <f t="shared" si="22"/>
        <v>3.3740000000000001</v>
      </c>
      <c r="AK33" s="101">
        <f t="shared" si="22"/>
        <v>3.3740000000000001</v>
      </c>
      <c r="AL33" s="101">
        <f t="shared" si="22"/>
        <v>0</v>
      </c>
      <c r="AM33" s="101">
        <f t="shared" si="22"/>
        <v>0</v>
      </c>
      <c r="AN33" s="101">
        <f t="shared" ref="AN33:BS33" si="23">AN32*$F23/unit</f>
        <v>0</v>
      </c>
      <c r="AO33" s="101">
        <f t="shared" si="23"/>
        <v>0</v>
      </c>
      <c r="AP33" s="101">
        <f t="shared" si="23"/>
        <v>0</v>
      </c>
      <c r="AQ33" s="101">
        <f t="shared" si="23"/>
        <v>0</v>
      </c>
      <c r="AR33" s="101">
        <f t="shared" si="23"/>
        <v>0</v>
      </c>
      <c r="AS33" s="101">
        <f t="shared" si="23"/>
        <v>0</v>
      </c>
      <c r="AT33" s="101">
        <f t="shared" si="23"/>
        <v>0</v>
      </c>
      <c r="AU33" s="101">
        <f t="shared" si="23"/>
        <v>0</v>
      </c>
      <c r="AV33" s="101">
        <f t="shared" si="23"/>
        <v>0</v>
      </c>
      <c r="AW33" s="101">
        <f t="shared" si="23"/>
        <v>0</v>
      </c>
      <c r="AX33" s="101">
        <f t="shared" si="23"/>
        <v>0</v>
      </c>
      <c r="AY33" s="101">
        <f t="shared" si="23"/>
        <v>0</v>
      </c>
      <c r="AZ33" s="101">
        <f t="shared" si="23"/>
        <v>0</v>
      </c>
      <c r="BA33" s="101">
        <f t="shared" si="23"/>
        <v>0</v>
      </c>
      <c r="BB33" s="101">
        <f t="shared" si="23"/>
        <v>0</v>
      </c>
      <c r="BC33" s="101">
        <f t="shared" si="23"/>
        <v>0</v>
      </c>
      <c r="BD33" s="101">
        <f t="shared" si="23"/>
        <v>0</v>
      </c>
      <c r="BE33" s="101">
        <f t="shared" si="23"/>
        <v>0</v>
      </c>
      <c r="BF33" s="101">
        <f t="shared" si="23"/>
        <v>0</v>
      </c>
      <c r="BG33" s="101">
        <f t="shared" si="23"/>
        <v>0</v>
      </c>
      <c r="BH33" s="101">
        <f t="shared" si="23"/>
        <v>0</v>
      </c>
      <c r="BI33" s="101">
        <f t="shared" si="23"/>
        <v>0</v>
      </c>
      <c r="BJ33" s="101">
        <f t="shared" si="23"/>
        <v>0</v>
      </c>
      <c r="BK33" s="101">
        <f t="shared" si="23"/>
        <v>0</v>
      </c>
      <c r="BL33" s="101">
        <f t="shared" si="23"/>
        <v>0</v>
      </c>
      <c r="BM33" s="101">
        <f t="shared" si="23"/>
        <v>0</v>
      </c>
      <c r="BN33" s="101">
        <f t="shared" si="23"/>
        <v>0</v>
      </c>
      <c r="BO33" s="101">
        <f t="shared" si="23"/>
        <v>0</v>
      </c>
      <c r="BP33" s="101">
        <f t="shared" si="23"/>
        <v>0</v>
      </c>
      <c r="BQ33" s="101">
        <f t="shared" si="23"/>
        <v>0</v>
      </c>
      <c r="BR33" s="101">
        <f t="shared" si="23"/>
        <v>0</v>
      </c>
      <c r="BS33" s="101">
        <f t="shared" si="23"/>
        <v>0</v>
      </c>
      <c r="BT33" s="101">
        <f t="shared" ref="BT33:BY33" si="24">BT32*$F23/unit</f>
        <v>0</v>
      </c>
      <c r="BU33" s="101">
        <f t="shared" si="24"/>
        <v>0</v>
      </c>
      <c r="BV33" s="101">
        <f t="shared" si="24"/>
        <v>0</v>
      </c>
      <c r="BW33" s="101">
        <f t="shared" si="24"/>
        <v>0</v>
      </c>
      <c r="BX33" s="101">
        <f t="shared" si="24"/>
        <v>0</v>
      </c>
      <c r="BY33" s="101">
        <f t="shared" si="24"/>
        <v>0</v>
      </c>
    </row>
    <row r="35" spans="3:77" ht="13.5" customHeight="1">
      <c r="D35" s="1" t="s">
        <v>168</v>
      </c>
    </row>
    <row r="36" spans="3:77" ht="13.5" customHeight="1">
      <c r="E36" s="1" t="s">
        <v>169</v>
      </c>
      <c r="H36" s="1">
        <f>F25</f>
        <v>242.928</v>
      </c>
      <c r="I36" s="1">
        <f>H39</f>
        <v>242.928</v>
      </c>
      <c r="J36" s="1">
        <f t="shared" ref="J36:BU36" si="25">I39</f>
        <v>242.928</v>
      </c>
      <c r="K36" s="1">
        <f t="shared" si="25"/>
        <v>242.928</v>
      </c>
      <c r="L36" s="1">
        <f t="shared" si="25"/>
        <v>242.928</v>
      </c>
      <c r="M36" s="1">
        <f t="shared" si="25"/>
        <v>242.928</v>
      </c>
      <c r="N36" s="1">
        <f t="shared" si="25"/>
        <v>242.928</v>
      </c>
      <c r="O36" s="1">
        <f t="shared" si="25"/>
        <v>242.928</v>
      </c>
      <c r="P36" s="1">
        <f t="shared" si="25"/>
        <v>242.928</v>
      </c>
      <c r="Q36" s="1">
        <f t="shared" si="25"/>
        <v>242.928</v>
      </c>
      <c r="R36" s="1">
        <f t="shared" si="25"/>
        <v>242.928</v>
      </c>
      <c r="S36" s="1">
        <f t="shared" si="25"/>
        <v>242.928</v>
      </c>
      <c r="T36" s="1">
        <f t="shared" si="25"/>
        <v>242.928</v>
      </c>
      <c r="U36" s="1">
        <f t="shared" si="25"/>
        <v>242.928</v>
      </c>
      <c r="V36" s="1">
        <f t="shared" si="25"/>
        <v>242.928</v>
      </c>
      <c r="W36" s="1">
        <f t="shared" si="25"/>
        <v>242.928</v>
      </c>
      <c r="X36" s="1">
        <f t="shared" si="25"/>
        <v>242.928</v>
      </c>
      <c r="Y36" s="1">
        <f t="shared" si="25"/>
        <v>242.928</v>
      </c>
      <c r="Z36" s="1">
        <f t="shared" si="25"/>
        <v>242.928</v>
      </c>
      <c r="AA36" s="1">
        <f t="shared" si="25"/>
        <v>242.928</v>
      </c>
      <c r="AB36" s="1">
        <f t="shared" si="25"/>
        <v>242.928</v>
      </c>
      <c r="AC36" s="1">
        <f t="shared" si="25"/>
        <v>242.928</v>
      </c>
      <c r="AD36" s="1">
        <f t="shared" si="25"/>
        <v>242.928</v>
      </c>
      <c r="AE36" s="1">
        <f t="shared" si="25"/>
        <v>242.928</v>
      </c>
      <c r="AF36" s="1">
        <f t="shared" si="25"/>
        <v>242.928</v>
      </c>
      <c r="AG36" s="1">
        <f t="shared" si="25"/>
        <v>242.928</v>
      </c>
      <c r="AH36" s="1">
        <f t="shared" si="25"/>
        <v>242.928</v>
      </c>
      <c r="AI36" s="1">
        <f t="shared" si="25"/>
        <v>242.928</v>
      </c>
      <c r="AJ36" s="1">
        <f t="shared" si="25"/>
        <v>242.928</v>
      </c>
      <c r="AK36" s="1">
        <f t="shared" si="25"/>
        <v>242.928</v>
      </c>
      <c r="AL36" s="1">
        <f t="shared" si="25"/>
        <v>0</v>
      </c>
      <c r="AM36" s="1">
        <f t="shared" si="25"/>
        <v>0</v>
      </c>
      <c r="AN36" s="1">
        <f t="shared" si="25"/>
        <v>0</v>
      </c>
      <c r="AO36" s="1">
        <f t="shared" si="25"/>
        <v>0</v>
      </c>
      <c r="AP36" s="1">
        <f t="shared" si="25"/>
        <v>0</v>
      </c>
      <c r="AQ36" s="1">
        <f t="shared" si="25"/>
        <v>0</v>
      </c>
      <c r="AR36" s="1">
        <f t="shared" si="25"/>
        <v>0</v>
      </c>
      <c r="AS36" s="1">
        <f t="shared" si="25"/>
        <v>0</v>
      </c>
      <c r="AT36" s="1">
        <f t="shared" si="25"/>
        <v>0</v>
      </c>
      <c r="AU36" s="1">
        <f t="shared" si="25"/>
        <v>0</v>
      </c>
      <c r="AV36" s="1">
        <f t="shared" si="25"/>
        <v>0</v>
      </c>
      <c r="AW36" s="1">
        <f t="shared" si="25"/>
        <v>0</v>
      </c>
      <c r="AX36" s="1">
        <f t="shared" si="25"/>
        <v>0</v>
      </c>
      <c r="AY36" s="1">
        <f t="shared" si="25"/>
        <v>0</v>
      </c>
      <c r="AZ36" s="1">
        <f t="shared" si="25"/>
        <v>0</v>
      </c>
      <c r="BA36" s="1">
        <f t="shared" si="25"/>
        <v>0</v>
      </c>
      <c r="BB36" s="1">
        <f t="shared" si="25"/>
        <v>0</v>
      </c>
      <c r="BC36" s="1">
        <f t="shared" si="25"/>
        <v>0</v>
      </c>
      <c r="BD36" s="1">
        <f t="shared" si="25"/>
        <v>0</v>
      </c>
      <c r="BE36" s="1">
        <f t="shared" si="25"/>
        <v>0</v>
      </c>
      <c r="BF36" s="1">
        <f t="shared" si="25"/>
        <v>0</v>
      </c>
      <c r="BG36" s="1">
        <f t="shared" si="25"/>
        <v>0</v>
      </c>
      <c r="BH36" s="1">
        <f t="shared" si="25"/>
        <v>0</v>
      </c>
      <c r="BI36" s="1">
        <f t="shared" si="25"/>
        <v>0</v>
      </c>
      <c r="BJ36" s="1">
        <f t="shared" si="25"/>
        <v>0</v>
      </c>
      <c r="BK36" s="1">
        <f t="shared" si="25"/>
        <v>0</v>
      </c>
      <c r="BL36" s="1">
        <f t="shared" si="25"/>
        <v>0</v>
      </c>
      <c r="BM36" s="1">
        <f t="shared" si="25"/>
        <v>0</v>
      </c>
      <c r="BN36" s="1">
        <f t="shared" si="25"/>
        <v>0</v>
      </c>
      <c r="BO36" s="1">
        <f t="shared" si="25"/>
        <v>0</v>
      </c>
      <c r="BP36" s="1">
        <f t="shared" si="25"/>
        <v>0</v>
      </c>
      <c r="BQ36" s="1">
        <f t="shared" si="25"/>
        <v>0</v>
      </c>
      <c r="BR36" s="1">
        <f t="shared" si="25"/>
        <v>0</v>
      </c>
      <c r="BS36" s="1">
        <f t="shared" si="25"/>
        <v>0</v>
      </c>
      <c r="BT36" s="1">
        <f t="shared" si="25"/>
        <v>0</v>
      </c>
      <c r="BU36" s="1">
        <f t="shared" si="25"/>
        <v>0</v>
      </c>
      <c r="BV36" s="1">
        <f t="shared" ref="BV36:BY36" si="26">BU39</f>
        <v>0</v>
      </c>
      <c r="BW36" s="1">
        <f t="shared" si="26"/>
        <v>0</v>
      </c>
      <c r="BX36" s="1">
        <f t="shared" si="26"/>
        <v>0</v>
      </c>
      <c r="BY36" s="1">
        <f t="shared" si="26"/>
        <v>0</v>
      </c>
    </row>
    <row r="37" spans="3:77" ht="13.5" customHeight="1">
      <c r="E37" s="1" t="s">
        <v>170</v>
      </c>
      <c r="H37" s="1">
        <v>0</v>
      </c>
      <c r="I37" s="1">
        <v>0</v>
      </c>
      <c r="J37" s="1">
        <v>0</v>
      </c>
      <c r="K37" s="1">
        <v>0</v>
      </c>
      <c r="L37" s="1">
        <v>0</v>
      </c>
      <c r="M37" s="1">
        <v>0</v>
      </c>
      <c r="N37" s="1">
        <v>0</v>
      </c>
      <c r="O37" s="1">
        <v>0</v>
      </c>
      <c r="P37" s="1">
        <v>0</v>
      </c>
      <c r="Q37" s="1">
        <v>0</v>
      </c>
      <c r="R37" s="1">
        <v>0</v>
      </c>
      <c r="S37" s="1">
        <v>0</v>
      </c>
      <c r="T37" s="1">
        <v>0</v>
      </c>
      <c r="U37" s="1">
        <v>0</v>
      </c>
      <c r="V37" s="1">
        <v>0</v>
      </c>
      <c r="W37" s="1">
        <v>0</v>
      </c>
      <c r="X37" s="1">
        <v>0</v>
      </c>
      <c r="Y37" s="1">
        <v>0</v>
      </c>
      <c r="Z37" s="1">
        <v>0</v>
      </c>
      <c r="AA37" s="1">
        <v>0</v>
      </c>
      <c r="AB37" s="1">
        <v>0</v>
      </c>
      <c r="AC37" s="1">
        <v>0</v>
      </c>
      <c r="AD37" s="1">
        <v>0</v>
      </c>
      <c r="AE37" s="1">
        <v>0</v>
      </c>
      <c r="AF37" s="1">
        <v>0</v>
      </c>
      <c r="AG37" s="1">
        <v>0</v>
      </c>
      <c r="AH37" s="1">
        <v>0</v>
      </c>
      <c r="AI37" s="1">
        <v>0</v>
      </c>
      <c r="AJ37" s="1">
        <v>0</v>
      </c>
      <c r="AK37" s="1">
        <v>0</v>
      </c>
      <c r="AL37" s="1">
        <v>0</v>
      </c>
      <c r="AM37" s="1">
        <v>0</v>
      </c>
      <c r="AN37" s="1">
        <v>0</v>
      </c>
      <c r="AO37" s="1">
        <v>0</v>
      </c>
      <c r="AP37" s="1">
        <v>0</v>
      </c>
      <c r="AQ37" s="1">
        <v>0</v>
      </c>
      <c r="AR37" s="1">
        <v>0</v>
      </c>
      <c r="AS37" s="1">
        <v>0</v>
      </c>
      <c r="AT37" s="1">
        <v>0</v>
      </c>
      <c r="AU37" s="1">
        <v>0</v>
      </c>
      <c r="AV37" s="1">
        <v>0</v>
      </c>
      <c r="AW37" s="1">
        <v>0</v>
      </c>
      <c r="AX37" s="1">
        <v>0</v>
      </c>
      <c r="AY37" s="1">
        <v>0</v>
      </c>
      <c r="AZ37" s="1">
        <v>0</v>
      </c>
      <c r="BA37" s="1">
        <v>0</v>
      </c>
      <c r="BB37" s="1">
        <v>0</v>
      </c>
      <c r="BC37" s="1">
        <v>0</v>
      </c>
      <c r="BD37" s="1">
        <v>0</v>
      </c>
      <c r="BE37" s="1">
        <v>0</v>
      </c>
      <c r="BF37" s="1">
        <v>0</v>
      </c>
      <c r="BG37" s="1">
        <v>0</v>
      </c>
      <c r="BH37" s="1">
        <v>0</v>
      </c>
      <c r="BI37" s="1">
        <v>0</v>
      </c>
      <c r="BJ37" s="1">
        <v>0</v>
      </c>
      <c r="BK37" s="1">
        <v>0</v>
      </c>
      <c r="BL37" s="1">
        <v>0</v>
      </c>
      <c r="BM37" s="1">
        <v>0</v>
      </c>
      <c r="BN37" s="1">
        <v>0</v>
      </c>
      <c r="BO37" s="1">
        <v>0</v>
      </c>
      <c r="BP37" s="1">
        <v>0</v>
      </c>
      <c r="BQ37" s="1">
        <v>0</v>
      </c>
      <c r="BR37" s="1">
        <v>0</v>
      </c>
      <c r="BS37" s="1">
        <v>0</v>
      </c>
      <c r="BT37" s="1">
        <v>0</v>
      </c>
      <c r="BU37" s="1">
        <v>0</v>
      </c>
      <c r="BV37" s="1">
        <v>0</v>
      </c>
      <c r="BW37" s="1">
        <v>0</v>
      </c>
      <c r="BX37" s="1">
        <v>0</v>
      </c>
      <c r="BY37" s="1">
        <v>0</v>
      </c>
    </row>
    <row r="38" spans="3:77" ht="13.5" customHeight="1">
      <c r="E38" s="1" t="s">
        <v>171</v>
      </c>
      <c r="H38" s="1">
        <f>(H$14=$F20)*$F25*-1</f>
        <v>0</v>
      </c>
      <c r="I38" s="1">
        <f t="shared" ref="I38:BT38" si="27">(I$14=$F20)*$F25*-1</f>
        <v>0</v>
      </c>
      <c r="J38" s="1">
        <f t="shared" si="27"/>
        <v>0</v>
      </c>
      <c r="K38" s="1">
        <f t="shared" si="27"/>
        <v>0</v>
      </c>
      <c r="L38" s="1">
        <f t="shared" si="27"/>
        <v>0</v>
      </c>
      <c r="M38" s="1">
        <f t="shared" si="27"/>
        <v>0</v>
      </c>
      <c r="N38" s="1">
        <f t="shared" si="27"/>
        <v>0</v>
      </c>
      <c r="O38" s="1">
        <f t="shared" si="27"/>
        <v>0</v>
      </c>
      <c r="P38" s="1">
        <f t="shared" si="27"/>
        <v>0</v>
      </c>
      <c r="Q38" s="1">
        <f t="shared" si="27"/>
        <v>0</v>
      </c>
      <c r="R38" s="1">
        <f t="shared" si="27"/>
        <v>0</v>
      </c>
      <c r="S38" s="1">
        <f t="shared" si="27"/>
        <v>0</v>
      </c>
      <c r="T38" s="1">
        <f t="shared" si="27"/>
        <v>0</v>
      </c>
      <c r="U38" s="1">
        <f t="shared" si="27"/>
        <v>0</v>
      </c>
      <c r="V38" s="1">
        <f t="shared" si="27"/>
        <v>0</v>
      </c>
      <c r="W38" s="1">
        <f t="shared" si="27"/>
        <v>0</v>
      </c>
      <c r="X38" s="1">
        <f t="shared" si="27"/>
        <v>0</v>
      </c>
      <c r="Y38" s="1">
        <f t="shared" si="27"/>
        <v>0</v>
      </c>
      <c r="Z38" s="1">
        <f t="shared" si="27"/>
        <v>0</v>
      </c>
      <c r="AA38" s="1">
        <f t="shared" si="27"/>
        <v>0</v>
      </c>
      <c r="AB38" s="1">
        <f t="shared" si="27"/>
        <v>0</v>
      </c>
      <c r="AC38" s="1">
        <f t="shared" si="27"/>
        <v>0</v>
      </c>
      <c r="AD38" s="1">
        <f t="shared" si="27"/>
        <v>0</v>
      </c>
      <c r="AE38" s="1">
        <f t="shared" si="27"/>
        <v>0</v>
      </c>
      <c r="AF38" s="1">
        <f t="shared" si="27"/>
        <v>0</v>
      </c>
      <c r="AG38" s="1">
        <f t="shared" si="27"/>
        <v>0</v>
      </c>
      <c r="AH38" s="1">
        <f t="shared" si="27"/>
        <v>0</v>
      </c>
      <c r="AI38" s="1">
        <f t="shared" si="27"/>
        <v>0</v>
      </c>
      <c r="AJ38" s="1">
        <f t="shared" si="27"/>
        <v>0</v>
      </c>
      <c r="AK38" s="1">
        <f t="shared" si="27"/>
        <v>-242.928</v>
      </c>
      <c r="AL38" s="1">
        <f t="shared" si="27"/>
        <v>0</v>
      </c>
      <c r="AM38" s="1">
        <f t="shared" si="27"/>
        <v>0</v>
      </c>
      <c r="AN38" s="1">
        <f t="shared" si="27"/>
        <v>0</v>
      </c>
      <c r="AO38" s="1">
        <f t="shared" si="27"/>
        <v>0</v>
      </c>
      <c r="AP38" s="1">
        <f t="shared" si="27"/>
        <v>0</v>
      </c>
      <c r="AQ38" s="1">
        <f t="shared" si="27"/>
        <v>0</v>
      </c>
      <c r="AR38" s="1">
        <f t="shared" si="27"/>
        <v>0</v>
      </c>
      <c r="AS38" s="1">
        <f t="shared" si="27"/>
        <v>0</v>
      </c>
      <c r="AT38" s="1">
        <f t="shared" si="27"/>
        <v>0</v>
      </c>
      <c r="AU38" s="1">
        <f t="shared" si="27"/>
        <v>0</v>
      </c>
      <c r="AV38" s="1">
        <f t="shared" si="27"/>
        <v>0</v>
      </c>
      <c r="AW38" s="1">
        <f t="shared" si="27"/>
        <v>0</v>
      </c>
      <c r="AX38" s="1">
        <f t="shared" si="27"/>
        <v>0</v>
      </c>
      <c r="AY38" s="1">
        <f t="shared" si="27"/>
        <v>0</v>
      </c>
      <c r="AZ38" s="1">
        <f t="shared" si="27"/>
        <v>0</v>
      </c>
      <c r="BA38" s="1">
        <f t="shared" si="27"/>
        <v>0</v>
      </c>
      <c r="BB38" s="1">
        <f t="shared" si="27"/>
        <v>0</v>
      </c>
      <c r="BC38" s="1">
        <f t="shared" si="27"/>
        <v>0</v>
      </c>
      <c r="BD38" s="1">
        <f t="shared" si="27"/>
        <v>0</v>
      </c>
      <c r="BE38" s="1">
        <f t="shared" si="27"/>
        <v>0</v>
      </c>
      <c r="BF38" s="1">
        <f t="shared" si="27"/>
        <v>0</v>
      </c>
      <c r="BG38" s="1">
        <f t="shared" si="27"/>
        <v>0</v>
      </c>
      <c r="BH38" s="1">
        <f t="shared" si="27"/>
        <v>0</v>
      </c>
      <c r="BI38" s="1">
        <f t="shared" si="27"/>
        <v>0</v>
      </c>
      <c r="BJ38" s="1">
        <f t="shared" si="27"/>
        <v>0</v>
      </c>
      <c r="BK38" s="1">
        <f t="shared" si="27"/>
        <v>0</v>
      </c>
      <c r="BL38" s="1">
        <f t="shared" si="27"/>
        <v>0</v>
      </c>
      <c r="BM38" s="1">
        <f t="shared" si="27"/>
        <v>0</v>
      </c>
      <c r="BN38" s="1">
        <f t="shared" si="27"/>
        <v>0</v>
      </c>
      <c r="BO38" s="1">
        <f t="shared" si="27"/>
        <v>0</v>
      </c>
      <c r="BP38" s="1">
        <f t="shared" si="27"/>
        <v>0</v>
      </c>
      <c r="BQ38" s="1">
        <f t="shared" si="27"/>
        <v>0</v>
      </c>
      <c r="BR38" s="1">
        <f t="shared" si="27"/>
        <v>0</v>
      </c>
      <c r="BS38" s="1">
        <f t="shared" si="27"/>
        <v>0</v>
      </c>
      <c r="BT38" s="1">
        <f t="shared" si="27"/>
        <v>0</v>
      </c>
      <c r="BU38" s="1">
        <f t="shared" ref="BU38:BY38" si="28">(BU$14=$F20)*$F25*-1</f>
        <v>0</v>
      </c>
      <c r="BV38" s="1">
        <f t="shared" si="28"/>
        <v>0</v>
      </c>
      <c r="BW38" s="1">
        <f t="shared" si="28"/>
        <v>0</v>
      </c>
      <c r="BX38" s="1">
        <f t="shared" si="28"/>
        <v>0</v>
      </c>
      <c r="BY38" s="1">
        <f t="shared" si="28"/>
        <v>0</v>
      </c>
    </row>
    <row r="39" spans="3:77" ht="13.5" customHeight="1">
      <c r="E39" s="41" t="s">
        <v>172</v>
      </c>
      <c r="F39" s="41"/>
      <c r="G39" s="41"/>
      <c r="H39" s="41">
        <f>SUM(H36:H38)</f>
        <v>242.928</v>
      </c>
      <c r="I39" s="41">
        <f t="shared" ref="I39" si="29">SUM(I36:I38)</f>
        <v>242.928</v>
      </c>
      <c r="J39" s="41">
        <f t="shared" ref="J39" si="30">SUM(J36:J38)</f>
        <v>242.928</v>
      </c>
      <c r="K39" s="41">
        <f t="shared" ref="K39" si="31">SUM(K36:K38)</f>
        <v>242.928</v>
      </c>
      <c r="L39" s="41">
        <f t="shared" ref="L39" si="32">SUM(L36:L38)</f>
        <v>242.928</v>
      </c>
      <c r="M39" s="41">
        <f t="shared" ref="M39" si="33">SUM(M36:M38)</f>
        <v>242.928</v>
      </c>
      <c r="N39" s="41">
        <f t="shared" ref="N39" si="34">SUM(N36:N38)</f>
        <v>242.928</v>
      </c>
      <c r="O39" s="41">
        <f t="shared" ref="O39" si="35">SUM(O36:O38)</f>
        <v>242.928</v>
      </c>
      <c r="P39" s="41">
        <f t="shared" ref="P39" si="36">SUM(P36:P38)</f>
        <v>242.928</v>
      </c>
      <c r="Q39" s="41">
        <f t="shared" ref="Q39" si="37">SUM(Q36:Q38)</f>
        <v>242.928</v>
      </c>
      <c r="R39" s="41">
        <f t="shared" ref="R39" si="38">SUM(R36:R38)</f>
        <v>242.928</v>
      </c>
      <c r="S39" s="41">
        <f t="shared" ref="S39" si="39">SUM(S36:S38)</f>
        <v>242.928</v>
      </c>
      <c r="T39" s="41">
        <f t="shared" ref="T39" si="40">SUM(T36:T38)</f>
        <v>242.928</v>
      </c>
      <c r="U39" s="41">
        <f t="shared" ref="U39" si="41">SUM(U36:U38)</f>
        <v>242.928</v>
      </c>
      <c r="V39" s="41">
        <f t="shared" ref="V39" si="42">SUM(V36:V38)</f>
        <v>242.928</v>
      </c>
      <c r="W39" s="41">
        <f t="shared" ref="W39" si="43">SUM(W36:W38)</f>
        <v>242.928</v>
      </c>
      <c r="X39" s="41">
        <f t="shared" ref="X39" si="44">SUM(X36:X38)</f>
        <v>242.928</v>
      </c>
      <c r="Y39" s="41">
        <f t="shared" ref="Y39" si="45">SUM(Y36:Y38)</f>
        <v>242.928</v>
      </c>
      <c r="Z39" s="41">
        <f t="shared" ref="Z39" si="46">SUM(Z36:Z38)</f>
        <v>242.928</v>
      </c>
      <c r="AA39" s="41">
        <f t="shared" ref="AA39" si="47">SUM(AA36:AA38)</f>
        <v>242.928</v>
      </c>
      <c r="AB39" s="41">
        <f t="shared" ref="AB39" si="48">SUM(AB36:AB38)</f>
        <v>242.928</v>
      </c>
      <c r="AC39" s="41">
        <f t="shared" ref="AC39" si="49">SUM(AC36:AC38)</f>
        <v>242.928</v>
      </c>
      <c r="AD39" s="41">
        <f t="shared" ref="AD39" si="50">SUM(AD36:AD38)</f>
        <v>242.928</v>
      </c>
      <c r="AE39" s="41">
        <f t="shared" ref="AE39" si="51">SUM(AE36:AE38)</f>
        <v>242.928</v>
      </c>
      <c r="AF39" s="41">
        <f t="shared" ref="AF39" si="52">SUM(AF36:AF38)</f>
        <v>242.928</v>
      </c>
      <c r="AG39" s="41">
        <f t="shared" ref="AG39" si="53">SUM(AG36:AG38)</f>
        <v>242.928</v>
      </c>
      <c r="AH39" s="41">
        <f t="shared" ref="AH39" si="54">SUM(AH36:AH38)</f>
        <v>242.928</v>
      </c>
      <c r="AI39" s="41">
        <f t="shared" ref="AI39" si="55">SUM(AI36:AI38)</f>
        <v>242.928</v>
      </c>
      <c r="AJ39" s="41">
        <f t="shared" ref="AJ39" si="56">SUM(AJ36:AJ38)</f>
        <v>242.928</v>
      </c>
      <c r="AK39" s="41">
        <f t="shared" ref="AK39" si="57">SUM(AK36:AK38)</f>
        <v>0</v>
      </c>
      <c r="AL39" s="41">
        <f t="shared" ref="AL39" si="58">SUM(AL36:AL38)</f>
        <v>0</v>
      </c>
      <c r="AM39" s="41">
        <f t="shared" ref="AM39" si="59">SUM(AM36:AM38)</f>
        <v>0</v>
      </c>
      <c r="AN39" s="41">
        <f t="shared" ref="AN39" si="60">SUM(AN36:AN38)</f>
        <v>0</v>
      </c>
      <c r="AO39" s="41">
        <f t="shared" ref="AO39" si="61">SUM(AO36:AO38)</f>
        <v>0</v>
      </c>
      <c r="AP39" s="41">
        <f t="shared" ref="AP39" si="62">SUM(AP36:AP38)</f>
        <v>0</v>
      </c>
      <c r="AQ39" s="41">
        <f t="shared" ref="AQ39" si="63">SUM(AQ36:AQ38)</f>
        <v>0</v>
      </c>
      <c r="AR39" s="41">
        <f t="shared" ref="AR39" si="64">SUM(AR36:AR38)</f>
        <v>0</v>
      </c>
      <c r="AS39" s="41">
        <f t="shared" ref="AS39" si="65">SUM(AS36:AS38)</f>
        <v>0</v>
      </c>
      <c r="AT39" s="41">
        <f t="shared" ref="AT39" si="66">SUM(AT36:AT38)</f>
        <v>0</v>
      </c>
      <c r="AU39" s="41">
        <f t="shared" ref="AU39" si="67">SUM(AU36:AU38)</f>
        <v>0</v>
      </c>
      <c r="AV39" s="41">
        <f t="shared" ref="AV39" si="68">SUM(AV36:AV38)</f>
        <v>0</v>
      </c>
      <c r="AW39" s="41">
        <f t="shared" ref="AW39" si="69">SUM(AW36:AW38)</f>
        <v>0</v>
      </c>
      <c r="AX39" s="41">
        <f t="shared" ref="AX39" si="70">SUM(AX36:AX38)</f>
        <v>0</v>
      </c>
      <c r="AY39" s="41">
        <f t="shared" ref="AY39" si="71">SUM(AY36:AY38)</f>
        <v>0</v>
      </c>
      <c r="AZ39" s="41">
        <f t="shared" ref="AZ39" si="72">SUM(AZ36:AZ38)</f>
        <v>0</v>
      </c>
      <c r="BA39" s="41">
        <f t="shared" ref="BA39" si="73">SUM(BA36:BA38)</f>
        <v>0</v>
      </c>
      <c r="BB39" s="41">
        <f t="shared" ref="BB39" si="74">SUM(BB36:BB38)</f>
        <v>0</v>
      </c>
      <c r="BC39" s="41">
        <f t="shared" ref="BC39" si="75">SUM(BC36:BC38)</f>
        <v>0</v>
      </c>
      <c r="BD39" s="41">
        <f t="shared" ref="BD39" si="76">SUM(BD36:BD38)</f>
        <v>0</v>
      </c>
      <c r="BE39" s="41">
        <f t="shared" ref="BE39" si="77">SUM(BE36:BE38)</f>
        <v>0</v>
      </c>
      <c r="BF39" s="41">
        <f t="shared" ref="BF39" si="78">SUM(BF36:BF38)</f>
        <v>0</v>
      </c>
      <c r="BG39" s="41">
        <f t="shared" ref="BG39" si="79">SUM(BG36:BG38)</f>
        <v>0</v>
      </c>
      <c r="BH39" s="41">
        <f t="shared" ref="BH39" si="80">SUM(BH36:BH38)</f>
        <v>0</v>
      </c>
      <c r="BI39" s="41">
        <f t="shared" ref="BI39" si="81">SUM(BI36:BI38)</f>
        <v>0</v>
      </c>
      <c r="BJ39" s="41">
        <f t="shared" ref="BJ39" si="82">SUM(BJ36:BJ38)</f>
        <v>0</v>
      </c>
      <c r="BK39" s="41">
        <f t="shared" ref="BK39" si="83">SUM(BK36:BK38)</f>
        <v>0</v>
      </c>
      <c r="BL39" s="41">
        <f t="shared" ref="BL39" si="84">SUM(BL36:BL38)</f>
        <v>0</v>
      </c>
      <c r="BM39" s="41">
        <f t="shared" ref="BM39" si="85">SUM(BM36:BM38)</f>
        <v>0</v>
      </c>
      <c r="BN39" s="41">
        <f t="shared" ref="BN39" si="86">SUM(BN36:BN38)</f>
        <v>0</v>
      </c>
      <c r="BO39" s="41">
        <f t="shared" ref="BO39" si="87">SUM(BO36:BO38)</f>
        <v>0</v>
      </c>
      <c r="BP39" s="41">
        <f t="shared" ref="BP39" si="88">SUM(BP36:BP38)</f>
        <v>0</v>
      </c>
      <c r="BQ39" s="41">
        <f t="shared" ref="BQ39" si="89">SUM(BQ36:BQ38)</f>
        <v>0</v>
      </c>
      <c r="BR39" s="41">
        <f t="shared" ref="BR39" si="90">SUM(BR36:BR38)</f>
        <v>0</v>
      </c>
      <c r="BS39" s="41">
        <f t="shared" ref="BS39" si="91">SUM(BS36:BS38)</f>
        <v>0</v>
      </c>
      <c r="BT39" s="41">
        <f t="shared" ref="BT39" si="92">SUM(BT36:BT38)</f>
        <v>0</v>
      </c>
      <c r="BU39" s="41">
        <f t="shared" ref="BU39" si="93">SUM(BU36:BU38)</f>
        <v>0</v>
      </c>
      <c r="BV39" s="41">
        <f t="shared" ref="BV39" si="94">SUM(BV36:BV38)</f>
        <v>0</v>
      </c>
      <c r="BW39" s="41">
        <f t="shared" ref="BW39" si="95">SUM(BW36:BW38)</f>
        <v>0</v>
      </c>
      <c r="BX39" s="41">
        <f t="shared" ref="BX39" si="96">SUM(BX36:BX38)</f>
        <v>0</v>
      </c>
      <c r="BY39" s="41">
        <f t="shared" ref="BY39" si="97">SUM(BY36:BY38)</f>
        <v>0</v>
      </c>
    </row>
    <row r="41" spans="3:77" ht="13.5" customHeight="1">
      <c r="C41" s="13" t="s">
        <v>183</v>
      </c>
    </row>
    <row r="42" spans="3:77" s="11" customFormat="1" ht="13.5" customHeight="1">
      <c r="F42" s="11" t="s">
        <v>160</v>
      </c>
      <c r="H42" s="11">
        <f t="shared" ref="H42:AM42" si="98">(H$14&gt;=$F49)*(H$14&lt;=exit)*1</f>
        <v>0</v>
      </c>
      <c r="I42" s="11">
        <f t="shared" si="98"/>
        <v>0</v>
      </c>
      <c r="J42" s="11">
        <f t="shared" si="98"/>
        <v>0</v>
      </c>
      <c r="K42" s="11">
        <f t="shared" si="98"/>
        <v>0</v>
      </c>
      <c r="L42" s="11">
        <f t="shared" si="98"/>
        <v>0</v>
      </c>
      <c r="M42" s="11">
        <f t="shared" si="98"/>
        <v>0</v>
      </c>
      <c r="N42" s="11">
        <f t="shared" si="98"/>
        <v>0</v>
      </c>
      <c r="O42" s="11">
        <f t="shared" si="98"/>
        <v>0</v>
      </c>
      <c r="P42" s="11">
        <f t="shared" si="98"/>
        <v>0</v>
      </c>
      <c r="Q42" s="11">
        <f t="shared" si="98"/>
        <v>0</v>
      </c>
      <c r="R42" s="11">
        <f t="shared" si="98"/>
        <v>0</v>
      </c>
      <c r="S42" s="11">
        <f t="shared" si="98"/>
        <v>0</v>
      </c>
      <c r="T42" s="11">
        <f t="shared" si="98"/>
        <v>0</v>
      </c>
      <c r="U42" s="11">
        <f t="shared" si="98"/>
        <v>0</v>
      </c>
      <c r="V42" s="11">
        <f t="shared" si="98"/>
        <v>0</v>
      </c>
      <c r="W42" s="11">
        <f t="shared" si="98"/>
        <v>0</v>
      </c>
      <c r="X42" s="11">
        <f t="shared" si="98"/>
        <v>0</v>
      </c>
      <c r="Y42" s="11">
        <f t="shared" si="98"/>
        <v>0</v>
      </c>
      <c r="Z42" s="11">
        <f t="shared" si="98"/>
        <v>0</v>
      </c>
      <c r="AA42" s="11">
        <f t="shared" si="98"/>
        <v>0</v>
      </c>
      <c r="AB42" s="11">
        <f t="shared" si="98"/>
        <v>0</v>
      </c>
      <c r="AC42" s="11">
        <f t="shared" si="98"/>
        <v>0</v>
      </c>
      <c r="AD42" s="11">
        <f t="shared" si="98"/>
        <v>0</v>
      </c>
      <c r="AE42" s="11">
        <f t="shared" si="98"/>
        <v>0</v>
      </c>
      <c r="AF42" s="11">
        <f t="shared" si="98"/>
        <v>0</v>
      </c>
      <c r="AG42" s="11">
        <f t="shared" si="98"/>
        <v>0</v>
      </c>
      <c r="AH42" s="11">
        <f t="shared" si="98"/>
        <v>0</v>
      </c>
      <c r="AI42" s="11">
        <f t="shared" si="98"/>
        <v>0</v>
      </c>
      <c r="AJ42" s="11">
        <f t="shared" si="98"/>
        <v>0</v>
      </c>
      <c r="AK42" s="11">
        <f t="shared" si="98"/>
        <v>0</v>
      </c>
      <c r="AL42" s="11">
        <f t="shared" si="98"/>
        <v>0</v>
      </c>
      <c r="AM42" s="11">
        <f t="shared" si="98"/>
        <v>1</v>
      </c>
      <c r="AN42" s="11">
        <f t="shared" ref="AN42:BS42" si="99">(AN$14&gt;=$F49)*(AN$14&lt;=exit)*1</f>
        <v>1</v>
      </c>
      <c r="AO42" s="11">
        <f t="shared" si="99"/>
        <v>1</v>
      </c>
      <c r="AP42" s="11">
        <f t="shared" si="99"/>
        <v>1</v>
      </c>
      <c r="AQ42" s="11">
        <f t="shared" si="99"/>
        <v>1</v>
      </c>
      <c r="AR42" s="11">
        <f t="shared" si="99"/>
        <v>1</v>
      </c>
      <c r="AS42" s="11">
        <f t="shared" si="99"/>
        <v>1</v>
      </c>
      <c r="AT42" s="11">
        <f t="shared" si="99"/>
        <v>1</v>
      </c>
      <c r="AU42" s="11">
        <f t="shared" si="99"/>
        <v>1</v>
      </c>
      <c r="AV42" s="11">
        <f t="shared" si="99"/>
        <v>1</v>
      </c>
      <c r="AW42" s="11">
        <f t="shared" si="99"/>
        <v>1</v>
      </c>
      <c r="AX42" s="11">
        <f t="shared" si="99"/>
        <v>1</v>
      </c>
      <c r="AY42" s="11">
        <f t="shared" si="99"/>
        <v>1</v>
      </c>
      <c r="AZ42" s="11">
        <f t="shared" si="99"/>
        <v>1</v>
      </c>
      <c r="BA42" s="11">
        <f t="shared" si="99"/>
        <v>1</v>
      </c>
      <c r="BB42" s="11">
        <f t="shared" si="99"/>
        <v>1</v>
      </c>
      <c r="BC42" s="11">
        <f t="shared" si="99"/>
        <v>1</v>
      </c>
      <c r="BD42" s="11">
        <f t="shared" si="99"/>
        <v>1</v>
      </c>
      <c r="BE42" s="11">
        <f t="shared" si="99"/>
        <v>1</v>
      </c>
      <c r="BF42" s="11">
        <f t="shared" si="99"/>
        <v>1</v>
      </c>
      <c r="BG42" s="11">
        <f t="shared" si="99"/>
        <v>1</v>
      </c>
      <c r="BH42" s="11">
        <f t="shared" si="99"/>
        <v>1</v>
      </c>
      <c r="BI42" s="11">
        <f t="shared" si="99"/>
        <v>1</v>
      </c>
      <c r="BJ42" s="11">
        <f t="shared" si="99"/>
        <v>1</v>
      </c>
      <c r="BK42" s="11">
        <f t="shared" si="99"/>
        <v>1</v>
      </c>
      <c r="BL42" s="11">
        <f t="shared" si="99"/>
        <v>1</v>
      </c>
      <c r="BM42" s="11">
        <f t="shared" si="99"/>
        <v>1</v>
      </c>
      <c r="BN42" s="11">
        <f t="shared" si="99"/>
        <v>1</v>
      </c>
      <c r="BO42" s="11">
        <f t="shared" si="99"/>
        <v>1</v>
      </c>
      <c r="BP42" s="11">
        <f t="shared" si="99"/>
        <v>1</v>
      </c>
      <c r="BQ42" s="11">
        <f t="shared" si="99"/>
        <v>0</v>
      </c>
      <c r="BR42" s="11">
        <f t="shared" si="99"/>
        <v>0</v>
      </c>
      <c r="BS42" s="11">
        <f t="shared" si="99"/>
        <v>0</v>
      </c>
      <c r="BT42" s="11">
        <f t="shared" ref="BT42:BY42" si="100">(BT$14&gt;=$F49)*(BT$14&lt;=exit)*1</f>
        <v>0</v>
      </c>
      <c r="BU42" s="11">
        <f t="shared" si="100"/>
        <v>0</v>
      </c>
      <c r="BV42" s="11">
        <f t="shared" si="100"/>
        <v>0</v>
      </c>
      <c r="BW42" s="11">
        <f t="shared" si="100"/>
        <v>0</v>
      </c>
      <c r="BX42" s="11">
        <f t="shared" si="100"/>
        <v>0</v>
      </c>
      <c r="BY42" s="11">
        <f t="shared" si="100"/>
        <v>0</v>
      </c>
    </row>
    <row r="43" spans="3:77" s="11" customFormat="1" ht="13.5" customHeight="1">
      <c r="F43" s="11" t="s">
        <v>191</v>
      </c>
      <c r="H43" s="11">
        <f>SUM($H42:H42)*H42</f>
        <v>0</v>
      </c>
      <c r="I43" s="11">
        <f>SUM($H42:I42)*I42</f>
        <v>0</v>
      </c>
      <c r="J43" s="11">
        <f>SUM($H42:J42)*J42</f>
        <v>0</v>
      </c>
      <c r="K43" s="11">
        <f>SUM($H42:K42)*K42</f>
        <v>0</v>
      </c>
      <c r="L43" s="11">
        <f>SUM($H42:L42)*L42</f>
        <v>0</v>
      </c>
      <c r="M43" s="11">
        <f>SUM($H42:M42)*M42</f>
        <v>0</v>
      </c>
      <c r="N43" s="11">
        <f>SUM($H42:N42)*N42</f>
        <v>0</v>
      </c>
      <c r="O43" s="11">
        <f>SUM($H42:O42)*O42</f>
        <v>0</v>
      </c>
      <c r="P43" s="11">
        <f>SUM($H42:P42)*P42</f>
        <v>0</v>
      </c>
      <c r="Q43" s="11">
        <f>SUM($H42:Q42)*Q42</f>
        <v>0</v>
      </c>
      <c r="R43" s="11">
        <f>SUM($H42:R42)*R42</f>
        <v>0</v>
      </c>
      <c r="S43" s="11">
        <f>SUM($H42:S42)*S42</f>
        <v>0</v>
      </c>
      <c r="T43" s="11">
        <f>SUM($H42:T42)*T42</f>
        <v>0</v>
      </c>
      <c r="U43" s="11">
        <f>SUM($H42:U42)*U42</f>
        <v>0</v>
      </c>
      <c r="V43" s="11">
        <f>SUM($H42:V42)*V42</f>
        <v>0</v>
      </c>
      <c r="W43" s="11">
        <f>SUM($H42:W42)*W42</f>
        <v>0</v>
      </c>
      <c r="X43" s="11">
        <f>SUM($H42:X42)*X42</f>
        <v>0</v>
      </c>
      <c r="Y43" s="11">
        <f>SUM($H42:Y42)*Y42</f>
        <v>0</v>
      </c>
      <c r="Z43" s="11">
        <f>SUM($H42:Z42)*Z42</f>
        <v>0</v>
      </c>
      <c r="AA43" s="11">
        <f>SUM($H42:AA42)*AA42</f>
        <v>0</v>
      </c>
      <c r="AB43" s="11">
        <f>SUM($H42:AB42)*AB42</f>
        <v>0</v>
      </c>
      <c r="AC43" s="11">
        <f>SUM($H42:AC42)*AC42</f>
        <v>0</v>
      </c>
      <c r="AD43" s="11">
        <f>SUM($H42:AD42)*AD42</f>
        <v>0</v>
      </c>
      <c r="AE43" s="11">
        <f>SUM($H42:AE42)*AE42</f>
        <v>0</v>
      </c>
      <c r="AF43" s="11">
        <f>SUM($H42:AF42)*AF42</f>
        <v>0</v>
      </c>
      <c r="AG43" s="11">
        <f>SUM($H42:AG42)*AG42</f>
        <v>0</v>
      </c>
      <c r="AH43" s="11">
        <f>SUM($H42:AH42)*AH42</f>
        <v>0</v>
      </c>
      <c r="AI43" s="11">
        <f>SUM($H42:AI42)*AI42</f>
        <v>0</v>
      </c>
      <c r="AJ43" s="11">
        <f>SUM($H42:AJ42)*AJ42</f>
        <v>0</v>
      </c>
      <c r="AK43" s="11">
        <f>SUM($H42:AK42)*AK42</f>
        <v>0</v>
      </c>
      <c r="AL43" s="11">
        <f>SUM($H42:AL42)*AL42</f>
        <v>0</v>
      </c>
      <c r="AM43" s="11">
        <f>SUM($H42:AM42)*AM42</f>
        <v>1</v>
      </c>
      <c r="AN43" s="11">
        <f>SUM($H42:AN42)*AN42</f>
        <v>2</v>
      </c>
      <c r="AO43" s="11">
        <f>SUM($H42:AO42)*AO42</f>
        <v>3</v>
      </c>
      <c r="AP43" s="11">
        <f>SUM($H42:AP42)*AP42</f>
        <v>4</v>
      </c>
      <c r="AQ43" s="11">
        <f>SUM($H42:AQ42)*AQ42</f>
        <v>5</v>
      </c>
      <c r="AR43" s="11">
        <f>SUM($H42:AR42)*AR42</f>
        <v>6</v>
      </c>
      <c r="AS43" s="11">
        <f>SUM($H42:AS42)*AS42</f>
        <v>7</v>
      </c>
      <c r="AT43" s="11">
        <f>SUM($H42:AT42)*AT42</f>
        <v>8</v>
      </c>
      <c r="AU43" s="11">
        <f>SUM($H42:AU42)*AU42</f>
        <v>9</v>
      </c>
      <c r="AV43" s="11">
        <f>SUM($H42:AV42)*AV42</f>
        <v>10</v>
      </c>
      <c r="AW43" s="11">
        <f>SUM($H42:AW42)*AW42</f>
        <v>11</v>
      </c>
      <c r="AX43" s="11">
        <f>SUM($H42:AX42)*AX42</f>
        <v>12</v>
      </c>
      <c r="AY43" s="11">
        <f>SUM($H42:AY42)*AY42</f>
        <v>13</v>
      </c>
      <c r="AZ43" s="11">
        <f>SUM($H42:AZ42)*AZ42</f>
        <v>14</v>
      </c>
      <c r="BA43" s="11">
        <f>SUM($H42:BA42)*BA42</f>
        <v>15</v>
      </c>
      <c r="BB43" s="11">
        <f>SUM($H42:BB42)*BB42</f>
        <v>16</v>
      </c>
      <c r="BC43" s="11">
        <f>SUM($H42:BC42)*BC42</f>
        <v>17</v>
      </c>
      <c r="BD43" s="11">
        <f>SUM($H42:BD42)*BD42</f>
        <v>18</v>
      </c>
      <c r="BE43" s="11">
        <f>SUM($H42:BE42)*BE42</f>
        <v>19</v>
      </c>
      <c r="BF43" s="11">
        <f>SUM($H42:BF42)*BF42</f>
        <v>20</v>
      </c>
      <c r="BG43" s="11">
        <f>SUM($H42:BG42)*BG42</f>
        <v>21</v>
      </c>
      <c r="BH43" s="11">
        <f>SUM($H42:BH42)*BH42</f>
        <v>22</v>
      </c>
      <c r="BI43" s="11">
        <f>SUM($H42:BI42)*BI42</f>
        <v>23</v>
      </c>
      <c r="BJ43" s="11">
        <f>SUM($H42:BJ42)*BJ42</f>
        <v>24</v>
      </c>
      <c r="BK43" s="11">
        <f>SUM($H42:BK42)*BK42</f>
        <v>25</v>
      </c>
      <c r="BL43" s="11">
        <f>SUM($H42:BL42)*BL42</f>
        <v>26</v>
      </c>
      <c r="BM43" s="11">
        <f>SUM($H42:BM42)*BM42</f>
        <v>27</v>
      </c>
      <c r="BN43" s="11">
        <f>SUM($H42:BN42)*BN42</f>
        <v>28</v>
      </c>
      <c r="BO43" s="11">
        <f>SUM($H42:BO42)*BO42</f>
        <v>29</v>
      </c>
      <c r="BP43" s="11">
        <f>SUM($H42:BP42)*BP42</f>
        <v>30</v>
      </c>
      <c r="BQ43" s="11">
        <f>SUM($H42:BQ42)*BQ42</f>
        <v>0</v>
      </c>
      <c r="BR43" s="11">
        <f>SUM($H42:BR42)*BR42</f>
        <v>0</v>
      </c>
      <c r="BS43" s="11">
        <f>SUM($H42:BS42)*BS42</f>
        <v>0</v>
      </c>
      <c r="BT43" s="11">
        <f>SUM($H42:BT42)*BT42</f>
        <v>0</v>
      </c>
      <c r="BU43" s="11">
        <f>SUM($H42:BU42)*BU42</f>
        <v>0</v>
      </c>
      <c r="BV43" s="11">
        <f>SUM($H42:BV42)*BV42</f>
        <v>0</v>
      </c>
      <c r="BW43" s="11">
        <f>SUM($H42:BW42)*BW42</f>
        <v>0</v>
      </c>
      <c r="BX43" s="11">
        <f>SUM($H42:BX42)*BX42</f>
        <v>0</v>
      </c>
      <c r="BY43" s="11">
        <f>SUM($H42:BY42)*BY42</f>
        <v>0</v>
      </c>
    </row>
    <row r="44" spans="3:77" s="11" customFormat="1" ht="13.5" customHeight="1">
      <c r="F44" s="11" t="s">
        <v>154</v>
      </c>
      <c r="H44" s="11">
        <f>(MOD(H43,12)=1)*1</f>
        <v>0</v>
      </c>
      <c r="I44" s="11">
        <f t="shared" ref="I44:BT44" si="101">(MOD(I43,12)=1)*1</f>
        <v>0</v>
      </c>
      <c r="J44" s="11">
        <f t="shared" si="101"/>
        <v>0</v>
      </c>
      <c r="K44" s="11">
        <f t="shared" si="101"/>
        <v>0</v>
      </c>
      <c r="L44" s="11">
        <f t="shared" si="101"/>
        <v>0</v>
      </c>
      <c r="M44" s="11">
        <f t="shared" si="101"/>
        <v>0</v>
      </c>
      <c r="N44" s="11">
        <f t="shared" si="101"/>
        <v>0</v>
      </c>
      <c r="O44" s="11">
        <f t="shared" si="101"/>
        <v>0</v>
      </c>
      <c r="P44" s="11">
        <f t="shared" si="101"/>
        <v>0</v>
      </c>
      <c r="Q44" s="11">
        <f t="shared" si="101"/>
        <v>0</v>
      </c>
      <c r="R44" s="11">
        <f t="shared" si="101"/>
        <v>0</v>
      </c>
      <c r="S44" s="11">
        <f t="shared" si="101"/>
        <v>0</v>
      </c>
      <c r="T44" s="11">
        <f t="shared" si="101"/>
        <v>0</v>
      </c>
      <c r="U44" s="11">
        <f t="shared" si="101"/>
        <v>0</v>
      </c>
      <c r="V44" s="11">
        <f t="shared" si="101"/>
        <v>0</v>
      </c>
      <c r="W44" s="11">
        <f t="shared" si="101"/>
        <v>0</v>
      </c>
      <c r="X44" s="11">
        <f t="shared" si="101"/>
        <v>0</v>
      </c>
      <c r="Y44" s="11">
        <f t="shared" si="101"/>
        <v>0</v>
      </c>
      <c r="Z44" s="11">
        <f t="shared" si="101"/>
        <v>0</v>
      </c>
      <c r="AA44" s="11">
        <f t="shared" si="101"/>
        <v>0</v>
      </c>
      <c r="AB44" s="11">
        <f t="shared" si="101"/>
        <v>0</v>
      </c>
      <c r="AC44" s="11">
        <f t="shared" si="101"/>
        <v>0</v>
      </c>
      <c r="AD44" s="11">
        <f t="shared" si="101"/>
        <v>0</v>
      </c>
      <c r="AE44" s="11">
        <f t="shared" si="101"/>
        <v>0</v>
      </c>
      <c r="AF44" s="11">
        <f t="shared" si="101"/>
        <v>0</v>
      </c>
      <c r="AG44" s="11">
        <f t="shared" si="101"/>
        <v>0</v>
      </c>
      <c r="AH44" s="11">
        <f t="shared" si="101"/>
        <v>0</v>
      </c>
      <c r="AI44" s="11">
        <f t="shared" si="101"/>
        <v>0</v>
      </c>
      <c r="AJ44" s="11">
        <f t="shared" si="101"/>
        <v>0</v>
      </c>
      <c r="AK44" s="11">
        <f t="shared" si="101"/>
        <v>0</v>
      </c>
      <c r="AL44" s="11">
        <f t="shared" si="101"/>
        <v>0</v>
      </c>
      <c r="AM44" s="11">
        <f t="shared" si="101"/>
        <v>1</v>
      </c>
      <c r="AN44" s="11">
        <f t="shared" si="101"/>
        <v>0</v>
      </c>
      <c r="AO44" s="11">
        <f t="shared" si="101"/>
        <v>0</v>
      </c>
      <c r="AP44" s="11">
        <f t="shared" si="101"/>
        <v>0</v>
      </c>
      <c r="AQ44" s="11">
        <f t="shared" si="101"/>
        <v>0</v>
      </c>
      <c r="AR44" s="11">
        <f t="shared" si="101"/>
        <v>0</v>
      </c>
      <c r="AS44" s="11">
        <f t="shared" si="101"/>
        <v>0</v>
      </c>
      <c r="AT44" s="11">
        <f t="shared" si="101"/>
        <v>0</v>
      </c>
      <c r="AU44" s="11">
        <f t="shared" si="101"/>
        <v>0</v>
      </c>
      <c r="AV44" s="11">
        <f t="shared" si="101"/>
        <v>0</v>
      </c>
      <c r="AW44" s="11">
        <f t="shared" si="101"/>
        <v>0</v>
      </c>
      <c r="AX44" s="11">
        <f t="shared" si="101"/>
        <v>0</v>
      </c>
      <c r="AY44" s="11">
        <f t="shared" si="101"/>
        <v>1</v>
      </c>
      <c r="AZ44" s="11">
        <f t="shared" si="101"/>
        <v>0</v>
      </c>
      <c r="BA44" s="11">
        <f t="shared" si="101"/>
        <v>0</v>
      </c>
      <c r="BB44" s="11">
        <f t="shared" si="101"/>
        <v>0</v>
      </c>
      <c r="BC44" s="11">
        <f t="shared" si="101"/>
        <v>0</v>
      </c>
      <c r="BD44" s="11">
        <f t="shared" si="101"/>
        <v>0</v>
      </c>
      <c r="BE44" s="11">
        <f t="shared" si="101"/>
        <v>0</v>
      </c>
      <c r="BF44" s="11">
        <f t="shared" si="101"/>
        <v>0</v>
      </c>
      <c r="BG44" s="11">
        <f t="shared" si="101"/>
        <v>0</v>
      </c>
      <c r="BH44" s="11">
        <f t="shared" si="101"/>
        <v>0</v>
      </c>
      <c r="BI44" s="11">
        <f t="shared" si="101"/>
        <v>0</v>
      </c>
      <c r="BJ44" s="11">
        <f t="shared" si="101"/>
        <v>0</v>
      </c>
      <c r="BK44" s="11">
        <f t="shared" si="101"/>
        <v>1</v>
      </c>
      <c r="BL44" s="11">
        <f t="shared" si="101"/>
        <v>0</v>
      </c>
      <c r="BM44" s="11">
        <f t="shared" si="101"/>
        <v>0</v>
      </c>
      <c r="BN44" s="11">
        <f t="shared" si="101"/>
        <v>0</v>
      </c>
      <c r="BO44" s="11">
        <f t="shared" si="101"/>
        <v>0</v>
      </c>
      <c r="BP44" s="11">
        <f t="shared" si="101"/>
        <v>0</v>
      </c>
      <c r="BQ44" s="11">
        <f t="shared" si="101"/>
        <v>0</v>
      </c>
      <c r="BR44" s="11">
        <f t="shared" si="101"/>
        <v>0</v>
      </c>
      <c r="BS44" s="11">
        <f t="shared" si="101"/>
        <v>0</v>
      </c>
      <c r="BT44" s="11">
        <f t="shared" si="101"/>
        <v>0</v>
      </c>
      <c r="BU44" s="11">
        <f t="shared" ref="BU44:BY44" si="102">(MOD(BU43,12)=1)*1</f>
        <v>0</v>
      </c>
      <c r="BV44" s="11">
        <f t="shared" si="102"/>
        <v>0</v>
      </c>
      <c r="BW44" s="11">
        <f t="shared" si="102"/>
        <v>0</v>
      </c>
      <c r="BX44" s="11">
        <f t="shared" si="102"/>
        <v>0</v>
      </c>
      <c r="BY44" s="11">
        <f t="shared" si="102"/>
        <v>0</v>
      </c>
    </row>
    <row r="45" spans="3:77" s="11" customFormat="1" ht="13.5" customHeight="1">
      <c r="F45" s="11" t="s">
        <v>192</v>
      </c>
      <c r="H45" s="118">
        <f>SUM($H44:H44)*H42</f>
        <v>0</v>
      </c>
      <c r="I45" s="118">
        <f>SUM($H44:I44)*I42</f>
        <v>0</v>
      </c>
      <c r="J45" s="118">
        <f>SUM($H44:J44)*J42</f>
        <v>0</v>
      </c>
      <c r="K45" s="118">
        <f>SUM($H44:K44)*K42</f>
        <v>0</v>
      </c>
      <c r="L45" s="118">
        <f>SUM($H44:L44)*L42</f>
        <v>0</v>
      </c>
      <c r="M45" s="118">
        <f>SUM($H44:M44)*M42</f>
        <v>0</v>
      </c>
      <c r="N45" s="118">
        <f>SUM($H44:N44)*N42</f>
        <v>0</v>
      </c>
      <c r="O45" s="118">
        <f>SUM($H44:O44)*O42</f>
        <v>0</v>
      </c>
      <c r="P45" s="118">
        <f>SUM($H44:P44)*P42</f>
        <v>0</v>
      </c>
      <c r="Q45" s="118">
        <f>SUM($H44:Q44)*Q42</f>
        <v>0</v>
      </c>
      <c r="R45" s="118">
        <f>SUM($H44:R44)*R42</f>
        <v>0</v>
      </c>
      <c r="S45" s="118">
        <f>SUM($H44:S44)*S42</f>
        <v>0</v>
      </c>
      <c r="T45" s="118">
        <f>SUM($H44:T44)*T42</f>
        <v>0</v>
      </c>
      <c r="U45" s="118">
        <f>SUM($H44:U44)*U42</f>
        <v>0</v>
      </c>
      <c r="V45" s="118">
        <f>SUM($H44:V44)*V42</f>
        <v>0</v>
      </c>
      <c r="W45" s="118">
        <f>SUM($H44:W44)*W42</f>
        <v>0</v>
      </c>
      <c r="X45" s="118">
        <f>SUM($H44:X44)*X42</f>
        <v>0</v>
      </c>
      <c r="Y45" s="118">
        <f>SUM($H44:Y44)*Y42</f>
        <v>0</v>
      </c>
      <c r="Z45" s="118">
        <f>SUM($H44:Z44)*Z42</f>
        <v>0</v>
      </c>
      <c r="AA45" s="118">
        <f>SUM($H44:AA44)*AA42</f>
        <v>0</v>
      </c>
      <c r="AB45" s="118">
        <f>SUM($H44:AB44)*AB42</f>
        <v>0</v>
      </c>
      <c r="AC45" s="118">
        <f>SUM($H44:AC44)*AC42</f>
        <v>0</v>
      </c>
      <c r="AD45" s="118">
        <f>SUM($H44:AD44)*AD42</f>
        <v>0</v>
      </c>
      <c r="AE45" s="118">
        <f>SUM($H44:AE44)*AE42</f>
        <v>0</v>
      </c>
      <c r="AF45" s="118">
        <f>SUM($H44:AF44)*AF42</f>
        <v>0</v>
      </c>
      <c r="AG45" s="118">
        <f>SUM($H44:AG44)*AG42</f>
        <v>0</v>
      </c>
      <c r="AH45" s="118">
        <f>SUM($H44:AH44)*AH42</f>
        <v>0</v>
      </c>
      <c r="AI45" s="118">
        <f>SUM($H44:AI44)*AI42</f>
        <v>0</v>
      </c>
      <c r="AJ45" s="118">
        <f>SUM($H44:AJ44)*AJ42</f>
        <v>0</v>
      </c>
      <c r="AK45" s="118">
        <f>SUM($H44:AK44)*AK42</f>
        <v>0</v>
      </c>
      <c r="AL45" s="118">
        <f>SUM($H44:AL44)*AL42</f>
        <v>0</v>
      </c>
      <c r="AM45" s="118">
        <f>SUM($H44:AM44)*AM42</f>
        <v>1</v>
      </c>
      <c r="AN45" s="118">
        <f>SUM($H44:AN44)*AN42</f>
        <v>1</v>
      </c>
      <c r="AO45" s="118">
        <f>SUM($H44:AO44)*AO42</f>
        <v>1</v>
      </c>
      <c r="AP45" s="118">
        <f>SUM($H44:AP44)*AP42</f>
        <v>1</v>
      </c>
      <c r="AQ45" s="118">
        <f>SUM($H44:AQ44)*AQ42</f>
        <v>1</v>
      </c>
      <c r="AR45" s="118">
        <f>SUM($H44:AR44)*AR42</f>
        <v>1</v>
      </c>
      <c r="AS45" s="118">
        <f>SUM($H44:AS44)*AS42</f>
        <v>1</v>
      </c>
      <c r="AT45" s="118">
        <f>SUM($H44:AT44)*AT42</f>
        <v>1</v>
      </c>
      <c r="AU45" s="118">
        <f>SUM($H44:AU44)*AU42</f>
        <v>1</v>
      </c>
      <c r="AV45" s="118">
        <f>SUM($H44:AV44)*AV42</f>
        <v>1</v>
      </c>
      <c r="AW45" s="118">
        <f>SUM($H44:AW44)*AW42</f>
        <v>1</v>
      </c>
      <c r="AX45" s="118">
        <f>SUM($H44:AX44)*AX42</f>
        <v>1</v>
      </c>
      <c r="AY45" s="118">
        <f>SUM($H44:AY44)*AY42</f>
        <v>2</v>
      </c>
      <c r="AZ45" s="118">
        <f>SUM($H44:AZ44)*AZ42</f>
        <v>2</v>
      </c>
      <c r="BA45" s="118">
        <f>SUM($H44:BA44)*BA42</f>
        <v>2</v>
      </c>
      <c r="BB45" s="118">
        <f>SUM($H44:BB44)*BB42</f>
        <v>2</v>
      </c>
      <c r="BC45" s="118">
        <f>SUM($H44:BC44)*BC42</f>
        <v>2</v>
      </c>
      <c r="BD45" s="118">
        <f>SUM($H44:BD44)*BD42</f>
        <v>2</v>
      </c>
      <c r="BE45" s="118">
        <f>SUM($H44:BE44)*BE42</f>
        <v>2</v>
      </c>
      <c r="BF45" s="118">
        <f>SUM($H44:BF44)*BF42</f>
        <v>2</v>
      </c>
      <c r="BG45" s="118">
        <f>SUM($H44:BG44)*BG42</f>
        <v>2</v>
      </c>
      <c r="BH45" s="118">
        <f>SUM($H44:BH44)*BH42</f>
        <v>2</v>
      </c>
      <c r="BI45" s="118">
        <f>SUM($H44:BI44)*BI42</f>
        <v>2</v>
      </c>
      <c r="BJ45" s="118">
        <f>SUM($H44:BJ44)*BJ42</f>
        <v>2</v>
      </c>
      <c r="BK45" s="118">
        <f>SUM($H44:BK44)*BK42</f>
        <v>3</v>
      </c>
      <c r="BL45" s="118">
        <f>SUM($H44:BL44)*BL42</f>
        <v>3</v>
      </c>
      <c r="BM45" s="118">
        <f>SUM($H44:BM44)*BM42</f>
        <v>3</v>
      </c>
      <c r="BN45" s="118">
        <f>SUM($H44:BN44)*BN42</f>
        <v>3</v>
      </c>
      <c r="BO45" s="118">
        <f>SUM($H44:BO44)*BO42</f>
        <v>3</v>
      </c>
      <c r="BP45" s="118">
        <f>SUM($H44:BP44)*BP42</f>
        <v>3</v>
      </c>
      <c r="BQ45" s="118">
        <f>SUM($H44:BQ44)*BQ42</f>
        <v>0</v>
      </c>
      <c r="BR45" s="118">
        <f>SUM($H44:BR44)*BR42</f>
        <v>0</v>
      </c>
      <c r="BS45" s="118">
        <f>SUM($H44:BS44)*BS42</f>
        <v>0</v>
      </c>
      <c r="BT45" s="118">
        <f>SUM($H44:BT44)*BT42</f>
        <v>0</v>
      </c>
      <c r="BU45" s="118">
        <f>SUM($H44:BU44)*BU42</f>
        <v>0</v>
      </c>
      <c r="BV45" s="118">
        <f>SUM($H44:BV44)*BV42</f>
        <v>0</v>
      </c>
      <c r="BW45" s="118">
        <f>SUM($H44:BW44)*BW42</f>
        <v>0</v>
      </c>
      <c r="BX45" s="118">
        <f>SUM($H44:BX44)*BX42</f>
        <v>0</v>
      </c>
      <c r="BY45" s="118">
        <f>SUM($H44:BY44)*BY42</f>
        <v>0</v>
      </c>
    </row>
    <row r="46" spans="3:77" s="11" customFormat="1" ht="13.5" customHeight="1">
      <c r="F46" s="11" t="s">
        <v>193</v>
      </c>
      <c r="H46" s="119">
        <f t="shared" ref="H46:AM46" si="103">(1+$F57)^(H45-1)*H42</f>
        <v>0</v>
      </c>
      <c r="I46" s="119">
        <f t="shared" si="103"/>
        <v>0</v>
      </c>
      <c r="J46" s="119">
        <f t="shared" si="103"/>
        <v>0</v>
      </c>
      <c r="K46" s="119">
        <f t="shared" si="103"/>
        <v>0</v>
      </c>
      <c r="L46" s="119">
        <f t="shared" si="103"/>
        <v>0</v>
      </c>
      <c r="M46" s="119">
        <f t="shared" si="103"/>
        <v>0</v>
      </c>
      <c r="N46" s="119">
        <f t="shared" si="103"/>
        <v>0</v>
      </c>
      <c r="O46" s="119">
        <f t="shared" si="103"/>
        <v>0</v>
      </c>
      <c r="P46" s="119">
        <f t="shared" si="103"/>
        <v>0</v>
      </c>
      <c r="Q46" s="119">
        <f t="shared" si="103"/>
        <v>0</v>
      </c>
      <c r="R46" s="119">
        <f t="shared" si="103"/>
        <v>0</v>
      </c>
      <c r="S46" s="119">
        <f t="shared" si="103"/>
        <v>0</v>
      </c>
      <c r="T46" s="119">
        <f t="shared" si="103"/>
        <v>0</v>
      </c>
      <c r="U46" s="119">
        <f t="shared" si="103"/>
        <v>0</v>
      </c>
      <c r="V46" s="119">
        <f t="shared" si="103"/>
        <v>0</v>
      </c>
      <c r="W46" s="119">
        <f t="shared" si="103"/>
        <v>0</v>
      </c>
      <c r="X46" s="119">
        <f t="shared" si="103"/>
        <v>0</v>
      </c>
      <c r="Y46" s="119">
        <f t="shared" si="103"/>
        <v>0</v>
      </c>
      <c r="Z46" s="119">
        <f t="shared" si="103"/>
        <v>0</v>
      </c>
      <c r="AA46" s="119">
        <f t="shared" si="103"/>
        <v>0</v>
      </c>
      <c r="AB46" s="119">
        <f t="shared" si="103"/>
        <v>0</v>
      </c>
      <c r="AC46" s="119">
        <f t="shared" si="103"/>
        <v>0</v>
      </c>
      <c r="AD46" s="119">
        <f t="shared" si="103"/>
        <v>0</v>
      </c>
      <c r="AE46" s="119">
        <f t="shared" si="103"/>
        <v>0</v>
      </c>
      <c r="AF46" s="119">
        <f t="shared" si="103"/>
        <v>0</v>
      </c>
      <c r="AG46" s="119">
        <f t="shared" si="103"/>
        <v>0</v>
      </c>
      <c r="AH46" s="119">
        <f t="shared" si="103"/>
        <v>0</v>
      </c>
      <c r="AI46" s="119">
        <f t="shared" si="103"/>
        <v>0</v>
      </c>
      <c r="AJ46" s="119">
        <f t="shared" si="103"/>
        <v>0</v>
      </c>
      <c r="AK46" s="119">
        <f t="shared" si="103"/>
        <v>0</v>
      </c>
      <c r="AL46" s="119">
        <f t="shared" si="103"/>
        <v>0</v>
      </c>
      <c r="AM46" s="119">
        <f t="shared" si="103"/>
        <v>1</v>
      </c>
      <c r="AN46" s="119">
        <f t="shared" ref="AN46:BS46" si="104">(1+$F57)^(AN45-1)*AN42</f>
        <v>1</v>
      </c>
      <c r="AO46" s="119">
        <f t="shared" si="104"/>
        <v>1</v>
      </c>
      <c r="AP46" s="119">
        <f t="shared" si="104"/>
        <v>1</v>
      </c>
      <c r="AQ46" s="119">
        <f t="shared" si="104"/>
        <v>1</v>
      </c>
      <c r="AR46" s="119">
        <f t="shared" si="104"/>
        <v>1</v>
      </c>
      <c r="AS46" s="119">
        <f t="shared" si="104"/>
        <v>1</v>
      </c>
      <c r="AT46" s="119">
        <f t="shared" si="104"/>
        <v>1</v>
      </c>
      <c r="AU46" s="119">
        <f t="shared" si="104"/>
        <v>1</v>
      </c>
      <c r="AV46" s="119">
        <f t="shared" si="104"/>
        <v>1</v>
      </c>
      <c r="AW46" s="119">
        <f t="shared" si="104"/>
        <v>1</v>
      </c>
      <c r="AX46" s="119">
        <f t="shared" si="104"/>
        <v>1</v>
      </c>
      <c r="AY46" s="119">
        <f t="shared" si="104"/>
        <v>1.01</v>
      </c>
      <c r="AZ46" s="119">
        <f t="shared" si="104"/>
        <v>1.01</v>
      </c>
      <c r="BA46" s="119">
        <f t="shared" si="104"/>
        <v>1.01</v>
      </c>
      <c r="BB46" s="119">
        <f t="shared" si="104"/>
        <v>1.01</v>
      </c>
      <c r="BC46" s="119">
        <f t="shared" si="104"/>
        <v>1.01</v>
      </c>
      <c r="BD46" s="119">
        <f t="shared" si="104"/>
        <v>1.01</v>
      </c>
      <c r="BE46" s="119">
        <f t="shared" si="104"/>
        <v>1.01</v>
      </c>
      <c r="BF46" s="119">
        <f t="shared" si="104"/>
        <v>1.01</v>
      </c>
      <c r="BG46" s="119">
        <f t="shared" si="104"/>
        <v>1.01</v>
      </c>
      <c r="BH46" s="119">
        <f t="shared" si="104"/>
        <v>1.01</v>
      </c>
      <c r="BI46" s="119">
        <f t="shared" si="104"/>
        <v>1.01</v>
      </c>
      <c r="BJ46" s="119">
        <f t="shared" si="104"/>
        <v>1.01</v>
      </c>
      <c r="BK46" s="119">
        <f t="shared" si="104"/>
        <v>1.0201</v>
      </c>
      <c r="BL46" s="119">
        <f t="shared" si="104"/>
        <v>1.0201</v>
      </c>
      <c r="BM46" s="119">
        <f t="shared" si="104"/>
        <v>1.0201</v>
      </c>
      <c r="BN46" s="119">
        <f t="shared" si="104"/>
        <v>1.0201</v>
      </c>
      <c r="BO46" s="119">
        <f t="shared" si="104"/>
        <v>1.0201</v>
      </c>
      <c r="BP46" s="119">
        <f t="shared" si="104"/>
        <v>1.0201</v>
      </c>
      <c r="BQ46" s="119">
        <f t="shared" si="104"/>
        <v>0</v>
      </c>
      <c r="BR46" s="119">
        <f t="shared" si="104"/>
        <v>0</v>
      </c>
      <c r="BS46" s="119">
        <f t="shared" si="104"/>
        <v>0</v>
      </c>
      <c r="BT46" s="119">
        <f t="shared" ref="BT46:BY46" si="105">(1+$F57)^(BT45-1)*BT42</f>
        <v>0</v>
      </c>
      <c r="BU46" s="119">
        <f t="shared" si="105"/>
        <v>0</v>
      </c>
      <c r="BV46" s="119">
        <f t="shared" si="105"/>
        <v>0</v>
      </c>
      <c r="BW46" s="119">
        <f t="shared" si="105"/>
        <v>0</v>
      </c>
      <c r="BX46" s="119">
        <f t="shared" si="105"/>
        <v>0</v>
      </c>
      <c r="BY46" s="119">
        <f t="shared" si="105"/>
        <v>0</v>
      </c>
    </row>
    <row r="47" spans="3:77" s="11" customFormat="1" ht="13.5" customHeight="1">
      <c r="F47" s="11" t="s">
        <v>194</v>
      </c>
      <c r="H47" s="119">
        <f t="shared" ref="H47:AM47" si="106">(1+$F58)^(H45-1)*H42</f>
        <v>0</v>
      </c>
      <c r="I47" s="119">
        <f t="shared" si="106"/>
        <v>0</v>
      </c>
      <c r="J47" s="119">
        <f t="shared" si="106"/>
        <v>0</v>
      </c>
      <c r="K47" s="119">
        <f t="shared" si="106"/>
        <v>0</v>
      </c>
      <c r="L47" s="119">
        <f t="shared" si="106"/>
        <v>0</v>
      </c>
      <c r="M47" s="119">
        <f t="shared" si="106"/>
        <v>0</v>
      </c>
      <c r="N47" s="119">
        <f t="shared" si="106"/>
        <v>0</v>
      </c>
      <c r="O47" s="119">
        <f t="shared" si="106"/>
        <v>0</v>
      </c>
      <c r="P47" s="119">
        <f t="shared" si="106"/>
        <v>0</v>
      </c>
      <c r="Q47" s="119">
        <f t="shared" si="106"/>
        <v>0</v>
      </c>
      <c r="R47" s="119">
        <f t="shared" si="106"/>
        <v>0</v>
      </c>
      <c r="S47" s="119">
        <f t="shared" si="106"/>
        <v>0</v>
      </c>
      <c r="T47" s="119">
        <f t="shared" si="106"/>
        <v>0</v>
      </c>
      <c r="U47" s="119">
        <f t="shared" si="106"/>
        <v>0</v>
      </c>
      <c r="V47" s="119">
        <f t="shared" si="106"/>
        <v>0</v>
      </c>
      <c r="W47" s="119">
        <f t="shared" si="106"/>
        <v>0</v>
      </c>
      <c r="X47" s="119">
        <f t="shared" si="106"/>
        <v>0</v>
      </c>
      <c r="Y47" s="119">
        <f t="shared" si="106"/>
        <v>0</v>
      </c>
      <c r="Z47" s="119">
        <f t="shared" si="106"/>
        <v>0</v>
      </c>
      <c r="AA47" s="119">
        <f t="shared" si="106"/>
        <v>0</v>
      </c>
      <c r="AB47" s="119">
        <f t="shared" si="106"/>
        <v>0</v>
      </c>
      <c r="AC47" s="119">
        <f t="shared" si="106"/>
        <v>0</v>
      </c>
      <c r="AD47" s="119">
        <f t="shared" si="106"/>
        <v>0</v>
      </c>
      <c r="AE47" s="119">
        <f t="shared" si="106"/>
        <v>0</v>
      </c>
      <c r="AF47" s="119">
        <f t="shared" si="106"/>
        <v>0</v>
      </c>
      <c r="AG47" s="119">
        <f t="shared" si="106"/>
        <v>0</v>
      </c>
      <c r="AH47" s="119">
        <f t="shared" si="106"/>
        <v>0</v>
      </c>
      <c r="AI47" s="119">
        <f t="shared" si="106"/>
        <v>0</v>
      </c>
      <c r="AJ47" s="119">
        <f t="shared" si="106"/>
        <v>0</v>
      </c>
      <c r="AK47" s="119">
        <f t="shared" si="106"/>
        <v>0</v>
      </c>
      <c r="AL47" s="119">
        <f t="shared" si="106"/>
        <v>0</v>
      </c>
      <c r="AM47" s="119">
        <f t="shared" si="106"/>
        <v>1</v>
      </c>
      <c r="AN47" s="119">
        <f t="shared" ref="AN47:BS47" si="107">(1+$F58)^(AN45-1)*AN42</f>
        <v>1</v>
      </c>
      <c r="AO47" s="119">
        <f t="shared" si="107"/>
        <v>1</v>
      </c>
      <c r="AP47" s="119">
        <f t="shared" si="107"/>
        <v>1</v>
      </c>
      <c r="AQ47" s="119">
        <f t="shared" si="107"/>
        <v>1</v>
      </c>
      <c r="AR47" s="119">
        <f t="shared" si="107"/>
        <v>1</v>
      </c>
      <c r="AS47" s="119">
        <f t="shared" si="107"/>
        <v>1</v>
      </c>
      <c r="AT47" s="119">
        <f t="shared" si="107"/>
        <v>1</v>
      </c>
      <c r="AU47" s="119">
        <f t="shared" si="107"/>
        <v>1</v>
      </c>
      <c r="AV47" s="119">
        <f t="shared" si="107"/>
        <v>1</v>
      </c>
      <c r="AW47" s="119">
        <f t="shared" si="107"/>
        <v>1</v>
      </c>
      <c r="AX47" s="119">
        <f t="shared" si="107"/>
        <v>1</v>
      </c>
      <c r="AY47" s="119">
        <f t="shared" si="107"/>
        <v>1.01</v>
      </c>
      <c r="AZ47" s="119">
        <f t="shared" si="107"/>
        <v>1.01</v>
      </c>
      <c r="BA47" s="119">
        <f t="shared" si="107"/>
        <v>1.01</v>
      </c>
      <c r="BB47" s="119">
        <f t="shared" si="107"/>
        <v>1.01</v>
      </c>
      <c r="BC47" s="119">
        <f t="shared" si="107"/>
        <v>1.01</v>
      </c>
      <c r="BD47" s="119">
        <f t="shared" si="107"/>
        <v>1.01</v>
      </c>
      <c r="BE47" s="119">
        <f t="shared" si="107"/>
        <v>1.01</v>
      </c>
      <c r="BF47" s="119">
        <f t="shared" si="107"/>
        <v>1.01</v>
      </c>
      <c r="BG47" s="119">
        <f t="shared" si="107"/>
        <v>1.01</v>
      </c>
      <c r="BH47" s="119">
        <f t="shared" si="107"/>
        <v>1.01</v>
      </c>
      <c r="BI47" s="119">
        <f t="shared" si="107"/>
        <v>1.01</v>
      </c>
      <c r="BJ47" s="119">
        <f t="shared" si="107"/>
        <v>1.01</v>
      </c>
      <c r="BK47" s="119">
        <f t="shared" si="107"/>
        <v>1.0201</v>
      </c>
      <c r="BL47" s="119">
        <f t="shared" si="107"/>
        <v>1.0201</v>
      </c>
      <c r="BM47" s="119">
        <f t="shared" si="107"/>
        <v>1.0201</v>
      </c>
      <c r="BN47" s="119">
        <f t="shared" si="107"/>
        <v>1.0201</v>
      </c>
      <c r="BO47" s="119">
        <f t="shared" si="107"/>
        <v>1.0201</v>
      </c>
      <c r="BP47" s="119">
        <f t="shared" si="107"/>
        <v>1.0201</v>
      </c>
      <c r="BQ47" s="119">
        <f t="shared" si="107"/>
        <v>0</v>
      </c>
      <c r="BR47" s="119">
        <f t="shared" si="107"/>
        <v>0</v>
      </c>
      <c r="BS47" s="119">
        <f t="shared" si="107"/>
        <v>0</v>
      </c>
      <c r="BT47" s="119">
        <f t="shared" ref="BT47:BY47" si="108">(1+$F58)^(BT45-1)*BT42</f>
        <v>0</v>
      </c>
      <c r="BU47" s="119">
        <f t="shared" si="108"/>
        <v>0</v>
      </c>
      <c r="BV47" s="119">
        <f t="shared" si="108"/>
        <v>0</v>
      </c>
      <c r="BW47" s="119">
        <f t="shared" si="108"/>
        <v>0</v>
      </c>
      <c r="BX47" s="119">
        <f t="shared" si="108"/>
        <v>0</v>
      </c>
      <c r="BY47" s="119">
        <f t="shared" si="108"/>
        <v>0</v>
      </c>
    </row>
    <row r="48" spans="3:77" s="11" customFormat="1" ht="13.5" customHeight="1">
      <c r="F48" s="11" t="s">
        <v>195</v>
      </c>
      <c r="H48" s="11">
        <f t="shared" ref="H48:AM48" si="109">(H$14&gt;=$F49)*(H$14&lt;=$F52)*1</f>
        <v>0</v>
      </c>
      <c r="I48" s="11">
        <f t="shared" si="109"/>
        <v>0</v>
      </c>
      <c r="J48" s="11">
        <f t="shared" si="109"/>
        <v>0</v>
      </c>
      <c r="K48" s="11">
        <f t="shared" si="109"/>
        <v>0</v>
      </c>
      <c r="L48" s="11">
        <f t="shared" si="109"/>
        <v>0</v>
      </c>
      <c r="M48" s="11">
        <f t="shared" si="109"/>
        <v>0</v>
      </c>
      <c r="N48" s="11">
        <f t="shared" si="109"/>
        <v>0</v>
      </c>
      <c r="O48" s="11">
        <f t="shared" si="109"/>
        <v>0</v>
      </c>
      <c r="P48" s="11">
        <f t="shared" si="109"/>
        <v>0</v>
      </c>
      <c r="Q48" s="11">
        <f t="shared" si="109"/>
        <v>0</v>
      </c>
      <c r="R48" s="11">
        <f t="shared" si="109"/>
        <v>0</v>
      </c>
      <c r="S48" s="11">
        <f t="shared" si="109"/>
        <v>0</v>
      </c>
      <c r="T48" s="11">
        <f t="shared" si="109"/>
        <v>0</v>
      </c>
      <c r="U48" s="11">
        <f t="shared" si="109"/>
        <v>0</v>
      </c>
      <c r="V48" s="11">
        <f t="shared" si="109"/>
        <v>0</v>
      </c>
      <c r="W48" s="11">
        <f t="shared" si="109"/>
        <v>0</v>
      </c>
      <c r="X48" s="11">
        <f t="shared" si="109"/>
        <v>0</v>
      </c>
      <c r="Y48" s="11">
        <f t="shared" si="109"/>
        <v>0</v>
      </c>
      <c r="Z48" s="11">
        <f t="shared" si="109"/>
        <v>0</v>
      </c>
      <c r="AA48" s="11">
        <f t="shared" si="109"/>
        <v>0</v>
      </c>
      <c r="AB48" s="11">
        <f t="shared" si="109"/>
        <v>0</v>
      </c>
      <c r="AC48" s="11">
        <f t="shared" si="109"/>
        <v>0</v>
      </c>
      <c r="AD48" s="11">
        <f t="shared" si="109"/>
        <v>0</v>
      </c>
      <c r="AE48" s="11">
        <f t="shared" si="109"/>
        <v>0</v>
      </c>
      <c r="AF48" s="11">
        <f t="shared" si="109"/>
        <v>0</v>
      </c>
      <c r="AG48" s="11">
        <f t="shared" si="109"/>
        <v>0</v>
      </c>
      <c r="AH48" s="11">
        <f t="shared" si="109"/>
        <v>0</v>
      </c>
      <c r="AI48" s="11">
        <f t="shared" si="109"/>
        <v>0</v>
      </c>
      <c r="AJ48" s="11">
        <f t="shared" si="109"/>
        <v>0</v>
      </c>
      <c r="AK48" s="11">
        <f t="shared" si="109"/>
        <v>0</v>
      </c>
      <c r="AL48" s="11">
        <f t="shared" si="109"/>
        <v>0</v>
      </c>
      <c r="AM48" s="11">
        <f t="shared" si="109"/>
        <v>1</v>
      </c>
      <c r="AN48" s="11">
        <f t="shared" ref="AN48:BS48" si="110">(AN$14&gt;=$F49)*(AN$14&lt;=$F52)*1</f>
        <v>0</v>
      </c>
      <c r="AO48" s="11">
        <f t="shared" si="110"/>
        <v>0</v>
      </c>
      <c r="AP48" s="11">
        <f t="shared" si="110"/>
        <v>0</v>
      </c>
      <c r="AQ48" s="11">
        <f t="shared" si="110"/>
        <v>0</v>
      </c>
      <c r="AR48" s="11">
        <f t="shared" si="110"/>
        <v>0</v>
      </c>
      <c r="AS48" s="11">
        <f t="shared" si="110"/>
        <v>0</v>
      </c>
      <c r="AT48" s="11">
        <f t="shared" si="110"/>
        <v>0</v>
      </c>
      <c r="AU48" s="11">
        <f t="shared" si="110"/>
        <v>0</v>
      </c>
      <c r="AV48" s="11">
        <f t="shared" si="110"/>
        <v>0</v>
      </c>
      <c r="AW48" s="11">
        <f t="shared" si="110"/>
        <v>0</v>
      </c>
      <c r="AX48" s="11">
        <f t="shared" si="110"/>
        <v>0</v>
      </c>
      <c r="AY48" s="11">
        <f t="shared" si="110"/>
        <v>0</v>
      </c>
      <c r="AZ48" s="11">
        <f t="shared" si="110"/>
        <v>0</v>
      </c>
      <c r="BA48" s="11">
        <f t="shared" si="110"/>
        <v>0</v>
      </c>
      <c r="BB48" s="11">
        <f t="shared" si="110"/>
        <v>0</v>
      </c>
      <c r="BC48" s="11">
        <f t="shared" si="110"/>
        <v>0</v>
      </c>
      <c r="BD48" s="11">
        <f t="shared" si="110"/>
        <v>0</v>
      </c>
      <c r="BE48" s="11">
        <f t="shared" si="110"/>
        <v>0</v>
      </c>
      <c r="BF48" s="11">
        <f t="shared" si="110"/>
        <v>0</v>
      </c>
      <c r="BG48" s="11">
        <f t="shared" si="110"/>
        <v>0</v>
      </c>
      <c r="BH48" s="11">
        <f t="shared" si="110"/>
        <v>0</v>
      </c>
      <c r="BI48" s="11">
        <f t="shared" si="110"/>
        <v>0</v>
      </c>
      <c r="BJ48" s="11">
        <f t="shared" si="110"/>
        <v>0</v>
      </c>
      <c r="BK48" s="11">
        <f t="shared" si="110"/>
        <v>0</v>
      </c>
      <c r="BL48" s="11">
        <f t="shared" si="110"/>
        <v>0</v>
      </c>
      <c r="BM48" s="11">
        <f t="shared" si="110"/>
        <v>0</v>
      </c>
      <c r="BN48" s="11">
        <f t="shared" si="110"/>
        <v>0</v>
      </c>
      <c r="BO48" s="11">
        <f t="shared" si="110"/>
        <v>0</v>
      </c>
      <c r="BP48" s="11">
        <f t="shared" si="110"/>
        <v>0</v>
      </c>
      <c r="BQ48" s="11">
        <f t="shared" si="110"/>
        <v>0</v>
      </c>
      <c r="BR48" s="11">
        <f t="shared" si="110"/>
        <v>0</v>
      </c>
      <c r="BS48" s="11">
        <f t="shared" si="110"/>
        <v>0</v>
      </c>
      <c r="BT48" s="11">
        <f t="shared" ref="BT48:BY48" si="111">(BT$14&gt;=$F49)*(BT$14&lt;=$F52)*1</f>
        <v>0</v>
      </c>
      <c r="BU48" s="11">
        <f t="shared" si="111"/>
        <v>0</v>
      </c>
      <c r="BV48" s="11">
        <f t="shared" si="111"/>
        <v>0</v>
      </c>
      <c r="BW48" s="11">
        <f t="shared" si="111"/>
        <v>0</v>
      </c>
      <c r="BX48" s="11">
        <f t="shared" si="111"/>
        <v>0</v>
      </c>
      <c r="BY48" s="11">
        <f t="shared" si="111"/>
        <v>0</v>
      </c>
    </row>
    <row r="49" spans="4:77" ht="13.5" customHeight="1">
      <c r="E49" s="95" t="s">
        <v>184</v>
      </c>
      <c r="F49" s="100">
        <f>EOMONTH(F20,VLOOKUP(B17,'A&amp;R'!$Q$12:$AC$16,4,0)+1)</f>
        <v>45230</v>
      </c>
    </row>
    <row r="50" spans="4:77" ht="13.5" customHeight="1">
      <c r="E50" s="96" t="s">
        <v>185</v>
      </c>
      <c r="F50" s="97">
        <f ca="1">VLOOKUP(B17,'A&amp;R'!$Q$12:$AC$16,7,0)</f>
        <v>25000</v>
      </c>
    </row>
    <row r="51" spans="4:77" ht="13.5" customHeight="1">
      <c r="E51" s="96" t="s">
        <v>186</v>
      </c>
      <c r="F51" s="97">
        <f>VLOOKUP(B17,'A&amp;R'!$Q$12:$AC$16,5,0)</f>
        <v>1</v>
      </c>
    </row>
    <row r="52" spans="4:77" ht="13.5" customHeight="1">
      <c r="E52" s="96" t="s">
        <v>190</v>
      </c>
      <c r="F52" s="117">
        <f>EOMONTH(F49,F51-1)</f>
        <v>45230</v>
      </c>
    </row>
    <row r="53" spans="4:77" ht="13.5" customHeight="1">
      <c r="E53" s="96" t="s">
        <v>187</v>
      </c>
      <c r="F53" s="97">
        <f>VLOOKUP(B17,'A&amp;R'!$Q$12:$AC$16,6,0)</f>
        <v>1</v>
      </c>
    </row>
    <row r="54" spans="4:77" ht="13.5" customHeight="1">
      <c r="E54" s="96" t="s">
        <v>72</v>
      </c>
      <c r="F54" s="97">
        <f ca="1">VLOOKUP(B17,'A&amp;R'!$Q$12:$AC$16,3,0)</f>
        <v>1687</v>
      </c>
    </row>
    <row r="55" spans="4:77" ht="13.5" customHeight="1">
      <c r="E55" s="96" t="s">
        <v>159</v>
      </c>
      <c r="F55" s="97">
        <f>VLOOKUP(B17,'A&amp;R'!$Q$12:$AC$16,8,0)</f>
        <v>2000</v>
      </c>
    </row>
    <row r="56" spans="4:77" ht="13.5" customHeight="1">
      <c r="E56" s="96" t="s">
        <v>76</v>
      </c>
      <c r="F56" s="97">
        <f ca="1">VLOOKUP(B17,'A&amp;R'!$Q$12:$AC$17,11,0)</f>
        <v>253.04999999999998</v>
      </c>
    </row>
    <row r="57" spans="4:77" ht="13.5" customHeight="1">
      <c r="E57" s="96" t="s">
        <v>188</v>
      </c>
      <c r="F57" s="115">
        <f>VLOOKUP(B17,'A&amp;R'!$Q$12:$AC$16,9,0)</f>
        <v>0.01</v>
      </c>
    </row>
    <row r="58" spans="4:77" ht="13.5" customHeight="1">
      <c r="E58" s="98" t="s">
        <v>189</v>
      </c>
      <c r="F58" s="116">
        <f>VLOOKUP(B17,'A&amp;R'!$Q$12:$AC$16,10,0)</f>
        <v>0.01</v>
      </c>
    </row>
    <row r="59" spans="4:77" ht="13.5" customHeight="1">
      <c r="D59" s="1" t="s">
        <v>161</v>
      </c>
    </row>
    <row r="60" spans="4:77" ht="13.5" customHeight="1">
      <c r="E60" s="30" t="s">
        <v>162</v>
      </c>
      <c r="F60" s="41"/>
      <c r="G60" s="41"/>
      <c r="H60" s="41">
        <f ca="1">IF(H48=1,0,H42*$F50*H46)</f>
        <v>0</v>
      </c>
      <c r="I60" s="41">
        <f t="shared" ref="I60:BT60" ca="1" si="112">IF(I48=1,0,I42*$F50*I46)</f>
        <v>0</v>
      </c>
      <c r="J60" s="41">
        <f t="shared" ca="1" si="112"/>
        <v>0</v>
      </c>
      <c r="K60" s="41">
        <f t="shared" ca="1" si="112"/>
        <v>0</v>
      </c>
      <c r="L60" s="41">
        <f t="shared" ca="1" si="112"/>
        <v>0</v>
      </c>
      <c r="M60" s="41">
        <f t="shared" ca="1" si="112"/>
        <v>0</v>
      </c>
      <c r="N60" s="41">
        <f t="shared" ca="1" si="112"/>
        <v>0</v>
      </c>
      <c r="O60" s="41">
        <f t="shared" ca="1" si="112"/>
        <v>0</v>
      </c>
      <c r="P60" s="41">
        <f t="shared" ca="1" si="112"/>
        <v>0</v>
      </c>
      <c r="Q60" s="41">
        <f t="shared" ca="1" si="112"/>
        <v>0</v>
      </c>
      <c r="R60" s="41">
        <f t="shared" ca="1" si="112"/>
        <v>0</v>
      </c>
      <c r="S60" s="41">
        <f t="shared" ca="1" si="112"/>
        <v>0</v>
      </c>
      <c r="T60" s="41">
        <f t="shared" ca="1" si="112"/>
        <v>0</v>
      </c>
      <c r="U60" s="41">
        <f t="shared" ca="1" si="112"/>
        <v>0</v>
      </c>
      <c r="V60" s="41">
        <f t="shared" ca="1" si="112"/>
        <v>0</v>
      </c>
      <c r="W60" s="41">
        <f t="shared" ca="1" si="112"/>
        <v>0</v>
      </c>
      <c r="X60" s="41">
        <f t="shared" ca="1" si="112"/>
        <v>0</v>
      </c>
      <c r="Y60" s="41">
        <f t="shared" ca="1" si="112"/>
        <v>0</v>
      </c>
      <c r="Z60" s="41">
        <f t="shared" ca="1" si="112"/>
        <v>0</v>
      </c>
      <c r="AA60" s="41">
        <f t="shared" ca="1" si="112"/>
        <v>0</v>
      </c>
      <c r="AB60" s="41">
        <f t="shared" ca="1" si="112"/>
        <v>0</v>
      </c>
      <c r="AC60" s="41">
        <f t="shared" ca="1" si="112"/>
        <v>0</v>
      </c>
      <c r="AD60" s="41">
        <f t="shared" ca="1" si="112"/>
        <v>0</v>
      </c>
      <c r="AE60" s="41">
        <f t="shared" ca="1" si="112"/>
        <v>0</v>
      </c>
      <c r="AF60" s="41">
        <f t="shared" ca="1" si="112"/>
        <v>0</v>
      </c>
      <c r="AG60" s="41">
        <f t="shared" ca="1" si="112"/>
        <v>0</v>
      </c>
      <c r="AH60" s="41">
        <f t="shared" ca="1" si="112"/>
        <v>0</v>
      </c>
      <c r="AI60" s="41">
        <f t="shared" ca="1" si="112"/>
        <v>0</v>
      </c>
      <c r="AJ60" s="41">
        <f t="shared" ca="1" si="112"/>
        <v>0</v>
      </c>
      <c r="AK60" s="41">
        <f t="shared" ca="1" si="112"/>
        <v>0</v>
      </c>
      <c r="AL60" s="41">
        <f t="shared" ca="1" si="112"/>
        <v>0</v>
      </c>
      <c r="AM60" s="41">
        <f t="shared" si="112"/>
        <v>0</v>
      </c>
      <c r="AN60" s="41">
        <f t="shared" ca="1" si="112"/>
        <v>25000</v>
      </c>
      <c r="AO60" s="41">
        <f t="shared" ca="1" si="112"/>
        <v>25000</v>
      </c>
      <c r="AP60" s="41">
        <f t="shared" ca="1" si="112"/>
        <v>25000</v>
      </c>
      <c r="AQ60" s="41">
        <f t="shared" ca="1" si="112"/>
        <v>25000</v>
      </c>
      <c r="AR60" s="41">
        <f t="shared" ca="1" si="112"/>
        <v>25000</v>
      </c>
      <c r="AS60" s="41">
        <f t="shared" ca="1" si="112"/>
        <v>25000</v>
      </c>
      <c r="AT60" s="41">
        <f t="shared" ca="1" si="112"/>
        <v>25000</v>
      </c>
      <c r="AU60" s="41">
        <f t="shared" ca="1" si="112"/>
        <v>25000</v>
      </c>
      <c r="AV60" s="41">
        <f t="shared" ca="1" si="112"/>
        <v>25000</v>
      </c>
      <c r="AW60" s="41">
        <f t="shared" ca="1" si="112"/>
        <v>25000</v>
      </c>
      <c r="AX60" s="41">
        <f t="shared" ca="1" si="112"/>
        <v>25000</v>
      </c>
      <c r="AY60" s="41">
        <f t="shared" ca="1" si="112"/>
        <v>25250</v>
      </c>
      <c r="AZ60" s="41">
        <f t="shared" ca="1" si="112"/>
        <v>25250</v>
      </c>
      <c r="BA60" s="41">
        <f t="shared" ca="1" si="112"/>
        <v>25250</v>
      </c>
      <c r="BB60" s="41">
        <f t="shared" ca="1" si="112"/>
        <v>25250</v>
      </c>
      <c r="BC60" s="41">
        <f t="shared" ca="1" si="112"/>
        <v>25250</v>
      </c>
      <c r="BD60" s="41">
        <f t="shared" ca="1" si="112"/>
        <v>25250</v>
      </c>
      <c r="BE60" s="41">
        <f t="shared" ca="1" si="112"/>
        <v>25250</v>
      </c>
      <c r="BF60" s="41">
        <f t="shared" ca="1" si="112"/>
        <v>25250</v>
      </c>
      <c r="BG60" s="41">
        <f t="shared" ca="1" si="112"/>
        <v>25250</v>
      </c>
      <c r="BH60" s="41">
        <f t="shared" ca="1" si="112"/>
        <v>25250</v>
      </c>
      <c r="BI60" s="41">
        <f t="shared" ca="1" si="112"/>
        <v>25250</v>
      </c>
      <c r="BJ60" s="41">
        <f t="shared" ca="1" si="112"/>
        <v>25250</v>
      </c>
      <c r="BK60" s="41">
        <f t="shared" ca="1" si="112"/>
        <v>25502.5</v>
      </c>
      <c r="BL60" s="41">
        <f t="shared" ca="1" si="112"/>
        <v>25502.5</v>
      </c>
      <c r="BM60" s="41">
        <f t="shared" ca="1" si="112"/>
        <v>25502.5</v>
      </c>
      <c r="BN60" s="41">
        <f t="shared" ca="1" si="112"/>
        <v>25502.5</v>
      </c>
      <c r="BO60" s="41">
        <f t="shared" ca="1" si="112"/>
        <v>25502.5</v>
      </c>
      <c r="BP60" s="41">
        <f t="shared" ca="1" si="112"/>
        <v>25502.5</v>
      </c>
      <c r="BQ60" s="41">
        <f t="shared" ca="1" si="112"/>
        <v>0</v>
      </c>
      <c r="BR60" s="41">
        <f t="shared" ca="1" si="112"/>
        <v>0</v>
      </c>
      <c r="BS60" s="41">
        <f t="shared" ca="1" si="112"/>
        <v>0</v>
      </c>
      <c r="BT60" s="41">
        <f t="shared" ca="1" si="112"/>
        <v>0</v>
      </c>
      <c r="BU60" s="41">
        <f t="shared" ref="BU60:BY60" ca="1" si="113">IF(BU48=1,0,BU42*$F50*BU46)</f>
        <v>0</v>
      </c>
      <c r="BV60" s="41">
        <f t="shared" ca="1" si="113"/>
        <v>0</v>
      </c>
      <c r="BW60" s="41">
        <f t="shared" ca="1" si="113"/>
        <v>0</v>
      </c>
      <c r="BX60" s="41">
        <f t="shared" ca="1" si="113"/>
        <v>0</v>
      </c>
      <c r="BY60" s="41">
        <f t="shared" ca="1" si="113"/>
        <v>0</v>
      </c>
    </row>
    <row r="61" spans="4:77" ht="13.5" customHeight="1">
      <c r="E61" s="36" t="s">
        <v>163</v>
      </c>
      <c r="F61" s="42"/>
      <c r="G61" s="42"/>
      <c r="H61" s="42">
        <f ca="1">H60*((12-$F53)/12)</f>
        <v>0</v>
      </c>
      <c r="I61" s="42">
        <f t="shared" ref="I61:BT61" ca="1" si="114">I60*((12-$F53)/12)</f>
        <v>0</v>
      </c>
      <c r="J61" s="42">
        <f t="shared" ca="1" si="114"/>
        <v>0</v>
      </c>
      <c r="K61" s="42">
        <f t="shared" ca="1" si="114"/>
        <v>0</v>
      </c>
      <c r="L61" s="42">
        <f t="shared" ca="1" si="114"/>
        <v>0</v>
      </c>
      <c r="M61" s="42">
        <f t="shared" ca="1" si="114"/>
        <v>0</v>
      </c>
      <c r="N61" s="42">
        <f t="shared" ca="1" si="114"/>
        <v>0</v>
      </c>
      <c r="O61" s="42">
        <f t="shared" ca="1" si="114"/>
        <v>0</v>
      </c>
      <c r="P61" s="42">
        <f t="shared" ca="1" si="114"/>
        <v>0</v>
      </c>
      <c r="Q61" s="42">
        <f t="shared" ca="1" si="114"/>
        <v>0</v>
      </c>
      <c r="R61" s="42">
        <f t="shared" ca="1" si="114"/>
        <v>0</v>
      </c>
      <c r="S61" s="42">
        <f t="shared" ca="1" si="114"/>
        <v>0</v>
      </c>
      <c r="T61" s="42">
        <f t="shared" ca="1" si="114"/>
        <v>0</v>
      </c>
      <c r="U61" s="42">
        <f t="shared" ca="1" si="114"/>
        <v>0</v>
      </c>
      <c r="V61" s="42">
        <f t="shared" ca="1" si="114"/>
        <v>0</v>
      </c>
      <c r="W61" s="42">
        <f t="shared" ca="1" si="114"/>
        <v>0</v>
      </c>
      <c r="X61" s="42">
        <f t="shared" ca="1" si="114"/>
        <v>0</v>
      </c>
      <c r="Y61" s="42">
        <f t="shared" ca="1" si="114"/>
        <v>0</v>
      </c>
      <c r="Z61" s="42">
        <f t="shared" ca="1" si="114"/>
        <v>0</v>
      </c>
      <c r="AA61" s="42">
        <f t="shared" ca="1" si="114"/>
        <v>0</v>
      </c>
      <c r="AB61" s="42">
        <f t="shared" ca="1" si="114"/>
        <v>0</v>
      </c>
      <c r="AC61" s="42">
        <f t="shared" ca="1" si="114"/>
        <v>0</v>
      </c>
      <c r="AD61" s="42">
        <f t="shared" ca="1" si="114"/>
        <v>0</v>
      </c>
      <c r="AE61" s="42">
        <f t="shared" ca="1" si="114"/>
        <v>0</v>
      </c>
      <c r="AF61" s="42">
        <f t="shared" ca="1" si="114"/>
        <v>0</v>
      </c>
      <c r="AG61" s="42">
        <f t="shared" ca="1" si="114"/>
        <v>0</v>
      </c>
      <c r="AH61" s="42">
        <f t="shared" ca="1" si="114"/>
        <v>0</v>
      </c>
      <c r="AI61" s="42">
        <f t="shared" ca="1" si="114"/>
        <v>0</v>
      </c>
      <c r="AJ61" s="42">
        <f t="shared" ca="1" si="114"/>
        <v>0</v>
      </c>
      <c r="AK61" s="42">
        <f t="shared" ca="1" si="114"/>
        <v>0</v>
      </c>
      <c r="AL61" s="42">
        <f t="shared" ca="1" si="114"/>
        <v>0</v>
      </c>
      <c r="AM61" s="42">
        <f t="shared" si="114"/>
        <v>0</v>
      </c>
      <c r="AN61" s="42">
        <f t="shared" ca="1" si="114"/>
        <v>22916.666666666664</v>
      </c>
      <c r="AO61" s="42">
        <f t="shared" ca="1" si="114"/>
        <v>22916.666666666664</v>
      </c>
      <c r="AP61" s="42">
        <f t="shared" ca="1" si="114"/>
        <v>22916.666666666664</v>
      </c>
      <c r="AQ61" s="42">
        <f t="shared" ca="1" si="114"/>
        <v>22916.666666666664</v>
      </c>
      <c r="AR61" s="42">
        <f t="shared" ca="1" si="114"/>
        <v>22916.666666666664</v>
      </c>
      <c r="AS61" s="42">
        <f t="shared" ca="1" si="114"/>
        <v>22916.666666666664</v>
      </c>
      <c r="AT61" s="42">
        <f t="shared" ca="1" si="114"/>
        <v>22916.666666666664</v>
      </c>
      <c r="AU61" s="42">
        <f t="shared" ca="1" si="114"/>
        <v>22916.666666666664</v>
      </c>
      <c r="AV61" s="42">
        <f t="shared" ca="1" si="114"/>
        <v>22916.666666666664</v>
      </c>
      <c r="AW61" s="42">
        <f t="shared" ca="1" si="114"/>
        <v>22916.666666666664</v>
      </c>
      <c r="AX61" s="42">
        <f t="shared" ca="1" si="114"/>
        <v>22916.666666666664</v>
      </c>
      <c r="AY61" s="42">
        <f t="shared" ca="1" si="114"/>
        <v>23145.833333333332</v>
      </c>
      <c r="AZ61" s="42">
        <f t="shared" ca="1" si="114"/>
        <v>23145.833333333332</v>
      </c>
      <c r="BA61" s="42">
        <f t="shared" ca="1" si="114"/>
        <v>23145.833333333332</v>
      </c>
      <c r="BB61" s="42">
        <f t="shared" ca="1" si="114"/>
        <v>23145.833333333332</v>
      </c>
      <c r="BC61" s="42">
        <f t="shared" ca="1" si="114"/>
        <v>23145.833333333332</v>
      </c>
      <c r="BD61" s="42">
        <f t="shared" ca="1" si="114"/>
        <v>23145.833333333332</v>
      </c>
      <c r="BE61" s="42">
        <f t="shared" ca="1" si="114"/>
        <v>23145.833333333332</v>
      </c>
      <c r="BF61" s="42">
        <f t="shared" ca="1" si="114"/>
        <v>23145.833333333332</v>
      </c>
      <c r="BG61" s="42">
        <f t="shared" ca="1" si="114"/>
        <v>23145.833333333332</v>
      </c>
      <c r="BH61" s="42">
        <f t="shared" ca="1" si="114"/>
        <v>23145.833333333332</v>
      </c>
      <c r="BI61" s="42">
        <f t="shared" ca="1" si="114"/>
        <v>23145.833333333332</v>
      </c>
      <c r="BJ61" s="42">
        <f t="shared" ca="1" si="114"/>
        <v>23145.833333333332</v>
      </c>
      <c r="BK61" s="42">
        <f t="shared" ca="1" si="114"/>
        <v>23377.291666666664</v>
      </c>
      <c r="BL61" s="42">
        <f t="shared" ca="1" si="114"/>
        <v>23377.291666666664</v>
      </c>
      <c r="BM61" s="42">
        <f t="shared" ca="1" si="114"/>
        <v>23377.291666666664</v>
      </c>
      <c r="BN61" s="42">
        <f t="shared" ca="1" si="114"/>
        <v>23377.291666666664</v>
      </c>
      <c r="BO61" s="42">
        <f t="shared" ca="1" si="114"/>
        <v>23377.291666666664</v>
      </c>
      <c r="BP61" s="42">
        <f t="shared" ca="1" si="114"/>
        <v>23377.291666666664</v>
      </c>
      <c r="BQ61" s="42">
        <f t="shared" ca="1" si="114"/>
        <v>0</v>
      </c>
      <c r="BR61" s="42">
        <f t="shared" ca="1" si="114"/>
        <v>0</v>
      </c>
      <c r="BS61" s="42">
        <f t="shared" ca="1" si="114"/>
        <v>0</v>
      </c>
      <c r="BT61" s="42">
        <f t="shared" ca="1" si="114"/>
        <v>0</v>
      </c>
      <c r="BU61" s="42">
        <f t="shared" ref="BU61:BY61" ca="1" si="115">BU60*((12-$F53)/12)</f>
        <v>0</v>
      </c>
      <c r="BV61" s="42">
        <f t="shared" ca="1" si="115"/>
        <v>0</v>
      </c>
      <c r="BW61" s="42">
        <f t="shared" ca="1" si="115"/>
        <v>0</v>
      </c>
      <c r="BX61" s="42">
        <f t="shared" ca="1" si="115"/>
        <v>0</v>
      </c>
      <c r="BY61" s="42">
        <f t="shared" ca="1" si="115"/>
        <v>0</v>
      </c>
    </row>
    <row r="62" spans="4:77" ht="13.5" customHeight="1">
      <c r="D62" s="101" t="s">
        <v>164</v>
      </c>
      <c r="E62" s="101"/>
      <c r="F62" s="101"/>
      <c r="G62" s="101"/>
      <c r="H62" s="101">
        <f t="shared" ref="H62:AM62" ca="1" si="116">H61*$F54/unit</f>
        <v>0</v>
      </c>
      <c r="I62" s="101">
        <f t="shared" ca="1" si="116"/>
        <v>0</v>
      </c>
      <c r="J62" s="101">
        <f t="shared" ca="1" si="116"/>
        <v>0</v>
      </c>
      <c r="K62" s="101">
        <f t="shared" ca="1" si="116"/>
        <v>0</v>
      </c>
      <c r="L62" s="101">
        <f t="shared" ca="1" si="116"/>
        <v>0</v>
      </c>
      <c r="M62" s="101">
        <f t="shared" ca="1" si="116"/>
        <v>0</v>
      </c>
      <c r="N62" s="101">
        <f t="shared" ca="1" si="116"/>
        <v>0</v>
      </c>
      <c r="O62" s="101">
        <f t="shared" ca="1" si="116"/>
        <v>0</v>
      </c>
      <c r="P62" s="101">
        <f t="shared" ca="1" si="116"/>
        <v>0</v>
      </c>
      <c r="Q62" s="101">
        <f t="shared" ca="1" si="116"/>
        <v>0</v>
      </c>
      <c r="R62" s="101">
        <f t="shared" ca="1" si="116"/>
        <v>0</v>
      </c>
      <c r="S62" s="101">
        <f t="shared" ca="1" si="116"/>
        <v>0</v>
      </c>
      <c r="T62" s="101">
        <f t="shared" ca="1" si="116"/>
        <v>0</v>
      </c>
      <c r="U62" s="101">
        <f t="shared" ca="1" si="116"/>
        <v>0</v>
      </c>
      <c r="V62" s="101">
        <f t="shared" ca="1" si="116"/>
        <v>0</v>
      </c>
      <c r="W62" s="101">
        <f t="shared" ca="1" si="116"/>
        <v>0</v>
      </c>
      <c r="X62" s="101">
        <f t="shared" ca="1" si="116"/>
        <v>0</v>
      </c>
      <c r="Y62" s="101">
        <f t="shared" ca="1" si="116"/>
        <v>0</v>
      </c>
      <c r="Z62" s="101">
        <f t="shared" ca="1" si="116"/>
        <v>0</v>
      </c>
      <c r="AA62" s="101">
        <f t="shared" ca="1" si="116"/>
        <v>0</v>
      </c>
      <c r="AB62" s="101">
        <f t="shared" ca="1" si="116"/>
        <v>0</v>
      </c>
      <c r="AC62" s="101">
        <f t="shared" ca="1" si="116"/>
        <v>0</v>
      </c>
      <c r="AD62" s="101">
        <f t="shared" ca="1" si="116"/>
        <v>0</v>
      </c>
      <c r="AE62" s="101">
        <f t="shared" ca="1" si="116"/>
        <v>0</v>
      </c>
      <c r="AF62" s="101">
        <f t="shared" ca="1" si="116"/>
        <v>0</v>
      </c>
      <c r="AG62" s="101">
        <f t="shared" ca="1" si="116"/>
        <v>0</v>
      </c>
      <c r="AH62" s="101">
        <f t="shared" ca="1" si="116"/>
        <v>0</v>
      </c>
      <c r="AI62" s="101">
        <f t="shared" ca="1" si="116"/>
        <v>0</v>
      </c>
      <c r="AJ62" s="101">
        <f t="shared" ca="1" si="116"/>
        <v>0</v>
      </c>
      <c r="AK62" s="101">
        <f t="shared" ca="1" si="116"/>
        <v>0</v>
      </c>
      <c r="AL62" s="101">
        <f t="shared" ca="1" si="116"/>
        <v>0</v>
      </c>
      <c r="AM62" s="101">
        <f t="shared" ca="1" si="116"/>
        <v>0</v>
      </c>
      <c r="AN62" s="101">
        <f t="shared" ref="AN62:BS62" ca="1" si="117">AN61*$F54/unit</f>
        <v>38.660416666666663</v>
      </c>
      <c r="AO62" s="101">
        <f t="shared" ca="1" si="117"/>
        <v>38.660416666666663</v>
      </c>
      <c r="AP62" s="101">
        <f t="shared" ca="1" si="117"/>
        <v>38.660416666666663</v>
      </c>
      <c r="AQ62" s="101">
        <f t="shared" ca="1" si="117"/>
        <v>38.660416666666663</v>
      </c>
      <c r="AR62" s="101">
        <f t="shared" ca="1" si="117"/>
        <v>38.660416666666663</v>
      </c>
      <c r="AS62" s="101">
        <f t="shared" ca="1" si="117"/>
        <v>38.660416666666663</v>
      </c>
      <c r="AT62" s="101">
        <f t="shared" ca="1" si="117"/>
        <v>38.660416666666663</v>
      </c>
      <c r="AU62" s="101">
        <f t="shared" ca="1" si="117"/>
        <v>38.660416666666663</v>
      </c>
      <c r="AV62" s="101">
        <f t="shared" ca="1" si="117"/>
        <v>38.660416666666663</v>
      </c>
      <c r="AW62" s="101">
        <f t="shared" ca="1" si="117"/>
        <v>38.660416666666663</v>
      </c>
      <c r="AX62" s="101">
        <f t="shared" ca="1" si="117"/>
        <v>38.660416666666663</v>
      </c>
      <c r="AY62" s="101">
        <f t="shared" ca="1" si="117"/>
        <v>39.047020833333328</v>
      </c>
      <c r="AZ62" s="101">
        <f t="shared" ca="1" si="117"/>
        <v>39.047020833333328</v>
      </c>
      <c r="BA62" s="101">
        <f t="shared" ca="1" si="117"/>
        <v>39.047020833333328</v>
      </c>
      <c r="BB62" s="101">
        <f t="shared" ca="1" si="117"/>
        <v>39.047020833333328</v>
      </c>
      <c r="BC62" s="101">
        <f t="shared" ca="1" si="117"/>
        <v>39.047020833333328</v>
      </c>
      <c r="BD62" s="101">
        <f t="shared" ca="1" si="117"/>
        <v>39.047020833333328</v>
      </c>
      <c r="BE62" s="101">
        <f t="shared" ca="1" si="117"/>
        <v>39.047020833333328</v>
      </c>
      <c r="BF62" s="101">
        <f t="shared" ca="1" si="117"/>
        <v>39.047020833333328</v>
      </c>
      <c r="BG62" s="101">
        <f t="shared" ca="1" si="117"/>
        <v>39.047020833333328</v>
      </c>
      <c r="BH62" s="101">
        <f t="shared" ca="1" si="117"/>
        <v>39.047020833333328</v>
      </c>
      <c r="BI62" s="101">
        <f t="shared" ca="1" si="117"/>
        <v>39.047020833333328</v>
      </c>
      <c r="BJ62" s="101">
        <f t="shared" ca="1" si="117"/>
        <v>39.047020833333328</v>
      </c>
      <c r="BK62" s="101">
        <f t="shared" ca="1" si="117"/>
        <v>39.437491041666661</v>
      </c>
      <c r="BL62" s="101">
        <f t="shared" ca="1" si="117"/>
        <v>39.437491041666661</v>
      </c>
      <c r="BM62" s="101">
        <f t="shared" ca="1" si="117"/>
        <v>39.437491041666661</v>
      </c>
      <c r="BN62" s="101">
        <f t="shared" ca="1" si="117"/>
        <v>39.437491041666661</v>
      </c>
      <c r="BO62" s="101">
        <f t="shared" ca="1" si="117"/>
        <v>39.437491041666661</v>
      </c>
      <c r="BP62" s="101">
        <f t="shared" ca="1" si="117"/>
        <v>39.437491041666661</v>
      </c>
      <c r="BQ62" s="101">
        <f t="shared" ca="1" si="117"/>
        <v>0</v>
      </c>
      <c r="BR62" s="101">
        <f t="shared" ca="1" si="117"/>
        <v>0</v>
      </c>
      <c r="BS62" s="101">
        <f t="shared" ca="1" si="117"/>
        <v>0</v>
      </c>
      <c r="BT62" s="101">
        <f t="shared" ref="BT62:BY62" ca="1" si="118">BT61*$F54/unit</f>
        <v>0</v>
      </c>
      <c r="BU62" s="101">
        <f t="shared" ca="1" si="118"/>
        <v>0</v>
      </c>
      <c r="BV62" s="101">
        <f t="shared" ca="1" si="118"/>
        <v>0</v>
      </c>
      <c r="BW62" s="101">
        <f t="shared" ca="1" si="118"/>
        <v>0</v>
      </c>
      <c r="BX62" s="101">
        <f t="shared" ca="1" si="118"/>
        <v>0</v>
      </c>
      <c r="BY62" s="101">
        <f t="shared" ca="1" si="118"/>
        <v>0</v>
      </c>
    </row>
    <row r="64" spans="4:77" ht="13.5" customHeight="1">
      <c r="D64" s="1" t="s">
        <v>165</v>
      </c>
    </row>
    <row r="65" spans="2:77" ht="13.5" customHeight="1">
      <c r="E65" s="25" t="s">
        <v>166</v>
      </c>
      <c r="F65" s="51"/>
      <c r="G65" s="51"/>
      <c r="H65" s="51">
        <f>$F55*H42*H47</f>
        <v>0</v>
      </c>
      <c r="I65" s="51">
        <f t="shared" ref="I65:BT65" si="119">$F55*I42*I47</f>
        <v>0</v>
      </c>
      <c r="J65" s="51">
        <f t="shared" si="119"/>
        <v>0</v>
      </c>
      <c r="K65" s="51">
        <f t="shared" si="119"/>
        <v>0</v>
      </c>
      <c r="L65" s="51">
        <f t="shared" si="119"/>
        <v>0</v>
      </c>
      <c r="M65" s="51">
        <f t="shared" si="119"/>
        <v>0</v>
      </c>
      <c r="N65" s="51">
        <f t="shared" si="119"/>
        <v>0</v>
      </c>
      <c r="O65" s="51">
        <f t="shared" si="119"/>
        <v>0</v>
      </c>
      <c r="P65" s="51">
        <f t="shared" si="119"/>
        <v>0</v>
      </c>
      <c r="Q65" s="51">
        <f t="shared" si="119"/>
        <v>0</v>
      </c>
      <c r="R65" s="51">
        <f t="shared" si="119"/>
        <v>0</v>
      </c>
      <c r="S65" s="51">
        <f t="shared" si="119"/>
        <v>0</v>
      </c>
      <c r="T65" s="51">
        <f t="shared" si="119"/>
        <v>0</v>
      </c>
      <c r="U65" s="51">
        <f t="shared" si="119"/>
        <v>0</v>
      </c>
      <c r="V65" s="51">
        <f t="shared" si="119"/>
        <v>0</v>
      </c>
      <c r="W65" s="51">
        <f t="shared" si="119"/>
        <v>0</v>
      </c>
      <c r="X65" s="51">
        <f t="shared" si="119"/>
        <v>0</v>
      </c>
      <c r="Y65" s="51">
        <f t="shared" si="119"/>
        <v>0</v>
      </c>
      <c r="Z65" s="51">
        <f t="shared" si="119"/>
        <v>0</v>
      </c>
      <c r="AA65" s="51">
        <f t="shared" si="119"/>
        <v>0</v>
      </c>
      <c r="AB65" s="51">
        <f t="shared" si="119"/>
        <v>0</v>
      </c>
      <c r="AC65" s="51">
        <f t="shared" si="119"/>
        <v>0</v>
      </c>
      <c r="AD65" s="51">
        <f t="shared" si="119"/>
        <v>0</v>
      </c>
      <c r="AE65" s="51">
        <f t="shared" si="119"/>
        <v>0</v>
      </c>
      <c r="AF65" s="51">
        <f t="shared" si="119"/>
        <v>0</v>
      </c>
      <c r="AG65" s="51">
        <f t="shared" si="119"/>
        <v>0</v>
      </c>
      <c r="AH65" s="51">
        <f t="shared" si="119"/>
        <v>0</v>
      </c>
      <c r="AI65" s="51">
        <f t="shared" si="119"/>
        <v>0</v>
      </c>
      <c r="AJ65" s="51">
        <f t="shared" si="119"/>
        <v>0</v>
      </c>
      <c r="AK65" s="51">
        <f t="shared" si="119"/>
        <v>0</v>
      </c>
      <c r="AL65" s="51">
        <f t="shared" si="119"/>
        <v>0</v>
      </c>
      <c r="AM65" s="51">
        <f t="shared" si="119"/>
        <v>2000</v>
      </c>
      <c r="AN65" s="51">
        <f t="shared" si="119"/>
        <v>2000</v>
      </c>
      <c r="AO65" s="51">
        <f t="shared" si="119"/>
        <v>2000</v>
      </c>
      <c r="AP65" s="51">
        <f t="shared" si="119"/>
        <v>2000</v>
      </c>
      <c r="AQ65" s="51">
        <f t="shared" si="119"/>
        <v>2000</v>
      </c>
      <c r="AR65" s="51">
        <f t="shared" si="119"/>
        <v>2000</v>
      </c>
      <c r="AS65" s="51">
        <f t="shared" si="119"/>
        <v>2000</v>
      </c>
      <c r="AT65" s="51">
        <f t="shared" si="119"/>
        <v>2000</v>
      </c>
      <c r="AU65" s="51">
        <f t="shared" si="119"/>
        <v>2000</v>
      </c>
      <c r="AV65" s="51">
        <f t="shared" si="119"/>
        <v>2000</v>
      </c>
      <c r="AW65" s="51">
        <f t="shared" si="119"/>
        <v>2000</v>
      </c>
      <c r="AX65" s="51">
        <f t="shared" si="119"/>
        <v>2000</v>
      </c>
      <c r="AY65" s="51">
        <f t="shared" si="119"/>
        <v>2020</v>
      </c>
      <c r="AZ65" s="51">
        <f t="shared" si="119"/>
        <v>2020</v>
      </c>
      <c r="BA65" s="51">
        <f t="shared" si="119"/>
        <v>2020</v>
      </c>
      <c r="BB65" s="51">
        <f t="shared" si="119"/>
        <v>2020</v>
      </c>
      <c r="BC65" s="51">
        <f t="shared" si="119"/>
        <v>2020</v>
      </c>
      <c r="BD65" s="51">
        <f t="shared" si="119"/>
        <v>2020</v>
      </c>
      <c r="BE65" s="51">
        <f t="shared" si="119"/>
        <v>2020</v>
      </c>
      <c r="BF65" s="51">
        <f t="shared" si="119"/>
        <v>2020</v>
      </c>
      <c r="BG65" s="51">
        <f t="shared" si="119"/>
        <v>2020</v>
      </c>
      <c r="BH65" s="51">
        <f t="shared" si="119"/>
        <v>2020</v>
      </c>
      <c r="BI65" s="51">
        <f t="shared" si="119"/>
        <v>2020</v>
      </c>
      <c r="BJ65" s="51">
        <f t="shared" si="119"/>
        <v>2020</v>
      </c>
      <c r="BK65" s="51">
        <f t="shared" si="119"/>
        <v>2040.2</v>
      </c>
      <c r="BL65" s="51">
        <f t="shared" si="119"/>
        <v>2040.2</v>
      </c>
      <c r="BM65" s="51">
        <f t="shared" si="119"/>
        <v>2040.2</v>
      </c>
      <c r="BN65" s="51">
        <f t="shared" si="119"/>
        <v>2040.2</v>
      </c>
      <c r="BO65" s="51">
        <f t="shared" si="119"/>
        <v>2040.2</v>
      </c>
      <c r="BP65" s="51">
        <f t="shared" si="119"/>
        <v>2040.2</v>
      </c>
      <c r="BQ65" s="51">
        <f t="shared" si="119"/>
        <v>0</v>
      </c>
      <c r="BR65" s="51">
        <f t="shared" si="119"/>
        <v>0</v>
      </c>
      <c r="BS65" s="51">
        <f t="shared" si="119"/>
        <v>0</v>
      </c>
      <c r="BT65" s="51">
        <f t="shared" si="119"/>
        <v>0</v>
      </c>
      <c r="BU65" s="51">
        <f t="shared" ref="BU65:BY65" si="120">$F55*BU42*BU47</f>
        <v>0</v>
      </c>
      <c r="BV65" s="51">
        <f t="shared" si="120"/>
        <v>0</v>
      </c>
      <c r="BW65" s="51">
        <f t="shared" si="120"/>
        <v>0</v>
      </c>
      <c r="BX65" s="51">
        <f t="shared" si="120"/>
        <v>0</v>
      </c>
      <c r="BY65" s="51">
        <f t="shared" si="120"/>
        <v>0</v>
      </c>
    </row>
    <row r="66" spans="2:77" ht="13.5" customHeight="1">
      <c r="D66" s="101" t="s">
        <v>167</v>
      </c>
      <c r="E66" s="101"/>
      <c r="F66" s="101"/>
      <c r="G66" s="101"/>
      <c r="H66" s="101">
        <f t="shared" ref="H66:AM66" ca="1" si="121">H65*$F54/unit</f>
        <v>0</v>
      </c>
      <c r="I66" s="101">
        <f t="shared" ca="1" si="121"/>
        <v>0</v>
      </c>
      <c r="J66" s="101">
        <f t="shared" ca="1" si="121"/>
        <v>0</v>
      </c>
      <c r="K66" s="101">
        <f t="shared" ca="1" si="121"/>
        <v>0</v>
      </c>
      <c r="L66" s="101">
        <f t="shared" ca="1" si="121"/>
        <v>0</v>
      </c>
      <c r="M66" s="101">
        <f t="shared" ca="1" si="121"/>
        <v>0</v>
      </c>
      <c r="N66" s="101">
        <f t="shared" ca="1" si="121"/>
        <v>0</v>
      </c>
      <c r="O66" s="101">
        <f t="shared" ca="1" si="121"/>
        <v>0</v>
      </c>
      <c r="P66" s="101">
        <f t="shared" ca="1" si="121"/>
        <v>0</v>
      </c>
      <c r="Q66" s="101">
        <f t="shared" ca="1" si="121"/>
        <v>0</v>
      </c>
      <c r="R66" s="101">
        <f t="shared" ca="1" si="121"/>
        <v>0</v>
      </c>
      <c r="S66" s="101">
        <f t="shared" ca="1" si="121"/>
        <v>0</v>
      </c>
      <c r="T66" s="101">
        <f t="shared" ca="1" si="121"/>
        <v>0</v>
      </c>
      <c r="U66" s="101">
        <f t="shared" ca="1" si="121"/>
        <v>0</v>
      </c>
      <c r="V66" s="101">
        <f t="shared" ca="1" si="121"/>
        <v>0</v>
      </c>
      <c r="W66" s="101">
        <f t="shared" ca="1" si="121"/>
        <v>0</v>
      </c>
      <c r="X66" s="101">
        <f t="shared" ca="1" si="121"/>
        <v>0</v>
      </c>
      <c r="Y66" s="101">
        <f t="shared" ca="1" si="121"/>
        <v>0</v>
      </c>
      <c r="Z66" s="101">
        <f t="shared" ca="1" si="121"/>
        <v>0</v>
      </c>
      <c r="AA66" s="101">
        <f t="shared" ca="1" si="121"/>
        <v>0</v>
      </c>
      <c r="AB66" s="101">
        <f t="shared" ca="1" si="121"/>
        <v>0</v>
      </c>
      <c r="AC66" s="101">
        <f t="shared" ca="1" si="121"/>
        <v>0</v>
      </c>
      <c r="AD66" s="101">
        <f t="shared" ca="1" si="121"/>
        <v>0</v>
      </c>
      <c r="AE66" s="101">
        <f t="shared" ca="1" si="121"/>
        <v>0</v>
      </c>
      <c r="AF66" s="101">
        <f t="shared" ca="1" si="121"/>
        <v>0</v>
      </c>
      <c r="AG66" s="101">
        <f t="shared" ca="1" si="121"/>
        <v>0</v>
      </c>
      <c r="AH66" s="101">
        <f t="shared" ca="1" si="121"/>
        <v>0</v>
      </c>
      <c r="AI66" s="101">
        <f t="shared" ca="1" si="121"/>
        <v>0</v>
      </c>
      <c r="AJ66" s="101">
        <f t="shared" ca="1" si="121"/>
        <v>0</v>
      </c>
      <c r="AK66" s="101">
        <f t="shared" ca="1" si="121"/>
        <v>0</v>
      </c>
      <c r="AL66" s="101">
        <f t="shared" ca="1" si="121"/>
        <v>0</v>
      </c>
      <c r="AM66" s="101">
        <f t="shared" ca="1" si="121"/>
        <v>3.3740000000000001</v>
      </c>
      <c r="AN66" s="101">
        <f t="shared" ref="AN66:BS66" ca="1" si="122">AN65*$F54/unit</f>
        <v>3.3740000000000001</v>
      </c>
      <c r="AO66" s="101">
        <f t="shared" ca="1" si="122"/>
        <v>3.3740000000000001</v>
      </c>
      <c r="AP66" s="101">
        <f t="shared" ca="1" si="122"/>
        <v>3.3740000000000001</v>
      </c>
      <c r="AQ66" s="101">
        <f t="shared" ca="1" si="122"/>
        <v>3.3740000000000001</v>
      </c>
      <c r="AR66" s="101">
        <f t="shared" ca="1" si="122"/>
        <v>3.3740000000000001</v>
      </c>
      <c r="AS66" s="101">
        <f t="shared" ca="1" si="122"/>
        <v>3.3740000000000001</v>
      </c>
      <c r="AT66" s="101">
        <f t="shared" ca="1" si="122"/>
        <v>3.3740000000000001</v>
      </c>
      <c r="AU66" s="101">
        <f t="shared" ca="1" si="122"/>
        <v>3.3740000000000001</v>
      </c>
      <c r="AV66" s="101">
        <f t="shared" ca="1" si="122"/>
        <v>3.3740000000000001</v>
      </c>
      <c r="AW66" s="101">
        <f t="shared" ca="1" si="122"/>
        <v>3.3740000000000001</v>
      </c>
      <c r="AX66" s="101">
        <f t="shared" ca="1" si="122"/>
        <v>3.3740000000000001</v>
      </c>
      <c r="AY66" s="101">
        <f t="shared" ca="1" si="122"/>
        <v>3.40774</v>
      </c>
      <c r="AZ66" s="101">
        <f t="shared" ca="1" si="122"/>
        <v>3.40774</v>
      </c>
      <c r="BA66" s="101">
        <f t="shared" ca="1" si="122"/>
        <v>3.40774</v>
      </c>
      <c r="BB66" s="101">
        <f t="shared" ca="1" si="122"/>
        <v>3.40774</v>
      </c>
      <c r="BC66" s="101">
        <f t="shared" ca="1" si="122"/>
        <v>3.40774</v>
      </c>
      <c r="BD66" s="101">
        <f t="shared" ca="1" si="122"/>
        <v>3.40774</v>
      </c>
      <c r="BE66" s="101">
        <f t="shared" ca="1" si="122"/>
        <v>3.40774</v>
      </c>
      <c r="BF66" s="101">
        <f t="shared" ca="1" si="122"/>
        <v>3.40774</v>
      </c>
      <c r="BG66" s="101">
        <f t="shared" ca="1" si="122"/>
        <v>3.40774</v>
      </c>
      <c r="BH66" s="101">
        <f t="shared" ca="1" si="122"/>
        <v>3.40774</v>
      </c>
      <c r="BI66" s="101">
        <f t="shared" ca="1" si="122"/>
        <v>3.40774</v>
      </c>
      <c r="BJ66" s="101">
        <f t="shared" ca="1" si="122"/>
        <v>3.40774</v>
      </c>
      <c r="BK66" s="101">
        <f t="shared" ca="1" si="122"/>
        <v>3.4418173999999997</v>
      </c>
      <c r="BL66" s="101">
        <f t="shared" ca="1" si="122"/>
        <v>3.4418173999999997</v>
      </c>
      <c r="BM66" s="101">
        <f t="shared" ca="1" si="122"/>
        <v>3.4418173999999997</v>
      </c>
      <c r="BN66" s="101">
        <f t="shared" ca="1" si="122"/>
        <v>3.4418173999999997</v>
      </c>
      <c r="BO66" s="101">
        <f t="shared" ca="1" si="122"/>
        <v>3.4418173999999997</v>
      </c>
      <c r="BP66" s="101">
        <f t="shared" ca="1" si="122"/>
        <v>3.4418173999999997</v>
      </c>
      <c r="BQ66" s="101">
        <f t="shared" ca="1" si="122"/>
        <v>0</v>
      </c>
      <c r="BR66" s="101">
        <f t="shared" ca="1" si="122"/>
        <v>0</v>
      </c>
      <c r="BS66" s="101">
        <f t="shared" ca="1" si="122"/>
        <v>0</v>
      </c>
      <c r="BT66" s="101">
        <f t="shared" ref="BT66:BY66" ca="1" si="123">BT65*$F54/unit</f>
        <v>0</v>
      </c>
      <c r="BU66" s="101">
        <f t="shared" ca="1" si="123"/>
        <v>0</v>
      </c>
      <c r="BV66" s="101">
        <f t="shared" ca="1" si="123"/>
        <v>0</v>
      </c>
      <c r="BW66" s="101">
        <f t="shared" ca="1" si="123"/>
        <v>0</v>
      </c>
      <c r="BX66" s="101">
        <f t="shared" ca="1" si="123"/>
        <v>0</v>
      </c>
      <c r="BY66" s="101">
        <f t="shared" ca="1" si="123"/>
        <v>0</v>
      </c>
    </row>
    <row r="68" spans="2:77" ht="13.5" customHeight="1">
      <c r="D68" s="1" t="s">
        <v>168</v>
      </c>
    </row>
    <row r="69" spans="2:77" ht="13.5" customHeight="1">
      <c r="E69" s="1" t="s">
        <v>169</v>
      </c>
      <c r="H69" s="1">
        <v>0</v>
      </c>
      <c r="I69" s="1">
        <f ca="1">H72</f>
        <v>0</v>
      </c>
      <c r="J69" s="1">
        <f t="shared" ref="J69" ca="1" si="124">I72</f>
        <v>0</v>
      </c>
      <c r="K69" s="1">
        <f t="shared" ref="K69" ca="1" si="125">J72</f>
        <v>0</v>
      </c>
      <c r="L69" s="1">
        <f t="shared" ref="L69" ca="1" si="126">K72</f>
        <v>0</v>
      </c>
      <c r="M69" s="1">
        <f t="shared" ref="M69" ca="1" si="127">L72</f>
        <v>0</v>
      </c>
      <c r="N69" s="1">
        <f t="shared" ref="N69" ca="1" si="128">M72</f>
        <v>0</v>
      </c>
      <c r="O69" s="1">
        <f t="shared" ref="O69" ca="1" si="129">N72</f>
        <v>0</v>
      </c>
      <c r="P69" s="1">
        <f t="shared" ref="P69" ca="1" si="130">O72</f>
        <v>0</v>
      </c>
      <c r="Q69" s="1">
        <f t="shared" ref="Q69" ca="1" si="131">P72</f>
        <v>0</v>
      </c>
      <c r="R69" s="1">
        <f t="shared" ref="R69" ca="1" si="132">Q72</f>
        <v>0</v>
      </c>
      <c r="S69" s="1">
        <f t="shared" ref="S69" ca="1" si="133">R72</f>
        <v>0</v>
      </c>
      <c r="T69" s="1">
        <f t="shared" ref="T69" ca="1" si="134">S72</f>
        <v>0</v>
      </c>
      <c r="U69" s="1">
        <f t="shared" ref="U69" ca="1" si="135">T72</f>
        <v>0</v>
      </c>
      <c r="V69" s="1">
        <f t="shared" ref="V69" ca="1" si="136">U72</f>
        <v>0</v>
      </c>
      <c r="W69" s="1">
        <f t="shared" ref="W69" ca="1" si="137">V72</f>
        <v>0</v>
      </c>
      <c r="X69" s="1">
        <f t="shared" ref="X69" ca="1" si="138">W72</f>
        <v>0</v>
      </c>
      <c r="Y69" s="1">
        <f t="shared" ref="Y69" ca="1" si="139">X72</f>
        <v>0</v>
      </c>
      <c r="Z69" s="1">
        <f t="shared" ref="Z69" ca="1" si="140">Y72</f>
        <v>0</v>
      </c>
      <c r="AA69" s="1">
        <f t="shared" ref="AA69" ca="1" si="141">Z72</f>
        <v>0</v>
      </c>
      <c r="AB69" s="1">
        <f t="shared" ref="AB69" ca="1" si="142">AA72</f>
        <v>0</v>
      </c>
      <c r="AC69" s="1">
        <f t="shared" ref="AC69" ca="1" si="143">AB72</f>
        <v>0</v>
      </c>
      <c r="AD69" s="1">
        <f t="shared" ref="AD69" ca="1" si="144">AC72</f>
        <v>0</v>
      </c>
      <c r="AE69" s="1">
        <f t="shared" ref="AE69" ca="1" si="145">AD72</f>
        <v>0</v>
      </c>
      <c r="AF69" s="1">
        <f t="shared" ref="AF69" ca="1" si="146">AE72</f>
        <v>0</v>
      </c>
      <c r="AG69" s="1">
        <f t="shared" ref="AG69" ca="1" si="147">AF72</f>
        <v>0</v>
      </c>
      <c r="AH69" s="1">
        <f t="shared" ref="AH69" ca="1" si="148">AG72</f>
        <v>0</v>
      </c>
      <c r="AI69" s="1">
        <f t="shared" ref="AI69" ca="1" si="149">AH72</f>
        <v>0</v>
      </c>
      <c r="AJ69" s="1">
        <f t="shared" ref="AJ69" ca="1" si="150">AI72</f>
        <v>0</v>
      </c>
      <c r="AK69" s="1">
        <f t="shared" ref="AK69" ca="1" si="151">AJ72</f>
        <v>0</v>
      </c>
      <c r="AL69" s="1">
        <f t="shared" ref="AL69" ca="1" si="152">AK72</f>
        <v>0</v>
      </c>
      <c r="AM69" s="1">
        <f t="shared" ref="AM69" ca="1" si="153">AL72</f>
        <v>0</v>
      </c>
      <c r="AN69" s="1">
        <f t="shared" ref="AN69" ca="1" si="154">AM72</f>
        <v>253.04999999999998</v>
      </c>
      <c r="AO69" s="1">
        <f t="shared" ref="AO69" ca="1" si="155">AN72</f>
        <v>253.04999999999998</v>
      </c>
      <c r="AP69" s="1">
        <f t="shared" ref="AP69" ca="1" si="156">AO72</f>
        <v>253.04999999999998</v>
      </c>
      <c r="AQ69" s="1">
        <f t="shared" ref="AQ69" ca="1" si="157">AP72</f>
        <v>253.04999999999998</v>
      </c>
      <c r="AR69" s="1">
        <f t="shared" ref="AR69" ca="1" si="158">AQ72</f>
        <v>253.04999999999998</v>
      </c>
      <c r="AS69" s="1">
        <f t="shared" ref="AS69" ca="1" si="159">AR72</f>
        <v>253.04999999999998</v>
      </c>
      <c r="AT69" s="1">
        <f t="shared" ref="AT69" ca="1" si="160">AS72</f>
        <v>253.04999999999998</v>
      </c>
      <c r="AU69" s="1">
        <f t="shared" ref="AU69" ca="1" si="161">AT72</f>
        <v>253.04999999999998</v>
      </c>
      <c r="AV69" s="1">
        <f t="shared" ref="AV69" ca="1" si="162">AU72</f>
        <v>253.04999999999998</v>
      </c>
      <c r="AW69" s="1">
        <f t="shared" ref="AW69" ca="1" si="163">AV72</f>
        <v>253.04999999999998</v>
      </c>
      <c r="AX69" s="1">
        <f t="shared" ref="AX69" ca="1" si="164">AW72</f>
        <v>253.04999999999998</v>
      </c>
      <c r="AY69" s="1">
        <f t="shared" ref="AY69" ca="1" si="165">AX72</f>
        <v>253.04999999999998</v>
      </c>
      <c r="AZ69" s="1">
        <f t="shared" ref="AZ69" ca="1" si="166">AY72</f>
        <v>253.04999999999998</v>
      </c>
      <c r="BA69" s="1">
        <f t="shared" ref="BA69" ca="1" si="167">AZ72</f>
        <v>253.04999999999998</v>
      </c>
      <c r="BB69" s="1">
        <f t="shared" ref="BB69" ca="1" si="168">BA72</f>
        <v>253.04999999999998</v>
      </c>
      <c r="BC69" s="1">
        <f t="shared" ref="BC69" ca="1" si="169">BB72</f>
        <v>253.04999999999998</v>
      </c>
      <c r="BD69" s="1">
        <f t="shared" ref="BD69" ca="1" si="170">BC72</f>
        <v>253.04999999999998</v>
      </c>
      <c r="BE69" s="1">
        <f t="shared" ref="BE69" ca="1" si="171">BD72</f>
        <v>253.04999999999998</v>
      </c>
      <c r="BF69" s="1">
        <f t="shared" ref="BF69" ca="1" si="172">BE72</f>
        <v>253.04999999999998</v>
      </c>
      <c r="BG69" s="1">
        <f t="shared" ref="BG69" ca="1" si="173">BF72</f>
        <v>253.04999999999998</v>
      </c>
      <c r="BH69" s="1">
        <f t="shared" ref="BH69" ca="1" si="174">BG72</f>
        <v>253.04999999999998</v>
      </c>
      <c r="BI69" s="1">
        <f t="shared" ref="BI69" ca="1" si="175">BH72</f>
        <v>253.04999999999998</v>
      </c>
      <c r="BJ69" s="1">
        <f t="shared" ref="BJ69" ca="1" si="176">BI72</f>
        <v>253.04999999999998</v>
      </c>
      <c r="BK69" s="1">
        <f t="shared" ref="BK69" ca="1" si="177">BJ72</f>
        <v>253.04999999999998</v>
      </c>
      <c r="BL69" s="1">
        <f t="shared" ref="BL69" ca="1" si="178">BK72</f>
        <v>253.04999999999998</v>
      </c>
      <c r="BM69" s="1">
        <f t="shared" ref="BM69" ca="1" si="179">BL72</f>
        <v>253.04999999999998</v>
      </c>
      <c r="BN69" s="1">
        <f t="shared" ref="BN69" ca="1" si="180">BM72</f>
        <v>253.04999999999998</v>
      </c>
      <c r="BO69" s="1">
        <f t="shared" ref="BO69" ca="1" si="181">BN72</f>
        <v>253.04999999999998</v>
      </c>
      <c r="BP69" s="1">
        <f t="shared" ref="BP69" ca="1" si="182">BO72</f>
        <v>253.04999999999998</v>
      </c>
      <c r="BQ69" s="1">
        <f t="shared" ref="BQ69" ca="1" si="183">BP72</f>
        <v>0</v>
      </c>
      <c r="BR69" s="1">
        <f t="shared" ref="BR69" ca="1" si="184">BQ72</f>
        <v>0</v>
      </c>
      <c r="BS69" s="1">
        <f t="shared" ref="BS69" ca="1" si="185">BR72</f>
        <v>0</v>
      </c>
      <c r="BT69" s="1">
        <f t="shared" ref="BT69" ca="1" si="186">BS72</f>
        <v>0</v>
      </c>
      <c r="BU69" s="1">
        <f t="shared" ref="BU69" ca="1" si="187">BT72</f>
        <v>0</v>
      </c>
      <c r="BV69" s="1">
        <f t="shared" ref="BV69" ca="1" si="188">BU72</f>
        <v>0</v>
      </c>
      <c r="BW69" s="1">
        <f t="shared" ref="BW69" ca="1" si="189">BV72</f>
        <v>0</v>
      </c>
      <c r="BX69" s="1">
        <f t="shared" ref="BX69" ca="1" si="190">BW72</f>
        <v>0</v>
      </c>
      <c r="BY69" s="1">
        <f t="shared" ref="BY69" ca="1" si="191">BX72</f>
        <v>0</v>
      </c>
    </row>
    <row r="70" spans="2:77" ht="13.5" customHeight="1">
      <c r="E70" s="1" t="s">
        <v>170</v>
      </c>
      <c r="H70" s="1">
        <f ca="1">(H$14=$F49)*$F56</f>
        <v>0</v>
      </c>
      <c r="I70" s="1">
        <f t="shared" ref="I70:BT70" ca="1" si="192">(I$14=$F49)*$F56</f>
        <v>0</v>
      </c>
      <c r="J70" s="1">
        <f t="shared" ca="1" si="192"/>
        <v>0</v>
      </c>
      <c r="K70" s="1">
        <f t="shared" ca="1" si="192"/>
        <v>0</v>
      </c>
      <c r="L70" s="1">
        <f t="shared" ca="1" si="192"/>
        <v>0</v>
      </c>
      <c r="M70" s="1">
        <f t="shared" ca="1" si="192"/>
        <v>0</v>
      </c>
      <c r="N70" s="1">
        <f t="shared" ca="1" si="192"/>
        <v>0</v>
      </c>
      <c r="O70" s="1">
        <f t="shared" ca="1" si="192"/>
        <v>0</v>
      </c>
      <c r="P70" s="1">
        <f t="shared" ca="1" si="192"/>
        <v>0</v>
      </c>
      <c r="Q70" s="1">
        <f t="shared" ca="1" si="192"/>
        <v>0</v>
      </c>
      <c r="R70" s="1">
        <f t="shared" ca="1" si="192"/>
        <v>0</v>
      </c>
      <c r="S70" s="1">
        <f t="shared" ca="1" si="192"/>
        <v>0</v>
      </c>
      <c r="T70" s="1">
        <f t="shared" ca="1" si="192"/>
        <v>0</v>
      </c>
      <c r="U70" s="1">
        <f t="shared" ca="1" si="192"/>
        <v>0</v>
      </c>
      <c r="V70" s="1">
        <f t="shared" ca="1" si="192"/>
        <v>0</v>
      </c>
      <c r="W70" s="1">
        <f t="shared" ca="1" si="192"/>
        <v>0</v>
      </c>
      <c r="X70" s="1">
        <f t="shared" ca="1" si="192"/>
        <v>0</v>
      </c>
      <c r="Y70" s="1">
        <f t="shared" ca="1" si="192"/>
        <v>0</v>
      </c>
      <c r="Z70" s="1">
        <f t="shared" ca="1" si="192"/>
        <v>0</v>
      </c>
      <c r="AA70" s="1">
        <f t="shared" ca="1" si="192"/>
        <v>0</v>
      </c>
      <c r="AB70" s="1">
        <f t="shared" ca="1" si="192"/>
        <v>0</v>
      </c>
      <c r="AC70" s="1">
        <f t="shared" ca="1" si="192"/>
        <v>0</v>
      </c>
      <c r="AD70" s="1">
        <f t="shared" ca="1" si="192"/>
        <v>0</v>
      </c>
      <c r="AE70" s="1">
        <f t="shared" ca="1" si="192"/>
        <v>0</v>
      </c>
      <c r="AF70" s="1">
        <f t="shared" ca="1" si="192"/>
        <v>0</v>
      </c>
      <c r="AG70" s="1">
        <f t="shared" ca="1" si="192"/>
        <v>0</v>
      </c>
      <c r="AH70" s="1">
        <f t="shared" ca="1" si="192"/>
        <v>0</v>
      </c>
      <c r="AI70" s="1">
        <f t="shared" ca="1" si="192"/>
        <v>0</v>
      </c>
      <c r="AJ70" s="1">
        <f t="shared" ca="1" si="192"/>
        <v>0</v>
      </c>
      <c r="AK70" s="1">
        <f t="shared" ca="1" si="192"/>
        <v>0</v>
      </c>
      <c r="AL70" s="1">
        <f t="shared" ca="1" si="192"/>
        <v>0</v>
      </c>
      <c r="AM70" s="1">
        <f t="shared" ca="1" si="192"/>
        <v>253.04999999999998</v>
      </c>
      <c r="AN70" s="1">
        <f t="shared" ca="1" si="192"/>
        <v>0</v>
      </c>
      <c r="AO70" s="1">
        <f t="shared" ca="1" si="192"/>
        <v>0</v>
      </c>
      <c r="AP70" s="1">
        <f t="shared" ca="1" si="192"/>
        <v>0</v>
      </c>
      <c r="AQ70" s="1">
        <f t="shared" ca="1" si="192"/>
        <v>0</v>
      </c>
      <c r="AR70" s="1">
        <f t="shared" ca="1" si="192"/>
        <v>0</v>
      </c>
      <c r="AS70" s="1">
        <f t="shared" ca="1" si="192"/>
        <v>0</v>
      </c>
      <c r="AT70" s="1">
        <f t="shared" ca="1" si="192"/>
        <v>0</v>
      </c>
      <c r="AU70" s="1">
        <f t="shared" ca="1" si="192"/>
        <v>0</v>
      </c>
      <c r="AV70" s="1">
        <f t="shared" ca="1" si="192"/>
        <v>0</v>
      </c>
      <c r="AW70" s="1">
        <f t="shared" ca="1" si="192"/>
        <v>0</v>
      </c>
      <c r="AX70" s="1">
        <f t="shared" ca="1" si="192"/>
        <v>0</v>
      </c>
      <c r="AY70" s="1">
        <f t="shared" ca="1" si="192"/>
        <v>0</v>
      </c>
      <c r="AZ70" s="1">
        <f t="shared" ca="1" si="192"/>
        <v>0</v>
      </c>
      <c r="BA70" s="1">
        <f t="shared" ca="1" si="192"/>
        <v>0</v>
      </c>
      <c r="BB70" s="1">
        <f t="shared" ca="1" si="192"/>
        <v>0</v>
      </c>
      <c r="BC70" s="1">
        <f t="shared" ca="1" si="192"/>
        <v>0</v>
      </c>
      <c r="BD70" s="1">
        <f t="shared" ca="1" si="192"/>
        <v>0</v>
      </c>
      <c r="BE70" s="1">
        <f t="shared" ca="1" si="192"/>
        <v>0</v>
      </c>
      <c r="BF70" s="1">
        <f t="shared" ca="1" si="192"/>
        <v>0</v>
      </c>
      <c r="BG70" s="1">
        <f t="shared" ca="1" si="192"/>
        <v>0</v>
      </c>
      <c r="BH70" s="1">
        <f t="shared" ca="1" si="192"/>
        <v>0</v>
      </c>
      <c r="BI70" s="1">
        <f t="shared" ca="1" si="192"/>
        <v>0</v>
      </c>
      <c r="BJ70" s="1">
        <f t="shared" ca="1" si="192"/>
        <v>0</v>
      </c>
      <c r="BK70" s="1">
        <f t="shared" ca="1" si="192"/>
        <v>0</v>
      </c>
      <c r="BL70" s="1">
        <f t="shared" ca="1" si="192"/>
        <v>0</v>
      </c>
      <c r="BM70" s="1">
        <f t="shared" ca="1" si="192"/>
        <v>0</v>
      </c>
      <c r="BN70" s="1">
        <f t="shared" ca="1" si="192"/>
        <v>0</v>
      </c>
      <c r="BO70" s="1">
        <f t="shared" ca="1" si="192"/>
        <v>0</v>
      </c>
      <c r="BP70" s="1">
        <f t="shared" ca="1" si="192"/>
        <v>0</v>
      </c>
      <c r="BQ70" s="1">
        <f t="shared" ca="1" si="192"/>
        <v>0</v>
      </c>
      <c r="BR70" s="1">
        <f t="shared" ca="1" si="192"/>
        <v>0</v>
      </c>
      <c r="BS70" s="1">
        <f t="shared" ca="1" si="192"/>
        <v>0</v>
      </c>
      <c r="BT70" s="1">
        <f t="shared" ca="1" si="192"/>
        <v>0</v>
      </c>
      <c r="BU70" s="1">
        <f t="shared" ref="BU70:BY70" ca="1" si="193">(BU$14=$F49)*$F56</f>
        <v>0</v>
      </c>
      <c r="BV70" s="1">
        <f t="shared" ca="1" si="193"/>
        <v>0</v>
      </c>
      <c r="BW70" s="1">
        <f t="shared" ca="1" si="193"/>
        <v>0</v>
      </c>
      <c r="BX70" s="1">
        <f t="shared" ca="1" si="193"/>
        <v>0</v>
      </c>
      <c r="BY70" s="1">
        <f t="shared" ca="1" si="193"/>
        <v>0</v>
      </c>
    </row>
    <row r="71" spans="2:77" ht="13.5" customHeight="1">
      <c r="E71" s="1" t="s">
        <v>171</v>
      </c>
      <c r="H71" s="1">
        <f t="shared" ref="H71:AM71" ca="1" si="194">(H$14=exit)*$F56*-1</f>
        <v>0</v>
      </c>
      <c r="I71" s="1">
        <f t="shared" ca="1" si="194"/>
        <v>0</v>
      </c>
      <c r="J71" s="1">
        <f t="shared" ca="1" si="194"/>
        <v>0</v>
      </c>
      <c r="K71" s="1">
        <f t="shared" ca="1" si="194"/>
        <v>0</v>
      </c>
      <c r="L71" s="1">
        <f t="shared" ca="1" si="194"/>
        <v>0</v>
      </c>
      <c r="M71" s="1">
        <f t="shared" ca="1" si="194"/>
        <v>0</v>
      </c>
      <c r="N71" s="1">
        <f t="shared" ca="1" si="194"/>
        <v>0</v>
      </c>
      <c r="O71" s="1">
        <f t="shared" ca="1" si="194"/>
        <v>0</v>
      </c>
      <c r="P71" s="1">
        <f t="shared" ca="1" si="194"/>
        <v>0</v>
      </c>
      <c r="Q71" s="1">
        <f t="shared" ca="1" si="194"/>
        <v>0</v>
      </c>
      <c r="R71" s="1">
        <f t="shared" ca="1" si="194"/>
        <v>0</v>
      </c>
      <c r="S71" s="1">
        <f t="shared" ca="1" si="194"/>
        <v>0</v>
      </c>
      <c r="T71" s="1">
        <f t="shared" ca="1" si="194"/>
        <v>0</v>
      </c>
      <c r="U71" s="1">
        <f t="shared" ca="1" si="194"/>
        <v>0</v>
      </c>
      <c r="V71" s="1">
        <f t="shared" ca="1" si="194"/>
        <v>0</v>
      </c>
      <c r="W71" s="1">
        <f t="shared" ca="1" si="194"/>
        <v>0</v>
      </c>
      <c r="X71" s="1">
        <f t="shared" ca="1" si="194"/>
        <v>0</v>
      </c>
      <c r="Y71" s="1">
        <f t="shared" ca="1" si="194"/>
        <v>0</v>
      </c>
      <c r="Z71" s="1">
        <f t="shared" ca="1" si="194"/>
        <v>0</v>
      </c>
      <c r="AA71" s="1">
        <f t="shared" ca="1" si="194"/>
        <v>0</v>
      </c>
      <c r="AB71" s="1">
        <f t="shared" ca="1" si="194"/>
        <v>0</v>
      </c>
      <c r="AC71" s="1">
        <f t="shared" ca="1" si="194"/>
        <v>0</v>
      </c>
      <c r="AD71" s="1">
        <f t="shared" ca="1" si="194"/>
        <v>0</v>
      </c>
      <c r="AE71" s="1">
        <f t="shared" ca="1" si="194"/>
        <v>0</v>
      </c>
      <c r="AF71" s="1">
        <f t="shared" ca="1" si="194"/>
        <v>0</v>
      </c>
      <c r="AG71" s="1">
        <f t="shared" ca="1" si="194"/>
        <v>0</v>
      </c>
      <c r="AH71" s="1">
        <f t="shared" ca="1" si="194"/>
        <v>0</v>
      </c>
      <c r="AI71" s="1">
        <f t="shared" ca="1" si="194"/>
        <v>0</v>
      </c>
      <c r="AJ71" s="1">
        <f t="shared" ca="1" si="194"/>
        <v>0</v>
      </c>
      <c r="AK71" s="1">
        <f t="shared" ca="1" si="194"/>
        <v>0</v>
      </c>
      <c r="AL71" s="1">
        <f t="shared" ca="1" si="194"/>
        <v>0</v>
      </c>
      <c r="AM71" s="1">
        <f t="shared" ca="1" si="194"/>
        <v>0</v>
      </c>
      <c r="AN71" s="1">
        <f t="shared" ref="AN71:BS71" ca="1" si="195">(AN$14=exit)*$F56*-1</f>
        <v>0</v>
      </c>
      <c r="AO71" s="1">
        <f t="shared" ca="1" si="195"/>
        <v>0</v>
      </c>
      <c r="AP71" s="1">
        <f t="shared" ca="1" si="195"/>
        <v>0</v>
      </c>
      <c r="AQ71" s="1">
        <f t="shared" ca="1" si="195"/>
        <v>0</v>
      </c>
      <c r="AR71" s="1">
        <f t="shared" ca="1" si="195"/>
        <v>0</v>
      </c>
      <c r="AS71" s="1">
        <f t="shared" ca="1" si="195"/>
        <v>0</v>
      </c>
      <c r="AT71" s="1">
        <f t="shared" ca="1" si="195"/>
        <v>0</v>
      </c>
      <c r="AU71" s="1">
        <f t="shared" ca="1" si="195"/>
        <v>0</v>
      </c>
      <c r="AV71" s="1">
        <f t="shared" ca="1" si="195"/>
        <v>0</v>
      </c>
      <c r="AW71" s="1">
        <f t="shared" ca="1" si="195"/>
        <v>0</v>
      </c>
      <c r="AX71" s="1">
        <f t="shared" ca="1" si="195"/>
        <v>0</v>
      </c>
      <c r="AY71" s="1">
        <f t="shared" ca="1" si="195"/>
        <v>0</v>
      </c>
      <c r="AZ71" s="1">
        <f t="shared" ca="1" si="195"/>
        <v>0</v>
      </c>
      <c r="BA71" s="1">
        <f t="shared" ca="1" si="195"/>
        <v>0</v>
      </c>
      <c r="BB71" s="1">
        <f t="shared" ca="1" si="195"/>
        <v>0</v>
      </c>
      <c r="BC71" s="1">
        <f t="shared" ca="1" si="195"/>
        <v>0</v>
      </c>
      <c r="BD71" s="1">
        <f t="shared" ca="1" si="195"/>
        <v>0</v>
      </c>
      <c r="BE71" s="1">
        <f t="shared" ca="1" si="195"/>
        <v>0</v>
      </c>
      <c r="BF71" s="1">
        <f t="shared" ca="1" si="195"/>
        <v>0</v>
      </c>
      <c r="BG71" s="1">
        <f t="shared" ca="1" si="195"/>
        <v>0</v>
      </c>
      <c r="BH71" s="1">
        <f t="shared" ca="1" si="195"/>
        <v>0</v>
      </c>
      <c r="BI71" s="1">
        <f t="shared" ca="1" si="195"/>
        <v>0</v>
      </c>
      <c r="BJ71" s="1">
        <f t="shared" ca="1" si="195"/>
        <v>0</v>
      </c>
      <c r="BK71" s="1">
        <f t="shared" ca="1" si="195"/>
        <v>0</v>
      </c>
      <c r="BL71" s="1">
        <f t="shared" ca="1" si="195"/>
        <v>0</v>
      </c>
      <c r="BM71" s="1">
        <f t="shared" ca="1" si="195"/>
        <v>0</v>
      </c>
      <c r="BN71" s="1">
        <f t="shared" ca="1" si="195"/>
        <v>0</v>
      </c>
      <c r="BO71" s="1">
        <f t="shared" ca="1" si="195"/>
        <v>0</v>
      </c>
      <c r="BP71" s="1">
        <f t="shared" ca="1" si="195"/>
        <v>-253.04999999999998</v>
      </c>
      <c r="BQ71" s="1">
        <f t="shared" ca="1" si="195"/>
        <v>0</v>
      </c>
      <c r="BR71" s="1">
        <f t="shared" ca="1" si="195"/>
        <v>0</v>
      </c>
      <c r="BS71" s="1">
        <f t="shared" ca="1" si="195"/>
        <v>0</v>
      </c>
      <c r="BT71" s="1">
        <f t="shared" ref="BT71:BY71" ca="1" si="196">(BT$14=exit)*$F56*-1</f>
        <v>0</v>
      </c>
      <c r="BU71" s="1">
        <f t="shared" ca="1" si="196"/>
        <v>0</v>
      </c>
      <c r="BV71" s="1">
        <f t="shared" ca="1" si="196"/>
        <v>0</v>
      </c>
      <c r="BW71" s="1">
        <f t="shared" ca="1" si="196"/>
        <v>0</v>
      </c>
      <c r="BX71" s="1">
        <f t="shared" ca="1" si="196"/>
        <v>0</v>
      </c>
      <c r="BY71" s="1">
        <f t="shared" ca="1" si="196"/>
        <v>0</v>
      </c>
    </row>
    <row r="72" spans="2:77" ht="13.5" customHeight="1">
      <c r="E72" s="41" t="s">
        <v>172</v>
      </c>
      <c r="F72" s="41"/>
      <c r="G72" s="41"/>
      <c r="H72" s="41">
        <f ca="1">SUM(H69:H71)</f>
        <v>0</v>
      </c>
      <c r="I72" s="41">
        <f t="shared" ref="I72:BT72" ca="1" si="197">SUM(I69:I71)</f>
        <v>0</v>
      </c>
      <c r="J72" s="41">
        <f t="shared" ca="1" si="197"/>
        <v>0</v>
      </c>
      <c r="K72" s="41">
        <f t="shared" ca="1" si="197"/>
        <v>0</v>
      </c>
      <c r="L72" s="41">
        <f t="shared" ca="1" si="197"/>
        <v>0</v>
      </c>
      <c r="M72" s="41">
        <f t="shared" ca="1" si="197"/>
        <v>0</v>
      </c>
      <c r="N72" s="41">
        <f t="shared" ca="1" si="197"/>
        <v>0</v>
      </c>
      <c r="O72" s="41">
        <f t="shared" ca="1" si="197"/>
        <v>0</v>
      </c>
      <c r="P72" s="41">
        <f t="shared" ca="1" si="197"/>
        <v>0</v>
      </c>
      <c r="Q72" s="41">
        <f t="shared" ca="1" si="197"/>
        <v>0</v>
      </c>
      <c r="R72" s="41">
        <f t="shared" ca="1" si="197"/>
        <v>0</v>
      </c>
      <c r="S72" s="41">
        <f t="shared" ca="1" si="197"/>
        <v>0</v>
      </c>
      <c r="T72" s="41">
        <f t="shared" ca="1" si="197"/>
        <v>0</v>
      </c>
      <c r="U72" s="41">
        <f t="shared" ca="1" si="197"/>
        <v>0</v>
      </c>
      <c r="V72" s="41">
        <f t="shared" ca="1" si="197"/>
        <v>0</v>
      </c>
      <c r="W72" s="41">
        <f t="shared" ca="1" si="197"/>
        <v>0</v>
      </c>
      <c r="X72" s="41">
        <f t="shared" ca="1" si="197"/>
        <v>0</v>
      </c>
      <c r="Y72" s="41">
        <f t="shared" ca="1" si="197"/>
        <v>0</v>
      </c>
      <c r="Z72" s="41">
        <f t="shared" ca="1" si="197"/>
        <v>0</v>
      </c>
      <c r="AA72" s="41">
        <f t="shared" ca="1" si="197"/>
        <v>0</v>
      </c>
      <c r="AB72" s="41">
        <f t="shared" ca="1" si="197"/>
        <v>0</v>
      </c>
      <c r="AC72" s="41">
        <f t="shared" ca="1" si="197"/>
        <v>0</v>
      </c>
      <c r="AD72" s="41">
        <f t="shared" ca="1" si="197"/>
        <v>0</v>
      </c>
      <c r="AE72" s="41">
        <f t="shared" ca="1" si="197"/>
        <v>0</v>
      </c>
      <c r="AF72" s="41">
        <f t="shared" ca="1" si="197"/>
        <v>0</v>
      </c>
      <c r="AG72" s="41">
        <f t="shared" ca="1" si="197"/>
        <v>0</v>
      </c>
      <c r="AH72" s="41">
        <f t="shared" ca="1" si="197"/>
        <v>0</v>
      </c>
      <c r="AI72" s="41">
        <f t="shared" ca="1" si="197"/>
        <v>0</v>
      </c>
      <c r="AJ72" s="41">
        <f t="shared" ca="1" si="197"/>
        <v>0</v>
      </c>
      <c r="AK72" s="41">
        <f t="shared" ca="1" si="197"/>
        <v>0</v>
      </c>
      <c r="AL72" s="41">
        <f t="shared" ca="1" si="197"/>
        <v>0</v>
      </c>
      <c r="AM72" s="41">
        <f t="shared" ca="1" si="197"/>
        <v>253.04999999999998</v>
      </c>
      <c r="AN72" s="41">
        <f t="shared" ca="1" si="197"/>
        <v>253.04999999999998</v>
      </c>
      <c r="AO72" s="41">
        <f t="shared" ca="1" si="197"/>
        <v>253.04999999999998</v>
      </c>
      <c r="AP72" s="41">
        <f t="shared" ca="1" si="197"/>
        <v>253.04999999999998</v>
      </c>
      <c r="AQ72" s="41">
        <f t="shared" ca="1" si="197"/>
        <v>253.04999999999998</v>
      </c>
      <c r="AR72" s="41">
        <f t="shared" ca="1" si="197"/>
        <v>253.04999999999998</v>
      </c>
      <c r="AS72" s="41">
        <f t="shared" ca="1" si="197"/>
        <v>253.04999999999998</v>
      </c>
      <c r="AT72" s="41">
        <f t="shared" ca="1" si="197"/>
        <v>253.04999999999998</v>
      </c>
      <c r="AU72" s="41">
        <f t="shared" ca="1" si="197"/>
        <v>253.04999999999998</v>
      </c>
      <c r="AV72" s="41">
        <f t="shared" ca="1" si="197"/>
        <v>253.04999999999998</v>
      </c>
      <c r="AW72" s="41">
        <f t="shared" ca="1" si="197"/>
        <v>253.04999999999998</v>
      </c>
      <c r="AX72" s="41">
        <f t="shared" ca="1" si="197"/>
        <v>253.04999999999998</v>
      </c>
      <c r="AY72" s="41">
        <f t="shared" ca="1" si="197"/>
        <v>253.04999999999998</v>
      </c>
      <c r="AZ72" s="41">
        <f t="shared" ca="1" si="197"/>
        <v>253.04999999999998</v>
      </c>
      <c r="BA72" s="41">
        <f t="shared" ca="1" si="197"/>
        <v>253.04999999999998</v>
      </c>
      <c r="BB72" s="41">
        <f t="shared" ca="1" si="197"/>
        <v>253.04999999999998</v>
      </c>
      <c r="BC72" s="41">
        <f t="shared" ca="1" si="197"/>
        <v>253.04999999999998</v>
      </c>
      <c r="BD72" s="41">
        <f t="shared" ca="1" si="197"/>
        <v>253.04999999999998</v>
      </c>
      <c r="BE72" s="41">
        <f t="shared" ca="1" si="197"/>
        <v>253.04999999999998</v>
      </c>
      <c r="BF72" s="41">
        <f t="shared" ca="1" si="197"/>
        <v>253.04999999999998</v>
      </c>
      <c r="BG72" s="41">
        <f t="shared" ca="1" si="197"/>
        <v>253.04999999999998</v>
      </c>
      <c r="BH72" s="41">
        <f t="shared" ca="1" si="197"/>
        <v>253.04999999999998</v>
      </c>
      <c r="BI72" s="41">
        <f t="shared" ca="1" si="197"/>
        <v>253.04999999999998</v>
      </c>
      <c r="BJ72" s="41">
        <f t="shared" ca="1" si="197"/>
        <v>253.04999999999998</v>
      </c>
      <c r="BK72" s="41">
        <f t="shared" ca="1" si="197"/>
        <v>253.04999999999998</v>
      </c>
      <c r="BL72" s="41">
        <f t="shared" ca="1" si="197"/>
        <v>253.04999999999998</v>
      </c>
      <c r="BM72" s="41">
        <f t="shared" ca="1" si="197"/>
        <v>253.04999999999998</v>
      </c>
      <c r="BN72" s="41">
        <f t="shared" ca="1" si="197"/>
        <v>253.04999999999998</v>
      </c>
      <c r="BO72" s="41">
        <f t="shared" ca="1" si="197"/>
        <v>253.04999999999998</v>
      </c>
      <c r="BP72" s="41">
        <f t="shared" ca="1" si="197"/>
        <v>0</v>
      </c>
      <c r="BQ72" s="41">
        <f t="shared" ca="1" si="197"/>
        <v>0</v>
      </c>
      <c r="BR72" s="41">
        <f t="shared" ca="1" si="197"/>
        <v>0</v>
      </c>
      <c r="BS72" s="41">
        <f t="shared" ca="1" si="197"/>
        <v>0</v>
      </c>
      <c r="BT72" s="41">
        <f t="shared" ca="1" si="197"/>
        <v>0</v>
      </c>
      <c r="BU72" s="41">
        <f t="shared" ref="BU72:BY72" ca="1" si="198">SUM(BU69:BU71)</f>
        <v>0</v>
      </c>
      <c r="BV72" s="41">
        <f t="shared" ca="1" si="198"/>
        <v>0</v>
      </c>
      <c r="BW72" s="41">
        <f t="shared" ca="1" si="198"/>
        <v>0</v>
      </c>
      <c r="BX72" s="41">
        <f t="shared" ca="1" si="198"/>
        <v>0</v>
      </c>
      <c r="BY72" s="41">
        <f t="shared" ca="1" si="198"/>
        <v>0</v>
      </c>
    </row>
    <row r="74" spans="2:77" ht="13.5" customHeight="1">
      <c r="C74" s="13" t="s">
        <v>196</v>
      </c>
    </row>
    <row r="75" spans="2:77" ht="13.5" customHeight="1">
      <c r="D75" s="120" t="str">
        <f>CONCATENATE(B17," 임대료 수입 합계")</f>
        <v>지상3층 임대료 수입 합계</v>
      </c>
      <c r="E75" s="120"/>
      <c r="F75" s="120"/>
      <c r="G75" s="120"/>
      <c r="H75" s="120">
        <f ca="1">H29+H62</f>
        <v>37.113999999999997</v>
      </c>
      <c r="I75" s="120">
        <f t="shared" ref="I75:BT75" ca="1" si="199">I29+I62</f>
        <v>37.113999999999997</v>
      </c>
      <c r="J75" s="120">
        <f t="shared" ca="1" si="199"/>
        <v>37.113999999999997</v>
      </c>
      <c r="K75" s="120">
        <f t="shared" ca="1" si="199"/>
        <v>37.113999999999997</v>
      </c>
      <c r="L75" s="120">
        <f t="shared" ca="1" si="199"/>
        <v>37.113999999999997</v>
      </c>
      <c r="M75" s="120">
        <f t="shared" ca="1" si="199"/>
        <v>37.113999999999997</v>
      </c>
      <c r="N75" s="120">
        <f t="shared" ca="1" si="199"/>
        <v>37.113999999999997</v>
      </c>
      <c r="O75" s="120">
        <f t="shared" ca="1" si="199"/>
        <v>37.113999999999997</v>
      </c>
      <c r="P75" s="120">
        <f t="shared" ca="1" si="199"/>
        <v>37.113999999999997</v>
      </c>
      <c r="Q75" s="120">
        <f t="shared" ca="1" si="199"/>
        <v>37.113999999999997</v>
      </c>
      <c r="R75" s="120">
        <f t="shared" ca="1" si="199"/>
        <v>37.113999999999997</v>
      </c>
      <c r="S75" s="120">
        <f t="shared" ca="1" si="199"/>
        <v>37.113999999999997</v>
      </c>
      <c r="T75" s="120">
        <f t="shared" ca="1" si="199"/>
        <v>37.113999999999997</v>
      </c>
      <c r="U75" s="120">
        <f t="shared" ca="1" si="199"/>
        <v>37.113999999999997</v>
      </c>
      <c r="V75" s="120">
        <f t="shared" ca="1" si="199"/>
        <v>37.113999999999997</v>
      </c>
      <c r="W75" s="120">
        <f t="shared" ca="1" si="199"/>
        <v>37.113999999999997</v>
      </c>
      <c r="X75" s="120">
        <f t="shared" ca="1" si="199"/>
        <v>37.113999999999997</v>
      </c>
      <c r="Y75" s="120">
        <f t="shared" ca="1" si="199"/>
        <v>37.113999999999997</v>
      </c>
      <c r="Z75" s="120">
        <f t="shared" ca="1" si="199"/>
        <v>37.113999999999997</v>
      </c>
      <c r="AA75" s="120">
        <f t="shared" ca="1" si="199"/>
        <v>37.113999999999997</v>
      </c>
      <c r="AB75" s="120">
        <f t="shared" ca="1" si="199"/>
        <v>37.113999999999997</v>
      </c>
      <c r="AC75" s="120">
        <f t="shared" ca="1" si="199"/>
        <v>37.113999999999997</v>
      </c>
      <c r="AD75" s="120">
        <f t="shared" ca="1" si="199"/>
        <v>37.113999999999997</v>
      </c>
      <c r="AE75" s="120">
        <f t="shared" ca="1" si="199"/>
        <v>37.113999999999997</v>
      </c>
      <c r="AF75" s="120">
        <f t="shared" ca="1" si="199"/>
        <v>37.113999999999997</v>
      </c>
      <c r="AG75" s="120">
        <f t="shared" ca="1" si="199"/>
        <v>37.113999999999997</v>
      </c>
      <c r="AH75" s="120">
        <f t="shared" ca="1" si="199"/>
        <v>37.113999999999997</v>
      </c>
      <c r="AI75" s="120">
        <f t="shared" ca="1" si="199"/>
        <v>37.113999999999997</v>
      </c>
      <c r="AJ75" s="120">
        <f t="shared" ca="1" si="199"/>
        <v>37.113999999999997</v>
      </c>
      <c r="AK75" s="120">
        <f t="shared" ca="1" si="199"/>
        <v>37.113999999999997</v>
      </c>
      <c r="AL75" s="120">
        <f t="shared" ca="1" si="199"/>
        <v>0</v>
      </c>
      <c r="AM75" s="120">
        <f t="shared" ca="1" si="199"/>
        <v>0</v>
      </c>
      <c r="AN75" s="120">
        <f t="shared" ca="1" si="199"/>
        <v>38.660416666666663</v>
      </c>
      <c r="AO75" s="120">
        <f t="shared" ca="1" si="199"/>
        <v>38.660416666666663</v>
      </c>
      <c r="AP75" s="120">
        <f t="shared" ca="1" si="199"/>
        <v>38.660416666666663</v>
      </c>
      <c r="AQ75" s="120">
        <f t="shared" ca="1" si="199"/>
        <v>38.660416666666663</v>
      </c>
      <c r="AR75" s="120">
        <f t="shared" ca="1" si="199"/>
        <v>38.660416666666663</v>
      </c>
      <c r="AS75" s="120">
        <f t="shared" ca="1" si="199"/>
        <v>38.660416666666663</v>
      </c>
      <c r="AT75" s="120">
        <f t="shared" ca="1" si="199"/>
        <v>38.660416666666663</v>
      </c>
      <c r="AU75" s="120">
        <f t="shared" ca="1" si="199"/>
        <v>38.660416666666663</v>
      </c>
      <c r="AV75" s="120">
        <f t="shared" ca="1" si="199"/>
        <v>38.660416666666663</v>
      </c>
      <c r="AW75" s="120">
        <f t="shared" ca="1" si="199"/>
        <v>38.660416666666663</v>
      </c>
      <c r="AX75" s="120">
        <f t="shared" ca="1" si="199"/>
        <v>38.660416666666663</v>
      </c>
      <c r="AY75" s="120">
        <f t="shared" ca="1" si="199"/>
        <v>39.047020833333328</v>
      </c>
      <c r="AZ75" s="120">
        <f t="shared" ca="1" si="199"/>
        <v>39.047020833333328</v>
      </c>
      <c r="BA75" s="120">
        <f t="shared" ca="1" si="199"/>
        <v>39.047020833333328</v>
      </c>
      <c r="BB75" s="120">
        <f t="shared" ca="1" si="199"/>
        <v>39.047020833333328</v>
      </c>
      <c r="BC75" s="120">
        <f t="shared" ca="1" si="199"/>
        <v>39.047020833333328</v>
      </c>
      <c r="BD75" s="120">
        <f t="shared" ca="1" si="199"/>
        <v>39.047020833333328</v>
      </c>
      <c r="BE75" s="120">
        <f t="shared" ca="1" si="199"/>
        <v>39.047020833333328</v>
      </c>
      <c r="BF75" s="120">
        <f t="shared" ca="1" si="199"/>
        <v>39.047020833333328</v>
      </c>
      <c r="BG75" s="120">
        <f t="shared" ca="1" si="199"/>
        <v>39.047020833333328</v>
      </c>
      <c r="BH75" s="120">
        <f t="shared" ca="1" si="199"/>
        <v>39.047020833333328</v>
      </c>
      <c r="BI75" s="120">
        <f t="shared" ca="1" si="199"/>
        <v>39.047020833333328</v>
      </c>
      <c r="BJ75" s="120">
        <f t="shared" ca="1" si="199"/>
        <v>39.047020833333328</v>
      </c>
      <c r="BK75" s="120">
        <f t="shared" ca="1" si="199"/>
        <v>39.437491041666661</v>
      </c>
      <c r="BL75" s="120">
        <f t="shared" ca="1" si="199"/>
        <v>39.437491041666661</v>
      </c>
      <c r="BM75" s="120">
        <f t="shared" ca="1" si="199"/>
        <v>39.437491041666661</v>
      </c>
      <c r="BN75" s="120">
        <f t="shared" ca="1" si="199"/>
        <v>39.437491041666661</v>
      </c>
      <c r="BO75" s="120">
        <f t="shared" ca="1" si="199"/>
        <v>39.437491041666661</v>
      </c>
      <c r="BP75" s="120">
        <f t="shared" ca="1" si="199"/>
        <v>39.437491041666661</v>
      </c>
      <c r="BQ75" s="120">
        <f t="shared" ca="1" si="199"/>
        <v>0</v>
      </c>
      <c r="BR75" s="120">
        <f t="shared" ca="1" si="199"/>
        <v>0</v>
      </c>
      <c r="BS75" s="120">
        <f t="shared" ca="1" si="199"/>
        <v>0</v>
      </c>
      <c r="BT75" s="120">
        <f t="shared" ca="1" si="199"/>
        <v>0</v>
      </c>
      <c r="BU75" s="120">
        <f t="shared" ref="BU75:BY75" ca="1" si="200">BU29+BU62</f>
        <v>0</v>
      </c>
      <c r="BV75" s="120">
        <f t="shared" ca="1" si="200"/>
        <v>0</v>
      </c>
      <c r="BW75" s="120">
        <f t="shared" ca="1" si="200"/>
        <v>0</v>
      </c>
      <c r="BX75" s="120">
        <f t="shared" ca="1" si="200"/>
        <v>0</v>
      </c>
      <c r="BY75" s="120">
        <f t="shared" ca="1" si="200"/>
        <v>0</v>
      </c>
    </row>
    <row r="76" spans="2:77" ht="13.5" customHeight="1">
      <c r="D76" s="120" t="str">
        <f>CONCATENATE(B17," 관리비 수입 합계")</f>
        <v>지상3층 관리비 수입 합계</v>
      </c>
      <c r="E76" s="120"/>
      <c r="F76" s="120"/>
      <c r="G76" s="120"/>
      <c r="H76" s="120">
        <f ca="1">H33+H66</f>
        <v>3.3740000000000001</v>
      </c>
      <c r="I76" s="120">
        <f t="shared" ref="I76:BT76" ca="1" si="201">I33+I66</f>
        <v>3.3740000000000001</v>
      </c>
      <c r="J76" s="120">
        <f t="shared" ca="1" si="201"/>
        <v>3.3740000000000001</v>
      </c>
      <c r="K76" s="120">
        <f t="shared" ca="1" si="201"/>
        <v>3.3740000000000001</v>
      </c>
      <c r="L76" s="120">
        <f t="shared" ca="1" si="201"/>
        <v>3.3740000000000001</v>
      </c>
      <c r="M76" s="120">
        <f t="shared" ca="1" si="201"/>
        <v>3.3740000000000001</v>
      </c>
      <c r="N76" s="120">
        <f t="shared" ca="1" si="201"/>
        <v>3.3740000000000001</v>
      </c>
      <c r="O76" s="120">
        <f t="shared" ca="1" si="201"/>
        <v>3.3740000000000001</v>
      </c>
      <c r="P76" s="120">
        <f t="shared" ca="1" si="201"/>
        <v>3.3740000000000001</v>
      </c>
      <c r="Q76" s="120">
        <f t="shared" ca="1" si="201"/>
        <v>3.3740000000000001</v>
      </c>
      <c r="R76" s="120">
        <f t="shared" ca="1" si="201"/>
        <v>3.3740000000000001</v>
      </c>
      <c r="S76" s="120">
        <f t="shared" ca="1" si="201"/>
        <v>3.3740000000000001</v>
      </c>
      <c r="T76" s="120">
        <f t="shared" ca="1" si="201"/>
        <v>3.3740000000000001</v>
      </c>
      <c r="U76" s="120">
        <f t="shared" ca="1" si="201"/>
        <v>3.3740000000000001</v>
      </c>
      <c r="V76" s="120">
        <f t="shared" ca="1" si="201"/>
        <v>3.3740000000000001</v>
      </c>
      <c r="W76" s="120">
        <f t="shared" ca="1" si="201"/>
        <v>3.3740000000000001</v>
      </c>
      <c r="X76" s="120">
        <f t="shared" ca="1" si="201"/>
        <v>3.3740000000000001</v>
      </c>
      <c r="Y76" s="120">
        <f t="shared" ca="1" si="201"/>
        <v>3.3740000000000001</v>
      </c>
      <c r="Z76" s="120">
        <f t="shared" ca="1" si="201"/>
        <v>3.3740000000000001</v>
      </c>
      <c r="AA76" s="120">
        <f t="shared" ca="1" si="201"/>
        <v>3.3740000000000001</v>
      </c>
      <c r="AB76" s="120">
        <f t="shared" ca="1" si="201"/>
        <v>3.3740000000000001</v>
      </c>
      <c r="AC76" s="120">
        <f t="shared" ca="1" si="201"/>
        <v>3.3740000000000001</v>
      </c>
      <c r="AD76" s="120">
        <f t="shared" ca="1" si="201"/>
        <v>3.3740000000000001</v>
      </c>
      <c r="AE76" s="120">
        <f t="shared" ca="1" si="201"/>
        <v>3.3740000000000001</v>
      </c>
      <c r="AF76" s="120">
        <f t="shared" ca="1" si="201"/>
        <v>3.3740000000000001</v>
      </c>
      <c r="AG76" s="120">
        <f t="shared" ca="1" si="201"/>
        <v>3.3740000000000001</v>
      </c>
      <c r="AH76" s="120">
        <f t="shared" ca="1" si="201"/>
        <v>3.3740000000000001</v>
      </c>
      <c r="AI76" s="120">
        <f t="shared" ca="1" si="201"/>
        <v>3.3740000000000001</v>
      </c>
      <c r="AJ76" s="120">
        <f t="shared" ca="1" si="201"/>
        <v>3.3740000000000001</v>
      </c>
      <c r="AK76" s="120">
        <f t="shared" ca="1" si="201"/>
        <v>3.3740000000000001</v>
      </c>
      <c r="AL76" s="120">
        <f t="shared" ca="1" si="201"/>
        <v>0</v>
      </c>
      <c r="AM76" s="120">
        <f t="shared" ca="1" si="201"/>
        <v>3.3740000000000001</v>
      </c>
      <c r="AN76" s="120">
        <f t="shared" ca="1" si="201"/>
        <v>3.3740000000000001</v>
      </c>
      <c r="AO76" s="120">
        <f t="shared" ca="1" si="201"/>
        <v>3.3740000000000001</v>
      </c>
      <c r="AP76" s="120">
        <f t="shared" ca="1" si="201"/>
        <v>3.3740000000000001</v>
      </c>
      <c r="AQ76" s="120">
        <f t="shared" ca="1" si="201"/>
        <v>3.3740000000000001</v>
      </c>
      <c r="AR76" s="120">
        <f t="shared" ca="1" si="201"/>
        <v>3.3740000000000001</v>
      </c>
      <c r="AS76" s="120">
        <f t="shared" ca="1" si="201"/>
        <v>3.3740000000000001</v>
      </c>
      <c r="AT76" s="120">
        <f t="shared" ca="1" si="201"/>
        <v>3.3740000000000001</v>
      </c>
      <c r="AU76" s="120">
        <f t="shared" ca="1" si="201"/>
        <v>3.3740000000000001</v>
      </c>
      <c r="AV76" s="120">
        <f t="shared" ca="1" si="201"/>
        <v>3.3740000000000001</v>
      </c>
      <c r="AW76" s="120">
        <f t="shared" ca="1" si="201"/>
        <v>3.3740000000000001</v>
      </c>
      <c r="AX76" s="120">
        <f t="shared" ca="1" si="201"/>
        <v>3.3740000000000001</v>
      </c>
      <c r="AY76" s="120">
        <f t="shared" ca="1" si="201"/>
        <v>3.40774</v>
      </c>
      <c r="AZ76" s="120">
        <f t="shared" ca="1" si="201"/>
        <v>3.40774</v>
      </c>
      <c r="BA76" s="120">
        <f t="shared" ca="1" si="201"/>
        <v>3.40774</v>
      </c>
      <c r="BB76" s="120">
        <f t="shared" ca="1" si="201"/>
        <v>3.40774</v>
      </c>
      <c r="BC76" s="120">
        <f t="shared" ca="1" si="201"/>
        <v>3.40774</v>
      </c>
      <c r="BD76" s="120">
        <f t="shared" ca="1" si="201"/>
        <v>3.40774</v>
      </c>
      <c r="BE76" s="120">
        <f t="shared" ca="1" si="201"/>
        <v>3.40774</v>
      </c>
      <c r="BF76" s="120">
        <f t="shared" ca="1" si="201"/>
        <v>3.40774</v>
      </c>
      <c r="BG76" s="120">
        <f t="shared" ca="1" si="201"/>
        <v>3.40774</v>
      </c>
      <c r="BH76" s="120">
        <f t="shared" ca="1" si="201"/>
        <v>3.40774</v>
      </c>
      <c r="BI76" s="120">
        <f t="shared" ca="1" si="201"/>
        <v>3.40774</v>
      </c>
      <c r="BJ76" s="120">
        <f t="shared" ca="1" si="201"/>
        <v>3.40774</v>
      </c>
      <c r="BK76" s="120">
        <f t="shared" ca="1" si="201"/>
        <v>3.4418173999999997</v>
      </c>
      <c r="BL76" s="120">
        <f t="shared" ca="1" si="201"/>
        <v>3.4418173999999997</v>
      </c>
      <c r="BM76" s="120">
        <f t="shared" ca="1" si="201"/>
        <v>3.4418173999999997</v>
      </c>
      <c r="BN76" s="120">
        <f t="shared" ca="1" si="201"/>
        <v>3.4418173999999997</v>
      </c>
      <c r="BO76" s="120">
        <f t="shared" ca="1" si="201"/>
        <v>3.4418173999999997</v>
      </c>
      <c r="BP76" s="120">
        <f t="shared" ca="1" si="201"/>
        <v>3.4418173999999997</v>
      </c>
      <c r="BQ76" s="120">
        <f t="shared" ca="1" si="201"/>
        <v>0</v>
      </c>
      <c r="BR76" s="120">
        <f t="shared" ca="1" si="201"/>
        <v>0</v>
      </c>
      <c r="BS76" s="120">
        <f t="shared" ca="1" si="201"/>
        <v>0</v>
      </c>
      <c r="BT76" s="120">
        <f t="shared" ca="1" si="201"/>
        <v>0</v>
      </c>
      <c r="BU76" s="120">
        <f t="shared" ref="BU76:BY76" ca="1" si="202">BU33+BU66</f>
        <v>0</v>
      </c>
      <c r="BV76" s="120">
        <f t="shared" ca="1" si="202"/>
        <v>0</v>
      </c>
      <c r="BW76" s="120">
        <f t="shared" ca="1" si="202"/>
        <v>0</v>
      </c>
      <c r="BX76" s="120">
        <f t="shared" ca="1" si="202"/>
        <v>0</v>
      </c>
      <c r="BY76" s="120">
        <f t="shared" ca="1" si="202"/>
        <v>0</v>
      </c>
    </row>
    <row r="77" spans="2:77" ht="13.5" customHeight="1">
      <c r="D77" s="120" t="str">
        <f>CONCATENATE(B17," 보증금 현금흐름 합계")</f>
        <v>지상3층 보증금 현금흐름 합계</v>
      </c>
      <c r="E77" s="120"/>
      <c r="F77" s="120"/>
      <c r="G77" s="120"/>
      <c r="H77" s="120">
        <f ca="1">SUM(H37:H38,H70:H71)</f>
        <v>0</v>
      </c>
      <c r="I77" s="120">
        <f t="shared" ref="I77:BT77" ca="1" si="203">SUM(I37:I38,I70:I71)</f>
        <v>0</v>
      </c>
      <c r="J77" s="120">
        <f t="shared" ca="1" si="203"/>
        <v>0</v>
      </c>
      <c r="K77" s="120">
        <f t="shared" ca="1" si="203"/>
        <v>0</v>
      </c>
      <c r="L77" s="120">
        <f t="shared" ca="1" si="203"/>
        <v>0</v>
      </c>
      <c r="M77" s="120">
        <f t="shared" ca="1" si="203"/>
        <v>0</v>
      </c>
      <c r="N77" s="120">
        <f t="shared" ca="1" si="203"/>
        <v>0</v>
      </c>
      <c r="O77" s="120">
        <f t="shared" ca="1" si="203"/>
        <v>0</v>
      </c>
      <c r="P77" s="120">
        <f t="shared" ca="1" si="203"/>
        <v>0</v>
      </c>
      <c r="Q77" s="120">
        <f t="shared" ca="1" si="203"/>
        <v>0</v>
      </c>
      <c r="R77" s="120">
        <f t="shared" ca="1" si="203"/>
        <v>0</v>
      </c>
      <c r="S77" s="120">
        <f t="shared" ca="1" si="203"/>
        <v>0</v>
      </c>
      <c r="T77" s="120">
        <f t="shared" ca="1" si="203"/>
        <v>0</v>
      </c>
      <c r="U77" s="120">
        <f t="shared" ca="1" si="203"/>
        <v>0</v>
      </c>
      <c r="V77" s="120">
        <f t="shared" ca="1" si="203"/>
        <v>0</v>
      </c>
      <c r="W77" s="120">
        <f t="shared" ca="1" si="203"/>
        <v>0</v>
      </c>
      <c r="X77" s="120">
        <f t="shared" ca="1" si="203"/>
        <v>0</v>
      </c>
      <c r="Y77" s="120">
        <f t="shared" ca="1" si="203"/>
        <v>0</v>
      </c>
      <c r="Z77" s="120">
        <f t="shared" ca="1" si="203"/>
        <v>0</v>
      </c>
      <c r="AA77" s="120">
        <f t="shared" ca="1" si="203"/>
        <v>0</v>
      </c>
      <c r="AB77" s="120">
        <f t="shared" ca="1" si="203"/>
        <v>0</v>
      </c>
      <c r="AC77" s="120">
        <f t="shared" ca="1" si="203"/>
        <v>0</v>
      </c>
      <c r="AD77" s="120">
        <f t="shared" ca="1" si="203"/>
        <v>0</v>
      </c>
      <c r="AE77" s="120">
        <f t="shared" ca="1" si="203"/>
        <v>0</v>
      </c>
      <c r="AF77" s="120">
        <f t="shared" ca="1" si="203"/>
        <v>0</v>
      </c>
      <c r="AG77" s="120">
        <f t="shared" ca="1" si="203"/>
        <v>0</v>
      </c>
      <c r="AH77" s="120">
        <f t="shared" ca="1" si="203"/>
        <v>0</v>
      </c>
      <c r="AI77" s="120">
        <f t="shared" ca="1" si="203"/>
        <v>0</v>
      </c>
      <c r="AJ77" s="120">
        <f t="shared" ca="1" si="203"/>
        <v>0</v>
      </c>
      <c r="AK77" s="120">
        <f t="shared" ca="1" si="203"/>
        <v>-242.928</v>
      </c>
      <c r="AL77" s="120">
        <f t="shared" ca="1" si="203"/>
        <v>0</v>
      </c>
      <c r="AM77" s="120">
        <f t="shared" ca="1" si="203"/>
        <v>253.04999999999998</v>
      </c>
      <c r="AN77" s="120">
        <f t="shared" ca="1" si="203"/>
        <v>0</v>
      </c>
      <c r="AO77" s="120">
        <f t="shared" ca="1" si="203"/>
        <v>0</v>
      </c>
      <c r="AP77" s="120">
        <f t="shared" ca="1" si="203"/>
        <v>0</v>
      </c>
      <c r="AQ77" s="120">
        <f t="shared" ca="1" si="203"/>
        <v>0</v>
      </c>
      <c r="AR77" s="120">
        <f t="shared" ca="1" si="203"/>
        <v>0</v>
      </c>
      <c r="AS77" s="120">
        <f t="shared" ca="1" si="203"/>
        <v>0</v>
      </c>
      <c r="AT77" s="120">
        <f t="shared" ca="1" si="203"/>
        <v>0</v>
      </c>
      <c r="AU77" s="120">
        <f t="shared" ca="1" si="203"/>
        <v>0</v>
      </c>
      <c r="AV77" s="120">
        <f t="shared" ca="1" si="203"/>
        <v>0</v>
      </c>
      <c r="AW77" s="120">
        <f t="shared" ca="1" si="203"/>
        <v>0</v>
      </c>
      <c r="AX77" s="120">
        <f t="shared" ca="1" si="203"/>
        <v>0</v>
      </c>
      <c r="AY77" s="120">
        <f t="shared" ca="1" si="203"/>
        <v>0</v>
      </c>
      <c r="AZ77" s="120">
        <f t="shared" ca="1" si="203"/>
        <v>0</v>
      </c>
      <c r="BA77" s="120">
        <f t="shared" ca="1" si="203"/>
        <v>0</v>
      </c>
      <c r="BB77" s="120">
        <f t="shared" ca="1" si="203"/>
        <v>0</v>
      </c>
      <c r="BC77" s="120">
        <f t="shared" ca="1" si="203"/>
        <v>0</v>
      </c>
      <c r="BD77" s="120">
        <f t="shared" ca="1" si="203"/>
        <v>0</v>
      </c>
      <c r="BE77" s="120">
        <f t="shared" ca="1" si="203"/>
        <v>0</v>
      </c>
      <c r="BF77" s="120">
        <f t="shared" ca="1" si="203"/>
        <v>0</v>
      </c>
      <c r="BG77" s="120">
        <f t="shared" ca="1" si="203"/>
        <v>0</v>
      </c>
      <c r="BH77" s="120">
        <f t="shared" ca="1" si="203"/>
        <v>0</v>
      </c>
      <c r="BI77" s="120">
        <f t="shared" ca="1" si="203"/>
        <v>0</v>
      </c>
      <c r="BJ77" s="120">
        <f t="shared" ca="1" si="203"/>
        <v>0</v>
      </c>
      <c r="BK77" s="120">
        <f t="shared" ca="1" si="203"/>
        <v>0</v>
      </c>
      <c r="BL77" s="120">
        <f t="shared" ca="1" si="203"/>
        <v>0</v>
      </c>
      <c r="BM77" s="120">
        <f t="shared" ca="1" si="203"/>
        <v>0</v>
      </c>
      <c r="BN77" s="120">
        <f t="shared" ca="1" si="203"/>
        <v>0</v>
      </c>
      <c r="BO77" s="120">
        <f t="shared" ca="1" si="203"/>
        <v>0</v>
      </c>
      <c r="BP77" s="120">
        <f t="shared" ca="1" si="203"/>
        <v>-253.04999999999998</v>
      </c>
      <c r="BQ77" s="120">
        <f t="shared" ca="1" si="203"/>
        <v>0</v>
      </c>
      <c r="BR77" s="120">
        <f t="shared" ca="1" si="203"/>
        <v>0</v>
      </c>
      <c r="BS77" s="120">
        <f t="shared" ca="1" si="203"/>
        <v>0</v>
      </c>
      <c r="BT77" s="120">
        <f t="shared" ca="1" si="203"/>
        <v>0</v>
      </c>
      <c r="BU77" s="120">
        <f t="shared" ref="BU77:BY77" ca="1" si="204">SUM(BU37:BU38,BU70:BU71)</f>
        <v>0</v>
      </c>
      <c r="BV77" s="120">
        <f t="shared" ca="1" si="204"/>
        <v>0</v>
      </c>
      <c r="BW77" s="120">
        <f t="shared" ca="1" si="204"/>
        <v>0</v>
      </c>
      <c r="BX77" s="120">
        <f t="shared" ca="1" si="204"/>
        <v>0</v>
      </c>
      <c r="BY77" s="120">
        <f t="shared" ca="1" si="204"/>
        <v>0</v>
      </c>
    </row>
    <row r="79" spans="2:77" ht="13.5" customHeight="1">
      <c r="B79" s="13" t="str">
        <f>'A&amp;R'!C37</f>
        <v>지상2층</v>
      </c>
    </row>
    <row r="80" spans="2:77" ht="13.5" customHeight="1">
      <c r="C80" s="13" t="s">
        <v>155</v>
      </c>
    </row>
    <row r="81" spans="4:77" s="11" customFormat="1" ht="13.5" customHeight="1">
      <c r="F81" s="11" t="s">
        <v>160</v>
      </c>
      <c r="H81" s="11">
        <f>(H$14&lt;=$F82)*1</f>
        <v>1</v>
      </c>
      <c r="I81" s="11">
        <f t="shared" ref="I81:BT81" si="205">(I$14&lt;=$F82)*1</f>
        <v>1</v>
      </c>
      <c r="J81" s="11">
        <f t="shared" si="205"/>
        <v>1</v>
      </c>
      <c r="K81" s="11">
        <f t="shared" si="205"/>
        <v>1</v>
      </c>
      <c r="L81" s="11">
        <f t="shared" si="205"/>
        <v>1</v>
      </c>
      <c r="M81" s="11">
        <f t="shared" si="205"/>
        <v>1</v>
      </c>
      <c r="N81" s="11">
        <f t="shared" si="205"/>
        <v>1</v>
      </c>
      <c r="O81" s="11">
        <f t="shared" si="205"/>
        <v>1</v>
      </c>
      <c r="P81" s="11">
        <f t="shared" si="205"/>
        <v>1</v>
      </c>
      <c r="Q81" s="11">
        <f t="shared" si="205"/>
        <v>1</v>
      </c>
      <c r="R81" s="11">
        <f t="shared" si="205"/>
        <v>1</v>
      </c>
      <c r="S81" s="11">
        <f t="shared" si="205"/>
        <v>1</v>
      </c>
      <c r="T81" s="11">
        <f t="shared" si="205"/>
        <v>1</v>
      </c>
      <c r="U81" s="11">
        <f t="shared" si="205"/>
        <v>1</v>
      </c>
      <c r="V81" s="11">
        <f t="shared" si="205"/>
        <v>1</v>
      </c>
      <c r="W81" s="11">
        <f t="shared" si="205"/>
        <v>1</v>
      </c>
      <c r="X81" s="11">
        <f t="shared" si="205"/>
        <v>1</v>
      </c>
      <c r="Y81" s="11">
        <f t="shared" si="205"/>
        <v>1</v>
      </c>
      <c r="Z81" s="11">
        <f t="shared" si="205"/>
        <v>1</v>
      </c>
      <c r="AA81" s="11">
        <f t="shared" si="205"/>
        <v>1</v>
      </c>
      <c r="AB81" s="11">
        <f t="shared" si="205"/>
        <v>1</v>
      </c>
      <c r="AC81" s="11">
        <f t="shared" si="205"/>
        <v>1</v>
      </c>
      <c r="AD81" s="11">
        <f t="shared" si="205"/>
        <v>1</v>
      </c>
      <c r="AE81" s="11">
        <f t="shared" si="205"/>
        <v>1</v>
      </c>
      <c r="AF81" s="11">
        <f t="shared" si="205"/>
        <v>1</v>
      </c>
      <c r="AG81" s="11">
        <f t="shared" si="205"/>
        <v>1</v>
      </c>
      <c r="AH81" s="11">
        <f t="shared" si="205"/>
        <v>1</v>
      </c>
      <c r="AI81" s="11">
        <f t="shared" si="205"/>
        <v>1</v>
      </c>
      <c r="AJ81" s="11">
        <f t="shared" si="205"/>
        <v>1</v>
      </c>
      <c r="AK81" s="11">
        <f t="shared" si="205"/>
        <v>1</v>
      </c>
      <c r="AL81" s="11">
        <f t="shared" si="205"/>
        <v>0</v>
      </c>
      <c r="AM81" s="11">
        <f t="shared" si="205"/>
        <v>0</v>
      </c>
      <c r="AN81" s="11">
        <f t="shared" si="205"/>
        <v>0</v>
      </c>
      <c r="AO81" s="11">
        <f t="shared" si="205"/>
        <v>0</v>
      </c>
      <c r="AP81" s="11">
        <f t="shared" si="205"/>
        <v>0</v>
      </c>
      <c r="AQ81" s="11">
        <f t="shared" si="205"/>
        <v>0</v>
      </c>
      <c r="AR81" s="11">
        <f t="shared" si="205"/>
        <v>0</v>
      </c>
      <c r="AS81" s="11">
        <f t="shared" si="205"/>
        <v>0</v>
      </c>
      <c r="AT81" s="11">
        <f t="shared" si="205"/>
        <v>0</v>
      </c>
      <c r="AU81" s="11">
        <f t="shared" si="205"/>
        <v>0</v>
      </c>
      <c r="AV81" s="11">
        <f t="shared" si="205"/>
        <v>0</v>
      </c>
      <c r="AW81" s="11">
        <f t="shared" si="205"/>
        <v>0</v>
      </c>
      <c r="AX81" s="11">
        <f t="shared" si="205"/>
        <v>0</v>
      </c>
      <c r="AY81" s="11">
        <f t="shared" si="205"/>
        <v>0</v>
      </c>
      <c r="AZ81" s="11">
        <f t="shared" si="205"/>
        <v>0</v>
      </c>
      <c r="BA81" s="11">
        <f t="shared" si="205"/>
        <v>0</v>
      </c>
      <c r="BB81" s="11">
        <f t="shared" si="205"/>
        <v>0</v>
      </c>
      <c r="BC81" s="11">
        <f t="shared" si="205"/>
        <v>0</v>
      </c>
      <c r="BD81" s="11">
        <f t="shared" si="205"/>
        <v>0</v>
      </c>
      <c r="BE81" s="11">
        <f t="shared" si="205"/>
        <v>0</v>
      </c>
      <c r="BF81" s="11">
        <f t="shared" si="205"/>
        <v>0</v>
      </c>
      <c r="BG81" s="11">
        <f t="shared" si="205"/>
        <v>0</v>
      </c>
      <c r="BH81" s="11">
        <f t="shared" si="205"/>
        <v>0</v>
      </c>
      <c r="BI81" s="11">
        <f t="shared" si="205"/>
        <v>0</v>
      </c>
      <c r="BJ81" s="11">
        <f t="shared" si="205"/>
        <v>0</v>
      </c>
      <c r="BK81" s="11">
        <f t="shared" si="205"/>
        <v>0</v>
      </c>
      <c r="BL81" s="11">
        <f t="shared" si="205"/>
        <v>0</v>
      </c>
      <c r="BM81" s="11">
        <f t="shared" si="205"/>
        <v>0</v>
      </c>
      <c r="BN81" s="11">
        <f t="shared" si="205"/>
        <v>0</v>
      </c>
      <c r="BO81" s="11">
        <f t="shared" si="205"/>
        <v>0</v>
      </c>
      <c r="BP81" s="11">
        <f t="shared" si="205"/>
        <v>0</v>
      </c>
      <c r="BQ81" s="11">
        <f t="shared" si="205"/>
        <v>0</v>
      </c>
      <c r="BR81" s="11">
        <f t="shared" si="205"/>
        <v>0</v>
      </c>
      <c r="BS81" s="11">
        <f t="shared" si="205"/>
        <v>0</v>
      </c>
      <c r="BT81" s="11">
        <f t="shared" si="205"/>
        <v>0</v>
      </c>
      <c r="BU81" s="11">
        <f t="shared" ref="BU81:BY81" si="206">(BU$14&lt;=$F82)*1</f>
        <v>0</v>
      </c>
      <c r="BV81" s="11">
        <f t="shared" si="206"/>
        <v>0</v>
      </c>
      <c r="BW81" s="11">
        <f t="shared" si="206"/>
        <v>0</v>
      </c>
      <c r="BX81" s="11">
        <f t="shared" si="206"/>
        <v>0</v>
      </c>
      <c r="BY81" s="11">
        <f t="shared" si="206"/>
        <v>0</v>
      </c>
    </row>
    <row r="82" spans="4:77" ht="13.5" customHeight="1">
      <c r="E82" s="95" t="s">
        <v>156</v>
      </c>
      <c r="F82" s="100">
        <f>VLOOKUP(B79,'A&amp;R'!$C$36:$N$40,6,0)</f>
        <v>45169</v>
      </c>
    </row>
    <row r="83" spans="4:77" ht="13.5" customHeight="1">
      <c r="E83" s="96" t="s">
        <v>157</v>
      </c>
      <c r="F83" s="97">
        <f>VLOOKUP(B79,'A&amp;R'!$C$36:$N$40,8,0)</f>
        <v>12000</v>
      </c>
    </row>
    <row r="84" spans="4:77" ht="13.5" customHeight="1">
      <c r="E84" s="96" t="s">
        <v>158</v>
      </c>
      <c r="F84" s="97">
        <f>VLOOKUP(B79,'A&amp;R'!$C$36:$N$40,12,0)</f>
        <v>0</v>
      </c>
    </row>
    <row r="85" spans="4:77" ht="13.5" customHeight="1">
      <c r="E85" s="96" t="s">
        <v>72</v>
      </c>
      <c r="F85" s="97">
        <f>VLOOKUP(B79,'A&amp;R'!$C$36:$N$40,4,0)</f>
        <v>562</v>
      </c>
    </row>
    <row r="86" spans="4:77" ht="13.5" customHeight="1">
      <c r="E86" s="96" t="s">
        <v>159</v>
      </c>
      <c r="F86" s="97">
        <f>VLOOKUP(B79,'A&amp;R'!$C$36:$N$40,10,0)</f>
        <v>0</v>
      </c>
    </row>
    <row r="87" spans="4:77" ht="13.5" customHeight="1">
      <c r="E87" s="98" t="s">
        <v>76</v>
      </c>
      <c r="F87" s="99">
        <f>VLOOKUP(B79,'A&amp;R'!$C$36:$N$40,7,0)</f>
        <v>40.463999999999999</v>
      </c>
    </row>
    <row r="88" spans="4:77" ht="13.5" customHeight="1">
      <c r="D88" s="1" t="s">
        <v>161</v>
      </c>
    </row>
    <row r="89" spans="4:77" ht="13.5" customHeight="1">
      <c r="E89" s="30" t="s">
        <v>162</v>
      </c>
      <c r="F89" s="41"/>
      <c r="G89" s="41"/>
      <c r="H89" s="41">
        <f>$F83*H81</f>
        <v>12000</v>
      </c>
      <c r="I89" s="41">
        <f t="shared" ref="I89:BT89" si="207">$F83*I81</f>
        <v>12000</v>
      </c>
      <c r="J89" s="41">
        <f t="shared" si="207"/>
        <v>12000</v>
      </c>
      <c r="K89" s="41">
        <f t="shared" si="207"/>
        <v>12000</v>
      </c>
      <c r="L89" s="41">
        <f t="shared" si="207"/>
        <v>12000</v>
      </c>
      <c r="M89" s="41">
        <f t="shared" si="207"/>
        <v>12000</v>
      </c>
      <c r="N89" s="41">
        <f t="shared" si="207"/>
        <v>12000</v>
      </c>
      <c r="O89" s="41">
        <f t="shared" si="207"/>
        <v>12000</v>
      </c>
      <c r="P89" s="41">
        <f t="shared" si="207"/>
        <v>12000</v>
      </c>
      <c r="Q89" s="41">
        <f t="shared" si="207"/>
        <v>12000</v>
      </c>
      <c r="R89" s="41">
        <f t="shared" si="207"/>
        <v>12000</v>
      </c>
      <c r="S89" s="41">
        <f t="shared" si="207"/>
        <v>12000</v>
      </c>
      <c r="T89" s="41">
        <f t="shared" si="207"/>
        <v>12000</v>
      </c>
      <c r="U89" s="41">
        <f t="shared" si="207"/>
        <v>12000</v>
      </c>
      <c r="V89" s="41">
        <f t="shared" si="207"/>
        <v>12000</v>
      </c>
      <c r="W89" s="41">
        <f t="shared" si="207"/>
        <v>12000</v>
      </c>
      <c r="X89" s="41">
        <f t="shared" si="207"/>
        <v>12000</v>
      </c>
      <c r="Y89" s="41">
        <f t="shared" si="207"/>
        <v>12000</v>
      </c>
      <c r="Z89" s="41">
        <f t="shared" si="207"/>
        <v>12000</v>
      </c>
      <c r="AA89" s="41">
        <f t="shared" si="207"/>
        <v>12000</v>
      </c>
      <c r="AB89" s="41">
        <f t="shared" si="207"/>
        <v>12000</v>
      </c>
      <c r="AC89" s="41">
        <f t="shared" si="207"/>
        <v>12000</v>
      </c>
      <c r="AD89" s="41">
        <f t="shared" si="207"/>
        <v>12000</v>
      </c>
      <c r="AE89" s="41">
        <f t="shared" si="207"/>
        <v>12000</v>
      </c>
      <c r="AF89" s="41">
        <f t="shared" si="207"/>
        <v>12000</v>
      </c>
      <c r="AG89" s="41">
        <f t="shared" si="207"/>
        <v>12000</v>
      </c>
      <c r="AH89" s="41">
        <f t="shared" si="207"/>
        <v>12000</v>
      </c>
      <c r="AI89" s="41">
        <f t="shared" si="207"/>
        <v>12000</v>
      </c>
      <c r="AJ89" s="41">
        <f t="shared" si="207"/>
        <v>12000</v>
      </c>
      <c r="AK89" s="41">
        <f t="shared" si="207"/>
        <v>12000</v>
      </c>
      <c r="AL89" s="41">
        <f t="shared" si="207"/>
        <v>0</v>
      </c>
      <c r="AM89" s="41">
        <f t="shared" si="207"/>
        <v>0</v>
      </c>
      <c r="AN89" s="41">
        <f t="shared" si="207"/>
        <v>0</v>
      </c>
      <c r="AO89" s="41">
        <f t="shared" si="207"/>
        <v>0</v>
      </c>
      <c r="AP89" s="41">
        <f t="shared" si="207"/>
        <v>0</v>
      </c>
      <c r="AQ89" s="41">
        <f t="shared" si="207"/>
        <v>0</v>
      </c>
      <c r="AR89" s="41">
        <f t="shared" si="207"/>
        <v>0</v>
      </c>
      <c r="AS89" s="41">
        <f t="shared" si="207"/>
        <v>0</v>
      </c>
      <c r="AT89" s="41">
        <f t="shared" si="207"/>
        <v>0</v>
      </c>
      <c r="AU89" s="41">
        <f t="shared" si="207"/>
        <v>0</v>
      </c>
      <c r="AV89" s="41">
        <f t="shared" si="207"/>
        <v>0</v>
      </c>
      <c r="AW89" s="41">
        <f t="shared" si="207"/>
        <v>0</v>
      </c>
      <c r="AX89" s="41">
        <f t="shared" si="207"/>
        <v>0</v>
      </c>
      <c r="AY89" s="41">
        <f t="shared" si="207"/>
        <v>0</v>
      </c>
      <c r="AZ89" s="41">
        <f t="shared" si="207"/>
        <v>0</v>
      </c>
      <c r="BA89" s="41">
        <f t="shared" si="207"/>
        <v>0</v>
      </c>
      <c r="BB89" s="41">
        <f t="shared" si="207"/>
        <v>0</v>
      </c>
      <c r="BC89" s="41">
        <f t="shared" si="207"/>
        <v>0</v>
      </c>
      <c r="BD89" s="41">
        <f t="shared" si="207"/>
        <v>0</v>
      </c>
      <c r="BE89" s="41">
        <f t="shared" si="207"/>
        <v>0</v>
      </c>
      <c r="BF89" s="41">
        <f t="shared" si="207"/>
        <v>0</v>
      </c>
      <c r="BG89" s="41">
        <f t="shared" si="207"/>
        <v>0</v>
      </c>
      <c r="BH89" s="41">
        <f t="shared" si="207"/>
        <v>0</v>
      </c>
      <c r="BI89" s="41">
        <f t="shared" si="207"/>
        <v>0</v>
      </c>
      <c r="BJ89" s="41">
        <f t="shared" si="207"/>
        <v>0</v>
      </c>
      <c r="BK89" s="41">
        <f t="shared" si="207"/>
        <v>0</v>
      </c>
      <c r="BL89" s="41">
        <f t="shared" si="207"/>
        <v>0</v>
      </c>
      <c r="BM89" s="41">
        <f t="shared" si="207"/>
        <v>0</v>
      </c>
      <c r="BN89" s="41">
        <f t="shared" si="207"/>
        <v>0</v>
      </c>
      <c r="BO89" s="41">
        <f t="shared" si="207"/>
        <v>0</v>
      </c>
      <c r="BP89" s="41">
        <f t="shared" si="207"/>
        <v>0</v>
      </c>
      <c r="BQ89" s="41">
        <f t="shared" si="207"/>
        <v>0</v>
      </c>
      <c r="BR89" s="41">
        <f t="shared" si="207"/>
        <v>0</v>
      </c>
      <c r="BS89" s="41">
        <f t="shared" si="207"/>
        <v>0</v>
      </c>
      <c r="BT89" s="41">
        <f t="shared" si="207"/>
        <v>0</v>
      </c>
      <c r="BU89" s="41">
        <f t="shared" ref="BU89:BY89" si="208">$F83*BU81</f>
        <v>0</v>
      </c>
      <c r="BV89" s="41">
        <f t="shared" si="208"/>
        <v>0</v>
      </c>
      <c r="BW89" s="41">
        <f t="shared" si="208"/>
        <v>0</v>
      </c>
      <c r="BX89" s="41">
        <f t="shared" si="208"/>
        <v>0</v>
      </c>
      <c r="BY89" s="28">
        <f t="shared" si="208"/>
        <v>0</v>
      </c>
    </row>
    <row r="90" spans="4:77" ht="13.5" customHeight="1">
      <c r="E90" s="36" t="s">
        <v>163</v>
      </c>
      <c r="F90" s="42"/>
      <c r="G90" s="42"/>
      <c r="H90" s="42">
        <f>H89*((12-$F84)/12)</f>
        <v>12000</v>
      </c>
      <c r="I90" s="42">
        <f t="shared" ref="I90:BT90" si="209">I89*((12-$F84)/12)</f>
        <v>12000</v>
      </c>
      <c r="J90" s="42">
        <f t="shared" si="209"/>
        <v>12000</v>
      </c>
      <c r="K90" s="42">
        <f t="shared" si="209"/>
        <v>12000</v>
      </c>
      <c r="L90" s="42">
        <f t="shared" si="209"/>
        <v>12000</v>
      </c>
      <c r="M90" s="42">
        <f t="shared" si="209"/>
        <v>12000</v>
      </c>
      <c r="N90" s="42">
        <f t="shared" si="209"/>
        <v>12000</v>
      </c>
      <c r="O90" s="42">
        <f t="shared" si="209"/>
        <v>12000</v>
      </c>
      <c r="P90" s="42">
        <f t="shared" si="209"/>
        <v>12000</v>
      </c>
      <c r="Q90" s="42">
        <f t="shared" si="209"/>
        <v>12000</v>
      </c>
      <c r="R90" s="42">
        <f t="shared" si="209"/>
        <v>12000</v>
      </c>
      <c r="S90" s="42">
        <f t="shared" si="209"/>
        <v>12000</v>
      </c>
      <c r="T90" s="42">
        <f t="shared" si="209"/>
        <v>12000</v>
      </c>
      <c r="U90" s="42">
        <f t="shared" si="209"/>
        <v>12000</v>
      </c>
      <c r="V90" s="42">
        <f t="shared" si="209"/>
        <v>12000</v>
      </c>
      <c r="W90" s="42">
        <f t="shared" si="209"/>
        <v>12000</v>
      </c>
      <c r="X90" s="42">
        <f t="shared" si="209"/>
        <v>12000</v>
      </c>
      <c r="Y90" s="42">
        <f t="shared" si="209"/>
        <v>12000</v>
      </c>
      <c r="Z90" s="42">
        <f t="shared" si="209"/>
        <v>12000</v>
      </c>
      <c r="AA90" s="42">
        <f t="shared" si="209"/>
        <v>12000</v>
      </c>
      <c r="AB90" s="42">
        <f t="shared" si="209"/>
        <v>12000</v>
      </c>
      <c r="AC90" s="42">
        <f t="shared" si="209"/>
        <v>12000</v>
      </c>
      <c r="AD90" s="42">
        <f t="shared" si="209"/>
        <v>12000</v>
      </c>
      <c r="AE90" s="42">
        <f t="shared" si="209"/>
        <v>12000</v>
      </c>
      <c r="AF90" s="42">
        <f t="shared" si="209"/>
        <v>12000</v>
      </c>
      <c r="AG90" s="42">
        <f t="shared" si="209"/>
        <v>12000</v>
      </c>
      <c r="AH90" s="42">
        <f t="shared" si="209"/>
        <v>12000</v>
      </c>
      <c r="AI90" s="42">
        <f t="shared" si="209"/>
        <v>12000</v>
      </c>
      <c r="AJ90" s="42">
        <f t="shared" si="209"/>
        <v>12000</v>
      </c>
      <c r="AK90" s="42">
        <f t="shared" si="209"/>
        <v>12000</v>
      </c>
      <c r="AL90" s="42">
        <f t="shared" si="209"/>
        <v>0</v>
      </c>
      <c r="AM90" s="42">
        <f t="shared" si="209"/>
        <v>0</v>
      </c>
      <c r="AN90" s="42">
        <f t="shared" si="209"/>
        <v>0</v>
      </c>
      <c r="AO90" s="42">
        <f t="shared" si="209"/>
        <v>0</v>
      </c>
      <c r="AP90" s="42">
        <f t="shared" si="209"/>
        <v>0</v>
      </c>
      <c r="AQ90" s="42">
        <f t="shared" si="209"/>
        <v>0</v>
      </c>
      <c r="AR90" s="42">
        <f t="shared" si="209"/>
        <v>0</v>
      </c>
      <c r="AS90" s="42">
        <f t="shared" si="209"/>
        <v>0</v>
      </c>
      <c r="AT90" s="42">
        <f t="shared" si="209"/>
        <v>0</v>
      </c>
      <c r="AU90" s="42">
        <f t="shared" si="209"/>
        <v>0</v>
      </c>
      <c r="AV90" s="42">
        <f t="shared" si="209"/>
        <v>0</v>
      </c>
      <c r="AW90" s="42">
        <f t="shared" si="209"/>
        <v>0</v>
      </c>
      <c r="AX90" s="42">
        <f t="shared" si="209"/>
        <v>0</v>
      </c>
      <c r="AY90" s="42">
        <f t="shared" si="209"/>
        <v>0</v>
      </c>
      <c r="AZ90" s="42">
        <f t="shared" si="209"/>
        <v>0</v>
      </c>
      <c r="BA90" s="42">
        <f t="shared" si="209"/>
        <v>0</v>
      </c>
      <c r="BB90" s="42">
        <f t="shared" si="209"/>
        <v>0</v>
      </c>
      <c r="BC90" s="42">
        <f t="shared" si="209"/>
        <v>0</v>
      </c>
      <c r="BD90" s="42">
        <f t="shared" si="209"/>
        <v>0</v>
      </c>
      <c r="BE90" s="42">
        <f t="shared" si="209"/>
        <v>0</v>
      </c>
      <c r="BF90" s="42">
        <f t="shared" si="209"/>
        <v>0</v>
      </c>
      <c r="BG90" s="42">
        <f t="shared" si="209"/>
        <v>0</v>
      </c>
      <c r="BH90" s="42">
        <f t="shared" si="209"/>
        <v>0</v>
      </c>
      <c r="BI90" s="42">
        <f t="shared" si="209"/>
        <v>0</v>
      </c>
      <c r="BJ90" s="42">
        <f t="shared" si="209"/>
        <v>0</v>
      </c>
      <c r="BK90" s="42">
        <f t="shared" si="209"/>
        <v>0</v>
      </c>
      <c r="BL90" s="42">
        <f t="shared" si="209"/>
        <v>0</v>
      </c>
      <c r="BM90" s="42">
        <f t="shared" si="209"/>
        <v>0</v>
      </c>
      <c r="BN90" s="42">
        <f t="shared" si="209"/>
        <v>0</v>
      </c>
      <c r="BO90" s="42">
        <f t="shared" si="209"/>
        <v>0</v>
      </c>
      <c r="BP90" s="42">
        <f t="shared" si="209"/>
        <v>0</v>
      </c>
      <c r="BQ90" s="42">
        <f t="shared" si="209"/>
        <v>0</v>
      </c>
      <c r="BR90" s="42">
        <f t="shared" si="209"/>
        <v>0</v>
      </c>
      <c r="BS90" s="42">
        <f t="shared" si="209"/>
        <v>0</v>
      </c>
      <c r="BT90" s="42">
        <f t="shared" si="209"/>
        <v>0</v>
      </c>
      <c r="BU90" s="42">
        <f t="shared" ref="BU90:BY90" si="210">BU89*((12-$F84)/12)</f>
        <v>0</v>
      </c>
      <c r="BV90" s="42">
        <f t="shared" si="210"/>
        <v>0</v>
      </c>
      <c r="BW90" s="42">
        <f t="shared" si="210"/>
        <v>0</v>
      </c>
      <c r="BX90" s="42">
        <f t="shared" si="210"/>
        <v>0</v>
      </c>
      <c r="BY90" s="34">
        <f t="shared" si="210"/>
        <v>0</v>
      </c>
    </row>
    <row r="91" spans="4:77" ht="13.5" customHeight="1">
      <c r="D91" s="101" t="s">
        <v>164</v>
      </c>
      <c r="E91" s="101"/>
      <c r="F91" s="101"/>
      <c r="G91" s="101"/>
      <c r="H91" s="101">
        <f t="shared" ref="H91" si="211">H90*$F85/unit</f>
        <v>6.7439999999999998</v>
      </c>
      <c r="I91" s="101">
        <f t="shared" ref="I91" si="212">I90*$F85/unit</f>
        <v>6.7439999999999998</v>
      </c>
      <c r="J91" s="101">
        <f t="shared" ref="J91" si="213">J90*$F85/unit</f>
        <v>6.7439999999999998</v>
      </c>
      <c r="K91" s="101">
        <f t="shared" ref="K91" si="214">K90*$F85/unit</f>
        <v>6.7439999999999998</v>
      </c>
      <c r="L91" s="101">
        <f t="shared" ref="L91" si="215">L90*$F85/unit</f>
        <v>6.7439999999999998</v>
      </c>
      <c r="M91" s="101">
        <f t="shared" ref="M91" si="216">M90*$F85/unit</f>
        <v>6.7439999999999998</v>
      </c>
      <c r="N91" s="101">
        <f t="shared" ref="N91" si="217">N90*$F85/unit</f>
        <v>6.7439999999999998</v>
      </c>
      <c r="O91" s="101">
        <f t="shared" ref="O91" si="218">O90*$F85/unit</f>
        <v>6.7439999999999998</v>
      </c>
      <c r="P91" s="101">
        <f t="shared" ref="P91" si="219">P90*$F85/unit</f>
        <v>6.7439999999999998</v>
      </c>
      <c r="Q91" s="101">
        <f t="shared" ref="Q91" si="220">Q90*$F85/unit</f>
        <v>6.7439999999999998</v>
      </c>
      <c r="R91" s="101">
        <f t="shared" ref="R91" si="221">R90*$F85/unit</f>
        <v>6.7439999999999998</v>
      </c>
      <c r="S91" s="101">
        <f t="shared" ref="S91" si="222">S90*$F85/unit</f>
        <v>6.7439999999999998</v>
      </c>
      <c r="T91" s="101">
        <f t="shared" ref="T91" si="223">T90*$F85/unit</f>
        <v>6.7439999999999998</v>
      </c>
      <c r="U91" s="101">
        <f t="shared" ref="U91" si="224">U90*$F85/unit</f>
        <v>6.7439999999999998</v>
      </c>
      <c r="V91" s="101">
        <f t="shared" ref="V91" si="225">V90*$F85/unit</f>
        <v>6.7439999999999998</v>
      </c>
      <c r="W91" s="101">
        <f t="shared" ref="W91" si="226">W90*$F85/unit</f>
        <v>6.7439999999999998</v>
      </c>
      <c r="X91" s="101">
        <f t="shared" ref="X91" si="227">X90*$F85/unit</f>
        <v>6.7439999999999998</v>
      </c>
      <c r="Y91" s="101">
        <f t="shared" ref="Y91" si="228">Y90*$F85/unit</f>
        <v>6.7439999999999998</v>
      </c>
      <c r="Z91" s="101">
        <f t="shared" ref="Z91" si="229">Z90*$F85/unit</f>
        <v>6.7439999999999998</v>
      </c>
      <c r="AA91" s="101">
        <f t="shared" ref="AA91" si="230">AA90*$F85/unit</f>
        <v>6.7439999999999998</v>
      </c>
      <c r="AB91" s="101">
        <f t="shared" ref="AB91" si="231">AB90*$F85/unit</f>
        <v>6.7439999999999998</v>
      </c>
      <c r="AC91" s="101">
        <f t="shared" ref="AC91" si="232">AC90*$F85/unit</f>
        <v>6.7439999999999998</v>
      </c>
      <c r="AD91" s="101">
        <f t="shared" ref="AD91" si="233">AD90*$F85/unit</f>
        <v>6.7439999999999998</v>
      </c>
      <c r="AE91" s="101">
        <f t="shared" ref="AE91" si="234">AE90*$F85/unit</f>
        <v>6.7439999999999998</v>
      </c>
      <c r="AF91" s="101">
        <f t="shared" ref="AF91" si="235">AF90*$F85/unit</f>
        <v>6.7439999999999998</v>
      </c>
      <c r="AG91" s="101">
        <f t="shared" ref="AG91" si="236">AG90*$F85/unit</f>
        <v>6.7439999999999998</v>
      </c>
      <c r="AH91" s="101">
        <f t="shared" ref="AH91" si="237">AH90*$F85/unit</f>
        <v>6.7439999999999998</v>
      </c>
      <c r="AI91" s="101">
        <f t="shared" ref="AI91" si="238">AI90*$F85/unit</f>
        <v>6.7439999999999998</v>
      </c>
      <c r="AJ91" s="101">
        <f t="shared" ref="AJ91" si="239">AJ90*$F85/unit</f>
        <v>6.7439999999999998</v>
      </c>
      <c r="AK91" s="101">
        <f t="shared" ref="AK91" si="240">AK90*$F85/unit</f>
        <v>6.7439999999999998</v>
      </c>
      <c r="AL91" s="101">
        <f t="shared" ref="AL91" si="241">AL90*$F85/unit</f>
        <v>0</v>
      </c>
      <c r="AM91" s="101">
        <f t="shared" ref="AM91" si="242">AM90*$F85/unit</f>
        <v>0</v>
      </c>
      <c r="AN91" s="101">
        <f t="shared" ref="AN91" si="243">AN90*$F85/unit</f>
        <v>0</v>
      </c>
      <c r="AO91" s="101">
        <f t="shared" ref="AO91" si="244">AO90*$F85/unit</f>
        <v>0</v>
      </c>
      <c r="AP91" s="101">
        <f t="shared" ref="AP91" si="245">AP90*$F85/unit</f>
        <v>0</v>
      </c>
      <c r="AQ91" s="101">
        <f t="shared" ref="AQ91" si="246">AQ90*$F85/unit</f>
        <v>0</v>
      </c>
      <c r="AR91" s="101">
        <f t="shared" ref="AR91" si="247">AR90*$F85/unit</f>
        <v>0</v>
      </c>
      <c r="AS91" s="101">
        <f t="shared" ref="AS91" si="248">AS90*$F85/unit</f>
        <v>0</v>
      </c>
      <c r="AT91" s="101">
        <f t="shared" ref="AT91" si="249">AT90*$F85/unit</f>
        <v>0</v>
      </c>
      <c r="AU91" s="101">
        <f t="shared" ref="AU91" si="250">AU90*$F85/unit</f>
        <v>0</v>
      </c>
      <c r="AV91" s="101">
        <f t="shared" ref="AV91" si="251">AV90*$F85/unit</f>
        <v>0</v>
      </c>
      <c r="AW91" s="101">
        <f t="shared" ref="AW91" si="252">AW90*$F85/unit</f>
        <v>0</v>
      </c>
      <c r="AX91" s="101">
        <f t="shared" ref="AX91" si="253">AX90*$F85/unit</f>
        <v>0</v>
      </c>
      <c r="AY91" s="101">
        <f t="shared" ref="AY91" si="254">AY90*$F85/unit</f>
        <v>0</v>
      </c>
      <c r="AZ91" s="101">
        <f t="shared" ref="AZ91" si="255">AZ90*$F85/unit</f>
        <v>0</v>
      </c>
      <c r="BA91" s="101">
        <f t="shared" ref="BA91" si="256">BA90*$F85/unit</f>
        <v>0</v>
      </c>
      <c r="BB91" s="101">
        <f t="shared" ref="BB91" si="257">BB90*$F85/unit</f>
        <v>0</v>
      </c>
      <c r="BC91" s="101">
        <f t="shared" ref="BC91" si="258">BC90*$F85/unit</f>
        <v>0</v>
      </c>
      <c r="BD91" s="101">
        <f t="shared" ref="BD91" si="259">BD90*$F85/unit</f>
        <v>0</v>
      </c>
      <c r="BE91" s="101">
        <f t="shared" ref="BE91" si="260">BE90*$F85/unit</f>
        <v>0</v>
      </c>
      <c r="BF91" s="101">
        <f t="shared" ref="BF91" si="261">BF90*$F85/unit</f>
        <v>0</v>
      </c>
      <c r="BG91" s="101">
        <f t="shared" ref="BG91" si="262">BG90*$F85/unit</f>
        <v>0</v>
      </c>
      <c r="BH91" s="101">
        <f t="shared" ref="BH91" si="263">BH90*$F85/unit</f>
        <v>0</v>
      </c>
      <c r="BI91" s="101">
        <f t="shared" ref="BI91" si="264">BI90*$F85/unit</f>
        <v>0</v>
      </c>
      <c r="BJ91" s="101">
        <f t="shared" ref="BJ91" si="265">BJ90*$F85/unit</f>
        <v>0</v>
      </c>
      <c r="BK91" s="101">
        <f t="shared" ref="BK91" si="266">BK90*$F85/unit</f>
        <v>0</v>
      </c>
      <c r="BL91" s="101">
        <f t="shared" ref="BL91" si="267">BL90*$F85/unit</f>
        <v>0</v>
      </c>
      <c r="BM91" s="101">
        <f t="shared" ref="BM91" si="268">BM90*$F85/unit</f>
        <v>0</v>
      </c>
      <c r="BN91" s="101">
        <f t="shared" ref="BN91" si="269">BN90*$F85/unit</f>
        <v>0</v>
      </c>
      <c r="BO91" s="101">
        <f t="shared" ref="BO91" si="270">BO90*$F85/unit</f>
        <v>0</v>
      </c>
      <c r="BP91" s="101">
        <f t="shared" ref="BP91" si="271">BP90*$F85/unit</f>
        <v>0</v>
      </c>
      <c r="BQ91" s="101">
        <f t="shared" ref="BQ91" si="272">BQ90*$F85/unit</f>
        <v>0</v>
      </c>
      <c r="BR91" s="101">
        <f t="shared" ref="BR91" si="273">BR90*$F85/unit</f>
        <v>0</v>
      </c>
      <c r="BS91" s="101">
        <f t="shared" ref="BS91" si="274">BS90*$F85/unit</f>
        <v>0</v>
      </c>
      <c r="BT91" s="101">
        <f t="shared" ref="BT91" si="275">BT90*$F85/unit</f>
        <v>0</v>
      </c>
      <c r="BU91" s="101">
        <f t="shared" ref="BU91" si="276">BU90*$F85/unit</f>
        <v>0</v>
      </c>
      <c r="BV91" s="101">
        <f t="shared" ref="BV91" si="277">BV90*$F85/unit</f>
        <v>0</v>
      </c>
      <c r="BW91" s="101">
        <f t="shared" ref="BW91" si="278">BW90*$F85/unit</f>
        <v>0</v>
      </c>
      <c r="BX91" s="101">
        <f t="shared" ref="BX91" si="279">BX90*$F85/unit</f>
        <v>0</v>
      </c>
      <c r="BY91" s="101">
        <f t="shared" ref="BY91" si="280">BY90*$F85/unit</f>
        <v>0</v>
      </c>
    </row>
    <row r="93" spans="4:77" ht="13.5" customHeight="1">
      <c r="D93" s="1" t="s">
        <v>165</v>
      </c>
    </row>
    <row r="94" spans="4:77" ht="13.5" customHeight="1">
      <c r="E94" s="25" t="s">
        <v>166</v>
      </c>
      <c r="F94" s="51"/>
      <c r="G94" s="51"/>
      <c r="H94" s="51">
        <f>$F86*H81</f>
        <v>0</v>
      </c>
      <c r="I94" s="51">
        <f t="shared" ref="I94:BT94" si="281">$F86*I81</f>
        <v>0</v>
      </c>
      <c r="J94" s="51">
        <f t="shared" si="281"/>
        <v>0</v>
      </c>
      <c r="K94" s="51">
        <f t="shared" si="281"/>
        <v>0</v>
      </c>
      <c r="L94" s="51">
        <f t="shared" si="281"/>
        <v>0</v>
      </c>
      <c r="M94" s="51">
        <f t="shared" si="281"/>
        <v>0</v>
      </c>
      <c r="N94" s="51">
        <f t="shared" si="281"/>
        <v>0</v>
      </c>
      <c r="O94" s="51">
        <f t="shared" si="281"/>
        <v>0</v>
      </c>
      <c r="P94" s="51">
        <f t="shared" si="281"/>
        <v>0</v>
      </c>
      <c r="Q94" s="51">
        <f t="shared" si="281"/>
        <v>0</v>
      </c>
      <c r="R94" s="51">
        <f t="shared" si="281"/>
        <v>0</v>
      </c>
      <c r="S94" s="51">
        <f t="shared" si="281"/>
        <v>0</v>
      </c>
      <c r="T94" s="51">
        <f t="shared" si="281"/>
        <v>0</v>
      </c>
      <c r="U94" s="51">
        <f t="shared" si="281"/>
        <v>0</v>
      </c>
      <c r="V94" s="51">
        <f t="shared" si="281"/>
        <v>0</v>
      </c>
      <c r="W94" s="51">
        <f t="shared" si="281"/>
        <v>0</v>
      </c>
      <c r="X94" s="51">
        <f t="shared" si="281"/>
        <v>0</v>
      </c>
      <c r="Y94" s="51">
        <f t="shared" si="281"/>
        <v>0</v>
      </c>
      <c r="Z94" s="51">
        <f t="shared" si="281"/>
        <v>0</v>
      </c>
      <c r="AA94" s="51">
        <f t="shared" si="281"/>
        <v>0</v>
      </c>
      <c r="AB94" s="51">
        <f t="shared" si="281"/>
        <v>0</v>
      </c>
      <c r="AC94" s="51">
        <f t="shared" si="281"/>
        <v>0</v>
      </c>
      <c r="AD94" s="51">
        <f t="shared" si="281"/>
        <v>0</v>
      </c>
      <c r="AE94" s="51">
        <f t="shared" si="281"/>
        <v>0</v>
      </c>
      <c r="AF94" s="51">
        <f t="shared" si="281"/>
        <v>0</v>
      </c>
      <c r="AG94" s="51">
        <f t="shared" si="281"/>
        <v>0</v>
      </c>
      <c r="AH94" s="51">
        <f t="shared" si="281"/>
        <v>0</v>
      </c>
      <c r="AI94" s="51">
        <f t="shared" si="281"/>
        <v>0</v>
      </c>
      <c r="AJ94" s="51">
        <f t="shared" si="281"/>
        <v>0</v>
      </c>
      <c r="AK94" s="51">
        <f t="shared" si="281"/>
        <v>0</v>
      </c>
      <c r="AL94" s="51">
        <f t="shared" si="281"/>
        <v>0</v>
      </c>
      <c r="AM94" s="51">
        <f t="shared" si="281"/>
        <v>0</v>
      </c>
      <c r="AN94" s="51">
        <f t="shared" si="281"/>
        <v>0</v>
      </c>
      <c r="AO94" s="51">
        <f t="shared" si="281"/>
        <v>0</v>
      </c>
      <c r="AP94" s="51">
        <f t="shared" si="281"/>
        <v>0</v>
      </c>
      <c r="AQ94" s="51">
        <f t="shared" si="281"/>
        <v>0</v>
      </c>
      <c r="AR94" s="51">
        <f t="shared" si="281"/>
        <v>0</v>
      </c>
      <c r="AS94" s="51">
        <f t="shared" si="281"/>
        <v>0</v>
      </c>
      <c r="AT94" s="51">
        <f t="shared" si="281"/>
        <v>0</v>
      </c>
      <c r="AU94" s="51">
        <f t="shared" si="281"/>
        <v>0</v>
      </c>
      <c r="AV94" s="51">
        <f t="shared" si="281"/>
        <v>0</v>
      </c>
      <c r="AW94" s="51">
        <f t="shared" si="281"/>
        <v>0</v>
      </c>
      <c r="AX94" s="51">
        <f t="shared" si="281"/>
        <v>0</v>
      </c>
      <c r="AY94" s="51">
        <f t="shared" si="281"/>
        <v>0</v>
      </c>
      <c r="AZ94" s="51">
        <f t="shared" si="281"/>
        <v>0</v>
      </c>
      <c r="BA94" s="51">
        <f t="shared" si="281"/>
        <v>0</v>
      </c>
      <c r="BB94" s="51">
        <f t="shared" si="281"/>
        <v>0</v>
      </c>
      <c r="BC94" s="51">
        <f t="shared" si="281"/>
        <v>0</v>
      </c>
      <c r="BD94" s="51">
        <f t="shared" si="281"/>
        <v>0</v>
      </c>
      <c r="BE94" s="51">
        <f t="shared" si="281"/>
        <v>0</v>
      </c>
      <c r="BF94" s="51">
        <f t="shared" si="281"/>
        <v>0</v>
      </c>
      <c r="BG94" s="51">
        <f t="shared" si="281"/>
        <v>0</v>
      </c>
      <c r="BH94" s="51">
        <f t="shared" si="281"/>
        <v>0</v>
      </c>
      <c r="BI94" s="51">
        <f t="shared" si="281"/>
        <v>0</v>
      </c>
      <c r="BJ94" s="51">
        <f t="shared" si="281"/>
        <v>0</v>
      </c>
      <c r="BK94" s="51">
        <f t="shared" si="281"/>
        <v>0</v>
      </c>
      <c r="BL94" s="51">
        <f t="shared" si="281"/>
        <v>0</v>
      </c>
      <c r="BM94" s="51">
        <f t="shared" si="281"/>
        <v>0</v>
      </c>
      <c r="BN94" s="51">
        <f t="shared" si="281"/>
        <v>0</v>
      </c>
      <c r="BO94" s="51">
        <f t="shared" si="281"/>
        <v>0</v>
      </c>
      <c r="BP94" s="51">
        <f t="shared" si="281"/>
        <v>0</v>
      </c>
      <c r="BQ94" s="51">
        <f t="shared" si="281"/>
        <v>0</v>
      </c>
      <c r="BR94" s="51">
        <f t="shared" si="281"/>
        <v>0</v>
      </c>
      <c r="BS94" s="51">
        <f t="shared" si="281"/>
        <v>0</v>
      </c>
      <c r="BT94" s="51">
        <f t="shared" si="281"/>
        <v>0</v>
      </c>
      <c r="BU94" s="51">
        <f t="shared" ref="BU94:BY94" si="282">$F86*BU81</f>
        <v>0</v>
      </c>
      <c r="BV94" s="51">
        <f t="shared" si="282"/>
        <v>0</v>
      </c>
      <c r="BW94" s="51">
        <f t="shared" si="282"/>
        <v>0</v>
      </c>
      <c r="BX94" s="51">
        <f t="shared" si="282"/>
        <v>0</v>
      </c>
      <c r="BY94" s="23">
        <f t="shared" si="282"/>
        <v>0</v>
      </c>
    </row>
    <row r="95" spans="4:77" ht="13.5" customHeight="1">
      <c r="D95" s="101" t="s">
        <v>167</v>
      </c>
      <c r="E95" s="101"/>
      <c r="F95" s="101"/>
      <c r="G95" s="101"/>
      <c r="H95" s="101">
        <f t="shared" ref="H95" si="283">H94*$F85/unit</f>
        <v>0</v>
      </c>
      <c r="I95" s="101">
        <f t="shared" ref="I95" si="284">I94*$F85/unit</f>
        <v>0</v>
      </c>
      <c r="J95" s="101">
        <f t="shared" ref="J95" si="285">J94*$F85/unit</f>
        <v>0</v>
      </c>
      <c r="K95" s="101">
        <f t="shared" ref="K95" si="286">K94*$F85/unit</f>
        <v>0</v>
      </c>
      <c r="L95" s="101">
        <f t="shared" ref="L95" si="287">L94*$F85/unit</f>
        <v>0</v>
      </c>
      <c r="M95" s="101">
        <f t="shared" ref="M95" si="288">M94*$F85/unit</f>
        <v>0</v>
      </c>
      <c r="N95" s="101">
        <f t="shared" ref="N95" si="289">N94*$F85/unit</f>
        <v>0</v>
      </c>
      <c r="O95" s="101">
        <f t="shared" ref="O95" si="290">O94*$F85/unit</f>
        <v>0</v>
      </c>
      <c r="P95" s="101">
        <f t="shared" ref="P95" si="291">P94*$F85/unit</f>
        <v>0</v>
      </c>
      <c r="Q95" s="101">
        <f t="shared" ref="Q95" si="292">Q94*$F85/unit</f>
        <v>0</v>
      </c>
      <c r="R95" s="101">
        <f t="shared" ref="R95" si="293">R94*$F85/unit</f>
        <v>0</v>
      </c>
      <c r="S95" s="101">
        <f t="shared" ref="S95" si="294">S94*$F85/unit</f>
        <v>0</v>
      </c>
      <c r="T95" s="101">
        <f t="shared" ref="T95" si="295">T94*$F85/unit</f>
        <v>0</v>
      </c>
      <c r="U95" s="101">
        <f t="shared" ref="U95" si="296">U94*$F85/unit</f>
        <v>0</v>
      </c>
      <c r="V95" s="101">
        <f t="shared" ref="V95" si="297">V94*$F85/unit</f>
        <v>0</v>
      </c>
      <c r="W95" s="101">
        <f t="shared" ref="W95" si="298">W94*$F85/unit</f>
        <v>0</v>
      </c>
      <c r="X95" s="101">
        <f t="shared" ref="X95" si="299">X94*$F85/unit</f>
        <v>0</v>
      </c>
      <c r="Y95" s="101">
        <f t="shared" ref="Y95" si="300">Y94*$F85/unit</f>
        <v>0</v>
      </c>
      <c r="Z95" s="101">
        <f t="shared" ref="Z95" si="301">Z94*$F85/unit</f>
        <v>0</v>
      </c>
      <c r="AA95" s="101">
        <f t="shared" ref="AA95" si="302">AA94*$F85/unit</f>
        <v>0</v>
      </c>
      <c r="AB95" s="101">
        <f t="shared" ref="AB95" si="303">AB94*$F85/unit</f>
        <v>0</v>
      </c>
      <c r="AC95" s="101">
        <f t="shared" ref="AC95" si="304">AC94*$F85/unit</f>
        <v>0</v>
      </c>
      <c r="AD95" s="101">
        <f t="shared" ref="AD95" si="305">AD94*$F85/unit</f>
        <v>0</v>
      </c>
      <c r="AE95" s="101">
        <f t="shared" ref="AE95" si="306">AE94*$F85/unit</f>
        <v>0</v>
      </c>
      <c r="AF95" s="101">
        <f t="shared" ref="AF95" si="307">AF94*$F85/unit</f>
        <v>0</v>
      </c>
      <c r="AG95" s="101">
        <f t="shared" ref="AG95" si="308">AG94*$F85/unit</f>
        <v>0</v>
      </c>
      <c r="AH95" s="101">
        <f t="shared" ref="AH95" si="309">AH94*$F85/unit</f>
        <v>0</v>
      </c>
      <c r="AI95" s="101">
        <f t="shared" ref="AI95" si="310">AI94*$F85/unit</f>
        <v>0</v>
      </c>
      <c r="AJ95" s="101">
        <f t="shared" ref="AJ95" si="311">AJ94*$F85/unit</f>
        <v>0</v>
      </c>
      <c r="AK95" s="101">
        <f t="shared" ref="AK95" si="312">AK94*$F85/unit</f>
        <v>0</v>
      </c>
      <c r="AL95" s="101">
        <f t="shared" ref="AL95" si="313">AL94*$F85/unit</f>
        <v>0</v>
      </c>
      <c r="AM95" s="101">
        <f t="shared" ref="AM95" si="314">AM94*$F85/unit</f>
        <v>0</v>
      </c>
      <c r="AN95" s="101">
        <f t="shared" ref="AN95" si="315">AN94*$F85/unit</f>
        <v>0</v>
      </c>
      <c r="AO95" s="101">
        <f t="shared" ref="AO95" si="316">AO94*$F85/unit</f>
        <v>0</v>
      </c>
      <c r="AP95" s="101">
        <f t="shared" ref="AP95" si="317">AP94*$F85/unit</f>
        <v>0</v>
      </c>
      <c r="AQ95" s="101">
        <f t="shared" ref="AQ95" si="318">AQ94*$F85/unit</f>
        <v>0</v>
      </c>
      <c r="AR95" s="101">
        <f t="shared" ref="AR95" si="319">AR94*$F85/unit</f>
        <v>0</v>
      </c>
      <c r="AS95" s="101">
        <f t="shared" ref="AS95" si="320">AS94*$F85/unit</f>
        <v>0</v>
      </c>
      <c r="AT95" s="101">
        <f t="shared" ref="AT95" si="321">AT94*$F85/unit</f>
        <v>0</v>
      </c>
      <c r="AU95" s="101">
        <f t="shared" ref="AU95" si="322">AU94*$F85/unit</f>
        <v>0</v>
      </c>
      <c r="AV95" s="101">
        <f t="shared" ref="AV95" si="323">AV94*$F85/unit</f>
        <v>0</v>
      </c>
      <c r="AW95" s="101">
        <f t="shared" ref="AW95" si="324">AW94*$F85/unit</f>
        <v>0</v>
      </c>
      <c r="AX95" s="101">
        <f t="shared" ref="AX95" si="325">AX94*$F85/unit</f>
        <v>0</v>
      </c>
      <c r="AY95" s="101">
        <f t="shared" ref="AY95" si="326">AY94*$F85/unit</f>
        <v>0</v>
      </c>
      <c r="AZ95" s="101">
        <f t="shared" ref="AZ95" si="327">AZ94*$F85/unit</f>
        <v>0</v>
      </c>
      <c r="BA95" s="101">
        <f t="shared" ref="BA95" si="328">BA94*$F85/unit</f>
        <v>0</v>
      </c>
      <c r="BB95" s="101">
        <f t="shared" ref="BB95" si="329">BB94*$F85/unit</f>
        <v>0</v>
      </c>
      <c r="BC95" s="101">
        <f t="shared" ref="BC95" si="330">BC94*$F85/unit</f>
        <v>0</v>
      </c>
      <c r="BD95" s="101">
        <f t="shared" ref="BD95" si="331">BD94*$F85/unit</f>
        <v>0</v>
      </c>
      <c r="BE95" s="101">
        <f t="shared" ref="BE95" si="332">BE94*$F85/unit</f>
        <v>0</v>
      </c>
      <c r="BF95" s="101">
        <f t="shared" ref="BF95" si="333">BF94*$F85/unit</f>
        <v>0</v>
      </c>
      <c r="BG95" s="101">
        <f t="shared" ref="BG95" si="334">BG94*$F85/unit</f>
        <v>0</v>
      </c>
      <c r="BH95" s="101">
        <f t="shared" ref="BH95" si="335">BH94*$F85/unit</f>
        <v>0</v>
      </c>
      <c r="BI95" s="101">
        <f t="shared" ref="BI95" si="336">BI94*$F85/unit</f>
        <v>0</v>
      </c>
      <c r="BJ95" s="101">
        <f t="shared" ref="BJ95" si="337">BJ94*$F85/unit</f>
        <v>0</v>
      </c>
      <c r="BK95" s="101">
        <f t="shared" ref="BK95" si="338">BK94*$F85/unit</f>
        <v>0</v>
      </c>
      <c r="BL95" s="101">
        <f t="shared" ref="BL95" si="339">BL94*$F85/unit</f>
        <v>0</v>
      </c>
      <c r="BM95" s="101">
        <f t="shared" ref="BM95" si="340">BM94*$F85/unit</f>
        <v>0</v>
      </c>
      <c r="BN95" s="101">
        <f t="shared" ref="BN95" si="341">BN94*$F85/unit</f>
        <v>0</v>
      </c>
      <c r="BO95" s="101">
        <f t="shared" ref="BO95" si="342">BO94*$F85/unit</f>
        <v>0</v>
      </c>
      <c r="BP95" s="101">
        <f t="shared" ref="BP95" si="343">BP94*$F85/unit</f>
        <v>0</v>
      </c>
      <c r="BQ95" s="101">
        <f t="shared" ref="BQ95" si="344">BQ94*$F85/unit</f>
        <v>0</v>
      </c>
      <c r="BR95" s="101">
        <f t="shared" ref="BR95" si="345">BR94*$F85/unit</f>
        <v>0</v>
      </c>
      <c r="BS95" s="101">
        <f t="shared" ref="BS95" si="346">BS94*$F85/unit</f>
        <v>0</v>
      </c>
      <c r="BT95" s="101">
        <f t="shared" ref="BT95" si="347">BT94*$F85/unit</f>
        <v>0</v>
      </c>
      <c r="BU95" s="101">
        <f t="shared" ref="BU95" si="348">BU94*$F85/unit</f>
        <v>0</v>
      </c>
      <c r="BV95" s="101">
        <f t="shared" ref="BV95" si="349">BV94*$F85/unit</f>
        <v>0</v>
      </c>
      <c r="BW95" s="101">
        <f t="shared" ref="BW95" si="350">BW94*$F85/unit</f>
        <v>0</v>
      </c>
      <c r="BX95" s="101">
        <f t="shared" ref="BX95" si="351">BX94*$F85/unit</f>
        <v>0</v>
      </c>
      <c r="BY95" s="101">
        <f t="shared" ref="BY95" si="352">BY94*$F85/unit</f>
        <v>0</v>
      </c>
    </row>
    <row r="97" spans="3:77" ht="13.5" customHeight="1">
      <c r="D97" s="1" t="s">
        <v>168</v>
      </c>
    </row>
    <row r="98" spans="3:77" ht="13.5" customHeight="1">
      <c r="E98" s="1" t="s">
        <v>169</v>
      </c>
      <c r="H98" s="1">
        <f>F87</f>
        <v>40.463999999999999</v>
      </c>
      <c r="I98" s="1">
        <f>H101</f>
        <v>40.463999999999999</v>
      </c>
      <c r="J98" s="1">
        <f t="shared" ref="J98" si="353">I101</f>
        <v>40.463999999999999</v>
      </c>
      <c r="K98" s="1">
        <f t="shared" ref="K98" si="354">J101</f>
        <v>40.463999999999999</v>
      </c>
      <c r="L98" s="1">
        <f t="shared" ref="L98" si="355">K101</f>
        <v>40.463999999999999</v>
      </c>
      <c r="M98" s="1">
        <f t="shared" ref="M98" si="356">L101</f>
        <v>40.463999999999999</v>
      </c>
      <c r="N98" s="1">
        <f t="shared" ref="N98" si="357">M101</f>
        <v>40.463999999999999</v>
      </c>
      <c r="O98" s="1">
        <f t="shared" ref="O98" si="358">N101</f>
        <v>40.463999999999999</v>
      </c>
      <c r="P98" s="1">
        <f t="shared" ref="P98" si="359">O101</f>
        <v>40.463999999999999</v>
      </c>
      <c r="Q98" s="1">
        <f t="shared" ref="Q98" si="360">P101</f>
        <v>40.463999999999999</v>
      </c>
      <c r="R98" s="1">
        <f t="shared" ref="R98" si="361">Q101</f>
        <v>40.463999999999999</v>
      </c>
      <c r="S98" s="1">
        <f t="shared" ref="S98" si="362">R101</f>
        <v>40.463999999999999</v>
      </c>
      <c r="T98" s="1">
        <f t="shared" ref="T98" si="363">S101</f>
        <v>40.463999999999999</v>
      </c>
      <c r="U98" s="1">
        <f t="shared" ref="U98" si="364">T101</f>
        <v>40.463999999999999</v>
      </c>
      <c r="V98" s="1">
        <f t="shared" ref="V98" si="365">U101</f>
        <v>40.463999999999999</v>
      </c>
      <c r="W98" s="1">
        <f t="shared" ref="W98" si="366">V101</f>
        <v>40.463999999999999</v>
      </c>
      <c r="X98" s="1">
        <f t="shared" ref="X98" si="367">W101</f>
        <v>40.463999999999999</v>
      </c>
      <c r="Y98" s="1">
        <f t="shared" ref="Y98" si="368">X101</f>
        <v>40.463999999999999</v>
      </c>
      <c r="Z98" s="1">
        <f t="shared" ref="Z98" si="369">Y101</f>
        <v>40.463999999999999</v>
      </c>
      <c r="AA98" s="1">
        <f t="shared" ref="AA98" si="370">Z101</f>
        <v>40.463999999999999</v>
      </c>
      <c r="AB98" s="1">
        <f t="shared" ref="AB98" si="371">AA101</f>
        <v>40.463999999999999</v>
      </c>
      <c r="AC98" s="1">
        <f t="shared" ref="AC98" si="372">AB101</f>
        <v>40.463999999999999</v>
      </c>
      <c r="AD98" s="1">
        <f t="shared" ref="AD98" si="373">AC101</f>
        <v>40.463999999999999</v>
      </c>
      <c r="AE98" s="1">
        <f t="shared" ref="AE98" si="374">AD101</f>
        <v>40.463999999999999</v>
      </c>
      <c r="AF98" s="1">
        <f t="shared" ref="AF98" si="375">AE101</f>
        <v>40.463999999999999</v>
      </c>
      <c r="AG98" s="1">
        <f t="shared" ref="AG98" si="376">AF101</f>
        <v>40.463999999999999</v>
      </c>
      <c r="AH98" s="1">
        <f t="shared" ref="AH98" si="377">AG101</f>
        <v>40.463999999999999</v>
      </c>
      <c r="AI98" s="1">
        <f t="shared" ref="AI98" si="378">AH101</f>
        <v>40.463999999999999</v>
      </c>
      <c r="AJ98" s="1">
        <f t="shared" ref="AJ98" si="379">AI101</f>
        <v>40.463999999999999</v>
      </c>
      <c r="AK98" s="1">
        <f t="shared" ref="AK98" si="380">AJ101</f>
        <v>40.463999999999999</v>
      </c>
      <c r="AL98" s="1">
        <f t="shared" ref="AL98" si="381">AK101</f>
        <v>0</v>
      </c>
      <c r="AM98" s="1">
        <f t="shared" ref="AM98" si="382">AL101</f>
        <v>0</v>
      </c>
      <c r="AN98" s="1">
        <f t="shared" ref="AN98" si="383">AM101</f>
        <v>0</v>
      </c>
      <c r="AO98" s="1">
        <f t="shared" ref="AO98" si="384">AN101</f>
        <v>0</v>
      </c>
      <c r="AP98" s="1">
        <f t="shared" ref="AP98" si="385">AO101</f>
        <v>0</v>
      </c>
      <c r="AQ98" s="1">
        <f t="shared" ref="AQ98" si="386">AP101</f>
        <v>0</v>
      </c>
      <c r="AR98" s="1">
        <f t="shared" ref="AR98" si="387">AQ101</f>
        <v>0</v>
      </c>
      <c r="AS98" s="1">
        <f t="shared" ref="AS98" si="388">AR101</f>
        <v>0</v>
      </c>
      <c r="AT98" s="1">
        <f t="shared" ref="AT98" si="389">AS101</f>
        <v>0</v>
      </c>
      <c r="AU98" s="1">
        <f t="shared" ref="AU98" si="390">AT101</f>
        <v>0</v>
      </c>
      <c r="AV98" s="1">
        <f t="shared" ref="AV98" si="391">AU101</f>
        <v>0</v>
      </c>
      <c r="AW98" s="1">
        <f t="shared" ref="AW98" si="392">AV101</f>
        <v>0</v>
      </c>
      <c r="AX98" s="1">
        <f t="shared" ref="AX98" si="393">AW101</f>
        <v>0</v>
      </c>
      <c r="AY98" s="1">
        <f t="shared" ref="AY98" si="394">AX101</f>
        <v>0</v>
      </c>
      <c r="AZ98" s="1">
        <f t="shared" ref="AZ98" si="395">AY101</f>
        <v>0</v>
      </c>
      <c r="BA98" s="1">
        <f t="shared" ref="BA98" si="396">AZ101</f>
        <v>0</v>
      </c>
      <c r="BB98" s="1">
        <f t="shared" ref="BB98" si="397">BA101</f>
        <v>0</v>
      </c>
      <c r="BC98" s="1">
        <f t="shared" ref="BC98" si="398">BB101</f>
        <v>0</v>
      </c>
      <c r="BD98" s="1">
        <f t="shared" ref="BD98" si="399">BC101</f>
        <v>0</v>
      </c>
      <c r="BE98" s="1">
        <f t="shared" ref="BE98" si="400">BD101</f>
        <v>0</v>
      </c>
      <c r="BF98" s="1">
        <f t="shared" ref="BF98" si="401">BE101</f>
        <v>0</v>
      </c>
      <c r="BG98" s="1">
        <f t="shared" ref="BG98" si="402">BF101</f>
        <v>0</v>
      </c>
      <c r="BH98" s="1">
        <f t="shared" ref="BH98" si="403">BG101</f>
        <v>0</v>
      </c>
      <c r="BI98" s="1">
        <f t="shared" ref="BI98" si="404">BH101</f>
        <v>0</v>
      </c>
      <c r="BJ98" s="1">
        <f t="shared" ref="BJ98" si="405">BI101</f>
        <v>0</v>
      </c>
      <c r="BK98" s="1">
        <f t="shared" ref="BK98" si="406">BJ101</f>
        <v>0</v>
      </c>
      <c r="BL98" s="1">
        <f t="shared" ref="BL98" si="407">BK101</f>
        <v>0</v>
      </c>
      <c r="BM98" s="1">
        <f t="shared" ref="BM98" si="408">BL101</f>
        <v>0</v>
      </c>
      <c r="BN98" s="1">
        <f t="shared" ref="BN98" si="409">BM101</f>
        <v>0</v>
      </c>
      <c r="BO98" s="1">
        <f t="shared" ref="BO98" si="410">BN101</f>
        <v>0</v>
      </c>
      <c r="BP98" s="1">
        <f t="shared" ref="BP98" si="411">BO101</f>
        <v>0</v>
      </c>
      <c r="BQ98" s="1">
        <f t="shared" ref="BQ98" si="412">BP101</f>
        <v>0</v>
      </c>
      <c r="BR98" s="1">
        <f t="shared" ref="BR98" si="413">BQ101</f>
        <v>0</v>
      </c>
      <c r="BS98" s="1">
        <f t="shared" ref="BS98" si="414">BR101</f>
        <v>0</v>
      </c>
      <c r="BT98" s="1">
        <f t="shared" ref="BT98" si="415">BS101</f>
        <v>0</v>
      </c>
      <c r="BU98" s="1">
        <f t="shared" ref="BU98" si="416">BT101</f>
        <v>0</v>
      </c>
      <c r="BV98" s="1">
        <f t="shared" ref="BV98" si="417">BU101</f>
        <v>0</v>
      </c>
      <c r="BW98" s="1">
        <f t="shared" ref="BW98" si="418">BV101</f>
        <v>0</v>
      </c>
      <c r="BX98" s="1">
        <f t="shared" ref="BX98" si="419">BW101</f>
        <v>0</v>
      </c>
      <c r="BY98" s="1">
        <f t="shared" ref="BY98" si="420">BX101</f>
        <v>0</v>
      </c>
    </row>
    <row r="99" spans="3:77" ht="13.5" customHeight="1">
      <c r="E99" s="1" t="s">
        <v>170</v>
      </c>
      <c r="H99" s="1">
        <v>0</v>
      </c>
      <c r="I99" s="1">
        <v>0</v>
      </c>
      <c r="J99" s="1">
        <v>0</v>
      </c>
      <c r="K99" s="1">
        <v>0</v>
      </c>
      <c r="L99" s="1">
        <v>0</v>
      </c>
      <c r="M99" s="1">
        <v>0</v>
      </c>
      <c r="N99" s="1">
        <v>0</v>
      </c>
      <c r="O99" s="1">
        <v>0</v>
      </c>
      <c r="P99" s="1">
        <v>0</v>
      </c>
      <c r="Q99" s="1">
        <v>0</v>
      </c>
      <c r="R99" s="1">
        <v>0</v>
      </c>
      <c r="S99" s="1">
        <v>0</v>
      </c>
      <c r="T99" s="1">
        <v>0</v>
      </c>
      <c r="U99" s="1">
        <v>0</v>
      </c>
      <c r="V99" s="1">
        <v>0</v>
      </c>
      <c r="W99" s="1">
        <v>0</v>
      </c>
      <c r="X99" s="1">
        <v>0</v>
      </c>
      <c r="Y99" s="1">
        <v>0</v>
      </c>
      <c r="Z99" s="1">
        <v>0</v>
      </c>
      <c r="AA99" s="1">
        <v>0</v>
      </c>
      <c r="AB99" s="1">
        <v>0</v>
      </c>
      <c r="AC99" s="1">
        <v>0</v>
      </c>
      <c r="AD99" s="1">
        <v>0</v>
      </c>
      <c r="AE99" s="1">
        <v>0</v>
      </c>
      <c r="AF99" s="1">
        <v>0</v>
      </c>
      <c r="AG99" s="1">
        <v>0</v>
      </c>
      <c r="AH99" s="1">
        <v>0</v>
      </c>
      <c r="AI99" s="1">
        <v>0</v>
      </c>
      <c r="AJ99" s="1">
        <v>0</v>
      </c>
      <c r="AK99" s="1">
        <v>0</v>
      </c>
      <c r="AL99" s="1">
        <v>0</v>
      </c>
      <c r="AM99" s="1">
        <v>0</v>
      </c>
      <c r="AN99" s="1">
        <v>0</v>
      </c>
      <c r="AO99" s="1">
        <v>0</v>
      </c>
      <c r="AP99" s="1">
        <v>0</v>
      </c>
      <c r="AQ99" s="1">
        <v>0</v>
      </c>
      <c r="AR99" s="1">
        <v>0</v>
      </c>
      <c r="AS99" s="1">
        <v>0</v>
      </c>
      <c r="AT99" s="1">
        <v>0</v>
      </c>
      <c r="AU99" s="1">
        <v>0</v>
      </c>
      <c r="AV99" s="1">
        <v>0</v>
      </c>
      <c r="AW99" s="1">
        <v>0</v>
      </c>
      <c r="AX99" s="1">
        <v>0</v>
      </c>
      <c r="AY99" s="1">
        <v>0</v>
      </c>
      <c r="AZ99" s="1">
        <v>0</v>
      </c>
      <c r="BA99" s="1">
        <v>0</v>
      </c>
      <c r="BB99" s="1">
        <v>0</v>
      </c>
      <c r="BC99" s="1">
        <v>0</v>
      </c>
      <c r="BD99" s="1">
        <v>0</v>
      </c>
      <c r="BE99" s="1">
        <v>0</v>
      </c>
      <c r="BF99" s="1">
        <v>0</v>
      </c>
      <c r="BG99" s="1">
        <v>0</v>
      </c>
      <c r="BH99" s="1">
        <v>0</v>
      </c>
      <c r="BI99" s="1">
        <v>0</v>
      </c>
      <c r="BJ99" s="1">
        <v>0</v>
      </c>
      <c r="BK99" s="1">
        <v>0</v>
      </c>
      <c r="BL99" s="1">
        <v>0</v>
      </c>
      <c r="BM99" s="1">
        <v>0</v>
      </c>
      <c r="BN99" s="1">
        <v>0</v>
      </c>
      <c r="BO99" s="1">
        <v>0</v>
      </c>
      <c r="BP99" s="1">
        <v>0</v>
      </c>
      <c r="BQ99" s="1">
        <v>0</v>
      </c>
      <c r="BR99" s="1">
        <v>0</v>
      </c>
      <c r="BS99" s="1">
        <v>0</v>
      </c>
      <c r="BT99" s="1">
        <v>0</v>
      </c>
      <c r="BU99" s="1">
        <v>0</v>
      </c>
      <c r="BV99" s="1">
        <v>0</v>
      </c>
      <c r="BW99" s="1">
        <v>0</v>
      </c>
      <c r="BX99" s="1">
        <v>0</v>
      </c>
      <c r="BY99" s="1">
        <v>0</v>
      </c>
    </row>
    <row r="100" spans="3:77" ht="13.5" customHeight="1">
      <c r="E100" s="1" t="s">
        <v>171</v>
      </c>
      <c r="H100" s="1">
        <f>(H$14=$F82)*$F87*-1</f>
        <v>0</v>
      </c>
      <c r="I100" s="1">
        <f t="shared" ref="I100:BT100" si="421">(I$14=$F82)*$F87*-1</f>
        <v>0</v>
      </c>
      <c r="J100" s="1">
        <f t="shared" si="421"/>
        <v>0</v>
      </c>
      <c r="K100" s="1">
        <f t="shared" si="421"/>
        <v>0</v>
      </c>
      <c r="L100" s="1">
        <f t="shared" si="421"/>
        <v>0</v>
      </c>
      <c r="M100" s="1">
        <f t="shared" si="421"/>
        <v>0</v>
      </c>
      <c r="N100" s="1">
        <f t="shared" si="421"/>
        <v>0</v>
      </c>
      <c r="O100" s="1">
        <f t="shared" si="421"/>
        <v>0</v>
      </c>
      <c r="P100" s="1">
        <f t="shared" si="421"/>
        <v>0</v>
      </c>
      <c r="Q100" s="1">
        <f t="shared" si="421"/>
        <v>0</v>
      </c>
      <c r="R100" s="1">
        <f t="shared" si="421"/>
        <v>0</v>
      </c>
      <c r="S100" s="1">
        <f t="shared" si="421"/>
        <v>0</v>
      </c>
      <c r="T100" s="1">
        <f t="shared" si="421"/>
        <v>0</v>
      </c>
      <c r="U100" s="1">
        <f t="shared" si="421"/>
        <v>0</v>
      </c>
      <c r="V100" s="1">
        <f t="shared" si="421"/>
        <v>0</v>
      </c>
      <c r="W100" s="1">
        <f t="shared" si="421"/>
        <v>0</v>
      </c>
      <c r="X100" s="1">
        <f t="shared" si="421"/>
        <v>0</v>
      </c>
      <c r="Y100" s="1">
        <f t="shared" si="421"/>
        <v>0</v>
      </c>
      <c r="Z100" s="1">
        <f t="shared" si="421"/>
        <v>0</v>
      </c>
      <c r="AA100" s="1">
        <f t="shared" si="421"/>
        <v>0</v>
      </c>
      <c r="AB100" s="1">
        <f t="shared" si="421"/>
        <v>0</v>
      </c>
      <c r="AC100" s="1">
        <f t="shared" si="421"/>
        <v>0</v>
      </c>
      <c r="AD100" s="1">
        <f t="shared" si="421"/>
        <v>0</v>
      </c>
      <c r="AE100" s="1">
        <f t="shared" si="421"/>
        <v>0</v>
      </c>
      <c r="AF100" s="1">
        <f t="shared" si="421"/>
        <v>0</v>
      </c>
      <c r="AG100" s="1">
        <f t="shared" si="421"/>
        <v>0</v>
      </c>
      <c r="AH100" s="1">
        <f t="shared" si="421"/>
        <v>0</v>
      </c>
      <c r="AI100" s="1">
        <f t="shared" si="421"/>
        <v>0</v>
      </c>
      <c r="AJ100" s="1">
        <f t="shared" si="421"/>
        <v>0</v>
      </c>
      <c r="AK100" s="1">
        <f t="shared" si="421"/>
        <v>-40.463999999999999</v>
      </c>
      <c r="AL100" s="1">
        <f t="shared" si="421"/>
        <v>0</v>
      </c>
      <c r="AM100" s="1">
        <f t="shared" si="421"/>
        <v>0</v>
      </c>
      <c r="AN100" s="1">
        <f t="shared" si="421"/>
        <v>0</v>
      </c>
      <c r="AO100" s="1">
        <f t="shared" si="421"/>
        <v>0</v>
      </c>
      <c r="AP100" s="1">
        <f t="shared" si="421"/>
        <v>0</v>
      </c>
      <c r="AQ100" s="1">
        <f t="shared" si="421"/>
        <v>0</v>
      </c>
      <c r="AR100" s="1">
        <f t="shared" si="421"/>
        <v>0</v>
      </c>
      <c r="AS100" s="1">
        <f t="shared" si="421"/>
        <v>0</v>
      </c>
      <c r="AT100" s="1">
        <f t="shared" si="421"/>
        <v>0</v>
      </c>
      <c r="AU100" s="1">
        <f t="shared" si="421"/>
        <v>0</v>
      </c>
      <c r="AV100" s="1">
        <f t="shared" si="421"/>
        <v>0</v>
      </c>
      <c r="AW100" s="1">
        <f t="shared" si="421"/>
        <v>0</v>
      </c>
      <c r="AX100" s="1">
        <f t="shared" si="421"/>
        <v>0</v>
      </c>
      <c r="AY100" s="1">
        <f t="shared" si="421"/>
        <v>0</v>
      </c>
      <c r="AZ100" s="1">
        <f t="shared" si="421"/>
        <v>0</v>
      </c>
      <c r="BA100" s="1">
        <f t="shared" si="421"/>
        <v>0</v>
      </c>
      <c r="BB100" s="1">
        <f t="shared" si="421"/>
        <v>0</v>
      </c>
      <c r="BC100" s="1">
        <f t="shared" si="421"/>
        <v>0</v>
      </c>
      <c r="BD100" s="1">
        <f t="shared" si="421"/>
        <v>0</v>
      </c>
      <c r="BE100" s="1">
        <f t="shared" si="421"/>
        <v>0</v>
      </c>
      <c r="BF100" s="1">
        <f t="shared" si="421"/>
        <v>0</v>
      </c>
      <c r="BG100" s="1">
        <f t="shared" si="421"/>
        <v>0</v>
      </c>
      <c r="BH100" s="1">
        <f t="shared" si="421"/>
        <v>0</v>
      </c>
      <c r="BI100" s="1">
        <f t="shared" si="421"/>
        <v>0</v>
      </c>
      <c r="BJ100" s="1">
        <f t="shared" si="421"/>
        <v>0</v>
      </c>
      <c r="BK100" s="1">
        <f t="shared" si="421"/>
        <v>0</v>
      </c>
      <c r="BL100" s="1">
        <f t="shared" si="421"/>
        <v>0</v>
      </c>
      <c r="BM100" s="1">
        <f t="shared" si="421"/>
        <v>0</v>
      </c>
      <c r="BN100" s="1">
        <f t="shared" si="421"/>
        <v>0</v>
      </c>
      <c r="BO100" s="1">
        <f t="shared" si="421"/>
        <v>0</v>
      </c>
      <c r="BP100" s="1">
        <f t="shared" si="421"/>
        <v>0</v>
      </c>
      <c r="BQ100" s="1">
        <f t="shared" si="421"/>
        <v>0</v>
      </c>
      <c r="BR100" s="1">
        <f t="shared" si="421"/>
        <v>0</v>
      </c>
      <c r="BS100" s="1">
        <f t="shared" si="421"/>
        <v>0</v>
      </c>
      <c r="BT100" s="1">
        <f t="shared" si="421"/>
        <v>0</v>
      </c>
      <c r="BU100" s="1">
        <f t="shared" ref="BU100:BY100" si="422">(BU$14=$F82)*$F87*-1</f>
        <v>0</v>
      </c>
      <c r="BV100" s="1">
        <f t="shared" si="422"/>
        <v>0</v>
      </c>
      <c r="BW100" s="1">
        <f t="shared" si="422"/>
        <v>0</v>
      </c>
      <c r="BX100" s="1">
        <f t="shared" si="422"/>
        <v>0</v>
      </c>
      <c r="BY100" s="1">
        <f t="shared" si="422"/>
        <v>0</v>
      </c>
    </row>
    <row r="101" spans="3:77" ht="13.5" customHeight="1">
      <c r="E101" s="41" t="s">
        <v>172</v>
      </c>
      <c r="F101" s="41"/>
      <c r="G101" s="41"/>
      <c r="H101" s="41">
        <f>SUM(H98:H100)</f>
        <v>40.463999999999999</v>
      </c>
      <c r="I101" s="41">
        <f t="shared" ref="I101:BT101" si="423">SUM(I98:I100)</f>
        <v>40.463999999999999</v>
      </c>
      <c r="J101" s="41">
        <f t="shared" si="423"/>
        <v>40.463999999999999</v>
      </c>
      <c r="K101" s="41">
        <f t="shared" si="423"/>
        <v>40.463999999999999</v>
      </c>
      <c r="L101" s="41">
        <f t="shared" si="423"/>
        <v>40.463999999999999</v>
      </c>
      <c r="M101" s="41">
        <f t="shared" si="423"/>
        <v>40.463999999999999</v>
      </c>
      <c r="N101" s="41">
        <f t="shared" si="423"/>
        <v>40.463999999999999</v>
      </c>
      <c r="O101" s="41">
        <f t="shared" si="423"/>
        <v>40.463999999999999</v>
      </c>
      <c r="P101" s="41">
        <f t="shared" si="423"/>
        <v>40.463999999999999</v>
      </c>
      <c r="Q101" s="41">
        <f t="shared" si="423"/>
        <v>40.463999999999999</v>
      </c>
      <c r="R101" s="41">
        <f t="shared" si="423"/>
        <v>40.463999999999999</v>
      </c>
      <c r="S101" s="41">
        <f t="shared" si="423"/>
        <v>40.463999999999999</v>
      </c>
      <c r="T101" s="41">
        <f t="shared" si="423"/>
        <v>40.463999999999999</v>
      </c>
      <c r="U101" s="41">
        <f t="shared" si="423"/>
        <v>40.463999999999999</v>
      </c>
      <c r="V101" s="41">
        <f t="shared" si="423"/>
        <v>40.463999999999999</v>
      </c>
      <c r="W101" s="41">
        <f t="shared" si="423"/>
        <v>40.463999999999999</v>
      </c>
      <c r="X101" s="41">
        <f t="shared" si="423"/>
        <v>40.463999999999999</v>
      </c>
      <c r="Y101" s="41">
        <f t="shared" si="423"/>
        <v>40.463999999999999</v>
      </c>
      <c r="Z101" s="41">
        <f t="shared" si="423"/>
        <v>40.463999999999999</v>
      </c>
      <c r="AA101" s="41">
        <f t="shared" si="423"/>
        <v>40.463999999999999</v>
      </c>
      <c r="AB101" s="41">
        <f t="shared" si="423"/>
        <v>40.463999999999999</v>
      </c>
      <c r="AC101" s="41">
        <f t="shared" si="423"/>
        <v>40.463999999999999</v>
      </c>
      <c r="AD101" s="41">
        <f t="shared" si="423"/>
        <v>40.463999999999999</v>
      </c>
      <c r="AE101" s="41">
        <f t="shared" si="423"/>
        <v>40.463999999999999</v>
      </c>
      <c r="AF101" s="41">
        <f t="shared" si="423"/>
        <v>40.463999999999999</v>
      </c>
      <c r="AG101" s="41">
        <f t="shared" si="423"/>
        <v>40.463999999999999</v>
      </c>
      <c r="AH101" s="41">
        <f t="shared" si="423"/>
        <v>40.463999999999999</v>
      </c>
      <c r="AI101" s="41">
        <f t="shared" si="423"/>
        <v>40.463999999999999</v>
      </c>
      <c r="AJ101" s="41">
        <f t="shared" si="423"/>
        <v>40.463999999999999</v>
      </c>
      <c r="AK101" s="41">
        <f t="shared" si="423"/>
        <v>0</v>
      </c>
      <c r="AL101" s="41">
        <f t="shared" si="423"/>
        <v>0</v>
      </c>
      <c r="AM101" s="41">
        <f t="shared" si="423"/>
        <v>0</v>
      </c>
      <c r="AN101" s="41">
        <f t="shared" si="423"/>
        <v>0</v>
      </c>
      <c r="AO101" s="41">
        <f t="shared" si="423"/>
        <v>0</v>
      </c>
      <c r="AP101" s="41">
        <f t="shared" si="423"/>
        <v>0</v>
      </c>
      <c r="AQ101" s="41">
        <f t="shared" si="423"/>
        <v>0</v>
      </c>
      <c r="AR101" s="41">
        <f t="shared" si="423"/>
        <v>0</v>
      </c>
      <c r="AS101" s="41">
        <f t="shared" si="423"/>
        <v>0</v>
      </c>
      <c r="AT101" s="41">
        <f t="shared" si="423"/>
        <v>0</v>
      </c>
      <c r="AU101" s="41">
        <f t="shared" si="423"/>
        <v>0</v>
      </c>
      <c r="AV101" s="41">
        <f t="shared" si="423"/>
        <v>0</v>
      </c>
      <c r="AW101" s="41">
        <f t="shared" si="423"/>
        <v>0</v>
      </c>
      <c r="AX101" s="41">
        <f t="shared" si="423"/>
        <v>0</v>
      </c>
      <c r="AY101" s="41">
        <f t="shared" si="423"/>
        <v>0</v>
      </c>
      <c r="AZ101" s="41">
        <f t="shared" si="423"/>
        <v>0</v>
      </c>
      <c r="BA101" s="41">
        <f t="shared" si="423"/>
        <v>0</v>
      </c>
      <c r="BB101" s="41">
        <f t="shared" si="423"/>
        <v>0</v>
      </c>
      <c r="BC101" s="41">
        <f t="shared" si="423"/>
        <v>0</v>
      </c>
      <c r="BD101" s="41">
        <f t="shared" si="423"/>
        <v>0</v>
      </c>
      <c r="BE101" s="41">
        <f t="shared" si="423"/>
        <v>0</v>
      </c>
      <c r="BF101" s="41">
        <f t="shared" si="423"/>
        <v>0</v>
      </c>
      <c r="BG101" s="41">
        <f t="shared" si="423"/>
        <v>0</v>
      </c>
      <c r="BH101" s="41">
        <f t="shared" si="423"/>
        <v>0</v>
      </c>
      <c r="BI101" s="41">
        <f t="shared" si="423"/>
        <v>0</v>
      </c>
      <c r="BJ101" s="41">
        <f t="shared" si="423"/>
        <v>0</v>
      </c>
      <c r="BK101" s="41">
        <f t="shared" si="423"/>
        <v>0</v>
      </c>
      <c r="BL101" s="41">
        <f t="shared" si="423"/>
        <v>0</v>
      </c>
      <c r="BM101" s="41">
        <f t="shared" si="423"/>
        <v>0</v>
      </c>
      <c r="BN101" s="41">
        <f t="shared" si="423"/>
        <v>0</v>
      </c>
      <c r="BO101" s="41">
        <f t="shared" si="423"/>
        <v>0</v>
      </c>
      <c r="BP101" s="41">
        <f t="shared" si="423"/>
        <v>0</v>
      </c>
      <c r="BQ101" s="41">
        <f t="shared" si="423"/>
        <v>0</v>
      </c>
      <c r="BR101" s="41">
        <f t="shared" si="423"/>
        <v>0</v>
      </c>
      <c r="BS101" s="41">
        <f t="shared" si="423"/>
        <v>0</v>
      </c>
      <c r="BT101" s="41">
        <f t="shared" si="423"/>
        <v>0</v>
      </c>
      <c r="BU101" s="41">
        <f t="shared" ref="BU101:BY101" si="424">SUM(BU98:BU100)</f>
        <v>0</v>
      </c>
      <c r="BV101" s="41">
        <f t="shared" si="424"/>
        <v>0</v>
      </c>
      <c r="BW101" s="41">
        <f t="shared" si="424"/>
        <v>0</v>
      </c>
      <c r="BX101" s="41">
        <f t="shared" si="424"/>
        <v>0</v>
      </c>
      <c r="BY101" s="41">
        <f t="shared" si="424"/>
        <v>0</v>
      </c>
    </row>
    <row r="103" spans="3:77" ht="13.5" customHeight="1">
      <c r="C103" s="13" t="s">
        <v>183</v>
      </c>
    </row>
    <row r="104" spans="3:77" s="11" customFormat="1" ht="13.5" customHeight="1">
      <c r="F104" s="11" t="s">
        <v>160</v>
      </c>
      <c r="H104" s="11">
        <f t="shared" ref="H104:AM104" si="425">(H$14&gt;=$F111)*(H$14&lt;=exit)*1</f>
        <v>0</v>
      </c>
      <c r="I104" s="11">
        <f t="shared" si="425"/>
        <v>0</v>
      </c>
      <c r="J104" s="11">
        <f t="shared" si="425"/>
        <v>0</v>
      </c>
      <c r="K104" s="11">
        <f t="shared" si="425"/>
        <v>0</v>
      </c>
      <c r="L104" s="11">
        <f t="shared" si="425"/>
        <v>0</v>
      </c>
      <c r="M104" s="11">
        <f t="shared" si="425"/>
        <v>0</v>
      </c>
      <c r="N104" s="11">
        <f t="shared" si="425"/>
        <v>0</v>
      </c>
      <c r="O104" s="11">
        <f t="shared" si="425"/>
        <v>0</v>
      </c>
      <c r="P104" s="11">
        <f t="shared" si="425"/>
        <v>0</v>
      </c>
      <c r="Q104" s="11">
        <f t="shared" si="425"/>
        <v>0</v>
      </c>
      <c r="R104" s="11">
        <f t="shared" si="425"/>
        <v>0</v>
      </c>
      <c r="S104" s="11">
        <f t="shared" si="425"/>
        <v>0</v>
      </c>
      <c r="T104" s="11">
        <f t="shared" si="425"/>
        <v>0</v>
      </c>
      <c r="U104" s="11">
        <f t="shared" si="425"/>
        <v>0</v>
      </c>
      <c r="V104" s="11">
        <f t="shared" si="425"/>
        <v>0</v>
      </c>
      <c r="W104" s="11">
        <f t="shared" si="425"/>
        <v>0</v>
      </c>
      <c r="X104" s="11">
        <f t="shared" si="425"/>
        <v>0</v>
      </c>
      <c r="Y104" s="11">
        <f t="shared" si="425"/>
        <v>0</v>
      </c>
      <c r="Z104" s="11">
        <f t="shared" si="425"/>
        <v>0</v>
      </c>
      <c r="AA104" s="11">
        <f t="shared" si="425"/>
        <v>0</v>
      </c>
      <c r="AB104" s="11">
        <f t="shared" si="425"/>
        <v>0</v>
      </c>
      <c r="AC104" s="11">
        <f t="shared" si="425"/>
        <v>0</v>
      </c>
      <c r="AD104" s="11">
        <f t="shared" si="425"/>
        <v>0</v>
      </c>
      <c r="AE104" s="11">
        <f t="shared" si="425"/>
        <v>0</v>
      </c>
      <c r="AF104" s="11">
        <f t="shared" si="425"/>
        <v>0</v>
      </c>
      <c r="AG104" s="11">
        <f t="shared" si="425"/>
        <v>0</v>
      </c>
      <c r="AH104" s="11">
        <f t="shared" si="425"/>
        <v>0</v>
      </c>
      <c r="AI104" s="11">
        <f t="shared" si="425"/>
        <v>0</v>
      </c>
      <c r="AJ104" s="11">
        <f t="shared" si="425"/>
        <v>0</v>
      </c>
      <c r="AK104" s="11">
        <f t="shared" si="425"/>
        <v>0</v>
      </c>
      <c r="AL104" s="11">
        <f t="shared" si="425"/>
        <v>0</v>
      </c>
      <c r="AM104" s="11">
        <f t="shared" si="425"/>
        <v>1</v>
      </c>
      <c r="AN104" s="11">
        <f t="shared" ref="AN104:BS104" si="426">(AN$14&gt;=$F111)*(AN$14&lt;=exit)*1</f>
        <v>1</v>
      </c>
      <c r="AO104" s="11">
        <f t="shared" si="426"/>
        <v>1</v>
      </c>
      <c r="AP104" s="11">
        <f t="shared" si="426"/>
        <v>1</v>
      </c>
      <c r="AQ104" s="11">
        <f t="shared" si="426"/>
        <v>1</v>
      </c>
      <c r="AR104" s="11">
        <f t="shared" si="426"/>
        <v>1</v>
      </c>
      <c r="AS104" s="11">
        <f t="shared" si="426"/>
        <v>1</v>
      </c>
      <c r="AT104" s="11">
        <f t="shared" si="426"/>
        <v>1</v>
      </c>
      <c r="AU104" s="11">
        <f t="shared" si="426"/>
        <v>1</v>
      </c>
      <c r="AV104" s="11">
        <f t="shared" si="426"/>
        <v>1</v>
      </c>
      <c r="AW104" s="11">
        <f t="shared" si="426"/>
        <v>1</v>
      </c>
      <c r="AX104" s="11">
        <f t="shared" si="426"/>
        <v>1</v>
      </c>
      <c r="AY104" s="11">
        <f t="shared" si="426"/>
        <v>1</v>
      </c>
      <c r="AZ104" s="11">
        <f t="shared" si="426"/>
        <v>1</v>
      </c>
      <c r="BA104" s="11">
        <f t="shared" si="426"/>
        <v>1</v>
      </c>
      <c r="BB104" s="11">
        <f t="shared" si="426"/>
        <v>1</v>
      </c>
      <c r="BC104" s="11">
        <f t="shared" si="426"/>
        <v>1</v>
      </c>
      <c r="BD104" s="11">
        <f t="shared" si="426"/>
        <v>1</v>
      </c>
      <c r="BE104" s="11">
        <f t="shared" si="426"/>
        <v>1</v>
      </c>
      <c r="BF104" s="11">
        <f t="shared" si="426"/>
        <v>1</v>
      </c>
      <c r="BG104" s="11">
        <f t="shared" si="426"/>
        <v>1</v>
      </c>
      <c r="BH104" s="11">
        <f t="shared" si="426"/>
        <v>1</v>
      </c>
      <c r="BI104" s="11">
        <f t="shared" si="426"/>
        <v>1</v>
      </c>
      <c r="BJ104" s="11">
        <f t="shared" si="426"/>
        <v>1</v>
      </c>
      <c r="BK104" s="11">
        <f t="shared" si="426"/>
        <v>1</v>
      </c>
      <c r="BL104" s="11">
        <f t="shared" si="426"/>
        <v>1</v>
      </c>
      <c r="BM104" s="11">
        <f t="shared" si="426"/>
        <v>1</v>
      </c>
      <c r="BN104" s="11">
        <f t="shared" si="426"/>
        <v>1</v>
      </c>
      <c r="BO104" s="11">
        <f t="shared" si="426"/>
        <v>1</v>
      </c>
      <c r="BP104" s="11">
        <f t="shared" si="426"/>
        <v>1</v>
      </c>
      <c r="BQ104" s="11">
        <f t="shared" si="426"/>
        <v>0</v>
      </c>
      <c r="BR104" s="11">
        <f t="shared" si="426"/>
        <v>0</v>
      </c>
      <c r="BS104" s="11">
        <f t="shared" si="426"/>
        <v>0</v>
      </c>
      <c r="BT104" s="11">
        <f t="shared" ref="BT104:BY104" si="427">(BT$14&gt;=$F111)*(BT$14&lt;=exit)*1</f>
        <v>0</v>
      </c>
      <c r="BU104" s="11">
        <f t="shared" si="427"/>
        <v>0</v>
      </c>
      <c r="BV104" s="11">
        <f t="shared" si="427"/>
        <v>0</v>
      </c>
      <c r="BW104" s="11">
        <f t="shared" si="427"/>
        <v>0</v>
      </c>
      <c r="BX104" s="11">
        <f t="shared" si="427"/>
        <v>0</v>
      </c>
      <c r="BY104" s="11">
        <f t="shared" si="427"/>
        <v>0</v>
      </c>
    </row>
    <row r="105" spans="3:77" s="11" customFormat="1" ht="13.5" customHeight="1">
      <c r="F105" s="11" t="s">
        <v>191</v>
      </c>
      <c r="H105" s="11">
        <f>SUM($H104:H104)*H104</f>
        <v>0</v>
      </c>
      <c r="I105" s="11">
        <f>SUM($H104:I104)*I104</f>
        <v>0</v>
      </c>
      <c r="J105" s="11">
        <f>SUM($H104:J104)*J104</f>
        <v>0</v>
      </c>
      <c r="K105" s="11">
        <f>SUM($H104:K104)*K104</f>
        <v>0</v>
      </c>
      <c r="L105" s="11">
        <f>SUM($H104:L104)*L104</f>
        <v>0</v>
      </c>
      <c r="M105" s="11">
        <f>SUM($H104:M104)*M104</f>
        <v>0</v>
      </c>
      <c r="N105" s="11">
        <f>SUM($H104:N104)*N104</f>
        <v>0</v>
      </c>
      <c r="O105" s="11">
        <f>SUM($H104:O104)*O104</f>
        <v>0</v>
      </c>
      <c r="P105" s="11">
        <f>SUM($H104:P104)*P104</f>
        <v>0</v>
      </c>
      <c r="Q105" s="11">
        <f>SUM($H104:Q104)*Q104</f>
        <v>0</v>
      </c>
      <c r="R105" s="11">
        <f>SUM($H104:R104)*R104</f>
        <v>0</v>
      </c>
      <c r="S105" s="11">
        <f>SUM($H104:S104)*S104</f>
        <v>0</v>
      </c>
      <c r="T105" s="11">
        <f>SUM($H104:T104)*T104</f>
        <v>0</v>
      </c>
      <c r="U105" s="11">
        <f>SUM($H104:U104)*U104</f>
        <v>0</v>
      </c>
      <c r="V105" s="11">
        <f>SUM($H104:V104)*V104</f>
        <v>0</v>
      </c>
      <c r="W105" s="11">
        <f>SUM($H104:W104)*W104</f>
        <v>0</v>
      </c>
      <c r="X105" s="11">
        <f>SUM($H104:X104)*X104</f>
        <v>0</v>
      </c>
      <c r="Y105" s="11">
        <f>SUM($H104:Y104)*Y104</f>
        <v>0</v>
      </c>
      <c r="Z105" s="11">
        <f>SUM($H104:Z104)*Z104</f>
        <v>0</v>
      </c>
      <c r="AA105" s="11">
        <f>SUM($H104:AA104)*AA104</f>
        <v>0</v>
      </c>
      <c r="AB105" s="11">
        <f>SUM($H104:AB104)*AB104</f>
        <v>0</v>
      </c>
      <c r="AC105" s="11">
        <f>SUM($H104:AC104)*AC104</f>
        <v>0</v>
      </c>
      <c r="AD105" s="11">
        <f>SUM($H104:AD104)*AD104</f>
        <v>0</v>
      </c>
      <c r="AE105" s="11">
        <f>SUM($H104:AE104)*AE104</f>
        <v>0</v>
      </c>
      <c r="AF105" s="11">
        <f>SUM($H104:AF104)*AF104</f>
        <v>0</v>
      </c>
      <c r="AG105" s="11">
        <f>SUM($H104:AG104)*AG104</f>
        <v>0</v>
      </c>
      <c r="AH105" s="11">
        <f>SUM($H104:AH104)*AH104</f>
        <v>0</v>
      </c>
      <c r="AI105" s="11">
        <f>SUM($H104:AI104)*AI104</f>
        <v>0</v>
      </c>
      <c r="AJ105" s="11">
        <f>SUM($H104:AJ104)*AJ104</f>
        <v>0</v>
      </c>
      <c r="AK105" s="11">
        <f>SUM($H104:AK104)*AK104</f>
        <v>0</v>
      </c>
      <c r="AL105" s="11">
        <f>SUM($H104:AL104)*AL104</f>
        <v>0</v>
      </c>
      <c r="AM105" s="11">
        <f>SUM($H104:AM104)*AM104</f>
        <v>1</v>
      </c>
      <c r="AN105" s="11">
        <f>SUM($H104:AN104)*AN104</f>
        <v>2</v>
      </c>
      <c r="AO105" s="11">
        <f>SUM($H104:AO104)*AO104</f>
        <v>3</v>
      </c>
      <c r="AP105" s="11">
        <f>SUM($H104:AP104)*AP104</f>
        <v>4</v>
      </c>
      <c r="AQ105" s="11">
        <f>SUM($H104:AQ104)*AQ104</f>
        <v>5</v>
      </c>
      <c r="AR105" s="11">
        <f>SUM($H104:AR104)*AR104</f>
        <v>6</v>
      </c>
      <c r="AS105" s="11">
        <f>SUM($H104:AS104)*AS104</f>
        <v>7</v>
      </c>
      <c r="AT105" s="11">
        <f>SUM($H104:AT104)*AT104</f>
        <v>8</v>
      </c>
      <c r="AU105" s="11">
        <f>SUM($H104:AU104)*AU104</f>
        <v>9</v>
      </c>
      <c r="AV105" s="11">
        <f>SUM($H104:AV104)*AV104</f>
        <v>10</v>
      </c>
      <c r="AW105" s="11">
        <f>SUM($H104:AW104)*AW104</f>
        <v>11</v>
      </c>
      <c r="AX105" s="11">
        <f>SUM($H104:AX104)*AX104</f>
        <v>12</v>
      </c>
      <c r="AY105" s="11">
        <f>SUM($H104:AY104)*AY104</f>
        <v>13</v>
      </c>
      <c r="AZ105" s="11">
        <f>SUM($H104:AZ104)*AZ104</f>
        <v>14</v>
      </c>
      <c r="BA105" s="11">
        <f>SUM($H104:BA104)*BA104</f>
        <v>15</v>
      </c>
      <c r="BB105" s="11">
        <f>SUM($H104:BB104)*BB104</f>
        <v>16</v>
      </c>
      <c r="BC105" s="11">
        <f>SUM($H104:BC104)*BC104</f>
        <v>17</v>
      </c>
      <c r="BD105" s="11">
        <f>SUM($H104:BD104)*BD104</f>
        <v>18</v>
      </c>
      <c r="BE105" s="11">
        <f>SUM($H104:BE104)*BE104</f>
        <v>19</v>
      </c>
      <c r="BF105" s="11">
        <f>SUM($H104:BF104)*BF104</f>
        <v>20</v>
      </c>
      <c r="BG105" s="11">
        <f>SUM($H104:BG104)*BG104</f>
        <v>21</v>
      </c>
      <c r="BH105" s="11">
        <f>SUM($H104:BH104)*BH104</f>
        <v>22</v>
      </c>
      <c r="BI105" s="11">
        <f>SUM($H104:BI104)*BI104</f>
        <v>23</v>
      </c>
      <c r="BJ105" s="11">
        <f>SUM($H104:BJ104)*BJ104</f>
        <v>24</v>
      </c>
      <c r="BK105" s="11">
        <f>SUM($H104:BK104)*BK104</f>
        <v>25</v>
      </c>
      <c r="BL105" s="11">
        <f>SUM($H104:BL104)*BL104</f>
        <v>26</v>
      </c>
      <c r="BM105" s="11">
        <f>SUM($H104:BM104)*BM104</f>
        <v>27</v>
      </c>
      <c r="BN105" s="11">
        <f>SUM($H104:BN104)*BN104</f>
        <v>28</v>
      </c>
      <c r="BO105" s="11">
        <f>SUM($H104:BO104)*BO104</f>
        <v>29</v>
      </c>
      <c r="BP105" s="11">
        <f>SUM($H104:BP104)*BP104</f>
        <v>30</v>
      </c>
      <c r="BQ105" s="11">
        <f>SUM($H104:BQ104)*BQ104</f>
        <v>0</v>
      </c>
      <c r="BR105" s="11">
        <f>SUM($H104:BR104)*BR104</f>
        <v>0</v>
      </c>
      <c r="BS105" s="11">
        <f>SUM($H104:BS104)*BS104</f>
        <v>0</v>
      </c>
      <c r="BT105" s="11">
        <f>SUM($H104:BT104)*BT104</f>
        <v>0</v>
      </c>
      <c r="BU105" s="11">
        <f>SUM($H104:BU104)*BU104</f>
        <v>0</v>
      </c>
      <c r="BV105" s="11">
        <f>SUM($H104:BV104)*BV104</f>
        <v>0</v>
      </c>
      <c r="BW105" s="11">
        <f>SUM($H104:BW104)*BW104</f>
        <v>0</v>
      </c>
      <c r="BX105" s="11">
        <f>SUM($H104:BX104)*BX104</f>
        <v>0</v>
      </c>
      <c r="BY105" s="11">
        <f>SUM($H104:BY104)*BY104</f>
        <v>0</v>
      </c>
    </row>
    <row r="106" spans="3:77" s="11" customFormat="1" ht="13.5" customHeight="1">
      <c r="F106" s="11" t="s">
        <v>154</v>
      </c>
      <c r="H106" s="11">
        <f>(MOD(H105,12)=1)*1</f>
        <v>0</v>
      </c>
      <c r="I106" s="11">
        <f t="shared" ref="I106" si="428">(MOD(I105,12)=1)*1</f>
        <v>0</v>
      </c>
      <c r="J106" s="11">
        <f t="shared" ref="J106" si="429">(MOD(J105,12)=1)*1</f>
        <v>0</v>
      </c>
      <c r="K106" s="11">
        <f t="shared" ref="K106" si="430">(MOD(K105,12)=1)*1</f>
        <v>0</v>
      </c>
      <c r="L106" s="11">
        <f t="shared" ref="L106" si="431">(MOD(L105,12)=1)*1</f>
        <v>0</v>
      </c>
      <c r="M106" s="11">
        <f t="shared" ref="M106" si="432">(MOD(M105,12)=1)*1</f>
        <v>0</v>
      </c>
      <c r="N106" s="11">
        <f t="shared" ref="N106" si="433">(MOD(N105,12)=1)*1</f>
        <v>0</v>
      </c>
      <c r="O106" s="11">
        <f t="shared" ref="O106" si="434">(MOD(O105,12)=1)*1</f>
        <v>0</v>
      </c>
      <c r="P106" s="11">
        <f t="shared" ref="P106" si="435">(MOD(P105,12)=1)*1</f>
        <v>0</v>
      </c>
      <c r="Q106" s="11">
        <f t="shared" ref="Q106" si="436">(MOD(Q105,12)=1)*1</f>
        <v>0</v>
      </c>
      <c r="R106" s="11">
        <f t="shared" ref="R106" si="437">(MOD(R105,12)=1)*1</f>
        <v>0</v>
      </c>
      <c r="S106" s="11">
        <f t="shared" ref="S106" si="438">(MOD(S105,12)=1)*1</f>
        <v>0</v>
      </c>
      <c r="T106" s="11">
        <f t="shared" ref="T106" si="439">(MOD(T105,12)=1)*1</f>
        <v>0</v>
      </c>
      <c r="U106" s="11">
        <f t="shared" ref="U106" si="440">(MOD(U105,12)=1)*1</f>
        <v>0</v>
      </c>
      <c r="V106" s="11">
        <f t="shared" ref="V106" si="441">(MOD(V105,12)=1)*1</f>
        <v>0</v>
      </c>
      <c r="W106" s="11">
        <f t="shared" ref="W106" si="442">(MOD(W105,12)=1)*1</f>
        <v>0</v>
      </c>
      <c r="X106" s="11">
        <f t="shared" ref="X106" si="443">(MOD(X105,12)=1)*1</f>
        <v>0</v>
      </c>
      <c r="Y106" s="11">
        <f t="shared" ref="Y106" si="444">(MOD(Y105,12)=1)*1</f>
        <v>0</v>
      </c>
      <c r="Z106" s="11">
        <f t="shared" ref="Z106" si="445">(MOD(Z105,12)=1)*1</f>
        <v>0</v>
      </c>
      <c r="AA106" s="11">
        <f t="shared" ref="AA106" si="446">(MOD(AA105,12)=1)*1</f>
        <v>0</v>
      </c>
      <c r="AB106" s="11">
        <f t="shared" ref="AB106" si="447">(MOD(AB105,12)=1)*1</f>
        <v>0</v>
      </c>
      <c r="AC106" s="11">
        <f t="shared" ref="AC106" si="448">(MOD(AC105,12)=1)*1</f>
        <v>0</v>
      </c>
      <c r="AD106" s="11">
        <f t="shared" ref="AD106" si="449">(MOD(AD105,12)=1)*1</f>
        <v>0</v>
      </c>
      <c r="AE106" s="11">
        <f t="shared" ref="AE106" si="450">(MOD(AE105,12)=1)*1</f>
        <v>0</v>
      </c>
      <c r="AF106" s="11">
        <f t="shared" ref="AF106" si="451">(MOD(AF105,12)=1)*1</f>
        <v>0</v>
      </c>
      <c r="AG106" s="11">
        <f t="shared" ref="AG106" si="452">(MOD(AG105,12)=1)*1</f>
        <v>0</v>
      </c>
      <c r="AH106" s="11">
        <f t="shared" ref="AH106" si="453">(MOD(AH105,12)=1)*1</f>
        <v>0</v>
      </c>
      <c r="AI106" s="11">
        <f t="shared" ref="AI106" si="454">(MOD(AI105,12)=1)*1</f>
        <v>0</v>
      </c>
      <c r="AJ106" s="11">
        <f t="shared" ref="AJ106" si="455">(MOD(AJ105,12)=1)*1</f>
        <v>0</v>
      </c>
      <c r="AK106" s="11">
        <f t="shared" ref="AK106" si="456">(MOD(AK105,12)=1)*1</f>
        <v>0</v>
      </c>
      <c r="AL106" s="11">
        <f t="shared" ref="AL106" si="457">(MOD(AL105,12)=1)*1</f>
        <v>0</v>
      </c>
      <c r="AM106" s="11">
        <f t="shared" ref="AM106" si="458">(MOD(AM105,12)=1)*1</f>
        <v>1</v>
      </c>
      <c r="AN106" s="11">
        <f t="shared" ref="AN106" si="459">(MOD(AN105,12)=1)*1</f>
        <v>0</v>
      </c>
      <c r="AO106" s="11">
        <f t="shared" ref="AO106" si="460">(MOD(AO105,12)=1)*1</f>
        <v>0</v>
      </c>
      <c r="AP106" s="11">
        <f t="shared" ref="AP106" si="461">(MOD(AP105,12)=1)*1</f>
        <v>0</v>
      </c>
      <c r="AQ106" s="11">
        <f t="shared" ref="AQ106" si="462">(MOD(AQ105,12)=1)*1</f>
        <v>0</v>
      </c>
      <c r="AR106" s="11">
        <f t="shared" ref="AR106" si="463">(MOD(AR105,12)=1)*1</f>
        <v>0</v>
      </c>
      <c r="AS106" s="11">
        <f t="shared" ref="AS106" si="464">(MOD(AS105,12)=1)*1</f>
        <v>0</v>
      </c>
      <c r="AT106" s="11">
        <f t="shared" ref="AT106" si="465">(MOD(AT105,12)=1)*1</f>
        <v>0</v>
      </c>
      <c r="AU106" s="11">
        <f t="shared" ref="AU106" si="466">(MOD(AU105,12)=1)*1</f>
        <v>0</v>
      </c>
      <c r="AV106" s="11">
        <f t="shared" ref="AV106" si="467">(MOD(AV105,12)=1)*1</f>
        <v>0</v>
      </c>
      <c r="AW106" s="11">
        <f t="shared" ref="AW106" si="468">(MOD(AW105,12)=1)*1</f>
        <v>0</v>
      </c>
      <c r="AX106" s="11">
        <f t="shared" ref="AX106" si="469">(MOD(AX105,12)=1)*1</f>
        <v>0</v>
      </c>
      <c r="AY106" s="11">
        <f t="shared" ref="AY106" si="470">(MOD(AY105,12)=1)*1</f>
        <v>1</v>
      </c>
      <c r="AZ106" s="11">
        <f t="shared" ref="AZ106" si="471">(MOD(AZ105,12)=1)*1</f>
        <v>0</v>
      </c>
      <c r="BA106" s="11">
        <f t="shared" ref="BA106" si="472">(MOD(BA105,12)=1)*1</f>
        <v>0</v>
      </c>
      <c r="BB106" s="11">
        <f t="shared" ref="BB106" si="473">(MOD(BB105,12)=1)*1</f>
        <v>0</v>
      </c>
      <c r="BC106" s="11">
        <f t="shared" ref="BC106" si="474">(MOD(BC105,12)=1)*1</f>
        <v>0</v>
      </c>
      <c r="BD106" s="11">
        <f t="shared" ref="BD106" si="475">(MOD(BD105,12)=1)*1</f>
        <v>0</v>
      </c>
      <c r="BE106" s="11">
        <f t="shared" ref="BE106" si="476">(MOD(BE105,12)=1)*1</f>
        <v>0</v>
      </c>
      <c r="BF106" s="11">
        <f t="shared" ref="BF106" si="477">(MOD(BF105,12)=1)*1</f>
        <v>0</v>
      </c>
      <c r="BG106" s="11">
        <f t="shared" ref="BG106" si="478">(MOD(BG105,12)=1)*1</f>
        <v>0</v>
      </c>
      <c r="BH106" s="11">
        <f t="shared" ref="BH106" si="479">(MOD(BH105,12)=1)*1</f>
        <v>0</v>
      </c>
      <c r="BI106" s="11">
        <f t="shared" ref="BI106" si="480">(MOD(BI105,12)=1)*1</f>
        <v>0</v>
      </c>
      <c r="BJ106" s="11">
        <f t="shared" ref="BJ106" si="481">(MOD(BJ105,12)=1)*1</f>
        <v>0</v>
      </c>
      <c r="BK106" s="11">
        <f t="shared" ref="BK106" si="482">(MOD(BK105,12)=1)*1</f>
        <v>1</v>
      </c>
      <c r="BL106" s="11">
        <f t="shared" ref="BL106" si="483">(MOD(BL105,12)=1)*1</f>
        <v>0</v>
      </c>
      <c r="BM106" s="11">
        <f t="shared" ref="BM106" si="484">(MOD(BM105,12)=1)*1</f>
        <v>0</v>
      </c>
      <c r="BN106" s="11">
        <f t="shared" ref="BN106" si="485">(MOD(BN105,12)=1)*1</f>
        <v>0</v>
      </c>
      <c r="BO106" s="11">
        <f t="shared" ref="BO106" si="486">(MOD(BO105,12)=1)*1</f>
        <v>0</v>
      </c>
      <c r="BP106" s="11">
        <f t="shared" ref="BP106" si="487">(MOD(BP105,12)=1)*1</f>
        <v>0</v>
      </c>
      <c r="BQ106" s="11">
        <f t="shared" ref="BQ106" si="488">(MOD(BQ105,12)=1)*1</f>
        <v>0</v>
      </c>
      <c r="BR106" s="11">
        <f t="shared" ref="BR106" si="489">(MOD(BR105,12)=1)*1</f>
        <v>0</v>
      </c>
      <c r="BS106" s="11">
        <f t="shared" ref="BS106" si="490">(MOD(BS105,12)=1)*1</f>
        <v>0</v>
      </c>
      <c r="BT106" s="11">
        <f t="shared" ref="BT106" si="491">(MOD(BT105,12)=1)*1</f>
        <v>0</v>
      </c>
      <c r="BU106" s="11">
        <f t="shared" ref="BU106" si="492">(MOD(BU105,12)=1)*1</f>
        <v>0</v>
      </c>
      <c r="BV106" s="11">
        <f t="shared" ref="BV106" si="493">(MOD(BV105,12)=1)*1</f>
        <v>0</v>
      </c>
      <c r="BW106" s="11">
        <f t="shared" ref="BW106" si="494">(MOD(BW105,12)=1)*1</f>
        <v>0</v>
      </c>
      <c r="BX106" s="11">
        <f t="shared" ref="BX106" si="495">(MOD(BX105,12)=1)*1</f>
        <v>0</v>
      </c>
      <c r="BY106" s="11">
        <f t="shared" ref="BY106" si="496">(MOD(BY105,12)=1)*1</f>
        <v>0</v>
      </c>
    </row>
    <row r="107" spans="3:77" s="11" customFormat="1" ht="13.5" customHeight="1">
      <c r="F107" s="11" t="s">
        <v>192</v>
      </c>
      <c r="H107" s="118">
        <f>SUM($H106:H106)*H104</f>
        <v>0</v>
      </c>
      <c r="I107" s="118">
        <f>SUM($H106:I106)*I104</f>
        <v>0</v>
      </c>
      <c r="J107" s="118">
        <f>SUM($H106:J106)*J104</f>
        <v>0</v>
      </c>
      <c r="K107" s="118">
        <f>SUM($H106:K106)*K104</f>
        <v>0</v>
      </c>
      <c r="L107" s="118">
        <f>SUM($H106:L106)*L104</f>
        <v>0</v>
      </c>
      <c r="M107" s="118">
        <f>SUM($H106:M106)*M104</f>
        <v>0</v>
      </c>
      <c r="N107" s="118">
        <f>SUM($H106:N106)*N104</f>
        <v>0</v>
      </c>
      <c r="O107" s="118">
        <f>SUM($H106:O106)*O104</f>
        <v>0</v>
      </c>
      <c r="P107" s="118">
        <f>SUM($H106:P106)*P104</f>
        <v>0</v>
      </c>
      <c r="Q107" s="118">
        <f>SUM($H106:Q106)*Q104</f>
        <v>0</v>
      </c>
      <c r="R107" s="118">
        <f>SUM($H106:R106)*R104</f>
        <v>0</v>
      </c>
      <c r="S107" s="118">
        <f>SUM($H106:S106)*S104</f>
        <v>0</v>
      </c>
      <c r="T107" s="118">
        <f>SUM($H106:T106)*T104</f>
        <v>0</v>
      </c>
      <c r="U107" s="118">
        <f>SUM($H106:U106)*U104</f>
        <v>0</v>
      </c>
      <c r="V107" s="118">
        <f>SUM($H106:V106)*V104</f>
        <v>0</v>
      </c>
      <c r="W107" s="118">
        <f>SUM($H106:W106)*W104</f>
        <v>0</v>
      </c>
      <c r="X107" s="118">
        <f>SUM($H106:X106)*X104</f>
        <v>0</v>
      </c>
      <c r="Y107" s="118">
        <f>SUM($H106:Y106)*Y104</f>
        <v>0</v>
      </c>
      <c r="Z107" s="118">
        <f>SUM($H106:Z106)*Z104</f>
        <v>0</v>
      </c>
      <c r="AA107" s="118">
        <f>SUM($H106:AA106)*AA104</f>
        <v>0</v>
      </c>
      <c r="AB107" s="118">
        <f>SUM($H106:AB106)*AB104</f>
        <v>0</v>
      </c>
      <c r="AC107" s="118">
        <f>SUM($H106:AC106)*AC104</f>
        <v>0</v>
      </c>
      <c r="AD107" s="118">
        <f>SUM($H106:AD106)*AD104</f>
        <v>0</v>
      </c>
      <c r="AE107" s="118">
        <f>SUM($H106:AE106)*AE104</f>
        <v>0</v>
      </c>
      <c r="AF107" s="118">
        <f>SUM($H106:AF106)*AF104</f>
        <v>0</v>
      </c>
      <c r="AG107" s="118">
        <f>SUM($H106:AG106)*AG104</f>
        <v>0</v>
      </c>
      <c r="AH107" s="118">
        <f>SUM($H106:AH106)*AH104</f>
        <v>0</v>
      </c>
      <c r="AI107" s="118">
        <f>SUM($H106:AI106)*AI104</f>
        <v>0</v>
      </c>
      <c r="AJ107" s="118">
        <f>SUM($H106:AJ106)*AJ104</f>
        <v>0</v>
      </c>
      <c r="AK107" s="118">
        <f>SUM($H106:AK106)*AK104</f>
        <v>0</v>
      </c>
      <c r="AL107" s="118">
        <f>SUM($H106:AL106)*AL104</f>
        <v>0</v>
      </c>
      <c r="AM107" s="118">
        <f>SUM($H106:AM106)*AM104</f>
        <v>1</v>
      </c>
      <c r="AN107" s="118">
        <f>SUM($H106:AN106)*AN104</f>
        <v>1</v>
      </c>
      <c r="AO107" s="118">
        <f>SUM($H106:AO106)*AO104</f>
        <v>1</v>
      </c>
      <c r="AP107" s="118">
        <f>SUM($H106:AP106)*AP104</f>
        <v>1</v>
      </c>
      <c r="AQ107" s="118">
        <f>SUM($H106:AQ106)*AQ104</f>
        <v>1</v>
      </c>
      <c r="AR107" s="118">
        <f>SUM($H106:AR106)*AR104</f>
        <v>1</v>
      </c>
      <c r="AS107" s="118">
        <f>SUM($H106:AS106)*AS104</f>
        <v>1</v>
      </c>
      <c r="AT107" s="118">
        <f>SUM($H106:AT106)*AT104</f>
        <v>1</v>
      </c>
      <c r="AU107" s="118">
        <f>SUM($H106:AU106)*AU104</f>
        <v>1</v>
      </c>
      <c r="AV107" s="118">
        <f>SUM($H106:AV106)*AV104</f>
        <v>1</v>
      </c>
      <c r="AW107" s="118">
        <f>SUM($H106:AW106)*AW104</f>
        <v>1</v>
      </c>
      <c r="AX107" s="118">
        <f>SUM($H106:AX106)*AX104</f>
        <v>1</v>
      </c>
      <c r="AY107" s="118">
        <f>SUM($H106:AY106)*AY104</f>
        <v>2</v>
      </c>
      <c r="AZ107" s="118">
        <f>SUM($H106:AZ106)*AZ104</f>
        <v>2</v>
      </c>
      <c r="BA107" s="118">
        <f>SUM($H106:BA106)*BA104</f>
        <v>2</v>
      </c>
      <c r="BB107" s="118">
        <f>SUM($H106:BB106)*BB104</f>
        <v>2</v>
      </c>
      <c r="BC107" s="118">
        <f>SUM($H106:BC106)*BC104</f>
        <v>2</v>
      </c>
      <c r="BD107" s="118">
        <f>SUM($H106:BD106)*BD104</f>
        <v>2</v>
      </c>
      <c r="BE107" s="118">
        <f>SUM($H106:BE106)*BE104</f>
        <v>2</v>
      </c>
      <c r="BF107" s="118">
        <f>SUM($H106:BF106)*BF104</f>
        <v>2</v>
      </c>
      <c r="BG107" s="118">
        <f>SUM($H106:BG106)*BG104</f>
        <v>2</v>
      </c>
      <c r="BH107" s="118">
        <f>SUM($H106:BH106)*BH104</f>
        <v>2</v>
      </c>
      <c r="BI107" s="118">
        <f>SUM($H106:BI106)*BI104</f>
        <v>2</v>
      </c>
      <c r="BJ107" s="118">
        <f>SUM($H106:BJ106)*BJ104</f>
        <v>2</v>
      </c>
      <c r="BK107" s="118">
        <f>SUM($H106:BK106)*BK104</f>
        <v>3</v>
      </c>
      <c r="BL107" s="118">
        <f>SUM($H106:BL106)*BL104</f>
        <v>3</v>
      </c>
      <c r="BM107" s="118">
        <f>SUM($H106:BM106)*BM104</f>
        <v>3</v>
      </c>
      <c r="BN107" s="118">
        <f>SUM($H106:BN106)*BN104</f>
        <v>3</v>
      </c>
      <c r="BO107" s="118">
        <f>SUM($H106:BO106)*BO104</f>
        <v>3</v>
      </c>
      <c r="BP107" s="118">
        <f>SUM($H106:BP106)*BP104</f>
        <v>3</v>
      </c>
      <c r="BQ107" s="118">
        <f>SUM($H106:BQ106)*BQ104</f>
        <v>0</v>
      </c>
      <c r="BR107" s="118">
        <f>SUM($H106:BR106)*BR104</f>
        <v>0</v>
      </c>
      <c r="BS107" s="118">
        <f>SUM($H106:BS106)*BS104</f>
        <v>0</v>
      </c>
      <c r="BT107" s="118">
        <f>SUM($H106:BT106)*BT104</f>
        <v>0</v>
      </c>
      <c r="BU107" s="118">
        <f>SUM($H106:BU106)*BU104</f>
        <v>0</v>
      </c>
      <c r="BV107" s="118">
        <f>SUM($H106:BV106)*BV104</f>
        <v>0</v>
      </c>
      <c r="BW107" s="118">
        <f>SUM($H106:BW106)*BW104</f>
        <v>0</v>
      </c>
      <c r="BX107" s="118">
        <f>SUM($H106:BX106)*BX104</f>
        <v>0</v>
      </c>
      <c r="BY107" s="118">
        <f>SUM($H106:BY106)*BY104</f>
        <v>0</v>
      </c>
    </row>
    <row r="108" spans="3:77" s="11" customFormat="1" ht="13.5" customHeight="1">
      <c r="F108" s="11" t="s">
        <v>193</v>
      </c>
      <c r="H108" s="119">
        <f t="shared" ref="H108:AM108" si="497">(1+$F119)^(H107-1)*H104</f>
        <v>0</v>
      </c>
      <c r="I108" s="119">
        <f t="shared" si="497"/>
        <v>0</v>
      </c>
      <c r="J108" s="119">
        <f t="shared" si="497"/>
        <v>0</v>
      </c>
      <c r="K108" s="119">
        <f t="shared" si="497"/>
        <v>0</v>
      </c>
      <c r="L108" s="119">
        <f t="shared" si="497"/>
        <v>0</v>
      </c>
      <c r="M108" s="119">
        <f t="shared" si="497"/>
        <v>0</v>
      </c>
      <c r="N108" s="119">
        <f t="shared" si="497"/>
        <v>0</v>
      </c>
      <c r="O108" s="119">
        <f t="shared" si="497"/>
        <v>0</v>
      </c>
      <c r="P108" s="119">
        <f t="shared" si="497"/>
        <v>0</v>
      </c>
      <c r="Q108" s="119">
        <f t="shared" si="497"/>
        <v>0</v>
      </c>
      <c r="R108" s="119">
        <f t="shared" si="497"/>
        <v>0</v>
      </c>
      <c r="S108" s="119">
        <f t="shared" si="497"/>
        <v>0</v>
      </c>
      <c r="T108" s="119">
        <f t="shared" si="497"/>
        <v>0</v>
      </c>
      <c r="U108" s="119">
        <f t="shared" si="497"/>
        <v>0</v>
      </c>
      <c r="V108" s="119">
        <f t="shared" si="497"/>
        <v>0</v>
      </c>
      <c r="W108" s="119">
        <f t="shared" si="497"/>
        <v>0</v>
      </c>
      <c r="X108" s="119">
        <f t="shared" si="497"/>
        <v>0</v>
      </c>
      <c r="Y108" s="119">
        <f t="shared" si="497"/>
        <v>0</v>
      </c>
      <c r="Z108" s="119">
        <f t="shared" si="497"/>
        <v>0</v>
      </c>
      <c r="AA108" s="119">
        <f t="shared" si="497"/>
        <v>0</v>
      </c>
      <c r="AB108" s="119">
        <f t="shared" si="497"/>
        <v>0</v>
      </c>
      <c r="AC108" s="119">
        <f t="shared" si="497"/>
        <v>0</v>
      </c>
      <c r="AD108" s="119">
        <f t="shared" si="497"/>
        <v>0</v>
      </c>
      <c r="AE108" s="119">
        <f t="shared" si="497"/>
        <v>0</v>
      </c>
      <c r="AF108" s="119">
        <f t="shared" si="497"/>
        <v>0</v>
      </c>
      <c r="AG108" s="119">
        <f t="shared" si="497"/>
        <v>0</v>
      </c>
      <c r="AH108" s="119">
        <f t="shared" si="497"/>
        <v>0</v>
      </c>
      <c r="AI108" s="119">
        <f t="shared" si="497"/>
        <v>0</v>
      </c>
      <c r="AJ108" s="119">
        <f t="shared" si="497"/>
        <v>0</v>
      </c>
      <c r="AK108" s="119">
        <f t="shared" si="497"/>
        <v>0</v>
      </c>
      <c r="AL108" s="119">
        <f t="shared" si="497"/>
        <v>0</v>
      </c>
      <c r="AM108" s="119">
        <f t="shared" si="497"/>
        <v>1</v>
      </c>
      <c r="AN108" s="119">
        <f t="shared" ref="AN108:BS108" si="498">(1+$F119)^(AN107-1)*AN104</f>
        <v>1</v>
      </c>
      <c r="AO108" s="119">
        <f t="shared" si="498"/>
        <v>1</v>
      </c>
      <c r="AP108" s="119">
        <f t="shared" si="498"/>
        <v>1</v>
      </c>
      <c r="AQ108" s="119">
        <f t="shared" si="498"/>
        <v>1</v>
      </c>
      <c r="AR108" s="119">
        <f t="shared" si="498"/>
        <v>1</v>
      </c>
      <c r="AS108" s="119">
        <f t="shared" si="498"/>
        <v>1</v>
      </c>
      <c r="AT108" s="119">
        <f t="shared" si="498"/>
        <v>1</v>
      </c>
      <c r="AU108" s="119">
        <f t="shared" si="498"/>
        <v>1</v>
      </c>
      <c r="AV108" s="119">
        <f t="shared" si="498"/>
        <v>1</v>
      </c>
      <c r="AW108" s="119">
        <f t="shared" si="498"/>
        <v>1</v>
      </c>
      <c r="AX108" s="119">
        <f t="shared" si="498"/>
        <v>1</v>
      </c>
      <c r="AY108" s="119">
        <f t="shared" si="498"/>
        <v>1.01</v>
      </c>
      <c r="AZ108" s="119">
        <f t="shared" si="498"/>
        <v>1.01</v>
      </c>
      <c r="BA108" s="119">
        <f t="shared" si="498"/>
        <v>1.01</v>
      </c>
      <c r="BB108" s="119">
        <f t="shared" si="498"/>
        <v>1.01</v>
      </c>
      <c r="BC108" s="119">
        <f t="shared" si="498"/>
        <v>1.01</v>
      </c>
      <c r="BD108" s="119">
        <f t="shared" si="498"/>
        <v>1.01</v>
      </c>
      <c r="BE108" s="119">
        <f t="shared" si="498"/>
        <v>1.01</v>
      </c>
      <c r="BF108" s="119">
        <f t="shared" si="498"/>
        <v>1.01</v>
      </c>
      <c r="BG108" s="119">
        <f t="shared" si="498"/>
        <v>1.01</v>
      </c>
      <c r="BH108" s="119">
        <f t="shared" si="498"/>
        <v>1.01</v>
      </c>
      <c r="BI108" s="119">
        <f t="shared" si="498"/>
        <v>1.01</v>
      </c>
      <c r="BJ108" s="119">
        <f t="shared" si="498"/>
        <v>1.01</v>
      </c>
      <c r="BK108" s="119">
        <f t="shared" si="498"/>
        <v>1.0201</v>
      </c>
      <c r="BL108" s="119">
        <f t="shared" si="498"/>
        <v>1.0201</v>
      </c>
      <c r="BM108" s="119">
        <f t="shared" si="498"/>
        <v>1.0201</v>
      </c>
      <c r="BN108" s="119">
        <f t="shared" si="498"/>
        <v>1.0201</v>
      </c>
      <c r="BO108" s="119">
        <f t="shared" si="498"/>
        <v>1.0201</v>
      </c>
      <c r="BP108" s="119">
        <f t="shared" si="498"/>
        <v>1.0201</v>
      </c>
      <c r="BQ108" s="119">
        <f t="shared" si="498"/>
        <v>0</v>
      </c>
      <c r="BR108" s="119">
        <f t="shared" si="498"/>
        <v>0</v>
      </c>
      <c r="BS108" s="119">
        <f t="shared" si="498"/>
        <v>0</v>
      </c>
      <c r="BT108" s="119">
        <f t="shared" ref="BT108:BY108" si="499">(1+$F119)^(BT107-1)*BT104</f>
        <v>0</v>
      </c>
      <c r="BU108" s="119">
        <f t="shared" si="499"/>
        <v>0</v>
      </c>
      <c r="BV108" s="119">
        <f t="shared" si="499"/>
        <v>0</v>
      </c>
      <c r="BW108" s="119">
        <f t="shared" si="499"/>
        <v>0</v>
      </c>
      <c r="BX108" s="119">
        <f t="shared" si="499"/>
        <v>0</v>
      </c>
      <c r="BY108" s="119">
        <f t="shared" si="499"/>
        <v>0</v>
      </c>
    </row>
    <row r="109" spans="3:77" s="11" customFormat="1" ht="13.5" customHeight="1">
      <c r="F109" s="11" t="s">
        <v>194</v>
      </c>
      <c r="H109" s="119">
        <f t="shared" ref="H109:AM109" si="500">(1+$F120)^(H107-1)*H104</f>
        <v>0</v>
      </c>
      <c r="I109" s="119">
        <f t="shared" si="500"/>
        <v>0</v>
      </c>
      <c r="J109" s="119">
        <f t="shared" si="500"/>
        <v>0</v>
      </c>
      <c r="K109" s="119">
        <f t="shared" si="500"/>
        <v>0</v>
      </c>
      <c r="L109" s="119">
        <f t="shared" si="500"/>
        <v>0</v>
      </c>
      <c r="M109" s="119">
        <f t="shared" si="500"/>
        <v>0</v>
      </c>
      <c r="N109" s="119">
        <f t="shared" si="500"/>
        <v>0</v>
      </c>
      <c r="O109" s="119">
        <f t="shared" si="500"/>
        <v>0</v>
      </c>
      <c r="P109" s="119">
        <f t="shared" si="500"/>
        <v>0</v>
      </c>
      <c r="Q109" s="119">
        <f t="shared" si="500"/>
        <v>0</v>
      </c>
      <c r="R109" s="119">
        <f t="shared" si="500"/>
        <v>0</v>
      </c>
      <c r="S109" s="119">
        <f t="shared" si="500"/>
        <v>0</v>
      </c>
      <c r="T109" s="119">
        <f t="shared" si="500"/>
        <v>0</v>
      </c>
      <c r="U109" s="119">
        <f t="shared" si="500"/>
        <v>0</v>
      </c>
      <c r="V109" s="119">
        <f t="shared" si="500"/>
        <v>0</v>
      </c>
      <c r="W109" s="119">
        <f t="shared" si="500"/>
        <v>0</v>
      </c>
      <c r="X109" s="119">
        <f t="shared" si="500"/>
        <v>0</v>
      </c>
      <c r="Y109" s="119">
        <f t="shared" si="500"/>
        <v>0</v>
      </c>
      <c r="Z109" s="119">
        <f t="shared" si="500"/>
        <v>0</v>
      </c>
      <c r="AA109" s="119">
        <f t="shared" si="500"/>
        <v>0</v>
      </c>
      <c r="AB109" s="119">
        <f t="shared" si="500"/>
        <v>0</v>
      </c>
      <c r="AC109" s="119">
        <f t="shared" si="500"/>
        <v>0</v>
      </c>
      <c r="AD109" s="119">
        <f t="shared" si="500"/>
        <v>0</v>
      </c>
      <c r="AE109" s="119">
        <f t="shared" si="500"/>
        <v>0</v>
      </c>
      <c r="AF109" s="119">
        <f t="shared" si="500"/>
        <v>0</v>
      </c>
      <c r="AG109" s="119">
        <f t="shared" si="500"/>
        <v>0</v>
      </c>
      <c r="AH109" s="119">
        <f t="shared" si="500"/>
        <v>0</v>
      </c>
      <c r="AI109" s="119">
        <f t="shared" si="500"/>
        <v>0</v>
      </c>
      <c r="AJ109" s="119">
        <f t="shared" si="500"/>
        <v>0</v>
      </c>
      <c r="AK109" s="119">
        <f t="shared" si="500"/>
        <v>0</v>
      </c>
      <c r="AL109" s="119">
        <f t="shared" si="500"/>
        <v>0</v>
      </c>
      <c r="AM109" s="119">
        <f t="shared" si="500"/>
        <v>1</v>
      </c>
      <c r="AN109" s="119">
        <f t="shared" ref="AN109:BS109" si="501">(1+$F120)^(AN107-1)*AN104</f>
        <v>1</v>
      </c>
      <c r="AO109" s="119">
        <f t="shared" si="501"/>
        <v>1</v>
      </c>
      <c r="AP109" s="119">
        <f t="shared" si="501"/>
        <v>1</v>
      </c>
      <c r="AQ109" s="119">
        <f t="shared" si="501"/>
        <v>1</v>
      </c>
      <c r="AR109" s="119">
        <f t="shared" si="501"/>
        <v>1</v>
      </c>
      <c r="AS109" s="119">
        <f t="shared" si="501"/>
        <v>1</v>
      </c>
      <c r="AT109" s="119">
        <f t="shared" si="501"/>
        <v>1</v>
      </c>
      <c r="AU109" s="119">
        <f t="shared" si="501"/>
        <v>1</v>
      </c>
      <c r="AV109" s="119">
        <f t="shared" si="501"/>
        <v>1</v>
      </c>
      <c r="AW109" s="119">
        <f t="shared" si="501"/>
        <v>1</v>
      </c>
      <c r="AX109" s="119">
        <f t="shared" si="501"/>
        <v>1</v>
      </c>
      <c r="AY109" s="119">
        <f t="shared" si="501"/>
        <v>1.01</v>
      </c>
      <c r="AZ109" s="119">
        <f t="shared" si="501"/>
        <v>1.01</v>
      </c>
      <c r="BA109" s="119">
        <f t="shared" si="501"/>
        <v>1.01</v>
      </c>
      <c r="BB109" s="119">
        <f t="shared" si="501"/>
        <v>1.01</v>
      </c>
      <c r="BC109" s="119">
        <f t="shared" si="501"/>
        <v>1.01</v>
      </c>
      <c r="BD109" s="119">
        <f t="shared" si="501"/>
        <v>1.01</v>
      </c>
      <c r="BE109" s="119">
        <f t="shared" si="501"/>
        <v>1.01</v>
      </c>
      <c r="BF109" s="119">
        <f t="shared" si="501"/>
        <v>1.01</v>
      </c>
      <c r="BG109" s="119">
        <f t="shared" si="501"/>
        <v>1.01</v>
      </c>
      <c r="BH109" s="119">
        <f t="shared" si="501"/>
        <v>1.01</v>
      </c>
      <c r="BI109" s="119">
        <f t="shared" si="501"/>
        <v>1.01</v>
      </c>
      <c r="BJ109" s="119">
        <f t="shared" si="501"/>
        <v>1.01</v>
      </c>
      <c r="BK109" s="119">
        <f t="shared" si="501"/>
        <v>1.0201</v>
      </c>
      <c r="BL109" s="119">
        <f t="shared" si="501"/>
        <v>1.0201</v>
      </c>
      <c r="BM109" s="119">
        <f t="shared" si="501"/>
        <v>1.0201</v>
      </c>
      <c r="BN109" s="119">
        <f t="shared" si="501"/>
        <v>1.0201</v>
      </c>
      <c r="BO109" s="119">
        <f t="shared" si="501"/>
        <v>1.0201</v>
      </c>
      <c r="BP109" s="119">
        <f t="shared" si="501"/>
        <v>1.0201</v>
      </c>
      <c r="BQ109" s="119">
        <f t="shared" si="501"/>
        <v>0</v>
      </c>
      <c r="BR109" s="119">
        <f t="shared" si="501"/>
        <v>0</v>
      </c>
      <c r="BS109" s="119">
        <f t="shared" si="501"/>
        <v>0</v>
      </c>
      <c r="BT109" s="119">
        <f t="shared" ref="BT109:BY109" si="502">(1+$F120)^(BT107-1)*BT104</f>
        <v>0</v>
      </c>
      <c r="BU109" s="119">
        <f t="shared" si="502"/>
        <v>0</v>
      </c>
      <c r="BV109" s="119">
        <f t="shared" si="502"/>
        <v>0</v>
      </c>
      <c r="BW109" s="119">
        <f t="shared" si="502"/>
        <v>0</v>
      </c>
      <c r="BX109" s="119">
        <f t="shared" si="502"/>
        <v>0</v>
      </c>
      <c r="BY109" s="119">
        <f t="shared" si="502"/>
        <v>0</v>
      </c>
    </row>
    <row r="110" spans="3:77" s="11" customFormat="1" ht="13.5" customHeight="1">
      <c r="F110" s="11" t="s">
        <v>195</v>
      </c>
      <c r="H110" s="11">
        <f t="shared" ref="H110:AM110" si="503">(H$14&gt;=$F111)*(H$14&lt;=$F114)*1</f>
        <v>0</v>
      </c>
      <c r="I110" s="11">
        <f t="shared" si="503"/>
        <v>0</v>
      </c>
      <c r="J110" s="11">
        <f t="shared" si="503"/>
        <v>0</v>
      </c>
      <c r="K110" s="11">
        <f t="shared" si="503"/>
        <v>0</v>
      </c>
      <c r="L110" s="11">
        <f t="shared" si="503"/>
        <v>0</v>
      </c>
      <c r="M110" s="11">
        <f t="shared" si="503"/>
        <v>0</v>
      </c>
      <c r="N110" s="11">
        <f t="shared" si="503"/>
        <v>0</v>
      </c>
      <c r="O110" s="11">
        <f t="shared" si="503"/>
        <v>0</v>
      </c>
      <c r="P110" s="11">
        <f t="shared" si="503"/>
        <v>0</v>
      </c>
      <c r="Q110" s="11">
        <f t="shared" si="503"/>
        <v>0</v>
      </c>
      <c r="R110" s="11">
        <f t="shared" si="503"/>
        <v>0</v>
      </c>
      <c r="S110" s="11">
        <f t="shared" si="503"/>
        <v>0</v>
      </c>
      <c r="T110" s="11">
        <f t="shared" si="503"/>
        <v>0</v>
      </c>
      <c r="U110" s="11">
        <f t="shared" si="503"/>
        <v>0</v>
      </c>
      <c r="V110" s="11">
        <f t="shared" si="503"/>
        <v>0</v>
      </c>
      <c r="W110" s="11">
        <f t="shared" si="503"/>
        <v>0</v>
      </c>
      <c r="X110" s="11">
        <f t="shared" si="503"/>
        <v>0</v>
      </c>
      <c r="Y110" s="11">
        <f t="shared" si="503"/>
        <v>0</v>
      </c>
      <c r="Z110" s="11">
        <f t="shared" si="503"/>
        <v>0</v>
      </c>
      <c r="AA110" s="11">
        <f t="shared" si="503"/>
        <v>0</v>
      </c>
      <c r="AB110" s="11">
        <f t="shared" si="503"/>
        <v>0</v>
      </c>
      <c r="AC110" s="11">
        <f t="shared" si="503"/>
        <v>0</v>
      </c>
      <c r="AD110" s="11">
        <f t="shared" si="503"/>
        <v>0</v>
      </c>
      <c r="AE110" s="11">
        <f t="shared" si="503"/>
        <v>0</v>
      </c>
      <c r="AF110" s="11">
        <f t="shared" si="503"/>
        <v>0</v>
      </c>
      <c r="AG110" s="11">
        <f t="shared" si="503"/>
        <v>0</v>
      </c>
      <c r="AH110" s="11">
        <f t="shared" si="503"/>
        <v>0</v>
      </c>
      <c r="AI110" s="11">
        <f t="shared" si="503"/>
        <v>0</v>
      </c>
      <c r="AJ110" s="11">
        <f t="shared" si="503"/>
        <v>0</v>
      </c>
      <c r="AK110" s="11">
        <f t="shared" si="503"/>
        <v>0</v>
      </c>
      <c r="AL110" s="11">
        <f t="shared" si="503"/>
        <v>0</v>
      </c>
      <c r="AM110" s="11">
        <f t="shared" si="503"/>
        <v>1</v>
      </c>
      <c r="AN110" s="11">
        <f t="shared" ref="AN110:BS110" si="504">(AN$14&gt;=$F111)*(AN$14&lt;=$F114)*1</f>
        <v>0</v>
      </c>
      <c r="AO110" s="11">
        <f t="shared" si="504"/>
        <v>0</v>
      </c>
      <c r="AP110" s="11">
        <f t="shared" si="504"/>
        <v>0</v>
      </c>
      <c r="AQ110" s="11">
        <f t="shared" si="504"/>
        <v>0</v>
      </c>
      <c r="AR110" s="11">
        <f t="shared" si="504"/>
        <v>0</v>
      </c>
      <c r="AS110" s="11">
        <f t="shared" si="504"/>
        <v>0</v>
      </c>
      <c r="AT110" s="11">
        <f t="shared" si="504"/>
        <v>0</v>
      </c>
      <c r="AU110" s="11">
        <f t="shared" si="504"/>
        <v>0</v>
      </c>
      <c r="AV110" s="11">
        <f t="shared" si="504"/>
        <v>0</v>
      </c>
      <c r="AW110" s="11">
        <f t="shared" si="504"/>
        <v>0</v>
      </c>
      <c r="AX110" s="11">
        <f t="shared" si="504"/>
        <v>0</v>
      </c>
      <c r="AY110" s="11">
        <f t="shared" si="504"/>
        <v>0</v>
      </c>
      <c r="AZ110" s="11">
        <f t="shared" si="504"/>
        <v>0</v>
      </c>
      <c r="BA110" s="11">
        <f t="shared" si="504"/>
        <v>0</v>
      </c>
      <c r="BB110" s="11">
        <f t="shared" si="504"/>
        <v>0</v>
      </c>
      <c r="BC110" s="11">
        <f t="shared" si="504"/>
        <v>0</v>
      </c>
      <c r="BD110" s="11">
        <f t="shared" si="504"/>
        <v>0</v>
      </c>
      <c r="BE110" s="11">
        <f t="shared" si="504"/>
        <v>0</v>
      </c>
      <c r="BF110" s="11">
        <f t="shared" si="504"/>
        <v>0</v>
      </c>
      <c r="BG110" s="11">
        <f t="shared" si="504"/>
        <v>0</v>
      </c>
      <c r="BH110" s="11">
        <f t="shared" si="504"/>
        <v>0</v>
      </c>
      <c r="BI110" s="11">
        <f t="shared" si="504"/>
        <v>0</v>
      </c>
      <c r="BJ110" s="11">
        <f t="shared" si="504"/>
        <v>0</v>
      </c>
      <c r="BK110" s="11">
        <f t="shared" si="504"/>
        <v>0</v>
      </c>
      <c r="BL110" s="11">
        <f t="shared" si="504"/>
        <v>0</v>
      </c>
      <c r="BM110" s="11">
        <f t="shared" si="504"/>
        <v>0</v>
      </c>
      <c r="BN110" s="11">
        <f t="shared" si="504"/>
        <v>0</v>
      </c>
      <c r="BO110" s="11">
        <f t="shared" si="504"/>
        <v>0</v>
      </c>
      <c r="BP110" s="11">
        <f t="shared" si="504"/>
        <v>0</v>
      </c>
      <c r="BQ110" s="11">
        <f t="shared" si="504"/>
        <v>0</v>
      </c>
      <c r="BR110" s="11">
        <f t="shared" si="504"/>
        <v>0</v>
      </c>
      <c r="BS110" s="11">
        <f t="shared" si="504"/>
        <v>0</v>
      </c>
      <c r="BT110" s="11">
        <f t="shared" ref="BT110:BY110" si="505">(BT$14&gt;=$F111)*(BT$14&lt;=$F114)*1</f>
        <v>0</v>
      </c>
      <c r="BU110" s="11">
        <f t="shared" si="505"/>
        <v>0</v>
      </c>
      <c r="BV110" s="11">
        <f t="shared" si="505"/>
        <v>0</v>
      </c>
      <c r="BW110" s="11">
        <f t="shared" si="505"/>
        <v>0</v>
      </c>
      <c r="BX110" s="11">
        <f t="shared" si="505"/>
        <v>0</v>
      </c>
      <c r="BY110" s="11">
        <f t="shared" si="505"/>
        <v>0</v>
      </c>
    </row>
    <row r="111" spans="3:77" ht="13.5" customHeight="1">
      <c r="E111" s="95" t="s">
        <v>184</v>
      </c>
      <c r="F111" s="100">
        <f>EOMONTH(F82,VLOOKUP(B79,'A&amp;R'!$Q$12:$AC$16,4,0)+1)</f>
        <v>45230</v>
      </c>
    </row>
    <row r="112" spans="3:77" ht="13.5" customHeight="1">
      <c r="E112" s="96" t="s">
        <v>185</v>
      </c>
      <c r="F112" s="97">
        <f>VLOOKUP(B79,'A&amp;R'!$Q$12:$AC$16,7,0)</f>
        <v>12000</v>
      </c>
    </row>
    <row r="113" spans="4:77" ht="13.5" customHeight="1">
      <c r="E113" s="96" t="s">
        <v>186</v>
      </c>
      <c r="F113" s="97">
        <f>VLOOKUP(B79,'A&amp;R'!$Q$12:$AC$16,5,0)</f>
        <v>1</v>
      </c>
    </row>
    <row r="114" spans="4:77" ht="13.5" customHeight="1">
      <c r="E114" s="96" t="s">
        <v>190</v>
      </c>
      <c r="F114" s="117">
        <f>EOMONTH(F111,F113-1)</f>
        <v>45230</v>
      </c>
    </row>
    <row r="115" spans="4:77" ht="13.5" customHeight="1">
      <c r="E115" s="96" t="s">
        <v>187</v>
      </c>
      <c r="F115" s="97">
        <f>VLOOKUP(B79,'A&amp;R'!$Q$12:$AC$16,6,0)</f>
        <v>1</v>
      </c>
    </row>
    <row r="116" spans="4:77" ht="13.5" customHeight="1">
      <c r="E116" s="96" t="s">
        <v>72</v>
      </c>
      <c r="F116" s="97">
        <f ca="1">VLOOKUP(B79,'A&amp;R'!$Q$12:$AC$16,3,0)</f>
        <v>562</v>
      </c>
    </row>
    <row r="117" spans="4:77" ht="13.5" customHeight="1">
      <c r="E117" s="96" t="s">
        <v>159</v>
      </c>
      <c r="F117" s="97">
        <f>VLOOKUP(B79,'A&amp;R'!$Q$12:$AC$16,8,0)</f>
        <v>2000</v>
      </c>
    </row>
    <row r="118" spans="4:77" ht="13.5" customHeight="1">
      <c r="E118" s="96" t="s">
        <v>76</v>
      </c>
      <c r="F118" s="97">
        <f ca="1">VLOOKUP(B79,'A&amp;R'!$Q$12:$AC$17,11,0)</f>
        <v>40.463999999999999</v>
      </c>
    </row>
    <row r="119" spans="4:77" ht="13.5" customHeight="1">
      <c r="E119" s="96" t="s">
        <v>188</v>
      </c>
      <c r="F119" s="115">
        <f>VLOOKUP(B79,'A&amp;R'!$Q$12:$AC$16,9,0)</f>
        <v>0.01</v>
      </c>
    </row>
    <row r="120" spans="4:77" ht="13.5" customHeight="1">
      <c r="E120" s="98" t="s">
        <v>189</v>
      </c>
      <c r="F120" s="116">
        <f>VLOOKUP(B79,'A&amp;R'!$Q$12:$AC$16,10,0)</f>
        <v>0.01</v>
      </c>
    </row>
    <row r="121" spans="4:77" ht="13.5" customHeight="1">
      <c r="D121" s="1" t="s">
        <v>161</v>
      </c>
    </row>
    <row r="122" spans="4:77" ht="13.5" customHeight="1">
      <c r="E122" s="30" t="s">
        <v>162</v>
      </c>
      <c r="F122" s="41"/>
      <c r="G122" s="41"/>
      <c r="H122" s="41">
        <f>IF(H110=1,0,H104*$F112*H108)</f>
        <v>0</v>
      </c>
      <c r="I122" s="41">
        <f t="shared" ref="I122:BT122" si="506">IF(I110=1,0,I104*$F112*I108)</f>
        <v>0</v>
      </c>
      <c r="J122" s="41">
        <f t="shared" si="506"/>
        <v>0</v>
      </c>
      <c r="K122" s="41">
        <f t="shared" si="506"/>
        <v>0</v>
      </c>
      <c r="L122" s="41">
        <f t="shared" si="506"/>
        <v>0</v>
      </c>
      <c r="M122" s="41">
        <f t="shared" si="506"/>
        <v>0</v>
      </c>
      <c r="N122" s="41">
        <f t="shared" si="506"/>
        <v>0</v>
      </c>
      <c r="O122" s="41">
        <f t="shared" si="506"/>
        <v>0</v>
      </c>
      <c r="P122" s="41">
        <f t="shared" si="506"/>
        <v>0</v>
      </c>
      <c r="Q122" s="41">
        <f t="shared" si="506"/>
        <v>0</v>
      </c>
      <c r="R122" s="41">
        <f t="shared" si="506"/>
        <v>0</v>
      </c>
      <c r="S122" s="41">
        <f t="shared" si="506"/>
        <v>0</v>
      </c>
      <c r="T122" s="41">
        <f t="shared" si="506"/>
        <v>0</v>
      </c>
      <c r="U122" s="41">
        <f t="shared" si="506"/>
        <v>0</v>
      </c>
      <c r="V122" s="41">
        <f t="shared" si="506"/>
        <v>0</v>
      </c>
      <c r="W122" s="41">
        <f t="shared" si="506"/>
        <v>0</v>
      </c>
      <c r="X122" s="41">
        <f t="shared" si="506"/>
        <v>0</v>
      </c>
      <c r="Y122" s="41">
        <f t="shared" si="506"/>
        <v>0</v>
      </c>
      <c r="Z122" s="41">
        <f t="shared" si="506"/>
        <v>0</v>
      </c>
      <c r="AA122" s="41">
        <f t="shared" si="506"/>
        <v>0</v>
      </c>
      <c r="AB122" s="41">
        <f t="shared" si="506"/>
        <v>0</v>
      </c>
      <c r="AC122" s="41">
        <f t="shared" si="506"/>
        <v>0</v>
      </c>
      <c r="AD122" s="41">
        <f t="shared" si="506"/>
        <v>0</v>
      </c>
      <c r="AE122" s="41">
        <f t="shared" si="506"/>
        <v>0</v>
      </c>
      <c r="AF122" s="41">
        <f t="shared" si="506"/>
        <v>0</v>
      </c>
      <c r="AG122" s="41">
        <f t="shared" si="506"/>
        <v>0</v>
      </c>
      <c r="AH122" s="41">
        <f t="shared" si="506"/>
        <v>0</v>
      </c>
      <c r="AI122" s="41">
        <f t="shared" si="506"/>
        <v>0</v>
      </c>
      <c r="AJ122" s="41">
        <f t="shared" si="506"/>
        <v>0</v>
      </c>
      <c r="AK122" s="41">
        <f t="shared" si="506"/>
        <v>0</v>
      </c>
      <c r="AL122" s="41">
        <f t="shared" si="506"/>
        <v>0</v>
      </c>
      <c r="AM122" s="41">
        <f t="shared" si="506"/>
        <v>0</v>
      </c>
      <c r="AN122" s="41">
        <f t="shared" si="506"/>
        <v>12000</v>
      </c>
      <c r="AO122" s="41">
        <f t="shared" si="506"/>
        <v>12000</v>
      </c>
      <c r="AP122" s="41">
        <f t="shared" si="506"/>
        <v>12000</v>
      </c>
      <c r="AQ122" s="41">
        <f t="shared" si="506"/>
        <v>12000</v>
      </c>
      <c r="AR122" s="41">
        <f t="shared" si="506"/>
        <v>12000</v>
      </c>
      <c r="AS122" s="41">
        <f t="shared" si="506"/>
        <v>12000</v>
      </c>
      <c r="AT122" s="41">
        <f t="shared" si="506"/>
        <v>12000</v>
      </c>
      <c r="AU122" s="41">
        <f t="shared" si="506"/>
        <v>12000</v>
      </c>
      <c r="AV122" s="41">
        <f t="shared" si="506"/>
        <v>12000</v>
      </c>
      <c r="AW122" s="41">
        <f t="shared" si="506"/>
        <v>12000</v>
      </c>
      <c r="AX122" s="41">
        <f t="shared" si="506"/>
        <v>12000</v>
      </c>
      <c r="AY122" s="41">
        <f t="shared" si="506"/>
        <v>12120</v>
      </c>
      <c r="AZ122" s="41">
        <f t="shared" si="506"/>
        <v>12120</v>
      </c>
      <c r="BA122" s="41">
        <f t="shared" si="506"/>
        <v>12120</v>
      </c>
      <c r="BB122" s="41">
        <f t="shared" si="506"/>
        <v>12120</v>
      </c>
      <c r="BC122" s="41">
        <f t="shared" si="506"/>
        <v>12120</v>
      </c>
      <c r="BD122" s="41">
        <f t="shared" si="506"/>
        <v>12120</v>
      </c>
      <c r="BE122" s="41">
        <f t="shared" si="506"/>
        <v>12120</v>
      </c>
      <c r="BF122" s="41">
        <f t="shared" si="506"/>
        <v>12120</v>
      </c>
      <c r="BG122" s="41">
        <f t="shared" si="506"/>
        <v>12120</v>
      </c>
      <c r="BH122" s="41">
        <f t="shared" si="506"/>
        <v>12120</v>
      </c>
      <c r="BI122" s="41">
        <f t="shared" si="506"/>
        <v>12120</v>
      </c>
      <c r="BJ122" s="41">
        <f t="shared" si="506"/>
        <v>12120</v>
      </c>
      <c r="BK122" s="41">
        <f t="shared" si="506"/>
        <v>12241.2</v>
      </c>
      <c r="BL122" s="41">
        <f t="shared" si="506"/>
        <v>12241.2</v>
      </c>
      <c r="BM122" s="41">
        <f t="shared" si="506"/>
        <v>12241.2</v>
      </c>
      <c r="BN122" s="41">
        <f t="shared" si="506"/>
        <v>12241.2</v>
      </c>
      <c r="BO122" s="41">
        <f t="shared" si="506"/>
        <v>12241.2</v>
      </c>
      <c r="BP122" s="41">
        <f t="shared" si="506"/>
        <v>12241.2</v>
      </c>
      <c r="BQ122" s="41">
        <f t="shared" si="506"/>
        <v>0</v>
      </c>
      <c r="BR122" s="41">
        <f t="shared" si="506"/>
        <v>0</v>
      </c>
      <c r="BS122" s="41">
        <f t="shared" si="506"/>
        <v>0</v>
      </c>
      <c r="BT122" s="41">
        <f t="shared" si="506"/>
        <v>0</v>
      </c>
      <c r="BU122" s="41">
        <f t="shared" ref="BU122:BY122" si="507">IF(BU110=1,0,BU104*$F112*BU108)</f>
        <v>0</v>
      </c>
      <c r="BV122" s="41">
        <f t="shared" si="507"/>
        <v>0</v>
      </c>
      <c r="BW122" s="41">
        <f t="shared" si="507"/>
        <v>0</v>
      </c>
      <c r="BX122" s="41">
        <f t="shared" si="507"/>
        <v>0</v>
      </c>
      <c r="BY122" s="41">
        <f t="shared" si="507"/>
        <v>0</v>
      </c>
    </row>
    <row r="123" spans="4:77" ht="13.5" customHeight="1">
      <c r="E123" s="36" t="s">
        <v>163</v>
      </c>
      <c r="F123" s="42"/>
      <c r="G123" s="42"/>
      <c r="H123" s="42">
        <f>H122*((12-$F115)/12)</f>
        <v>0</v>
      </c>
      <c r="I123" s="42">
        <f t="shared" ref="I123" si="508">I122*((12-$F115)/12)</f>
        <v>0</v>
      </c>
      <c r="J123" s="42">
        <f t="shared" ref="J123" si="509">J122*((12-$F115)/12)</f>
        <v>0</v>
      </c>
      <c r="K123" s="42">
        <f t="shared" ref="K123" si="510">K122*((12-$F115)/12)</f>
        <v>0</v>
      </c>
      <c r="L123" s="42">
        <f t="shared" ref="L123" si="511">L122*((12-$F115)/12)</f>
        <v>0</v>
      </c>
      <c r="M123" s="42">
        <f t="shared" ref="M123" si="512">M122*((12-$F115)/12)</f>
        <v>0</v>
      </c>
      <c r="N123" s="42">
        <f t="shared" ref="N123" si="513">N122*((12-$F115)/12)</f>
        <v>0</v>
      </c>
      <c r="O123" s="42">
        <f t="shared" ref="O123" si="514">O122*((12-$F115)/12)</f>
        <v>0</v>
      </c>
      <c r="P123" s="42">
        <f t="shared" ref="P123" si="515">P122*((12-$F115)/12)</f>
        <v>0</v>
      </c>
      <c r="Q123" s="42">
        <f t="shared" ref="Q123" si="516">Q122*((12-$F115)/12)</f>
        <v>0</v>
      </c>
      <c r="R123" s="42">
        <f t="shared" ref="R123" si="517">R122*((12-$F115)/12)</f>
        <v>0</v>
      </c>
      <c r="S123" s="42">
        <f t="shared" ref="S123" si="518">S122*((12-$F115)/12)</f>
        <v>0</v>
      </c>
      <c r="T123" s="42">
        <f t="shared" ref="T123" si="519">T122*((12-$F115)/12)</f>
        <v>0</v>
      </c>
      <c r="U123" s="42">
        <f t="shared" ref="U123" si="520">U122*((12-$F115)/12)</f>
        <v>0</v>
      </c>
      <c r="V123" s="42">
        <f t="shared" ref="V123" si="521">V122*((12-$F115)/12)</f>
        <v>0</v>
      </c>
      <c r="W123" s="42">
        <f t="shared" ref="W123" si="522">W122*((12-$F115)/12)</f>
        <v>0</v>
      </c>
      <c r="X123" s="42">
        <f t="shared" ref="X123" si="523">X122*((12-$F115)/12)</f>
        <v>0</v>
      </c>
      <c r="Y123" s="42">
        <f t="shared" ref="Y123" si="524">Y122*((12-$F115)/12)</f>
        <v>0</v>
      </c>
      <c r="Z123" s="42">
        <f t="shared" ref="Z123" si="525">Z122*((12-$F115)/12)</f>
        <v>0</v>
      </c>
      <c r="AA123" s="42">
        <f t="shared" ref="AA123" si="526">AA122*((12-$F115)/12)</f>
        <v>0</v>
      </c>
      <c r="AB123" s="42">
        <f t="shared" ref="AB123" si="527">AB122*((12-$F115)/12)</f>
        <v>0</v>
      </c>
      <c r="AC123" s="42">
        <f t="shared" ref="AC123" si="528">AC122*((12-$F115)/12)</f>
        <v>0</v>
      </c>
      <c r="AD123" s="42">
        <f t="shared" ref="AD123" si="529">AD122*((12-$F115)/12)</f>
        <v>0</v>
      </c>
      <c r="AE123" s="42">
        <f t="shared" ref="AE123" si="530">AE122*((12-$F115)/12)</f>
        <v>0</v>
      </c>
      <c r="AF123" s="42">
        <f t="shared" ref="AF123" si="531">AF122*((12-$F115)/12)</f>
        <v>0</v>
      </c>
      <c r="AG123" s="42">
        <f t="shared" ref="AG123" si="532">AG122*((12-$F115)/12)</f>
        <v>0</v>
      </c>
      <c r="AH123" s="42">
        <f t="shared" ref="AH123" si="533">AH122*((12-$F115)/12)</f>
        <v>0</v>
      </c>
      <c r="AI123" s="42">
        <f t="shared" ref="AI123" si="534">AI122*((12-$F115)/12)</f>
        <v>0</v>
      </c>
      <c r="AJ123" s="42">
        <f t="shared" ref="AJ123" si="535">AJ122*((12-$F115)/12)</f>
        <v>0</v>
      </c>
      <c r="AK123" s="42">
        <f t="shared" ref="AK123" si="536">AK122*((12-$F115)/12)</f>
        <v>0</v>
      </c>
      <c r="AL123" s="42">
        <f t="shared" ref="AL123" si="537">AL122*((12-$F115)/12)</f>
        <v>0</v>
      </c>
      <c r="AM123" s="42">
        <f t="shared" ref="AM123" si="538">AM122*((12-$F115)/12)</f>
        <v>0</v>
      </c>
      <c r="AN123" s="42">
        <f t="shared" ref="AN123" si="539">AN122*((12-$F115)/12)</f>
        <v>11000</v>
      </c>
      <c r="AO123" s="42">
        <f t="shared" ref="AO123" si="540">AO122*((12-$F115)/12)</f>
        <v>11000</v>
      </c>
      <c r="AP123" s="42">
        <f t="shared" ref="AP123" si="541">AP122*((12-$F115)/12)</f>
        <v>11000</v>
      </c>
      <c r="AQ123" s="42">
        <f t="shared" ref="AQ123" si="542">AQ122*((12-$F115)/12)</f>
        <v>11000</v>
      </c>
      <c r="AR123" s="42">
        <f t="shared" ref="AR123" si="543">AR122*((12-$F115)/12)</f>
        <v>11000</v>
      </c>
      <c r="AS123" s="42">
        <f t="shared" ref="AS123" si="544">AS122*((12-$F115)/12)</f>
        <v>11000</v>
      </c>
      <c r="AT123" s="42">
        <f t="shared" ref="AT123" si="545">AT122*((12-$F115)/12)</f>
        <v>11000</v>
      </c>
      <c r="AU123" s="42">
        <f t="shared" ref="AU123" si="546">AU122*((12-$F115)/12)</f>
        <v>11000</v>
      </c>
      <c r="AV123" s="42">
        <f t="shared" ref="AV123" si="547">AV122*((12-$F115)/12)</f>
        <v>11000</v>
      </c>
      <c r="AW123" s="42">
        <f t="shared" ref="AW123" si="548">AW122*((12-$F115)/12)</f>
        <v>11000</v>
      </c>
      <c r="AX123" s="42">
        <f t="shared" ref="AX123" si="549">AX122*((12-$F115)/12)</f>
        <v>11000</v>
      </c>
      <c r="AY123" s="42">
        <f t="shared" ref="AY123" si="550">AY122*((12-$F115)/12)</f>
        <v>11110</v>
      </c>
      <c r="AZ123" s="42">
        <f t="shared" ref="AZ123" si="551">AZ122*((12-$F115)/12)</f>
        <v>11110</v>
      </c>
      <c r="BA123" s="42">
        <f t="shared" ref="BA123" si="552">BA122*((12-$F115)/12)</f>
        <v>11110</v>
      </c>
      <c r="BB123" s="42">
        <f t="shared" ref="BB123" si="553">BB122*((12-$F115)/12)</f>
        <v>11110</v>
      </c>
      <c r="BC123" s="42">
        <f t="shared" ref="BC123" si="554">BC122*((12-$F115)/12)</f>
        <v>11110</v>
      </c>
      <c r="BD123" s="42">
        <f t="shared" ref="BD123" si="555">BD122*((12-$F115)/12)</f>
        <v>11110</v>
      </c>
      <c r="BE123" s="42">
        <f t="shared" ref="BE123" si="556">BE122*((12-$F115)/12)</f>
        <v>11110</v>
      </c>
      <c r="BF123" s="42">
        <f t="shared" ref="BF123" si="557">BF122*((12-$F115)/12)</f>
        <v>11110</v>
      </c>
      <c r="BG123" s="42">
        <f t="shared" ref="BG123" si="558">BG122*((12-$F115)/12)</f>
        <v>11110</v>
      </c>
      <c r="BH123" s="42">
        <f t="shared" ref="BH123" si="559">BH122*((12-$F115)/12)</f>
        <v>11110</v>
      </c>
      <c r="BI123" s="42">
        <f t="shared" ref="BI123" si="560">BI122*((12-$F115)/12)</f>
        <v>11110</v>
      </c>
      <c r="BJ123" s="42">
        <f t="shared" ref="BJ123" si="561">BJ122*((12-$F115)/12)</f>
        <v>11110</v>
      </c>
      <c r="BK123" s="42">
        <f t="shared" ref="BK123" si="562">BK122*((12-$F115)/12)</f>
        <v>11221.1</v>
      </c>
      <c r="BL123" s="42">
        <f t="shared" ref="BL123" si="563">BL122*((12-$F115)/12)</f>
        <v>11221.1</v>
      </c>
      <c r="BM123" s="42">
        <f t="shared" ref="BM123" si="564">BM122*((12-$F115)/12)</f>
        <v>11221.1</v>
      </c>
      <c r="BN123" s="42">
        <f t="shared" ref="BN123" si="565">BN122*((12-$F115)/12)</f>
        <v>11221.1</v>
      </c>
      <c r="BO123" s="42">
        <f t="shared" ref="BO123" si="566">BO122*((12-$F115)/12)</f>
        <v>11221.1</v>
      </c>
      <c r="BP123" s="42">
        <f t="shared" ref="BP123" si="567">BP122*((12-$F115)/12)</f>
        <v>11221.1</v>
      </c>
      <c r="BQ123" s="42">
        <f t="shared" ref="BQ123" si="568">BQ122*((12-$F115)/12)</f>
        <v>0</v>
      </c>
      <c r="BR123" s="42">
        <f t="shared" ref="BR123" si="569">BR122*((12-$F115)/12)</f>
        <v>0</v>
      </c>
      <c r="BS123" s="42">
        <f t="shared" ref="BS123" si="570">BS122*((12-$F115)/12)</f>
        <v>0</v>
      </c>
      <c r="BT123" s="42">
        <f t="shared" ref="BT123" si="571">BT122*((12-$F115)/12)</f>
        <v>0</v>
      </c>
      <c r="BU123" s="42">
        <f t="shared" ref="BU123" si="572">BU122*((12-$F115)/12)</f>
        <v>0</v>
      </c>
      <c r="BV123" s="42">
        <f t="shared" ref="BV123" si="573">BV122*((12-$F115)/12)</f>
        <v>0</v>
      </c>
      <c r="BW123" s="42">
        <f t="shared" ref="BW123" si="574">BW122*((12-$F115)/12)</f>
        <v>0</v>
      </c>
      <c r="BX123" s="42">
        <f t="shared" ref="BX123" si="575">BX122*((12-$F115)/12)</f>
        <v>0</v>
      </c>
      <c r="BY123" s="42">
        <f t="shared" ref="BY123" si="576">BY122*((12-$F115)/12)</f>
        <v>0</v>
      </c>
    </row>
    <row r="124" spans="4:77" ht="13.5" customHeight="1">
      <c r="D124" s="101" t="s">
        <v>164</v>
      </c>
      <c r="E124" s="101"/>
      <c r="F124" s="101"/>
      <c r="G124" s="101"/>
      <c r="H124" s="101">
        <f t="shared" ref="H124:AM124" ca="1" si="577">H123*$F116/unit</f>
        <v>0</v>
      </c>
      <c r="I124" s="101">
        <f t="shared" ca="1" si="577"/>
        <v>0</v>
      </c>
      <c r="J124" s="101">
        <f t="shared" ca="1" si="577"/>
        <v>0</v>
      </c>
      <c r="K124" s="101">
        <f t="shared" ca="1" si="577"/>
        <v>0</v>
      </c>
      <c r="L124" s="101">
        <f t="shared" ca="1" si="577"/>
        <v>0</v>
      </c>
      <c r="M124" s="101">
        <f t="shared" ca="1" si="577"/>
        <v>0</v>
      </c>
      <c r="N124" s="101">
        <f t="shared" ca="1" si="577"/>
        <v>0</v>
      </c>
      <c r="O124" s="101">
        <f t="shared" ca="1" si="577"/>
        <v>0</v>
      </c>
      <c r="P124" s="101">
        <f t="shared" ca="1" si="577"/>
        <v>0</v>
      </c>
      <c r="Q124" s="101">
        <f t="shared" ca="1" si="577"/>
        <v>0</v>
      </c>
      <c r="R124" s="101">
        <f t="shared" ca="1" si="577"/>
        <v>0</v>
      </c>
      <c r="S124" s="101">
        <f t="shared" ca="1" si="577"/>
        <v>0</v>
      </c>
      <c r="T124" s="101">
        <f t="shared" ca="1" si="577"/>
        <v>0</v>
      </c>
      <c r="U124" s="101">
        <f t="shared" ca="1" si="577"/>
        <v>0</v>
      </c>
      <c r="V124" s="101">
        <f t="shared" ca="1" si="577"/>
        <v>0</v>
      </c>
      <c r="W124" s="101">
        <f t="shared" ca="1" si="577"/>
        <v>0</v>
      </c>
      <c r="X124" s="101">
        <f t="shared" ca="1" si="577"/>
        <v>0</v>
      </c>
      <c r="Y124" s="101">
        <f t="shared" ca="1" si="577"/>
        <v>0</v>
      </c>
      <c r="Z124" s="101">
        <f t="shared" ca="1" si="577"/>
        <v>0</v>
      </c>
      <c r="AA124" s="101">
        <f t="shared" ca="1" si="577"/>
        <v>0</v>
      </c>
      <c r="AB124" s="101">
        <f t="shared" ca="1" si="577"/>
        <v>0</v>
      </c>
      <c r="AC124" s="101">
        <f t="shared" ca="1" si="577"/>
        <v>0</v>
      </c>
      <c r="AD124" s="101">
        <f t="shared" ca="1" si="577"/>
        <v>0</v>
      </c>
      <c r="AE124" s="101">
        <f t="shared" ca="1" si="577"/>
        <v>0</v>
      </c>
      <c r="AF124" s="101">
        <f t="shared" ca="1" si="577"/>
        <v>0</v>
      </c>
      <c r="AG124" s="101">
        <f t="shared" ca="1" si="577"/>
        <v>0</v>
      </c>
      <c r="AH124" s="101">
        <f t="shared" ca="1" si="577"/>
        <v>0</v>
      </c>
      <c r="AI124" s="101">
        <f t="shared" ca="1" si="577"/>
        <v>0</v>
      </c>
      <c r="AJ124" s="101">
        <f t="shared" ca="1" si="577"/>
        <v>0</v>
      </c>
      <c r="AK124" s="101">
        <f t="shared" ca="1" si="577"/>
        <v>0</v>
      </c>
      <c r="AL124" s="101">
        <f t="shared" ca="1" si="577"/>
        <v>0</v>
      </c>
      <c r="AM124" s="101">
        <f t="shared" ca="1" si="577"/>
        <v>0</v>
      </c>
      <c r="AN124" s="101">
        <f t="shared" ref="AN124:BS124" ca="1" si="578">AN123*$F116/unit</f>
        <v>6.1820000000000004</v>
      </c>
      <c r="AO124" s="101">
        <f t="shared" ca="1" si="578"/>
        <v>6.1820000000000004</v>
      </c>
      <c r="AP124" s="101">
        <f t="shared" ca="1" si="578"/>
        <v>6.1820000000000004</v>
      </c>
      <c r="AQ124" s="101">
        <f t="shared" ca="1" si="578"/>
        <v>6.1820000000000004</v>
      </c>
      <c r="AR124" s="101">
        <f t="shared" ca="1" si="578"/>
        <v>6.1820000000000004</v>
      </c>
      <c r="AS124" s="101">
        <f t="shared" ca="1" si="578"/>
        <v>6.1820000000000004</v>
      </c>
      <c r="AT124" s="101">
        <f t="shared" ca="1" si="578"/>
        <v>6.1820000000000004</v>
      </c>
      <c r="AU124" s="101">
        <f t="shared" ca="1" si="578"/>
        <v>6.1820000000000004</v>
      </c>
      <c r="AV124" s="101">
        <f t="shared" ca="1" si="578"/>
        <v>6.1820000000000004</v>
      </c>
      <c r="AW124" s="101">
        <f t="shared" ca="1" si="578"/>
        <v>6.1820000000000004</v>
      </c>
      <c r="AX124" s="101">
        <f t="shared" ca="1" si="578"/>
        <v>6.1820000000000004</v>
      </c>
      <c r="AY124" s="101">
        <f t="shared" ca="1" si="578"/>
        <v>6.2438200000000004</v>
      </c>
      <c r="AZ124" s="101">
        <f t="shared" ca="1" si="578"/>
        <v>6.2438200000000004</v>
      </c>
      <c r="BA124" s="101">
        <f t="shared" ca="1" si="578"/>
        <v>6.2438200000000004</v>
      </c>
      <c r="BB124" s="101">
        <f t="shared" ca="1" si="578"/>
        <v>6.2438200000000004</v>
      </c>
      <c r="BC124" s="101">
        <f t="shared" ca="1" si="578"/>
        <v>6.2438200000000004</v>
      </c>
      <c r="BD124" s="101">
        <f t="shared" ca="1" si="578"/>
        <v>6.2438200000000004</v>
      </c>
      <c r="BE124" s="101">
        <f t="shared" ca="1" si="578"/>
        <v>6.2438200000000004</v>
      </c>
      <c r="BF124" s="101">
        <f t="shared" ca="1" si="578"/>
        <v>6.2438200000000004</v>
      </c>
      <c r="BG124" s="101">
        <f t="shared" ca="1" si="578"/>
        <v>6.2438200000000004</v>
      </c>
      <c r="BH124" s="101">
        <f t="shared" ca="1" si="578"/>
        <v>6.2438200000000004</v>
      </c>
      <c r="BI124" s="101">
        <f t="shared" ca="1" si="578"/>
        <v>6.2438200000000004</v>
      </c>
      <c r="BJ124" s="101">
        <f t="shared" ca="1" si="578"/>
        <v>6.2438200000000004</v>
      </c>
      <c r="BK124" s="101">
        <f t="shared" ca="1" si="578"/>
        <v>6.3062582000000003</v>
      </c>
      <c r="BL124" s="101">
        <f t="shared" ca="1" si="578"/>
        <v>6.3062582000000003</v>
      </c>
      <c r="BM124" s="101">
        <f t="shared" ca="1" si="578"/>
        <v>6.3062582000000003</v>
      </c>
      <c r="BN124" s="101">
        <f t="shared" ca="1" si="578"/>
        <v>6.3062582000000003</v>
      </c>
      <c r="BO124" s="101">
        <f t="shared" ca="1" si="578"/>
        <v>6.3062582000000003</v>
      </c>
      <c r="BP124" s="101">
        <f t="shared" ca="1" si="578"/>
        <v>6.3062582000000003</v>
      </c>
      <c r="BQ124" s="101">
        <f t="shared" ca="1" si="578"/>
        <v>0</v>
      </c>
      <c r="BR124" s="101">
        <f t="shared" ca="1" si="578"/>
        <v>0</v>
      </c>
      <c r="BS124" s="101">
        <f t="shared" ca="1" si="578"/>
        <v>0</v>
      </c>
      <c r="BT124" s="101">
        <f t="shared" ref="BT124:BY124" ca="1" si="579">BT123*$F116/unit</f>
        <v>0</v>
      </c>
      <c r="BU124" s="101">
        <f t="shared" ca="1" si="579"/>
        <v>0</v>
      </c>
      <c r="BV124" s="101">
        <f t="shared" ca="1" si="579"/>
        <v>0</v>
      </c>
      <c r="BW124" s="101">
        <f t="shared" ca="1" si="579"/>
        <v>0</v>
      </c>
      <c r="BX124" s="101">
        <f t="shared" ca="1" si="579"/>
        <v>0</v>
      </c>
      <c r="BY124" s="101">
        <f t="shared" ca="1" si="579"/>
        <v>0</v>
      </c>
    </row>
    <row r="126" spans="4:77" ht="13.5" customHeight="1">
      <c r="D126" s="1" t="s">
        <v>165</v>
      </c>
    </row>
    <row r="127" spans="4:77" ht="13.5" customHeight="1">
      <c r="E127" s="25" t="s">
        <v>166</v>
      </c>
      <c r="F127" s="51"/>
      <c r="G127" s="51"/>
      <c r="H127" s="51">
        <f>$F117*H104*H109</f>
        <v>0</v>
      </c>
      <c r="I127" s="51">
        <f t="shared" ref="I127:BT127" si="580">$F117*I104*I109</f>
        <v>0</v>
      </c>
      <c r="J127" s="51">
        <f t="shared" si="580"/>
        <v>0</v>
      </c>
      <c r="K127" s="51">
        <f t="shared" si="580"/>
        <v>0</v>
      </c>
      <c r="L127" s="51">
        <f t="shared" si="580"/>
        <v>0</v>
      </c>
      <c r="M127" s="51">
        <f t="shared" si="580"/>
        <v>0</v>
      </c>
      <c r="N127" s="51">
        <f t="shared" si="580"/>
        <v>0</v>
      </c>
      <c r="O127" s="51">
        <f t="shared" si="580"/>
        <v>0</v>
      </c>
      <c r="P127" s="51">
        <f t="shared" si="580"/>
        <v>0</v>
      </c>
      <c r="Q127" s="51">
        <f t="shared" si="580"/>
        <v>0</v>
      </c>
      <c r="R127" s="51">
        <f t="shared" si="580"/>
        <v>0</v>
      </c>
      <c r="S127" s="51">
        <f t="shared" si="580"/>
        <v>0</v>
      </c>
      <c r="T127" s="51">
        <f t="shared" si="580"/>
        <v>0</v>
      </c>
      <c r="U127" s="51">
        <f t="shared" si="580"/>
        <v>0</v>
      </c>
      <c r="V127" s="51">
        <f t="shared" si="580"/>
        <v>0</v>
      </c>
      <c r="W127" s="51">
        <f t="shared" si="580"/>
        <v>0</v>
      </c>
      <c r="X127" s="51">
        <f t="shared" si="580"/>
        <v>0</v>
      </c>
      <c r="Y127" s="51">
        <f t="shared" si="580"/>
        <v>0</v>
      </c>
      <c r="Z127" s="51">
        <f t="shared" si="580"/>
        <v>0</v>
      </c>
      <c r="AA127" s="51">
        <f t="shared" si="580"/>
        <v>0</v>
      </c>
      <c r="AB127" s="51">
        <f t="shared" si="580"/>
        <v>0</v>
      </c>
      <c r="AC127" s="51">
        <f t="shared" si="580"/>
        <v>0</v>
      </c>
      <c r="AD127" s="51">
        <f t="shared" si="580"/>
        <v>0</v>
      </c>
      <c r="AE127" s="51">
        <f t="shared" si="580"/>
        <v>0</v>
      </c>
      <c r="AF127" s="51">
        <f t="shared" si="580"/>
        <v>0</v>
      </c>
      <c r="AG127" s="51">
        <f t="shared" si="580"/>
        <v>0</v>
      </c>
      <c r="AH127" s="51">
        <f t="shared" si="580"/>
        <v>0</v>
      </c>
      <c r="AI127" s="51">
        <f t="shared" si="580"/>
        <v>0</v>
      </c>
      <c r="AJ127" s="51">
        <f t="shared" si="580"/>
        <v>0</v>
      </c>
      <c r="AK127" s="51">
        <f t="shared" si="580"/>
        <v>0</v>
      </c>
      <c r="AL127" s="51">
        <f t="shared" si="580"/>
        <v>0</v>
      </c>
      <c r="AM127" s="51">
        <f t="shared" si="580"/>
        <v>2000</v>
      </c>
      <c r="AN127" s="51">
        <f t="shared" si="580"/>
        <v>2000</v>
      </c>
      <c r="AO127" s="51">
        <f t="shared" si="580"/>
        <v>2000</v>
      </c>
      <c r="AP127" s="51">
        <f t="shared" si="580"/>
        <v>2000</v>
      </c>
      <c r="AQ127" s="51">
        <f t="shared" si="580"/>
        <v>2000</v>
      </c>
      <c r="AR127" s="51">
        <f t="shared" si="580"/>
        <v>2000</v>
      </c>
      <c r="AS127" s="51">
        <f t="shared" si="580"/>
        <v>2000</v>
      </c>
      <c r="AT127" s="51">
        <f t="shared" si="580"/>
        <v>2000</v>
      </c>
      <c r="AU127" s="51">
        <f t="shared" si="580"/>
        <v>2000</v>
      </c>
      <c r="AV127" s="51">
        <f t="shared" si="580"/>
        <v>2000</v>
      </c>
      <c r="AW127" s="51">
        <f t="shared" si="580"/>
        <v>2000</v>
      </c>
      <c r="AX127" s="51">
        <f t="shared" si="580"/>
        <v>2000</v>
      </c>
      <c r="AY127" s="51">
        <f t="shared" si="580"/>
        <v>2020</v>
      </c>
      <c r="AZ127" s="51">
        <f t="shared" si="580"/>
        <v>2020</v>
      </c>
      <c r="BA127" s="51">
        <f t="shared" si="580"/>
        <v>2020</v>
      </c>
      <c r="BB127" s="51">
        <f t="shared" si="580"/>
        <v>2020</v>
      </c>
      <c r="BC127" s="51">
        <f t="shared" si="580"/>
        <v>2020</v>
      </c>
      <c r="BD127" s="51">
        <f t="shared" si="580"/>
        <v>2020</v>
      </c>
      <c r="BE127" s="51">
        <f t="shared" si="580"/>
        <v>2020</v>
      </c>
      <c r="BF127" s="51">
        <f t="shared" si="580"/>
        <v>2020</v>
      </c>
      <c r="BG127" s="51">
        <f t="shared" si="580"/>
        <v>2020</v>
      </c>
      <c r="BH127" s="51">
        <f t="shared" si="580"/>
        <v>2020</v>
      </c>
      <c r="BI127" s="51">
        <f t="shared" si="580"/>
        <v>2020</v>
      </c>
      <c r="BJ127" s="51">
        <f t="shared" si="580"/>
        <v>2020</v>
      </c>
      <c r="BK127" s="51">
        <f t="shared" si="580"/>
        <v>2040.2</v>
      </c>
      <c r="BL127" s="51">
        <f t="shared" si="580"/>
        <v>2040.2</v>
      </c>
      <c r="BM127" s="51">
        <f t="shared" si="580"/>
        <v>2040.2</v>
      </c>
      <c r="BN127" s="51">
        <f t="shared" si="580"/>
        <v>2040.2</v>
      </c>
      <c r="BO127" s="51">
        <f t="shared" si="580"/>
        <v>2040.2</v>
      </c>
      <c r="BP127" s="51">
        <f t="shared" si="580"/>
        <v>2040.2</v>
      </c>
      <c r="BQ127" s="51">
        <f t="shared" si="580"/>
        <v>0</v>
      </c>
      <c r="BR127" s="51">
        <f t="shared" si="580"/>
        <v>0</v>
      </c>
      <c r="BS127" s="51">
        <f t="shared" si="580"/>
        <v>0</v>
      </c>
      <c r="BT127" s="51">
        <f t="shared" si="580"/>
        <v>0</v>
      </c>
      <c r="BU127" s="51">
        <f t="shared" ref="BU127:BY127" si="581">$F117*BU104*BU109</f>
        <v>0</v>
      </c>
      <c r="BV127" s="51">
        <f t="shared" si="581"/>
        <v>0</v>
      </c>
      <c r="BW127" s="51">
        <f t="shared" si="581"/>
        <v>0</v>
      </c>
      <c r="BX127" s="51">
        <f t="shared" si="581"/>
        <v>0</v>
      </c>
      <c r="BY127" s="51">
        <f t="shared" si="581"/>
        <v>0</v>
      </c>
    </row>
    <row r="128" spans="4:77" ht="13.5" customHeight="1">
      <c r="D128" s="101" t="s">
        <v>167</v>
      </c>
      <c r="E128" s="101"/>
      <c r="F128" s="101"/>
      <c r="G128" s="101"/>
      <c r="H128" s="101">
        <f t="shared" ref="H128:AM128" ca="1" si="582">H127*$F116/unit</f>
        <v>0</v>
      </c>
      <c r="I128" s="101">
        <f t="shared" ca="1" si="582"/>
        <v>0</v>
      </c>
      <c r="J128" s="101">
        <f t="shared" ca="1" si="582"/>
        <v>0</v>
      </c>
      <c r="K128" s="101">
        <f t="shared" ca="1" si="582"/>
        <v>0</v>
      </c>
      <c r="L128" s="101">
        <f t="shared" ca="1" si="582"/>
        <v>0</v>
      </c>
      <c r="M128" s="101">
        <f t="shared" ca="1" si="582"/>
        <v>0</v>
      </c>
      <c r="N128" s="101">
        <f t="shared" ca="1" si="582"/>
        <v>0</v>
      </c>
      <c r="O128" s="101">
        <f t="shared" ca="1" si="582"/>
        <v>0</v>
      </c>
      <c r="P128" s="101">
        <f t="shared" ca="1" si="582"/>
        <v>0</v>
      </c>
      <c r="Q128" s="101">
        <f t="shared" ca="1" si="582"/>
        <v>0</v>
      </c>
      <c r="R128" s="101">
        <f t="shared" ca="1" si="582"/>
        <v>0</v>
      </c>
      <c r="S128" s="101">
        <f t="shared" ca="1" si="582"/>
        <v>0</v>
      </c>
      <c r="T128" s="101">
        <f t="shared" ca="1" si="582"/>
        <v>0</v>
      </c>
      <c r="U128" s="101">
        <f t="shared" ca="1" si="582"/>
        <v>0</v>
      </c>
      <c r="V128" s="101">
        <f t="shared" ca="1" si="582"/>
        <v>0</v>
      </c>
      <c r="W128" s="101">
        <f t="shared" ca="1" si="582"/>
        <v>0</v>
      </c>
      <c r="X128" s="101">
        <f t="shared" ca="1" si="582"/>
        <v>0</v>
      </c>
      <c r="Y128" s="101">
        <f t="shared" ca="1" si="582"/>
        <v>0</v>
      </c>
      <c r="Z128" s="101">
        <f t="shared" ca="1" si="582"/>
        <v>0</v>
      </c>
      <c r="AA128" s="101">
        <f t="shared" ca="1" si="582"/>
        <v>0</v>
      </c>
      <c r="AB128" s="101">
        <f t="shared" ca="1" si="582"/>
        <v>0</v>
      </c>
      <c r="AC128" s="101">
        <f t="shared" ca="1" si="582"/>
        <v>0</v>
      </c>
      <c r="AD128" s="101">
        <f t="shared" ca="1" si="582"/>
        <v>0</v>
      </c>
      <c r="AE128" s="101">
        <f t="shared" ca="1" si="582"/>
        <v>0</v>
      </c>
      <c r="AF128" s="101">
        <f t="shared" ca="1" si="582"/>
        <v>0</v>
      </c>
      <c r="AG128" s="101">
        <f t="shared" ca="1" si="582"/>
        <v>0</v>
      </c>
      <c r="AH128" s="101">
        <f t="shared" ca="1" si="582"/>
        <v>0</v>
      </c>
      <c r="AI128" s="101">
        <f t="shared" ca="1" si="582"/>
        <v>0</v>
      </c>
      <c r="AJ128" s="101">
        <f t="shared" ca="1" si="582"/>
        <v>0</v>
      </c>
      <c r="AK128" s="101">
        <f t="shared" ca="1" si="582"/>
        <v>0</v>
      </c>
      <c r="AL128" s="101">
        <f t="shared" ca="1" si="582"/>
        <v>0</v>
      </c>
      <c r="AM128" s="101">
        <f t="shared" ca="1" si="582"/>
        <v>1.1240000000000001</v>
      </c>
      <c r="AN128" s="101">
        <f t="shared" ref="AN128:BS128" ca="1" si="583">AN127*$F116/unit</f>
        <v>1.1240000000000001</v>
      </c>
      <c r="AO128" s="101">
        <f t="shared" ca="1" si="583"/>
        <v>1.1240000000000001</v>
      </c>
      <c r="AP128" s="101">
        <f t="shared" ca="1" si="583"/>
        <v>1.1240000000000001</v>
      </c>
      <c r="AQ128" s="101">
        <f t="shared" ca="1" si="583"/>
        <v>1.1240000000000001</v>
      </c>
      <c r="AR128" s="101">
        <f t="shared" ca="1" si="583"/>
        <v>1.1240000000000001</v>
      </c>
      <c r="AS128" s="101">
        <f t="shared" ca="1" si="583"/>
        <v>1.1240000000000001</v>
      </c>
      <c r="AT128" s="101">
        <f t="shared" ca="1" si="583"/>
        <v>1.1240000000000001</v>
      </c>
      <c r="AU128" s="101">
        <f t="shared" ca="1" si="583"/>
        <v>1.1240000000000001</v>
      </c>
      <c r="AV128" s="101">
        <f t="shared" ca="1" si="583"/>
        <v>1.1240000000000001</v>
      </c>
      <c r="AW128" s="101">
        <f t="shared" ca="1" si="583"/>
        <v>1.1240000000000001</v>
      </c>
      <c r="AX128" s="101">
        <f t="shared" ca="1" si="583"/>
        <v>1.1240000000000001</v>
      </c>
      <c r="AY128" s="101">
        <f t="shared" ca="1" si="583"/>
        <v>1.13524</v>
      </c>
      <c r="AZ128" s="101">
        <f t="shared" ca="1" si="583"/>
        <v>1.13524</v>
      </c>
      <c r="BA128" s="101">
        <f t="shared" ca="1" si="583"/>
        <v>1.13524</v>
      </c>
      <c r="BB128" s="101">
        <f t="shared" ca="1" si="583"/>
        <v>1.13524</v>
      </c>
      <c r="BC128" s="101">
        <f t="shared" ca="1" si="583"/>
        <v>1.13524</v>
      </c>
      <c r="BD128" s="101">
        <f t="shared" ca="1" si="583"/>
        <v>1.13524</v>
      </c>
      <c r="BE128" s="101">
        <f t="shared" ca="1" si="583"/>
        <v>1.13524</v>
      </c>
      <c r="BF128" s="101">
        <f t="shared" ca="1" si="583"/>
        <v>1.13524</v>
      </c>
      <c r="BG128" s="101">
        <f t="shared" ca="1" si="583"/>
        <v>1.13524</v>
      </c>
      <c r="BH128" s="101">
        <f t="shared" ca="1" si="583"/>
        <v>1.13524</v>
      </c>
      <c r="BI128" s="101">
        <f t="shared" ca="1" si="583"/>
        <v>1.13524</v>
      </c>
      <c r="BJ128" s="101">
        <f t="shared" ca="1" si="583"/>
        <v>1.13524</v>
      </c>
      <c r="BK128" s="101">
        <f t="shared" ca="1" si="583"/>
        <v>1.1465924000000001</v>
      </c>
      <c r="BL128" s="101">
        <f t="shared" ca="1" si="583"/>
        <v>1.1465924000000001</v>
      </c>
      <c r="BM128" s="101">
        <f t="shared" ca="1" si="583"/>
        <v>1.1465924000000001</v>
      </c>
      <c r="BN128" s="101">
        <f t="shared" ca="1" si="583"/>
        <v>1.1465924000000001</v>
      </c>
      <c r="BO128" s="101">
        <f t="shared" ca="1" si="583"/>
        <v>1.1465924000000001</v>
      </c>
      <c r="BP128" s="101">
        <f t="shared" ca="1" si="583"/>
        <v>1.1465924000000001</v>
      </c>
      <c r="BQ128" s="101">
        <f t="shared" ca="1" si="583"/>
        <v>0</v>
      </c>
      <c r="BR128" s="101">
        <f t="shared" ca="1" si="583"/>
        <v>0</v>
      </c>
      <c r="BS128" s="101">
        <f t="shared" ca="1" si="583"/>
        <v>0</v>
      </c>
      <c r="BT128" s="101">
        <f t="shared" ref="BT128:BY128" ca="1" si="584">BT127*$F116/unit</f>
        <v>0</v>
      </c>
      <c r="BU128" s="101">
        <f t="shared" ca="1" si="584"/>
        <v>0</v>
      </c>
      <c r="BV128" s="101">
        <f t="shared" ca="1" si="584"/>
        <v>0</v>
      </c>
      <c r="BW128" s="101">
        <f t="shared" ca="1" si="584"/>
        <v>0</v>
      </c>
      <c r="BX128" s="101">
        <f t="shared" ca="1" si="584"/>
        <v>0</v>
      </c>
      <c r="BY128" s="101">
        <f t="shared" ca="1" si="584"/>
        <v>0</v>
      </c>
    </row>
    <row r="130" spans="2:77" ht="13.5" customHeight="1">
      <c r="D130" s="1" t="s">
        <v>168</v>
      </c>
    </row>
    <row r="131" spans="2:77" ht="13.5" customHeight="1">
      <c r="E131" s="1" t="s">
        <v>169</v>
      </c>
      <c r="H131" s="1">
        <v>0</v>
      </c>
      <c r="I131" s="1">
        <f ca="1">H134</f>
        <v>0</v>
      </c>
      <c r="J131" s="1">
        <f t="shared" ref="J131" ca="1" si="585">I134</f>
        <v>0</v>
      </c>
      <c r="K131" s="1">
        <f t="shared" ref="K131" ca="1" si="586">J134</f>
        <v>0</v>
      </c>
      <c r="L131" s="1">
        <f t="shared" ref="L131" ca="1" si="587">K134</f>
        <v>0</v>
      </c>
      <c r="M131" s="1">
        <f t="shared" ref="M131" ca="1" si="588">L134</f>
        <v>0</v>
      </c>
      <c r="N131" s="1">
        <f t="shared" ref="N131" ca="1" si="589">M134</f>
        <v>0</v>
      </c>
      <c r="O131" s="1">
        <f t="shared" ref="O131" ca="1" si="590">N134</f>
        <v>0</v>
      </c>
      <c r="P131" s="1">
        <f t="shared" ref="P131" ca="1" si="591">O134</f>
        <v>0</v>
      </c>
      <c r="Q131" s="1">
        <f t="shared" ref="Q131" ca="1" si="592">P134</f>
        <v>0</v>
      </c>
      <c r="R131" s="1">
        <f t="shared" ref="R131" ca="1" si="593">Q134</f>
        <v>0</v>
      </c>
      <c r="S131" s="1">
        <f t="shared" ref="S131" ca="1" si="594">R134</f>
        <v>0</v>
      </c>
      <c r="T131" s="1">
        <f t="shared" ref="T131" ca="1" si="595">S134</f>
        <v>0</v>
      </c>
      <c r="U131" s="1">
        <f t="shared" ref="U131" ca="1" si="596">T134</f>
        <v>0</v>
      </c>
      <c r="V131" s="1">
        <f t="shared" ref="V131" ca="1" si="597">U134</f>
        <v>0</v>
      </c>
      <c r="W131" s="1">
        <f t="shared" ref="W131" ca="1" si="598">V134</f>
        <v>0</v>
      </c>
      <c r="X131" s="1">
        <f t="shared" ref="X131" ca="1" si="599">W134</f>
        <v>0</v>
      </c>
      <c r="Y131" s="1">
        <f t="shared" ref="Y131" ca="1" si="600">X134</f>
        <v>0</v>
      </c>
      <c r="Z131" s="1">
        <f t="shared" ref="Z131" ca="1" si="601">Y134</f>
        <v>0</v>
      </c>
      <c r="AA131" s="1">
        <f t="shared" ref="AA131" ca="1" si="602">Z134</f>
        <v>0</v>
      </c>
      <c r="AB131" s="1">
        <f t="shared" ref="AB131" ca="1" si="603">AA134</f>
        <v>0</v>
      </c>
      <c r="AC131" s="1">
        <f t="shared" ref="AC131" ca="1" si="604">AB134</f>
        <v>0</v>
      </c>
      <c r="AD131" s="1">
        <f t="shared" ref="AD131" ca="1" si="605">AC134</f>
        <v>0</v>
      </c>
      <c r="AE131" s="1">
        <f t="shared" ref="AE131" ca="1" si="606">AD134</f>
        <v>0</v>
      </c>
      <c r="AF131" s="1">
        <f t="shared" ref="AF131" ca="1" si="607">AE134</f>
        <v>0</v>
      </c>
      <c r="AG131" s="1">
        <f t="shared" ref="AG131" ca="1" si="608">AF134</f>
        <v>0</v>
      </c>
      <c r="AH131" s="1">
        <f t="shared" ref="AH131" ca="1" si="609">AG134</f>
        <v>0</v>
      </c>
      <c r="AI131" s="1">
        <f t="shared" ref="AI131" ca="1" si="610">AH134</f>
        <v>0</v>
      </c>
      <c r="AJ131" s="1">
        <f t="shared" ref="AJ131" ca="1" si="611">AI134</f>
        <v>0</v>
      </c>
      <c r="AK131" s="1">
        <f t="shared" ref="AK131" ca="1" si="612">AJ134</f>
        <v>0</v>
      </c>
      <c r="AL131" s="1">
        <f t="shared" ref="AL131" ca="1" si="613">AK134</f>
        <v>0</v>
      </c>
      <c r="AM131" s="1">
        <f t="shared" ref="AM131" ca="1" si="614">AL134</f>
        <v>0</v>
      </c>
      <c r="AN131" s="1">
        <f t="shared" ref="AN131" ca="1" si="615">AM134</f>
        <v>40.463999999999999</v>
      </c>
      <c r="AO131" s="1">
        <f t="shared" ref="AO131" ca="1" si="616">AN134</f>
        <v>40.463999999999999</v>
      </c>
      <c r="AP131" s="1">
        <f t="shared" ref="AP131" ca="1" si="617">AO134</f>
        <v>40.463999999999999</v>
      </c>
      <c r="AQ131" s="1">
        <f t="shared" ref="AQ131" ca="1" si="618">AP134</f>
        <v>40.463999999999999</v>
      </c>
      <c r="AR131" s="1">
        <f t="shared" ref="AR131" ca="1" si="619">AQ134</f>
        <v>40.463999999999999</v>
      </c>
      <c r="AS131" s="1">
        <f t="shared" ref="AS131" ca="1" si="620">AR134</f>
        <v>40.463999999999999</v>
      </c>
      <c r="AT131" s="1">
        <f t="shared" ref="AT131" ca="1" si="621">AS134</f>
        <v>40.463999999999999</v>
      </c>
      <c r="AU131" s="1">
        <f t="shared" ref="AU131" ca="1" si="622">AT134</f>
        <v>40.463999999999999</v>
      </c>
      <c r="AV131" s="1">
        <f t="shared" ref="AV131" ca="1" si="623">AU134</f>
        <v>40.463999999999999</v>
      </c>
      <c r="AW131" s="1">
        <f t="shared" ref="AW131" ca="1" si="624">AV134</f>
        <v>40.463999999999999</v>
      </c>
      <c r="AX131" s="1">
        <f t="shared" ref="AX131" ca="1" si="625">AW134</f>
        <v>40.463999999999999</v>
      </c>
      <c r="AY131" s="1">
        <f t="shared" ref="AY131" ca="1" si="626">AX134</f>
        <v>40.463999999999999</v>
      </c>
      <c r="AZ131" s="1">
        <f t="shared" ref="AZ131" ca="1" si="627">AY134</f>
        <v>40.463999999999999</v>
      </c>
      <c r="BA131" s="1">
        <f t="shared" ref="BA131" ca="1" si="628">AZ134</f>
        <v>40.463999999999999</v>
      </c>
      <c r="BB131" s="1">
        <f t="shared" ref="BB131" ca="1" si="629">BA134</f>
        <v>40.463999999999999</v>
      </c>
      <c r="BC131" s="1">
        <f t="shared" ref="BC131" ca="1" si="630">BB134</f>
        <v>40.463999999999999</v>
      </c>
      <c r="BD131" s="1">
        <f t="shared" ref="BD131" ca="1" si="631">BC134</f>
        <v>40.463999999999999</v>
      </c>
      <c r="BE131" s="1">
        <f t="shared" ref="BE131" ca="1" si="632">BD134</f>
        <v>40.463999999999999</v>
      </c>
      <c r="BF131" s="1">
        <f t="shared" ref="BF131" ca="1" si="633">BE134</f>
        <v>40.463999999999999</v>
      </c>
      <c r="BG131" s="1">
        <f t="shared" ref="BG131" ca="1" si="634">BF134</f>
        <v>40.463999999999999</v>
      </c>
      <c r="BH131" s="1">
        <f t="shared" ref="BH131" ca="1" si="635">BG134</f>
        <v>40.463999999999999</v>
      </c>
      <c r="BI131" s="1">
        <f t="shared" ref="BI131" ca="1" si="636">BH134</f>
        <v>40.463999999999999</v>
      </c>
      <c r="BJ131" s="1">
        <f t="shared" ref="BJ131" ca="1" si="637">BI134</f>
        <v>40.463999999999999</v>
      </c>
      <c r="BK131" s="1">
        <f t="shared" ref="BK131" ca="1" si="638">BJ134</f>
        <v>40.463999999999999</v>
      </c>
      <c r="BL131" s="1">
        <f t="shared" ref="BL131" ca="1" si="639">BK134</f>
        <v>40.463999999999999</v>
      </c>
      <c r="BM131" s="1">
        <f t="shared" ref="BM131" ca="1" si="640">BL134</f>
        <v>40.463999999999999</v>
      </c>
      <c r="BN131" s="1">
        <f t="shared" ref="BN131" ca="1" si="641">BM134</f>
        <v>40.463999999999999</v>
      </c>
      <c r="BO131" s="1">
        <f t="shared" ref="BO131" ca="1" si="642">BN134</f>
        <v>40.463999999999999</v>
      </c>
      <c r="BP131" s="1">
        <f t="shared" ref="BP131" ca="1" si="643">BO134</f>
        <v>40.463999999999999</v>
      </c>
      <c r="BQ131" s="1">
        <f t="shared" ref="BQ131" ca="1" si="644">BP134</f>
        <v>0</v>
      </c>
      <c r="BR131" s="1">
        <f t="shared" ref="BR131" ca="1" si="645">BQ134</f>
        <v>0</v>
      </c>
      <c r="BS131" s="1">
        <f t="shared" ref="BS131" ca="1" si="646">BR134</f>
        <v>0</v>
      </c>
      <c r="BT131" s="1">
        <f t="shared" ref="BT131" ca="1" si="647">BS134</f>
        <v>0</v>
      </c>
      <c r="BU131" s="1">
        <f t="shared" ref="BU131" ca="1" si="648">BT134</f>
        <v>0</v>
      </c>
      <c r="BV131" s="1">
        <f t="shared" ref="BV131" ca="1" si="649">BU134</f>
        <v>0</v>
      </c>
      <c r="BW131" s="1">
        <f t="shared" ref="BW131" ca="1" si="650">BV134</f>
        <v>0</v>
      </c>
      <c r="BX131" s="1">
        <f t="shared" ref="BX131" ca="1" si="651">BW134</f>
        <v>0</v>
      </c>
      <c r="BY131" s="1">
        <f t="shared" ref="BY131" ca="1" si="652">BX134</f>
        <v>0</v>
      </c>
    </row>
    <row r="132" spans="2:77" ht="13.5" customHeight="1">
      <c r="E132" s="1" t="s">
        <v>170</v>
      </c>
      <c r="H132" s="1">
        <f ca="1">(H$14=$F111)*$F118</f>
        <v>0</v>
      </c>
      <c r="I132" s="1">
        <f t="shared" ref="I132:BT132" ca="1" si="653">(I$14=$F111)*$F118</f>
        <v>0</v>
      </c>
      <c r="J132" s="1">
        <f t="shared" ca="1" si="653"/>
        <v>0</v>
      </c>
      <c r="K132" s="1">
        <f t="shared" ca="1" si="653"/>
        <v>0</v>
      </c>
      <c r="L132" s="1">
        <f t="shared" ca="1" si="653"/>
        <v>0</v>
      </c>
      <c r="M132" s="1">
        <f t="shared" ca="1" si="653"/>
        <v>0</v>
      </c>
      <c r="N132" s="1">
        <f t="shared" ca="1" si="653"/>
        <v>0</v>
      </c>
      <c r="O132" s="1">
        <f t="shared" ca="1" si="653"/>
        <v>0</v>
      </c>
      <c r="P132" s="1">
        <f t="shared" ca="1" si="653"/>
        <v>0</v>
      </c>
      <c r="Q132" s="1">
        <f t="shared" ca="1" si="653"/>
        <v>0</v>
      </c>
      <c r="R132" s="1">
        <f t="shared" ca="1" si="653"/>
        <v>0</v>
      </c>
      <c r="S132" s="1">
        <f t="shared" ca="1" si="653"/>
        <v>0</v>
      </c>
      <c r="T132" s="1">
        <f t="shared" ca="1" si="653"/>
        <v>0</v>
      </c>
      <c r="U132" s="1">
        <f t="shared" ca="1" si="653"/>
        <v>0</v>
      </c>
      <c r="V132" s="1">
        <f t="shared" ca="1" si="653"/>
        <v>0</v>
      </c>
      <c r="W132" s="1">
        <f t="shared" ca="1" si="653"/>
        <v>0</v>
      </c>
      <c r="X132" s="1">
        <f t="shared" ca="1" si="653"/>
        <v>0</v>
      </c>
      <c r="Y132" s="1">
        <f t="shared" ca="1" si="653"/>
        <v>0</v>
      </c>
      <c r="Z132" s="1">
        <f t="shared" ca="1" si="653"/>
        <v>0</v>
      </c>
      <c r="AA132" s="1">
        <f t="shared" ca="1" si="653"/>
        <v>0</v>
      </c>
      <c r="AB132" s="1">
        <f t="shared" ca="1" si="653"/>
        <v>0</v>
      </c>
      <c r="AC132" s="1">
        <f t="shared" ca="1" si="653"/>
        <v>0</v>
      </c>
      <c r="AD132" s="1">
        <f t="shared" ca="1" si="653"/>
        <v>0</v>
      </c>
      <c r="AE132" s="1">
        <f t="shared" ca="1" si="653"/>
        <v>0</v>
      </c>
      <c r="AF132" s="1">
        <f t="shared" ca="1" si="653"/>
        <v>0</v>
      </c>
      <c r="AG132" s="1">
        <f t="shared" ca="1" si="653"/>
        <v>0</v>
      </c>
      <c r="AH132" s="1">
        <f t="shared" ca="1" si="653"/>
        <v>0</v>
      </c>
      <c r="AI132" s="1">
        <f t="shared" ca="1" si="653"/>
        <v>0</v>
      </c>
      <c r="AJ132" s="1">
        <f t="shared" ca="1" si="653"/>
        <v>0</v>
      </c>
      <c r="AK132" s="1">
        <f t="shared" ca="1" si="653"/>
        <v>0</v>
      </c>
      <c r="AL132" s="1">
        <f t="shared" ca="1" si="653"/>
        <v>0</v>
      </c>
      <c r="AM132" s="1">
        <f t="shared" ca="1" si="653"/>
        <v>40.463999999999999</v>
      </c>
      <c r="AN132" s="1">
        <f t="shared" ca="1" si="653"/>
        <v>0</v>
      </c>
      <c r="AO132" s="1">
        <f t="shared" ca="1" si="653"/>
        <v>0</v>
      </c>
      <c r="AP132" s="1">
        <f t="shared" ca="1" si="653"/>
        <v>0</v>
      </c>
      <c r="AQ132" s="1">
        <f t="shared" ca="1" si="653"/>
        <v>0</v>
      </c>
      <c r="AR132" s="1">
        <f t="shared" ca="1" si="653"/>
        <v>0</v>
      </c>
      <c r="AS132" s="1">
        <f t="shared" ca="1" si="653"/>
        <v>0</v>
      </c>
      <c r="AT132" s="1">
        <f t="shared" ca="1" si="653"/>
        <v>0</v>
      </c>
      <c r="AU132" s="1">
        <f t="shared" ca="1" si="653"/>
        <v>0</v>
      </c>
      <c r="AV132" s="1">
        <f t="shared" ca="1" si="653"/>
        <v>0</v>
      </c>
      <c r="AW132" s="1">
        <f t="shared" ca="1" si="653"/>
        <v>0</v>
      </c>
      <c r="AX132" s="1">
        <f t="shared" ca="1" si="653"/>
        <v>0</v>
      </c>
      <c r="AY132" s="1">
        <f t="shared" ca="1" si="653"/>
        <v>0</v>
      </c>
      <c r="AZ132" s="1">
        <f t="shared" ca="1" si="653"/>
        <v>0</v>
      </c>
      <c r="BA132" s="1">
        <f t="shared" ca="1" si="653"/>
        <v>0</v>
      </c>
      <c r="BB132" s="1">
        <f t="shared" ca="1" si="653"/>
        <v>0</v>
      </c>
      <c r="BC132" s="1">
        <f t="shared" ca="1" si="653"/>
        <v>0</v>
      </c>
      <c r="BD132" s="1">
        <f t="shared" ca="1" si="653"/>
        <v>0</v>
      </c>
      <c r="BE132" s="1">
        <f t="shared" ca="1" si="653"/>
        <v>0</v>
      </c>
      <c r="BF132" s="1">
        <f t="shared" ca="1" si="653"/>
        <v>0</v>
      </c>
      <c r="BG132" s="1">
        <f t="shared" ca="1" si="653"/>
        <v>0</v>
      </c>
      <c r="BH132" s="1">
        <f t="shared" ca="1" si="653"/>
        <v>0</v>
      </c>
      <c r="BI132" s="1">
        <f t="shared" ca="1" si="653"/>
        <v>0</v>
      </c>
      <c r="BJ132" s="1">
        <f t="shared" ca="1" si="653"/>
        <v>0</v>
      </c>
      <c r="BK132" s="1">
        <f t="shared" ca="1" si="653"/>
        <v>0</v>
      </c>
      <c r="BL132" s="1">
        <f t="shared" ca="1" si="653"/>
        <v>0</v>
      </c>
      <c r="BM132" s="1">
        <f t="shared" ca="1" si="653"/>
        <v>0</v>
      </c>
      <c r="BN132" s="1">
        <f t="shared" ca="1" si="653"/>
        <v>0</v>
      </c>
      <c r="BO132" s="1">
        <f t="shared" ca="1" si="653"/>
        <v>0</v>
      </c>
      <c r="BP132" s="1">
        <f t="shared" ca="1" si="653"/>
        <v>0</v>
      </c>
      <c r="BQ132" s="1">
        <f t="shared" ca="1" si="653"/>
        <v>0</v>
      </c>
      <c r="BR132" s="1">
        <f t="shared" ca="1" si="653"/>
        <v>0</v>
      </c>
      <c r="BS132" s="1">
        <f t="shared" ca="1" si="653"/>
        <v>0</v>
      </c>
      <c r="BT132" s="1">
        <f t="shared" ca="1" si="653"/>
        <v>0</v>
      </c>
      <c r="BU132" s="1">
        <f t="shared" ref="BU132:BY132" ca="1" si="654">(BU$14=$F111)*$F118</f>
        <v>0</v>
      </c>
      <c r="BV132" s="1">
        <f t="shared" ca="1" si="654"/>
        <v>0</v>
      </c>
      <c r="BW132" s="1">
        <f t="shared" ca="1" si="654"/>
        <v>0</v>
      </c>
      <c r="BX132" s="1">
        <f t="shared" ca="1" si="654"/>
        <v>0</v>
      </c>
      <c r="BY132" s="1">
        <f t="shared" ca="1" si="654"/>
        <v>0</v>
      </c>
    </row>
    <row r="133" spans="2:77" ht="13.5" customHeight="1">
      <c r="E133" s="1" t="s">
        <v>171</v>
      </c>
      <c r="H133" s="1">
        <f t="shared" ref="H133:AM133" ca="1" si="655">(H$14=exit)*$F118*-1</f>
        <v>0</v>
      </c>
      <c r="I133" s="1">
        <f t="shared" ca="1" si="655"/>
        <v>0</v>
      </c>
      <c r="J133" s="1">
        <f t="shared" ca="1" si="655"/>
        <v>0</v>
      </c>
      <c r="K133" s="1">
        <f t="shared" ca="1" si="655"/>
        <v>0</v>
      </c>
      <c r="L133" s="1">
        <f t="shared" ca="1" si="655"/>
        <v>0</v>
      </c>
      <c r="M133" s="1">
        <f t="shared" ca="1" si="655"/>
        <v>0</v>
      </c>
      <c r="N133" s="1">
        <f t="shared" ca="1" si="655"/>
        <v>0</v>
      </c>
      <c r="O133" s="1">
        <f t="shared" ca="1" si="655"/>
        <v>0</v>
      </c>
      <c r="P133" s="1">
        <f t="shared" ca="1" si="655"/>
        <v>0</v>
      </c>
      <c r="Q133" s="1">
        <f t="shared" ca="1" si="655"/>
        <v>0</v>
      </c>
      <c r="R133" s="1">
        <f t="shared" ca="1" si="655"/>
        <v>0</v>
      </c>
      <c r="S133" s="1">
        <f t="shared" ca="1" si="655"/>
        <v>0</v>
      </c>
      <c r="T133" s="1">
        <f t="shared" ca="1" si="655"/>
        <v>0</v>
      </c>
      <c r="U133" s="1">
        <f t="shared" ca="1" si="655"/>
        <v>0</v>
      </c>
      <c r="V133" s="1">
        <f t="shared" ca="1" si="655"/>
        <v>0</v>
      </c>
      <c r="W133" s="1">
        <f t="shared" ca="1" si="655"/>
        <v>0</v>
      </c>
      <c r="X133" s="1">
        <f t="shared" ca="1" si="655"/>
        <v>0</v>
      </c>
      <c r="Y133" s="1">
        <f t="shared" ca="1" si="655"/>
        <v>0</v>
      </c>
      <c r="Z133" s="1">
        <f t="shared" ca="1" si="655"/>
        <v>0</v>
      </c>
      <c r="AA133" s="1">
        <f t="shared" ca="1" si="655"/>
        <v>0</v>
      </c>
      <c r="AB133" s="1">
        <f t="shared" ca="1" si="655"/>
        <v>0</v>
      </c>
      <c r="AC133" s="1">
        <f t="shared" ca="1" si="655"/>
        <v>0</v>
      </c>
      <c r="AD133" s="1">
        <f t="shared" ca="1" si="655"/>
        <v>0</v>
      </c>
      <c r="AE133" s="1">
        <f t="shared" ca="1" si="655"/>
        <v>0</v>
      </c>
      <c r="AF133" s="1">
        <f t="shared" ca="1" si="655"/>
        <v>0</v>
      </c>
      <c r="AG133" s="1">
        <f t="shared" ca="1" si="655"/>
        <v>0</v>
      </c>
      <c r="AH133" s="1">
        <f t="shared" ca="1" si="655"/>
        <v>0</v>
      </c>
      <c r="AI133" s="1">
        <f t="shared" ca="1" si="655"/>
        <v>0</v>
      </c>
      <c r="AJ133" s="1">
        <f t="shared" ca="1" si="655"/>
        <v>0</v>
      </c>
      <c r="AK133" s="1">
        <f t="shared" ca="1" si="655"/>
        <v>0</v>
      </c>
      <c r="AL133" s="1">
        <f t="shared" ca="1" si="655"/>
        <v>0</v>
      </c>
      <c r="AM133" s="1">
        <f t="shared" ca="1" si="655"/>
        <v>0</v>
      </c>
      <c r="AN133" s="1">
        <f t="shared" ref="AN133:BS133" ca="1" si="656">(AN$14=exit)*$F118*-1</f>
        <v>0</v>
      </c>
      <c r="AO133" s="1">
        <f t="shared" ca="1" si="656"/>
        <v>0</v>
      </c>
      <c r="AP133" s="1">
        <f t="shared" ca="1" si="656"/>
        <v>0</v>
      </c>
      <c r="AQ133" s="1">
        <f t="shared" ca="1" si="656"/>
        <v>0</v>
      </c>
      <c r="AR133" s="1">
        <f t="shared" ca="1" si="656"/>
        <v>0</v>
      </c>
      <c r="AS133" s="1">
        <f t="shared" ca="1" si="656"/>
        <v>0</v>
      </c>
      <c r="AT133" s="1">
        <f t="shared" ca="1" si="656"/>
        <v>0</v>
      </c>
      <c r="AU133" s="1">
        <f t="shared" ca="1" si="656"/>
        <v>0</v>
      </c>
      <c r="AV133" s="1">
        <f t="shared" ca="1" si="656"/>
        <v>0</v>
      </c>
      <c r="AW133" s="1">
        <f t="shared" ca="1" si="656"/>
        <v>0</v>
      </c>
      <c r="AX133" s="1">
        <f t="shared" ca="1" si="656"/>
        <v>0</v>
      </c>
      <c r="AY133" s="1">
        <f t="shared" ca="1" si="656"/>
        <v>0</v>
      </c>
      <c r="AZ133" s="1">
        <f t="shared" ca="1" si="656"/>
        <v>0</v>
      </c>
      <c r="BA133" s="1">
        <f t="shared" ca="1" si="656"/>
        <v>0</v>
      </c>
      <c r="BB133" s="1">
        <f t="shared" ca="1" si="656"/>
        <v>0</v>
      </c>
      <c r="BC133" s="1">
        <f t="shared" ca="1" si="656"/>
        <v>0</v>
      </c>
      <c r="BD133" s="1">
        <f t="shared" ca="1" si="656"/>
        <v>0</v>
      </c>
      <c r="BE133" s="1">
        <f t="shared" ca="1" si="656"/>
        <v>0</v>
      </c>
      <c r="BF133" s="1">
        <f t="shared" ca="1" si="656"/>
        <v>0</v>
      </c>
      <c r="BG133" s="1">
        <f t="shared" ca="1" si="656"/>
        <v>0</v>
      </c>
      <c r="BH133" s="1">
        <f t="shared" ca="1" si="656"/>
        <v>0</v>
      </c>
      <c r="BI133" s="1">
        <f t="shared" ca="1" si="656"/>
        <v>0</v>
      </c>
      <c r="BJ133" s="1">
        <f t="shared" ca="1" si="656"/>
        <v>0</v>
      </c>
      <c r="BK133" s="1">
        <f t="shared" ca="1" si="656"/>
        <v>0</v>
      </c>
      <c r="BL133" s="1">
        <f t="shared" ca="1" si="656"/>
        <v>0</v>
      </c>
      <c r="BM133" s="1">
        <f t="shared" ca="1" si="656"/>
        <v>0</v>
      </c>
      <c r="BN133" s="1">
        <f t="shared" ca="1" si="656"/>
        <v>0</v>
      </c>
      <c r="BO133" s="1">
        <f t="shared" ca="1" si="656"/>
        <v>0</v>
      </c>
      <c r="BP133" s="1">
        <f t="shared" ca="1" si="656"/>
        <v>-40.463999999999999</v>
      </c>
      <c r="BQ133" s="1">
        <f t="shared" ca="1" si="656"/>
        <v>0</v>
      </c>
      <c r="BR133" s="1">
        <f t="shared" ca="1" si="656"/>
        <v>0</v>
      </c>
      <c r="BS133" s="1">
        <f t="shared" ca="1" si="656"/>
        <v>0</v>
      </c>
      <c r="BT133" s="1">
        <f t="shared" ref="BT133:BY133" ca="1" si="657">(BT$14=exit)*$F118*-1</f>
        <v>0</v>
      </c>
      <c r="BU133" s="1">
        <f t="shared" ca="1" si="657"/>
        <v>0</v>
      </c>
      <c r="BV133" s="1">
        <f t="shared" ca="1" si="657"/>
        <v>0</v>
      </c>
      <c r="BW133" s="1">
        <f t="shared" ca="1" si="657"/>
        <v>0</v>
      </c>
      <c r="BX133" s="1">
        <f t="shared" ca="1" si="657"/>
        <v>0</v>
      </c>
      <c r="BY133" s="1">
        <f t="shared" ca="1" si="657"/>
        <v>0</v>
      </c>
    </row>
    <row r="134" spans="2:77" ht="13.5" customHeight="1">
      <c r="E134" s="41" t="s">
        <v>172</v>
      </c>
      <c r="F134" s="41"/>
      <c r="G134" s="41"/>
      <c r="H134" s="41">
        <f ca="1">SUM(H131:H133)</f>
        <v>0</v>
      </c>
      <c r="I134" s="41">
        <f t="shared" ref="I134:BT134" ca="1" si="658">SUM(I131:I133)</f>
        <v>0</v>
      </c>
      <c r="J134" s="41">
        <f t="shared" ca="1" si="658"/>
        <v>0</v>
      </c>
      <c r="K134" s="41">
        <f t="shared" ca="1" si="658"/>
        <v>0</v>
      </c>
      <c r="L134" s="41">
        <f t="shared" ca="1" si="658"/>
        <v>0</v>
      </c>
      <c r="M134" s="41">
        <f t="shared" ca="1" si="658"/>
        <v>0</v>
      </c>
      <c r="N134" s="41">
        <f t="shared" ca="1" si="658"/>
        <v>0</v>
      </c>
      <c r="O134" s="41">
        <f t="shared" ca="1" si="658"/>
        <v>0</v>
      </c>
      <c r="P134" s="41">
        <f t="shared" ca="1" si="658"/>
        <v>0</v>
      </c>
      <c r="Q134" s="41">
        <f t="shared" ca="1" si="658"/>
        <v>0</v>
      </c>
      <c r="R134" s="41">
        <f t="shared" ca="1" si="658"/>
        <v>0</v>
      </c>
      <c r="S134" s="41">
        <f t="shared" ca="1" si="658"/>
        <v>0</v>
      </c>
      <c r="T134" s="41">
        <f t="shared" ca="1" si="658"/>
        <v>0</v>
      </c>
      <c r="U134" s="41">
        <f t="shared" ca="1" si="658"/>
        <v>0</v>
      </c>
      <c r="V134" s="41">
        <f t="shared" ca="1" si="658"/>
        <v>0</v>
      </c>
      <c r="W134" s="41">
        <f t="shared" ca="1" si="658"/>
        <v>0</v>
      </c>
      <c r="X134" s="41">
        <f t="shared" ca="1" si="658"/>
        <v>0</v>
      </c>
      <c r="Y134" s="41">
        <f t="shared" ca="1" si="658"/>
        <v>0</v>
      </c>
      <c r="Z134" s="41">
        <f t="shared" ca="1" si="658"/>
        <v>0</v>
      </c>
      <c r="AA134" s="41">
        <f t="shared" ca="1" si="658"/>
        <v>0</v>
      </c>
      <c r="AB134" s="41">
        <f t="shared" ca="1" si="658"/>
        <v>0</v>
      </c>
      <c r="AC134" s="41">
        <f t="shared" ca="1" si="658"/>
        <v>0</v>
      </c>
      <c r="AD134" s="41">
        <f t="shared" ca="1" si="658"/>
        <v>0</v>
      </c>
      <c r="AE134" s="41">
        <f t="shared" ca="1" si="658"/>
        <v>0</v>
      </c>
      <c r="AF134" s="41">
        <f t="shared" ca="1" si="658"/>
        <v>0</v>
      </c>
      <c r="AG134" s="41">
        <f t="shared" ca="1" si="658"/>
        <v>0</v>
      </c>
      <c r="AH134" s="41">
        <f t="shared" ca="1" si="658"/>
        <v>0</v>
      </c>
      <c r="AI134" s="41">
        <f t="shared" ca="1" si="658"/>
        <v>0</v>
      </c>
      <c r="AJ134" s="41">
        <f t="shared" ca="1" si="658"/>
        <v>0</v>
      </c>
      <c r="AK134" s="41">
        <f t="shared" ca="1" si="658"/>
        <v>0</v>
      </c>
      <c r="AL134" s="41">
        <f t="shared" ca="1" si="658"/>
        <v>0</v>
      </c>
      <c r="AM134" s="41">
        <f t="shared" ca="1" si="658"/>
        <v>40.463999999999999</v>
      </c>
      <c r="AN134" s="41">
        <f t="shared" ca="1" si="658"/>
        <v>40.463999999999999</v>
      </c>
      <c r="AO134" s="41">
        <f t="shared" ca="1" si="658"/>
        <v>40.463999999999999</v>
      </c>
      <c r="AP134" s="41">
        <f t="shared" ca="1" si="658"/>
        <v>40.463999999999999</v>
      </c>
      <c r="AQ134" s="41">
        <f t="shared" ca="1" si="658"/>
        <v>40.463999999999999</v>
      </c>
      <c r="AR134" s="41">
        <f t="shared" ca="1" si="658"/>
        <v>40.463999999999999</v>
      </c>
      <c r="AS134" s="41">
        <f t="shared" ca="1" si="658"/>
        <v>40.463999999999999</v>
      </c>
      <c r="AT134" s="41">
        <f t="shared" ca="1" si="658"/>
        <v>40.463999999999999</v>
      </c>
      <c r="AU134" s="41">
        <f t="shared" ca="1" si="658"/>
        <v>40.463999999999999</v>
      </c>
      <c r="AV134" s="41">
        <f t="shared" ca="1" si="658"/>
        <v>40.463999999999999</v>
      </c>
      <c r="AW134" s="41">
        <f t="shared" ca="1" si="658"/>
        <v>40.463999999999999</v>
      </c>
      <c r="AX134" s="41">
        <f t="shared" ca="1" si="658"/>
        <v>40.463999999999999</v>
      </c>
      <c r="AY134" s="41">
        <f t="shared" ca="1" si="658"/>
        <v>40.463999999999999</v>
      </c>
      <c r="AZ134" s="41">
        <f t="shared" ca="1" si="658"/>
        <v>40.463999999999999</v>
      </c>
      <c r="BA134" s="41">
        <f t="shared" ca="1" si="658"/>
        <v>40.463999999999999</v>
      </c>
      <c r="BB134" s="41">
        <f t="shared" ca="1" si="658"/>
        <v>40.463999999999999</v>
      </c>
      <c r="BC134" s="41">
        <f t="shared" ca="1" si="658"/>
        <v>40.463999999999999</v>
      </c>
      <c r="BD134" s="41">
        <f t="shared" ca="1" si="658"/>
        <v>40.463999999999999</v>
      </c>
      <c r="BE134" s="41">
        <f t="shared" ca="1" si="658"/>
        <v>40.463999999999999</v>
      </c>
      <c r="BF134" s="41">
        <f t="shared" ca="1" si="658"/>
        <v>40.463999999999999</v>
      </c>
      <c r="BG134" s="41">
        <f t="shared" ca="1" si="658"/>
        <v>40.463999999999999</v>
      </c>
      <c r="BH134" s="41">
        <f t="shared" ca="1" si="658"/>
        <v>40.463999999999999</v>
      </c>
      <c r="BI134" s="41">
        <f t="shared" ca="1" si="658"/>
        <v>40.463999999999999</v>
      </c>
      <c r="BJ134" s="41">
        <f t="shared" ca="1" si="658"/>
        <v>40.463999999999999</v>
      </c>
      <c r="BK134" s="41">
        <f t="shared" ca="1" si="658"/>
        <v>40.463999999999999</v>
      </c>
      <c r="BL134" s="41">
        <f t="shared" ca="1" si="658"/>
        <v>40.463999999999999</v>
      </c>
      <c r="BM134" s="41">
        <f t="shared" ca="1" si="658"/>
        <v>40.463999999999999</v>
      </c>
      <c r="BN134" s="41">
        <f t="shared" ca="1" si="658"/>
        <v>40.463999999999999</v>
      </c>
      <c r="BO134" s="41">
        <f t="shared" ca="1" si="658"/>
        <v>40.463999999999999</v>
      </c>
      <c r="BP134" s="41">
        <f t="shared" ca="1" si="658"/>
        <v>0</v>
      </c>
      <c r="BQ134" s="41">
        <f t="shared" ca="1" si="658"/>
        <v>0</v>
      </c>
      <c r="BR134" s="41">
        <f t="shared" ca="1" si="658"/>
        <v>0</v>
      </c>
      <c r="BS134" s="41">
        <f t="shared" ca="1" si="658"/>
        <v>0</v>
      </c>
      <c r="BT134" s="41">
        <f t="shared" ca="1" si="658"/>
        <v>0</v>
      </c>
      <c r="BU134" s="41">
        <f t="shared" ref="BU134:BY134" ca="1" si="659">SUM(BU131:BU133)</f>
        <v>0</v>
      </c>
      <c r="BV134" s="41">
        <f t="shared" ca="1" si="659"/>
        <v>0</v>
      </c>
      <c r="BW134" s="41">
        <f t="shared" ca="1" si="659"/>
        <v>0</v>
      </c>
      <c r="BX134" s="41">
        <f t="shared" ca="1" si="659"/>
        <v>0</v>
      </c>
      <c r="BY134" s="41">
        <f t="shared" ca="1" si="659"/>
        <v>0</v>
      </c>
    </row>
    <row r="136" spans="2:77" ht="13.5" customHeight="1">
      <c r="C136" s="13" t="s">
        <v>196</v>
      </c>
    </row>
    <row r="137" spans="2:77" ht="13.5" customHeight="1">
      <c r="D137" s="120" t="str">
        <f>CONCATENATE(B79," 임대료 수입 합계")</f>
        <v>지상2층 임대료 수입 합계</v>
      </c>
      <c r="E137" s="120"/>
      <c r="F137" s="120"/>
      <c r="G137" s="120"/>
      <c r="H137" s="120">
        <f ca="1">H91+H124</f>
        <v>6.7439999999999998</v>
      </c>
      <c r="I137" s="120">
        <f t="shared" ref="I137:BT137" ca="1" si="660">I91+I124</f>
        <v>6.7439999999999998</v>
      </c>
      <c r="J137" s="120">
        <f t="shared" ca="1" si="660"/>
        <v>6.7439999999999998</v>
      </c>
      <c r="K137" s="120">
        <f t="shared" ca="1" si="660"/>
        <v>6.7439999999999998</v>
      </c>
      <c r="L137" s="120">
        <f t="shared" ca="1" si="660"/>
        <v>6.7439999999999998</v>
      </c>
      <c r="M137" s="120">
        <f t="shared" ca="1" si="660"/>
        <v>6.7439999999999998</v>
      </c>
      <c r="N137" s="120">
        <f t="shared" ca="1" si="660"/>
        <v>6.7439999999999998</v>
      </c>
      <c r="O137" s="120">
        <f t="shared" ca="1" si="660"/>
        <v>6.7439999999999998</v>
      </c>
      <c r="P137" s="120">
        <f t="shared" ca="1" si="660"/>
        <v>6.7439999999999998</v>
      </c>
      <c r="Q137" s="120">
        <f t="shared" ca="1" si="660"/>
        <v>6.7439999999999998</v>
      </c>
      <c r="R137" s="120">
        <f t="shared" ca="1" si="660"/>
        <v>6.7439999999999998</v>
      </c>
      <c r="S137" s="120">
        <f t="shared" ca="1" si="660"/>
        <v>6.7439999999999998</v>
      </c>
      <c r="T137" s="120">
        <f t="shared" ca="1" si="660"/>
        <v>6.7439999999999998</v>
      </c>
      <c r="U137" s="120">
        <f t="shared" ca="1" si="660"/>
        <v>6.7439999999999998</v>
      </c>
      <c r="V137" s="120">
        <f t="shared" ca="1" si="660"/>
        <v>6.7439999999999998</v>
      </c>
      <c r="W137" s="120">
        <f t="shared" ca="1" si="660"/>
        <v>6.7439999999999998</v>
      </c>
      <c r="X137" s="120">
        <f t="shared" ca="1" si="660"/>
        <v>6.7439999999999998</v>
      </c>
      <c r="Y137" s="120">
        <f t="shared" ca="1" si="660"/>
        <v>6.7439999999999998</v>
      </c>
      <c r="Z137" s="120">
        <f t="shared" ca="1" si="660"/>
        <v>6.7439999999999998</v>
      </c>
      <c r="AA137" s="120">
        <f t="shared" ca="1" si="660"/>
        <v>6.7439999999999998</v>
      </c>
      <c r="AB137" s="120">
        <f t="shared" ca="1" si="660"/>
        <v>6.7439999999999998</v>
      </c>
      <c r="AC137" s="120">
        <f t="shared" ca="1" si="660"/>
        <v>6.7439999999999998</v>
      </c>
      <c r="AD137" s="120">
        <f t="shared" ca="1" si="660"/>
        <v>6.7439999999999998</v>
      </c>
      <c r="AE137" s="120">
        <f t="shared" ca="1" si="660"/>
        <v>6.7439999999999998</v>
      </c>
      <c r="AF137" s="120">
        <f t="shared" ca="1" si="660"/>
        <v>6.7439999999999998</v>
      </c>
      <c r="AG137" s="120">
        <f t="shared" ca="1" si="660"/>
        <v>6.7439999999999998</v>
      </c>
      <c r="AH137" s="120">
        <f t="shared" ca="1" si="660"/>
        <v>6.7439999999999998</v>
      </c>
      <c r="AI137" s="120">
        <f t="shared" ca="1" si="660"/>
        <v>6.7439999999999998</v>
      </c>
      <c r="AJ137" s="120">
        <f t="shared" ca="1" si="660"/>
        <v>6.7439999999999998</v>
      </c>
      <c r="AK137" s="120">
        <f t="shared" ca="1" si="660"/>
        <v>6.7439999999999998</v>
      </c>
      <c r="AL137" s="120">
        <f t="shared" ca="1" si="660"/>
        <v>0</v>
      </c>
      <c r="AM137" s="120">
        <f t="shared" ca="1" si="660"/>
        <v>0</v>
      </c>
      <c r="AN137" s="120">
        <f t="shared" ca="1" si="660"/>
        <v>6.1820000000000004</v>
      </c>
      <c r="AO137" s="120">
        <f t="shared" ca="1" si="660"/>
        <v>6.1820000000000004</v>
      </c>
      <c r="AP137" s="120">
        <f t="shared" ca="1" si="660"/>
        <v>6.1820000000000004</v>
      </c>
      <c r="AQ137" s="120">
        <f t="shared" ca="1" si="660"/>
        <v>6.1820000000000004</v>
      </c>
      <c r="AR137" s="120">
        <f t="shared" ca="1" si="660"/>
        <v>6.1820000000000004</v>
      </c>
      <c r="AS137" s="120">
        <f t="shared" ca="1" si="660"/>
        <v>6.1820000000000004</v>
      </c>
      <c r="AT137" s="120">
        <f t="shared" ca="1" si="660"/>
        <v>6.1820000000000004</v>
      </c>
      <c r="AU137" s="120">
        <f t="shared" ca="1" si="660"/>
        <v>6.1820000000000004</v>
      </c>
      <c r="AV137" s="120">
        <f t="shared" ca="1" si="660"/>
        <v>6.1820000000000004</v>
      </c>
      <c r="AW137" s="120">
        <f t="shared" ca="1" si="660"/>
        <v>6.1820000000000004</v>
      </c>
      <c r="AX137" s="120">
        <f t="shared" ca="1" si="660"/>
        <v>6.1820000000000004</v>
      </c>
      <c r="AY137" s="120">
        <f t="shared" ca="1" si="660"/>
        <v>6.2438200000000004</v>
      </c>
      <c r="AZ137" s="120">
        <f t="shared" ca="1" si="660"/>
        <v>6.2438200000000004</v>
      </c>
      <c r="BA137" s="120">
        <f t="shared" ca="1" si="660"/>
        <v>6.2438200000000004</v>
      </c>
      <c r="BB137" s="120">
        <f t="shared" ca="1" si="660"/>
        <v>6.2438200000000004</v>
      </c>
      <c r="BC137" s="120">
        <f t="shared" ca="1" si="660"/>
        <v>6.2438200000000004</v>
      </c>
      <c r="BD137" s="120">
        <f t="shared" ca="1" si="660"/>
        <v>6.2438200000000004</v>
      </c>
      <c r="BE137" s="120">
        <f t="shared" ca="1" si="660"/>
        <v>6.2438200000000004</v>
      </c>
      <c r="BF137" s="120">
        <f t="shared" ca="1" si="660"/>
        <v>6.2438200000000004</v>
      </c>
      <c r="BG137" s="120">
        <f t="shared" ca="1" si="660"/>
        <v>6.2438200000000004</v>
      </c>
      <c r="BH137" s="120">
        <f t="shared" ca="1" si="660"/>
        <v>6.2438200000000004</v>
      </c>
      <c r="BI137" s="120">
        <f t="shared" ca="1" si="660"/>
        <v>6.2438200000000004</v>
      </c>
      <c r="BJ137" s="120">
        <f t="shared" ca="1" si="660"/>
        <v>6.2438200000000004</v>
      </c>
      <c r="BK137" s="120">
        <f t="shared" ca="1" si="660"/>
        <v>6.3062582000000003</v>
      </c>
      <c r="BL137" s="120">
        <f t="shared" ca="1" si="660"/>
        <v>6.3062582000000003</v>
      </c>
      <c r="BM137" s="120">
        <f t="shared" ca="1" si="660"/>
        <v>6.3062582000000003</v>
      </c>
      <c r="BN137" s="120">
        <f t="shared" ca="1" si="660"/>
        <v>6.3062582000000003</v>
      </c>
      <c r="BO137" s="120">
        <f t="shared" ca="1" si="660"/>
        <v>6.3062582000000003</v>
      </c>
      <c r="BP137" s="120">
        <f t="shared" ca="1" si="660"/>
        <v>6.3062582000000003</v>
      </c>
      <c r="BQ137" s="120">
        <f t="shared" ca="1" si="660"/>
        <v>0</v>
      </c>
      <c r="BR137" s="120">
        <f t="shared" ca="1" si="660"/>
        <v>0</v>
      </c>
      <c r="BS137" s="120">
        <f t="shared" ca="1" si="660"/>
        <v>0</v>
      </c>
      <c r="BT137" s="120">
        <f t="shared" ca="1" si="660"/>
        <v>0</v>
      </c>
      <c r="BU137" s="120">
        <f t="shared" ref="BU137:BY137" ca="1" si="661">BU91+BU124</f>
        <v>0</v>
      </c>
      <c r="BV137" s="120">
        <f t="shared" ca="1" si="661"/>
        <v>0</v>
      </c>
      <c r="BW137" s="120">
        <f t="shared" ca="1" si="661"/>
        <v>0</v>
      </c>
      <c r="BX137" s="120">
        <f t="shared" ca="1" si="661"/>
        <v>0</v>
      </c>
      <c r="BY137" s="120">
        <f t="shared" ca="1" si="661"/>
        <v>0</v>
      </c>
    </row>
    <row r="138" spans="2:77" ht="13.5" customHeight="1">
      <c r="D138" s="120" t="str">
        <f>CONCATENATE(B79," 관리비 수입 합계")</f>
        <v>지상2층 관리비 수입 합계</v>
      </c>
      <c r="E138" s="120"/>
      <c r="F138" s="120"/>
      <c r="G138" s="120"/>
      <c r="H138" s="120">
        <f ca="1">H95+H128</f>
        <v>0</v>
      </c>
      <c r="I138" s="120">
        <f t="shared" ref="I138:BT138" ca="1" si="662">I95+I128</f>
        <v>0</v>
      </c>
      <c r="J138" s="120">
        <f t="shared" ca="1" si="662"/>
        <v>0</v>
      </c>
      <c r="K138" s="120">
        <f t="shared" ca="1" si="662"/>
        <v>0</v>
      </c>
      <c r="L138" s="120">
        <f t="shared" ca="1" si="662"/>
        <v>0</v>
      </c>
      <c r="M138" s="120">
        <f t="shared" ca="1" si="662"/>
        <v>0</v>
      </c>
      <c r="N138" s="120">
        <f t="shared" ca="1" si="662"/>
        <v>0</v>
      </c>
      <c r="O138" s="120">
        <f t="shared" ca="1" si="662"/>
        <v>0</v>
      </c>
      <c r="P138" s="120">
        <f t="shared" ca="1" si="662"/>
        <v>0</v>
      </c>
      <c r="Q138" s="120">
        <f t="shared" ca="1" si="662"/>
        <v>0</v>
      </c>
      <c r="R138" s="120">
        <f t="shared" ca="1" si="662"/>
        <v>0</v>
      </c>
      <c r="S138" s="120">
        <f t="shared" ca="1" si="662"/>
        <v>0</v>
      </c>
      <c r="T138" s="120">
        <f t="shared" ca="1" si="662"/>
        <v>0</v>
      </c>
      <c r="U138" s="120">
        <f t="shared" ca="1" si="662"/>
        <v>0</v>
      </c>
      <c r="V138" s="120">
        <f t="shared" ca="1" si="662"/>
        <v>0</v>
      </c>
      <c r="W138" s="120">
        <f t="shared" ca="1" si="662"/>
        <v>0</v>
      </c>
      <c r="X138" s="120">
        <f t="shared" ca="1" si="662"/>
        <v>0</v>
      </c>
      <c r="Y138" s="120">
        <f t="shared" ca="1" si="662"/>
        <v>0</v>
      </c>
      <c r="Z138" s="120">
        <f t="shared" ca="1" si="662"/>
        <v>0</v>
      </c>
      <c r="AA138" s="120">
        <f t="shared" ca="1" si="662"/>
        <v>0</v>
      </c>
      <c r="AB138" s="120">
        <f t="shared" ca="1" si="662"/>
        <v>0</v>
      </c>
      <c r="AC138" s="120">
        <f t="shared" ca="1" si="662"/>
        <v>0</v>
      </c>
      <c r="AD138" s="120">
        <f t="shared" ca="1" si="662"/>
        <v>0</v>
      </c>
      <c r="AE138" s="120">
        <f t="shared" ca="1" si="662"/>
        <v>0</v>
      </c>
      <c r="AF138" s="120">
        <f t="shared" ca="1" si="662"/>
        <v>0</v>
      </c>
      <c r="AG138" s="120">
        <f t="shared" ca="1" si="662"/>
        <v>0</v>
      </c>
      <c r="AH138" s="120">
        <f t="shared" ca="1" si="662"/>
        <v>0</v>
      </c>
      <c r="AI138" s="120">
        <f t="shared" ca="1" si="662"/>
        <v>0</v>
      </c>
      <c r="AJ138" s="120">
        <f t="shared" ca="1" si="662"/>
        <v>0</v>
      </c>
      <c r="AK138" s="120">
        <f t="shared" ca="1" si="662"/>
        <v>0</v>
      </c>
      <c r="AL138" s="120">
        <f t="shared" ca="1" si="662"/>
        <v>0</v>
      </c>
      <c r="AM138" s="120">
        <f t="shared" ca="1" si="662"/>
        <v>1.1240000000000001</v>
      </c>
      <c r="AN138" s="120">
        <f t="shared" ca="1" si="662"/>
        <v>1.1240000000000001</v>
      </c>
      <c r="AO138" s="120">
        <f t="shared" ca="1" si="662"/>
        <v>1.1240000000000001</v>
      </c>
      <c r="AP138" s="120">
        <f t="shared" ca="1" si="662"/>
        <v>1.1240000000000001</v>
      </c>
      <c r="AQ138" s="120">
        <f t="shared" ca="1" si="662"/>
        <v>1.1240000000000001</v>
      </c>
      <c r="AR138" s="120">
        <f t="shared" ca="1" si="662"/>
        <v>1.1240000000000001</v>
      </c>
      <c r="AS138" s="120">
        <f t="shared" ca="1" si="662"/>
        <v>1.1240000000000001</v>
      </c>
      <c r="AT138" s="120">
        <f t="shared" ca="1" si="662"/>
        <v>1.1240000000000001</v>
      </c>
      <c r="AU138" s="120">
        <f t="shared" ca="1" si="662"/>
        <v>1.1240000000000001</v>
      </c>
      <c r="AV138" s="120">
        <f t="shared" ca="1" si="662"/>
        <v>1.1240000000000001</v>
      </c>
      <c r="AW138" s="120">
        <f t="shared" ca="1" si="662"/>
        <v>1.1240000000000001</v>
      </c>
      <c r="AX138" s="120">
        <f t="shared" ca="1" si="662"/>
        <v>1.1240000000000001</v>
      </c>
      <c r="AY138" s="120">
        <f t="shared" ca="1" si="662"/>
        <v>1.13524</v>
      </c>
      <c r="AZ138" s="120">
        <f t="shared" ca="1" si="662"/>
        <v>1.13524</v>
      </c>
      <c r="BA138" s="120">
        <f t="shared" ca="1" si="662"/>
        <v>1.13524</v>
      </c>
      <c r="BB138" s="120">
        <f t="shared" ca="1" si="662"/>
        <v>1.13524</v>
      </c>
      <c r="BC138" s="120">
        <f t="shared" ca="1" si="662"/>
        <v>1.13524</v>
      </c>
      <c r="BD138" s="120">
        <f t="shared" ca="1" si="662"/>
        <v>1.13524</v>
      </c>
      <c r="BE138" s="120">
        <f t="shared" ca="1" si="662"/>
        <v>1.13524</v>
      </c>
      <c r="BF138" s="120">
        <f t="shared" ca="1" si="662"/>
        <v>1.13524</v>
      </c>
      <c r="BG138" s="120">
        <f t="shared" ca="1" si="662"/>
        <v>1.13524</v>
      </c>
      <c r="BH138" s="120">
        <f t="shared" ca="1" si="662"/>
        <v>1.13524</v>
      </c>
      <c r="BI138" s="120">
        <f t="shared" ca="1" si="662"/>
        <v>1.13524</v>
      </c>
      <c r="BJ138" s="120">
        <f t="shared" ca="1" si="662"/>
        <v>1.13524</v>
      </c>
      <c r="BK138" s="120">
        <f t="shared" ca="1" si="662"/>
        <v>1.1465924000000001</v>
      </c>
      <c r="BL138" s="120">
        <f t="shared" ca="1" si="662"/>
        <v>1.1465924000000001</v>
      </c>
      <c r="BM138" s="120">
        <f t="shared" ca="1" si="662"/>
        <v>1.1465924000000001</v>
      </c>
      <c r="BN138" s="120">
        <f t="shared" ca="1" si="662"/>
        <v>1.1465924000000001</v>
      </c>
      <c r="BO138" s="120">
        <f t="shared" ca="1" si="662"/>
        <v>1.1465924000000001</v>
      </c>
      <c r="BP138" s="120">
        <f t="shared" ca="1" si="662"/>
        <v>1.1465924000000001</v>
      </c>
      <c r="BQ138" s="120">
        <f t="shared" ca="1" si="662"/>
        <v>0</v>
      </c>
      <c r="BR138" s="120">
        <f t="shared" ca="1" si="662"/>
        <v>0</v>
      </c>
      <c r="BS138" s="120">
        <f t="shared" ca="1" si="662"/>
        <v>0</v>
      </c>
      <c r="BT138" s="120">
        <f t="shared" ca="1" si="662"/>
        <v>0</v>
      </c>
      <c r="BU138" s="120">
        <f t="shared" ref="BU138:BY138" ca="1" si="663">BU95+BU128</f>
        <v>0</v>
      </c>
      <c r="BV138" s="120">
        <f t="shared" ca="1" si="663"/>
        <v>0</v>
      </c>
      <c r="BW138" s="120">
        <f t="shared" ca="1" si="663"/>
        <v>0</v>
      </c>
      <c r="BX138" s="120">
        <f t="shared" ca="1" si="663"/>
        <v>0</v>
      </c>
      <c r="BY138" s="120">
        <f t="shared" ca="1" si="663"/>
        <v>0</v>
      </c>
    </row>
    <row r="139" spans="2:77" ht="13.5" customHeight="1">
      <c r="D139" s="120" t="str">
        <f>CONCATENATE(B79," 보증금 현금흐름 합계")</f>
        <v>지상2층 보증금 현금흐름 합계</v>
      </c>
      <c r="E139" s="120"/>
      <c r="F139" s="120"/>
      <c r="G139" s="120"/>
      <c r="H139" s="120">
        <f ca="1">SUM(H99:H100,H132:H133)</f>
        <v>0</v>
      </c>
      <c r="I139" s="120">
        <f t="shared" ref="I139:BT139" ca="1" si="664">SUM(I99:I100,I132:I133)</f>
        <v>0</v>
      </c>
      <c r="J139" s="120">
        <f t="shared" ca="1" si="664"/>
        <v>0</v>
      </c>
      <c r="K139" s="120">
        <f t="shared" ca="1" si="664"/>
        <v>0</v>
      </c>
      <c r="L139" s="120">
        <f t="shared" ca="1" si="664"/>
        <v>0</v>
      </c>
      <c r="M139" s="120">
        <f t="shared" ca="1" si="664"/>
        <v>0</v>
      </c>
      <c r="N139" s="120">
        <f t="shared" ca="1" si="664"/>
        <v>0</v>
      </c>
      <c r="O139" s="120">
        <f t="shared" ca="1" si="664"/>
        <v>0</v>
      </c>
      <c r="P139" s="120">
        <f t="shared" ca="1" si="664"/>
        <v>0</v>
      </c>
      <c r="Q139" s="120">
        <f t="shared" ca="1" si="664"/>
        <v>0</v>
      </c>
      <c r="R139" s="120">
        <f t="shared" ca="1" si="664"/>
        <v>0</v>
      </c>
      <c r="S139" s="120">
        <f t="shared" ca="1" si="664"/>
        <v>0</v>
      </c>
      <c r="T139" s="120">
        <f t="shared" ca="1" si="664"/>
        <v>0</v>
      </c>
      <c r="U139" s="120">
        <f t="shared" ca="1" si="664"/>
        <v>0</v>
      </c>
      <c r="V139" s="120">
        <f t="shared" ca="1" si="664"/>
        <v>0</v>
      </c>
      <c r="W139" s="120">
        <f t="shared" ca="1" si="664"/>
        <v>0</v>
      </c>
      <c r="X139" s="120">
        <f t="shared" ca="1" si="664"/>
        <v>0</v>
      </c>
      <c r="Y139" s="120">
        <f t="shared" ca="1" si="664"/>
        <v>0</v>
      </c>
      <c r="Z139" s="120">
        <f t="shared" ca="1" si="664"/>
        <v>0</v>
      </c>
      <c r="AA139" s="120">
        <f t="shared" ca="1" si="664"/>
        <v>0</v>
      </c>
      <c r="AB139" s="120">
        <f t="shared" ca="1" si="664"/>
        <v>0</v>
      </c>
      <c r="AC139" s="120">
        <f t="shared" ca="1" si="664"/>
        <v>0</v>
      </c>
      <c r="AD139" s="120">
        <f t="shared" ca="1" si="664"/>
        <v>0</v>
      </c>
      <c r="AE139" s="120">
        <f t="shared" ca="1" si="664"/>
        <v>0</v>
      </c>
      <c r="AF139" s="120">
        <f t="shared" ca="1" si="664"/>
        <v>0</v>
      </c>
      <c r="AG139" s="120">
        <f t="shared" ca="1" si="664"/>
        <v>0</v>
      </c>
      <c r="AH139" s="120">
        <f t="shared" ca="1" si="664"/>
        <v>0</v>
      </c>
      <c r="AI139" s="120">
        <f t="shared" ca="1" si="664"/>
        <v>0</v>
      </c>
      <c r="AJ139" s="120">
        <f t="shared" ca="1" si="664"/>
        <v>0</v>
      </c>
      <c r="AK139" s="120">
        <f t="shared" ca="1" si="664"/>
        <v>-40.463999999999999</v>
      </c>
      <c r="AL139" s="120">
        <f t="shared" ca="1" si="664"/>
        <v>0</v>
      </c>
      <c r="AM139" s="120">
        <f t="shared" ca="1" si="664"/>
        <v>40.463999999999999</v>
      </c>
      <c r="AN139" s="120">
        <f t="shared" ca="1" si="664"/>
        <v>0</v>
      </c>
      <c r="AO139" s="120">
        <f t="shared" ca="1" si="664"/>
        <v>0</v>
      </c>
      <c r="AP139" s="120">
        <f t="shared" ca="1" si="664"/>
        <v>0</v>
      </c>
      <c r="AQ139" s="120">
        <f t="shared" ca="1" si="664"/>
        <v>0</v>
      </c>
      <c r="AR139" s="120">
        <f t="shared" ca="1" si="664"/>
        <v>0</v>
      </c>
      <c r="AS139" s="120">
        <f t="shared" ca="1" si="664"/>
        <v>0</v>
      </c>
      <c r="AT139" s="120">
        <f t="shared" ca="1" si="664"/>
        <v>0</v>
      </c>
      <c r="AU139" s="120">
        <f t="shared" ca="1" si="664"/>
        <v>0</v>
      </c>
      <c r="AV139" s="120">
        <f t="shared" ca="1" si="664"/>
        <v>0</v>
      </c>
      <c r="AW139" s="120">
        <f t="shared" ca="1" si="664"/>
        <v>0</v>
      </c>
      <c r="AX139" s="120">
        <f t="shared" ca="1" si="664"/>
        <v>0</v>
      </c>
      <c r="AY139" s="120">
        <f t="shared" ca="1" si="664"/>
        <v>0</v>
      </c>
      <c r="AZ139" s="120">
        <f t="shared" ca="1" si="664"/>
        <v>0</v>
      </c>
      <c r="BA139" s="120">
        <f t="shared" ca="1" si="664"/>
        <v>0</v>
      </c>
      <c r="BB139" s="120">
        <f t="shared" ca="1" si="664"/>
        <v>0</v>
      </c>
      <c r="BC139" s="120">
        <f t="shared" ca="1" si="664"/>
        <v>0</v>
      </c>
      <c r="BD139" s="120">
        <f t="shared" ca="1" si="664"/>
        <v>0</v>
      </c>
      <c r="BE139" s="120">
        <f t="shared" ca="1" si="664"/>
        <v>0</v>
      </c>
      <c r="BF139" s="120">
        <f t="shared" ca="1" si="664"/>
        <v>0</v>
      </c>
      <c r="BG139" s="120">
        <f t="shared" ca="1" si="664"/>
        <v>0</v>
      </c>
      <c r="BH139" s="120">
        <f t="shared" ca="1" si="664"/>
        <v>0</v>
      </c>
      <c r="BI139" s="120">
        <f t="shared" ca="1" si="664"/>
        <v>0</v>
      </c>
      <c r="BJ139" s="120">
        <f t="shared" ca="1" si="664"/>
        <v>0</v>
      </c>
      <c r="BK139" s="120">
        <f t="shared" ca="1" si="664"/>
        <v>0</v>
      </c>
      <c r="BL139" s="120">
        <f t="shared" ca="1" si="664"/>
        <v>0</v>
      </c>
      <c r="BM139" s="120">
        <f t="shared" ca="1" si="664"/>
        <v>0</v>
      </c>
      <c r="BN139" s="120">
        <f t="shared" ca="1" si="664"/>
        <v>0</v>
      </c>
      <c r="BO139" s="120">
        <f t="shared" ca="1" si="664"/>
        <v>0</v>
      </c>
      <c r="BP139" s="120">
        <f t="shared" ca="1" si="664"/>
        <v>-40.463999999999999</v>
      </c>
      <c r="BQ139" s="120">
        <f t="shared" ca="1" si="664"/>
        <v>0</v>
      </c>
      <c r="BR139" s="120">
        <f t="shared" ca="1" si="664"/>
        <v>0</v>
      </c>
      <c r="BS139" s="120">
        <f t="shared" ca="1" si="664"/>
        <v>0</v>
      </c>
      <c r="BT139" s="120">
        <f t="shared" ca="1" si="664"/>
        <v>0</v>
      </c>
      <c r="BU139" s="120">
        <f t="shared" ref="BU139:BY139" ca="1" si="665">SUM(BU99:BU100,BU132:BU133)</f>
        <v>0</v>
      </c>
      <c r="BV139" s="120">
        <f t="shared" ca="1" si="665"/>
        <v>0</v>
      </c>
      <c r="BW139" s="120">
        <f t="shared" ca="1" si="665"/>
        <v>0</v>
      </c>
      <c r="BX139" s="120">
        <f t="shared" ca="1" si="665"/>
        <v>0</v>
      </c>
      <c r="BY139" s="120">
        <f t="shared" ca="1" si="665"/>
        <v>0</v>
      </c>
    </row>
    <row r="141" spans="2:77" ht="13.5" customHeight="1">
      <c r="B141" s="13" t="str">
        <f>'A&amp;R'!C38</f>
        <v>지상1층</v>
      </c>
    </row>
    <row r="142" spans="2:77" ht="13.5" customHeight="1">
      <c r="C142" s="13" t="s">
        <v>155</v>
      </c>
    </row>
    <row r="143" spans="2:77" s="11" customFormat="1" ht="13.5" customHeight="1">
      <c r="F143" s="11" t="s">
        <v>160</v>
      </c>
      <c r="H143" s="11">
        <f>(H$14&lt;=$F144)*1</f>
        <v>1</v>
      </c>
      <c r="I143" s="11">
        <f t="shared" ref="I143:BT143" si="666">(I$14&lt;=$F144)*1</f>
        <v>1</v>
      </c>
      <c r="J143" s="11">
        <f t="shared" si="666"/>
        <v>1</v>
      </c>
      <c r="K143" s="11">
        <f t="shared" si="666"/>
        <v>1</v>
      </c>
      <c r="L143" s="11">
        <f t="shared" si="666"/>
        <v>1</v>
      </c>
      <c r="M143" s="11">
        <f t="shared" si="666"/>
        <v>1</v>
      </c>
      <c r="N143" s="11">
        <f t="shared" si="666"/>
        <v>1</v>
      </c>
      <c r="O143" s="11">
        <f t="shared" si="666"/>
        <v>1</v>
      </c>
      <c r="P143" s="11">
        <f t="shared" si="666"/>
        <v>1</v>
      </c>
      <c r="Q143" s="11">
        <f t="shared" si="666"/>
        <v>1</v>
      </c>
      <c r="R143" s="11">
        <f t="shared" si="666"/>
        <v>1</v>
      </c>
      <c r="S143" s="11">
        <f t="shared" si="666"/>
        <v>1</v>
      </c>
      <c r="T143" s="11">
        <f t="shared" si="666"/>
        <v>1</v>
      </c>
      <c r="U143" s="11">
        <f t="shared" si="666"/>
        <v>1</v>
      </c>
      <c r="V143" s="11">
        <f t="shared" si="666"/>
        <v>1</v>
      </c>
      <c r="W143" s="11">
        <f t="shared" si="666"/>
        <v>1</v>
      </c>
      <c r="X143" s="11">
        <f t="shared" si="666"/>
        <v>1</v>
      </c>
      <c r="Y143" s="11">
        <f t="shared" si="666"/>
        <v>1</v>
      </c>
      <c r="Z143" s="11">
        <f t="shared" si="666"/>
        <v>1</v>
      </c>
      <c r="AA143" s="11">
        <f t="shared" si="666"/>
        <v>1</v>
      </c>
      <c r="AB143" s="11">
        <f t="shared" si="666"/>
        <v>1</v>
      </c>
      <c r="AC143" s="11">
        <f t="shared" si="666"/>
        <v>1</v>
      </c>
      <c r="AD143" s="11">
        <f t="shared" si="666"/>
        <v>1</v>
      </c>
      <c r="AE143" s="11">
        <f t="shared" si="666"/>
        <v>1</v>
      </c>
      <c r="AF143" s="11">
        <f t="shared" si="666"/>
        <v>1</v>
      </c>
      <c r="AG143" s="11">
        <f t="shared" si="666"/>
        <v>1</v>
      </c>
      <c r="AH143" s="11">
        <f t="shared" si="666"/>
        <v>1</v>
      </c>
      <c r="AI143" s="11">
        <f t="shared" si="666"/>
        <v>1</v>
      </c>
      <c r="AJ143" s="11">
        <f t="shared" si="666"/>
        <v>1</v>
      </c>
      <c r="AK143" s="11">
        <f t="shared" si="666"/>
        <v>1</v>
      </c>
      <c r="AL143" s="11">
        <f t="shared" si="666"/>
        <v>0</v>
      </c>
      <c r="AM143" s="11">
        <f t="shared" si="666"/>
        <v>0</v>
      </c>
      <c r="AN143" s="11">
        <f t="shared" si="666"/>
        <v>0</v>
      </c>
      <c r="AO143" s="11">
        <f t="shared" si="666"/>
        <v>0</v>
      </c>
      <c r="AP143" s="11">
        <f t="shared" si="666"/>
        <v>0</v>
      </c>
      <c r="AQ143" s="11">
        <f t="shared" si="666"/>
        <v>0</v>
      </c>
      <c r="AR143" s="11">
        <f t="shared" si="666"/>
        <v>0</v>
      </c>
      <c r="AS143" s="11">
        <f t="shared" si="666"/>
        <v>0</v>
      </c>
      <c r="AT143" s="11">
        <f t="shared" si="666"/>
        <v>0</v>
      </c>
      <c r="AU143" s="11">
        <f t="shared" si="666"/>
        <v>0</v>
      </c>
      <c r="AV143" s="11">
        <f t="shared" si="666"/>
        <v>0</v>
      </c>
      <c r="AW143" s="11">
        <f t="shared" si="666"/>
        <v>0</v>
      </c>
      <c r="AX143" s="11">
        <f t="shared" si="666"/>
        <v>0</v>
      </c>
      <c r="AY143" s="11">
        <f t="shared" si="666"/>
        <v>0</v>
      </c>
      <c r="AZ143" s="11">
        <f t="shared" si="666"/>
        <v>0</v>
      </c>
      <c r="BA143" s="11">
        <f t="shared" si="666"/>
        <v>0</v>
      </c>
      <c r="BB143" s="11">
        <f t="shared" si="666"/>
        <v>0</v>
      </c>
      <c r="BC143" s="11">
        <f t="shared" si="666"/>
        <v>0</v>
      </c>
      <c r="BD143" s="11">
        <f t="shared" si="666"/>
        <v>0</v>
      </c>
      <c r="BE143" s="11">
        <f t="shared" si="666"/>
        <v>0</v>
      </c>
      <c r="BF143" s="11">
        <f t="shared" si="666"/>
        <v>0</v>
      </c>
      <c r="BG143" s="11">
        <f t="shared" si="666"/>
        <v>0</v>
      </c>
      <c r="BH143" s="11">
        <f t="shared" si="666"/>
        <v>0</v>
      </c>
      <c r="BI143" s="11">
        <f t="shared" si="666"/>
        <v>0</v>
      </c>
      <c r="BJ143" s="11">
        <f t="shared" si="666"/>
        <v>0</v>
      </c>
      <c r="BK143" s="11">
        <f t="shared" si="666"/>
        <v>0</v>
      </c>
      <c r="BL143" s="11">
        <f t="shared" si="666"/>
        <v>0</v>
      </c>
      <c r="BM143" s="11">
        <f t="shared" si="666"/>
        <v>0</v>
      </c>
      <c r="BN143" s="11">
        <f t="shared" si="666"/>
        <v>0</v>
      </c>
      <c r="BO143" s="11">
        <f t="shared" si="666"/>
        <v>0</v>
      </c>
      <c r="BP143" s="11">
        <f t="shared" si="666"/>
        <v>0</v>
      </c>
      <c r="BQ143" s="11">
        <f t="shared" si="666"/>
        <v>0</v>
      </c>
      <c r="BR143" s="11">
        <f t="shared" si="666"/>
        <v>0</v>
      </c>
      <c r="BS143" s="11">
        <f t="shared" si="666"/>
        <v>0</v>
      </c>
      <c r="BT143" s="11">
        <f t="shared" si="666"/>
        <v>0</v>
      </c>
      <c r="BU143" s="11">
        <f t="shared" ref="BU143:BY143" si="667">(BU$14&lt;=$F144)*1</f>
        <v>0</v>
      </c>
      <c r="BV143" s="11">
        <f t="shared" si="667"/>
        <v>0</v>
      </c>
      <c r="BW143" s="11">
        <f t="shared" si="667"/>
        <v>0</v>
      </c>
      <c r="BX143" s="11">
        <f t="shared" si="667"/>
        <v>0</v>
      </c>
      <c r="BY143" s="11">
        <f t="shared" si="667"/>
        <v>0</v>
      </c>
    </row>
    <row r="144" spans="2:77" ht="13.5" customHeight="1">
      <c r="E144" s="95" t="s">
        <v>156</v>
      </c>
      <c r="F144" s="100">
        <f>VLOOKUP(B141,'A&amp;R'!$C$36:$N$40,6,0)</f>
        <v>45169</v>
      </c>
    </row>
    <row r="145" spans="4:77" ht="13.5" customHeight="1">
      <c r="E145" s="96" t="s">
        <v>157</v>
      </c>
      <c r="F145" s="97">
        <f>VLOOKUP(B141,'A&amp;R'!$C$36:$N$40,8,0)</f>
        <v>24000</v>
      </c>
    </row>
    <row r="146" spans="4:77" ht="13.5" customHeight="1">
      <c r="E146" s="96" t="s">
        <v>158</v>
      </c>
      <c r="F146" s="97">
        <f>VLOOKUP(B141,'A&amp;R'!$C$36:$N$40,12,0)</f>
        <v>1</v>
      </c>
    </row>
    <row r="147" spans="4:77" ht="13.5" customHeight="1">
      <c r="E147" s="96" t="s">
        <v>72</v>
      </c>
      <c r="F147" s="97">
        <f>VLOOKUP(B141,'A&amp;R'!$C$36:$N$40,4,0)</f>
        <v>2807</v>
      </c>
    </row>
    <row r="148" spans="4:77" ht="13.5" customHeight="1">
      <c r="E148" s="96" t="s">
        <v>159</v>
      </c>
      <c r="F148" s="97">
        <f>VLOOKUP(B141,'A&amp;R'!$C$36:$N$40,10,0)</f>
        <v>2000</v>
      </c>
    </row>
    <row r="149" spans="4:77" ht="13.5" customHeight="1">
      <c r="E149" s="98" t="s">
        <v>76</v>
      </c>
      <c r="F149" s="99">
        <f>VLOOKUP(B141,'A&amp;R'!$C$36:$N$40,7,0)</f>
        <v>404.20800000000003</v>
      </c>
    </row>
    <row r="150" spans="4:77" ht="13.5" customHeight="1">
      <c r="D150" s="1" t="s">
        <v>161</v>
      </c>
    </row>
    <row r="151" spans="4:77" ht="13.5" customHeight="1">
      <c r="E151" s="30" t="s">
        <v>162</v>
      </c>
      <c r="F151" s="41"/>
      <c r="G151" s="41"/>
      <c r="H151" s="41">
        <f>$F145*H143</f>
        <v>24000</v>
      </c>
      <c r="I151" s="41">
        <f t="shared" ref="I151:BT151" si="668">$F145*I143</f>
        <v>24000</v>
      </c>
      <c r="J151" s="41">
        <f t="shared" si="668"/>
        <v>24000</v>
      </c>
      <c r="K151" s="41">
        <f t="shared" si="668"/>
        <v>24000</v>
      </c>
      <c r="L151" s="41">
        <f t="shared" si="668"/>
        <v>24000</v>
      </c>
      <c r="M151" s="41">
        <f t="shared" si="668"/>
        <v>24000</v>
      </c>
      <c r="N151" s="41">
        <f t="shared" si="668"/>
        <v>24000</v>
      </c>
      <c r="O151" s="41">
        <f t="shared" si="668"/>
        <v>24000</v>
      </c>
      <c r="P151" s="41">
        <f t="shared" si="668"/>
        <v>24000</v>
      </c>
      <c r="Q151" s="41">
        <f t="shared" si="668"/>
        <v>24000</v>
      </c>
      <c r="R151" s="41">
        <f t="shared" si="668"/>
        <v>24000</v>
      </c>
      <c r="S151" s="41">
        <f t="shared" si="668"/>
        <v>24000</v>
      </c>
      <c r="T151" s="41">
        <f t="shared" si="668"/>
        <v>24000</v>
      </c>
      <c r="U151" s="41">
        <f t="shared" si="668"/>
        <v>24000</v>
      </c>
      <c r="V151" s="41">
        <f t="shared" si="668"/>
        <v>24000</v>
      </c>
      <c r="W151" s="41">
        <f t="shared" si="668"/>
        <v>24000</v>
      </c>
      <c r="X151" s="41">
        <f t="shared" si="668"/>
        <v>24000</v>
      </c>
      <c r="Y151" s="41">
        <f t="shared" si="668"/>
        <v>24000</v>
      </c>
      <c r="Z151" s="41">
        <f t="shared" si="668"/>
        <v>24000</v>
      </c>
      <c r="AA151" s="41">
        <f t="shared" si="668"/>
        <v>24000</v>
      </c>
      <c r="AB151" s="41">
        <f t="shared" si="668"/>
        <v>24000</v>
      </c>
      <c r="AC151" s="41">
        <f t="shared" si="668"/>
        <v>24000</v>
      </c>
      <c r="AD151" s="41">
        <f t="shared" si="668"/>
        <v>24000</v>
      </c>
      <c r="AE151" s="41">
        <f t="shared" si="668"/>
        <v>24000</v>
      </c>
      <c r="AF151" s="41">
        <f t="shared" si="668"/>
        <v>24000</v>
      </c>
      <c r="AG151" s="41">
        <f t="shared" si="668"/>
        <v>24000</v>
      </c>
      <c r="AH151" s="41">
        <f t="shared" si="668"/>
        <v>24000</v>
      </c>
      <c r="AI151" s="41">
        <f t="shared" si="668"/>
        <v>24000</v>
      </c>
      <c r="AJ151" s="41">
        <f t="shared" si="668"/>
        <v>24000</v>
      </c>
      <c r="AK151" s="41">
        <f t="shared" si="668"/>
        <v>24000</v>
      </c>
      <c r="AL151" s="41">
        <f t="shared" si="668"/>
        <v>0</v>
      </c>
      <c r="AM151" s="41">
        <f t="shared" si="668"/>
        <v>0</v>
      </c>
      <c r="AN151" s="41">
        <f t="shared" si="668"/>
        <v>0</v>
      </c>
      <c r="AO151" s="41">
        <f t="shared" si="668"/>
        <v>0</v>
      </c>
      <c r="AP151" s="41">
        <f t="shared" si="668"/>
        <v>0</v>
      </c>
      <c r="AQ151" s="41">
        <f t="shared" si="668"/>
        <v>0</v>
      </c>
      <c r="AR151" s="41">
        <f t="shared" si="668"/>
        <v>0</v>
      </c>
      <c r="AS151" s="41">
        <f t="shared" si="668"/>
        <v>0</v>
      </c>
      <c r="AT151" s="41">
        <f t="shared" si="668"/>
        <v>0</v>
      </c>
      <c r="AU151" s="41">
        <f t="shared" si="668"/>
        <v>0</v>
      </c>
      <c r="AV151" s="41">
        <f t="shared" si="668"/>
        <v>0</v>
      </c>
      <c r="AW151" s="41">
        <f t="shared" si="668"/>
        <v>0</v>
      </c>
      <c r="AX151" s="41">
        <f t="shared" si="668"/>
        <v>0</v>
      </c>
      <c r="AY151" s="41">
        <f t="shared" si="668"/>
        <v>0</v>
      </c>
      <c r="AZ151" s="41">
        <f t="shared" si="668"/>
        <v>0</v>
      </c>
      <c r="BA151" s="41">
        <f t="shared" si="668"/>
        <v>0</v>
      </c>
      <c r="BB151" s="41">
        <f t="shared" si="668"/>
        <v>0</v>
      </c>
      <c r="BC151" s="41">
        <f t="shared" si="668"/>
        <v>0</v>
      </c>
      <c r="BD151" s="41">
        <f t="shared" si="668"/>
        <v>0</v>
      </c>
      <c r="BE151" s="41">
        <f t="shared" si="668"/>
        <v>0</v>
      </c>
      <c r="BF151" s="41">
        <f t="shared" si="668"/>
        <v>0</v>
      </c>
      <c r="BG151" s="41">
        <f t="shared" si="668"/>
        <v>0</v>
      </c>
      <c r="BH151" s="41">
        <f t="shared" si="668"/>
        <v>0</v>
      </c>
      <c r="BI151" s="41">
        <f t="shared" si="668"/>
        <v>0</v>
      </c>
      <c r="BJ151" s="41">
        <f t="shared" si="668"/>
        <v>0</v>
      </c>
      <c r="BK151" s="41">
        <f t="shared" si="668"/>
        <v>0</v>
      </c>
      <c r="BL151" s="41">
        <f t="shared" si="668"/>
        <v>0</v>
      </c>
      <c r="BM151" s="41">
        <f t="shared" si="668"/>
        <v>0</v>
      </c>
      <c r="BN151" s="41">
        <f t="shared" si="668"/>
        <v>0</v>
      </c>
      <c r="BO151" s="41">
        <f t="shared" si="668"/>
        <v>0</v>
      </c>
      <c r="BP151" s="41">
        <f t="shared" si="668"/>
        <v>0</v>
      </c>
      <c r="BQ151" s="41">
        <f t="shared" si="668"/>
        <v>0</v>
      </c>
      <c r="BR151" s="41">
        <f t="shared" si="668"/>
        <v>0</v>
      </c>
      <c r="BS151" s="41">
        <f t="shared" si="668"/>
        <v>0</v>
      </c>
      <c r="BT151" s="41">
        <f t="shared" si="668"/>
        <v>0</v>
      </c>
      <c r="BU151" s="41">
        <f t="shared" ref="BU151:BY151" si="669">$F145*BU143</f>
        <v>0</v>
      </c>
      <c r="BV151" s="41">
        <f t="shared" si="669"/>
        <v>0</v>
      </c>
      <c r="BW151" s="41">
        <f t="shared" si="669"/>
        <v>0</v>
      </c>
      <c r="BX151" s="41">
        <f t="shared" si="669"/>
        <v>0</v>
      </c>
      <c r="BY151" s="28">
        <f t="shared" si="669"/>
        <v>0</v>
      </c>
    </row>
    <row r="152" spans="4:77" ht="13.5" customHeight="1">
      <c r="E152" s="36" t="s">
        <v>163</v>
      </c>
      <c r="F152" s="42"/>
      <c r="G152" s="42"/>
      <c r="H152" s="42">
        <f>H151*((12-$F146)/12)</f>
        <v>22000</v>
      </c>
      <c r="I152" s="42">
        <f t="shared" ref="I152:BT152" si="670">I151*((12-$F146)/12)</f>
        <v>22000</v>
      </c>
      <c r="J152" s="42">
        <f t="shared" si="670"/>
        <v>22000</v>
      </c>
      <c r="K152" s="42">
        <f t="shared" si="670"/>
        <v>22000</v>
      </c>
      <c r="L152" s="42">
        <f t="shared" si="670"/>
        <v>22000</v>
      </c>
      <c r="M152" s="42">
        <f t="shared" si="670"/>
        <v>22000</v>
      </c>
      <c r="N152" s="42">
        <f t="shared" si="670"/>
        <v>22000</v>
      </c>
      <c r="O152" s="42">
        <f t="shared" si="670"/>
        <v>22000</v>
      </c>
      <c r="P152" s="42">
        <f t="shared" si="670"/>
        <v>22000</v>
      </c>
      <c r="Q152" s="42">
        <f t="shared" si="670"/>
        <v>22000</v>
      </c>
      <c r="R152" s="42">
        <f t="shared" si="670"/>
        <v>22000</v>
      </c>
      <c r="S152" s="42">
        <f t="shared" si="670"/>
        <v>22000</v>
      </c>
      <c r="T152" s="42">
        <f t="shared" si="670"/>
        <v>22000</v>
      </c>
      <c r="U152" s="42">
        <f t="shared" si="670"/>
        <v>22000</v>
      </c>
      <c r="V152" s="42">
        <f t="shared" si="670"/>
        <v>22000</v>
      </c>
      <c r="W152" s="42">
        <f t="shared" si="670"/>
        <v>22000</v>
      </c>
      <c r="X152" s="42">
        <f t="shared" si="670"/>
        <v>22000</v>
      </c>
      <c r="Y152" s="42">
        <f t="shared" si="670"/>
        <v>22000</v>
      </c>
      <c r="Z152" s="42">
        <f t="shared" si="670"/>
        <v>22000</v>
      </c>
      <c r="AA152" s="42">
        <f t="shared" si="670"/>
        <v>22000</v>
      </c>
      <c r="AB152" s="42">
        <f t="shared" si="670"/>
        <v>22000</v>
      </c>
      <c r="AC152" s="42">
        <f t="shared" si="670"/>
        <v>22000</v>
      </c>
      <c r="AD152" s="42">
        <f t="shared" si="670"/>
        <v>22000</v>
      </c>
      <c r="AE152" s="42">
        <f t="shared" si="670"/>
        <v>22000</v>
      </c>
      <c r="AF152" s="42">
        <f t="shared" si="670"/>
        <v>22000</v>
      </c>
      <c r="AG152" s="42">
        <f t="shared" si="670"/>
        <v>22000</v>
      </c>
      <c r="AH152" s="42">
        <f t="shared" si="670"/>
        <v>22000</v>
      </c>
      <c r="AI152" s="42">
        <f t="shared" si="670"/>
        <v>22000</v>
      </c>
      <c r="AJ152" s="42">
        <f t="shared" si="670"/>
        <v>22000</v>
      </c>
      <c r="AK152" s="42">
        <f t="shared" si="670"/>
        <v>22000</v>
      </c>
      <c r="AL152" s="42">
        <f t="shared" si="670"/>
        <v>0</v>
      </c>
      <c r="AM152" s="42">
        <f t="shared" si="670"/>
        <v>0</v>
      </c>
      <c r="AN152" s="42">
        <f t="shared" si="670"/>
        <v>0</v>
      </c>
      <c r="AO152" s="42">
        <f t="shared" si="670"/>
        <v>0</v>
      </c>
      <c r="AP152" s="42">
        <f t="shared" si="670"/>
        <v>0</v>
      </c>
      <c r="AQ152" s="42">
        <f t="shared" si="670"/>
        <v>0</v>
      </c>
      <c r="AR152" s="42">
        <f t="shared" si="670"/>
        <v>0</v>
      </c>
      <c r="AS152" s="42">
        <f t="shared" si="670"/>
        <v>0</v>
      </c>
      <c r="AT152" s="42">
        <f t="shared" si="670"/>
        <v>0</v>
      </c>
      <c r="AU152" s="42">
        <f t="shared" si="670"/>
        <v>0</v>
      </c>
      <c r="AV152" s="42">
        <f t="shared" si="670"/>
        <v>0</v>
      </c>
      <c r="AW152" s="42">
        <f t="shared" si="670"/>
        <v>0</v>
      </c>
      <c r="AX152" s="42">
        <f t="shared" si="670"/>
        <v>0</v>
      </c>
      <c r="AY152" s="42">
        <f t="shared" si="670"/>
        <v>0</v>
      </c>
      <c r="AZ152" s="42">
        <f t="shared" si="670"/>
        <v>0</v>
      </c>
      <c r="BA152" s="42">
        <f t="shared" si="670"/>
        <v>0</v>
      </c>
      <c r="BB152" s="42">
        <f t="shared" si="670"/>
        <v>0</v>
      </c>
      <c r="BC152" s="42">
        <f t="shared" si="670"/>
        <v>0</v>
      </c>
      <c r="BD152" s="42">
        <f t="shared" si="670"/>
        <v>0</v>
      </c>
      <c r="BE152" s="42">
        <f t="shared" si="670"/>
        <v>0</v>
      </c>
      <c r="BF152" s="42">
        <f t="shared" si="670"/>
        <v>0</v>
      </c>
      <c r="BG152" s="42">
        <f t="shared" si="670"/>
        <v>0</v>
      </c>
      <c r="BH152" s="42">
        <f t="shared" si="670"/>
        <v>0</v>
      </c>
      <c r="BI152" s="42">
        <f t="shared" si="670"/>
        <v>0</v>
      </c>
      <c r="BJ152" s="42">
        <f t="shared" si="670"/>
        <v>0</v>
      </c>
      <c r="BK152" s="42">
        <f t="shared" si="670"/>
        <v>0</v>
      </c>
      <c r="BL152" s="42">
        <f t="shared" si="670"/>
        <v>0</v>
      </c>
      <c r="BM152" s="42">
        <f t="shared" si="670"/>
        <v>0</v>
      </c>
      <c r="BN152" s="42">
        <f t="shared" si="670"/>
        <v>0</v>
      </c>
      <c r="BO152" s="42">
        <f t="shared" si="670"/>
        <v>0</v>
      </c>
      <c r="BP152" s="42">
        <f t="shared" si="670"/>
        <v>0</v>
      </c>
      <c r="BQ152" s="42">
        <f t="shared" si="670"/>
        <v>0</v>
      </c>
      <c r="BR152" s="42">
        <f t="shared" si="670"/>
        <v>0</v>
      </c>
      <c r="BS152" s="42">
        <f t="shared" si="670"/>
        <v>0</v>
      </c>
      <c r="BT152" s="42">
        <f t="shared" si="670"/>
        <v>0</v>
      </c>
      <c r="BU152" s="42">
        <f t="shared" ref="BU152:BY152" si="671">BU151*((12-$F146)/12)</f>
        <v>0</v>
      </c>
      <c r="BV152" s="42">
        <f t="shared" si="671"/>
        <v>0</v>
      </c>
      <c r="BW152" s="42">
        <f t="shared" si="671"/>
        <v>0</v>
      </c>
      <c r="BX152" s="42">
        <f t="shared" si="671"/>
        <v>0</v>
      </c>
      <c r="BY152" s="34">
        <f t="shared" si="671"/>
        <v>0</v>
      </c>
    </row>
    <row r="153" spans="4:77" ht="13.5" customHeight="1">
      <c r="D153" s="101" t="s">
        <v>164</v>
      </c>
      <c r="E153" s="101"/>
      <c r="F153" s="101"/>
      <c r="G153" s="101"/>
      <c r="H153" s="101">
        <f t="shared" ref="H153" si="672">H152*$F147/unit</f>
        <v>61.753999999999998</v>
      </c>
      <c r="I153" s="101">
        <f t="shared" ref="I153" si="673">I152*$F147/unit</f>
        <v>61.753999999999998</v>
      </c>
      <c r="J153" s="101">
        <f t="shared" ref="J153" si="674">J152*$F147/unit</f>
        <v>61.753999999999998</v>
      </c>
      <c r="K153" s="101">
        <f t="shared" ref="K153" si="675">K152*$F147/unit</f>
        <v>61.753999999999998</v>
      </c>
      <c r="L153" s="101">
        <f t="shared" ref="L153" si="676">L152*$F147/unit</f>
        <v>61.753999999999998</v>
      </c>
      <c r="M153" s="101">
        <f t="shared" ref="M153" si="677">M152*$F147/unit</f>
        <v>61.753999999999998</v>
      </c>
      <c r="N153" s="101">
        <f t="shared" ref="N153" si="678">N152*$F147/unit</f>
        <v>61.753999999999998</v>
      </c>
      <c r="O153" s="101">
        <f t="shared" ref="O153" si="679">O152*$F147/unit</f>
        <v>61.753999999999998</v>
      </c>
      <c r="P153" s="101">
        <f t="shared" ref="P153" si="680">P152*$F147/unit</f>
        <v>61.753999999999998</v>
      </c>
      <c r="Q153" s="101">
        <f t="shared" ref="Q153" si="681">Q152*$F147/unit</f>
        <v>61.753999999999998</v>
      </c>
      <c r="R153" s="101">
        <f t="shared" ref="R153" si="682">R152*$F147/unit</f>
        <v>61.753999999999998</v>
      </c>
      <c r="S153" s="101">
        <f t="shared" ref="S153" si="683">S152*$F147/unit</f>
        <v>61.753999999999998</v>
      </c>
      <c r="T153" s="101">
        <f t="shared" ref="T153" si="684">T152*$F147/unit</f>
        <v>61.753999999999998</v>
      </c>
      <c r="U153" s="101">
        <f t="shared" ref="U153" si="685">U152*$F147/unit</f>
        <v>61.753999999999998</v>
      </c>
      <c r="V153" s="101">
        <f t="shared" ref="V153" si="686">V152*$F147/unit</f>
        <v>61.753999999999998</v>
      </c>
      <c r="W153" s="101">
        <f t="shared" ref="W153" si="687">W152*$F147/unit</f>
        <v>61.753999999999998</v>
      </c>
      <c r="X153" s="101">
        <f t="shared" ref="X153" si="688">X152*$F147/unit</f>
        <v>61.753999999999998</v>
      </c>
      <c r="Y153" s="101">
        <f t="shared" ref="Y153" si="689">Y152*$F147/unit</f>
        <v>61.753999999999998</v>
      </c>
      <c r="Z153" s="101">
        <f t="shared" ref="Z153" si="690">Z152*$F147/unit</f>
        <v>61.753999999999998</v>
      </c>
      <c r="AA153" s="101">
        <f t="shared" ref="AA153" si="691">AA152*$F147/unit</f>
        <v>61.753999999999998</v>
      </c>
      <c r="AB153" s="101">
        <f t="shared" ref="AB153" si="692">AB152*$F147/unit</f>
        <v>61.753999999999998</v>
      </c>
      <c r="AC153" s="101">
        <f t="shared" ref="AC153" si="693">AC152*$F147/unit</f>
        <v>61.753999999999998</v>
      </c>
      <c r="AD153" s="101">
        <f t="shared" ref="AD153" si="694">AD152*$F147/unit</f>
        <v>61.753999999999998</v>
      </c>
      <c r="AE153" s="101">
        <f t="shared" ref="AE153" si="695">AE152*$F147/unit</f>
        <v>61.753999999999998</v>
      </c>
      <c r="AF153" s="101">
        <f t="shared" ref="AF153" si="696">AF152*$F147/unit</f>
        <v>61.753999999999998</v>
      </c>
      <c r="AG153" s="101">
        <f t="shared" ref="AG153" si="697">AG152*$F147/unit</f>
        <v>61.753999999999998</v>
      </c>
      <c r="AH153" s="101">
        <f t="shared" ref="AH153" si="698">AH152*$F147/unit</f>
        <v>61.753999999999998</v>
      </c>
      <c r="AI153" s="101">
        <f t="shared" ref="AI153" si="699">AI152*$F147/unit</f>
        <v>61.753999999999998</v>
      </c>
      <c r="AJ153" s="101">
        <f t="shared" ref="AJ153" si="700">AJ152*$F147/unit</f>
        <v>61.753999999999998</v>
      </c>
      <c r="AK153" s="101">
        <f t="shared" ref="AK153" si="701">AK152*$F147/unit</f>
        <v>61.753999999999998</v>
      </c>
      <c r="AL153" s="101">
        <f t="shared" ref="AL153" si="702">AL152*$F147/unit</f>
        <v>0</v>
      </c>
      <c r="AM153" s="101">
        <f t="shared" ref="AM153" si="703">AM152*$F147/unit</f>
        <v>0</v>
      </c>
      <c r="AN153" s="101">
        <f t="shared" ref="AN153" si="704">AN152*$F147/unit</f>
        <v>0</v>
      </c>
      <c r="AO153" s="101">
        <f t="shared" ref="AO153" si="705">AO152*$F147/unit</f>
        <v>0</v>
      </c>
      <c r="AP153" s="101">
        <f t="shared" ref="AP153" si="706">AP152*$F147/unit</f>
        <v>0</v>
      </c>
      <c r="AQ153" s="101">
        <f t="shared" ref="AQ153" si="707">AQ152*$F147/unit</f>
        <v>0</v>
      </c>
      <c r="AR153" s="101">
        <f t="shared" ref="AR153" si="708">AR152*$F147/unit</f>
        <v>0</v>
      </c>
      <c r="AS153" s="101">
        <f t="shared" ref="AS153" si="709">AS152*$F147/unit</f>
        <v>0</v>
      </c>
      <c r="AT153" s="101">
        <f t="shared" ref="AT153" si="710">AT152*$F147/unit</f>
        <v>0</v>
      </c>
      <c r="AU153" s="101">
        <f t="shared" ref="AU153" si="711">AU152*$F147/unit</f>
        <v>0</v>
      </c>
      <c r="AV153" s="101">
        <f t="shared" ref="AV153" si="712">AV152*$F147/unit</f>
        <v>0</v>
      </c>
      <c r="AW153" s="101">
        <f t="shared" ref="AW153" si="713">AW152*$F147/unit</f>
        <v>0</v>
      </c>
      <c r="AX153" s="101">
        <f t="shared" ref="AX153" si="714">AX152*$F147/unit</f>
        <v>0</v>
      </c>
      <c r="AY153" s="101">
        <f t="shared" ref="AY153" si="715">AY152*$F147/unit</f>
        <v>0</v>
      </c>
      <c r="AZ153" s="101">
        <f t="shared" ref="AZ153" si="716">AZ152*$F147/unit</f>
        <v>0</v>
      </c>
      <c r="BA153" s="101">
        <f t="shared" ref="BA153" si="717">BA152*$F147/unit</f>
        <v>0</v>
      </c>
      <c r="BB153" s="101">
        <f t="shared" ref="BB153" si="718">BB152*$F147/unit</f>
        <v>0</v>
      </c>
      <c r="BC153" s="101">
        <f t="shared" ref="BC153" si="719">BC152*$F147/unit</f>
        <v>0</v>
      </c>
      <c r="BD153" s="101">
        <f t="shared" ref="BD153" si="720">BD152*$F147/unit</f>
        <v>0</v>
      </c>
      <c r="BE153" s="101">
        <f t="shared" ref="BE153" si="721">BE152*$F147/unit</f>
        <v>0</v>
      </c>
      <c r="BF153" s="101">
        <f t="shared" ref="BF153" si="722">BF152*$F147/unit</f>
        <v>0</v>
      </c>
      <c r="BG153" s="101">
        <f t="shared" ref="BG153" si="723">BG152*$F147/unit</f>
        <v>0</v>
      </c>
      <c r="BH153" s="101">
        <f t="shared" ref="BH153" si="724">BH152*$F147/unit</f>
        <v>0</v>
      </c>
      <c r="BI153" s="101">
        <f t="shared" ref="BI153" si="725">BI152*$F147/unit</f>
        <v>0</v>
      </c>
      <c r="BJ153" s="101">
        <f t="shared" ref="BJ153" si="726">BJ152*$F147/unit</f>
        <v>0</v>
      </c>
      <c r="BK153" s="101">
        <f t="shared" ref="BK153" si="727">BK152*$F147/unit</f>
        <v>0</v>
      </c>
      <c r="BL153" s="101">
        <f t="shared" ref="BL153" si="728">BL152*$F147/unit</f>
        <v>0</v>
      </c>
      <c r="BM153" s="101">
        <f t="shared" ref="BM153" si="729">BM152*$F147/unit</f>
        <v>0</v>
      </c>
      <c r="BN153" s="101">
        <f t="shared" ref="BN153" si="730">BN152*$F147/unit</f>
        <v>0</v>
      </c>
      <c r="BO153" s="101">
        <f t="shared" ref="BO153" si="731">BO152*$F147/unit</f>
        <v>0</v>
      </c>
      <c r="BP153" s="101">
        <f t="shared" ref="BP153" si="732">BP152*$F147/unit</f>
        <v>0</v>
      </c>
      <c r="BQ153" s="101">
        <f t="shared" ref="BQ153" si="733">BQ152*$F147/unit</f>
        <v>0</v>
      </c>
      <c r="BR153" s="101">
        <f t="shared" ref="BR153" si="734">BR152*$F147/unit</f>
        <v>0</v>
      </c>
      <c r="BS153" s="101">
        <f t="shared" ref="BS153" si="735">BS152*$F147/unit</f>
        <v>0</v>
      </c>
      <c r="BT153" s="101">
        <f t="shared" ref="BT153" si="736">BT152*$F147/unit</f>
        <v>0</v>
      </c>
      <c r="BU153" s="101">
        <f t="shared" ref="BU153" si="737">BU152*$F147/unit</f>
        <v>0</v>
      </c>
      <c r="BV153" s="101">
        <f t="shared" ref="BV153" si="738">BV152*$F147/unit</f>
        <v>0</v>
      </c>
      <c r="BW153" s="101">
        <f t="shared" ref="BW153" si="739">BW152*$F147/unit</f>
        <v>0</v>
      </c>
      <c r="BX153" s="101">
        <f t="shared" ref="BX153" si="740">BX152*$F147/unit</f>
        <v>0</v>
      </c>
      <c r="BY153" s="101">
        <f t="shared" ref="BY153" si="741">BY152*$F147/unit</f>
        <v>0</v>
      </c>
    </row>
    <row r="155" spans="4:77" ht="13.5" customHeight="1">
      <c r="D155" s="1" t="s">
        <v>165</v>
      </c>
    </row>
    <row r="156" spans="4:77" ht="13.5" customHeight="1">
      <c r="E156" s="25" t="s">
        <v>166</v>
      </c>
      <c r="F156" s="51"/>
      <c r="G156" s="51"/>
      <c r="H156" s="51">
        <f>$F148*H143</f>
        <v>2000</v>
      </c>
      <c r="I156" s="51">
        <f t="shared" ref="I156:BT156" si="742">$F148*I143</f>
        <v>2000</v>
      </c>
      <c r="J156" s="51">
        <f t="shared" si="742"/>
        <v>2000</v>
      </c>
      <c r="K156" s="51">
        <f t="shared" si="742"/>
        <v>2000</v>
      </c>
      <c r="L156" s="51">
        <f t="shared" si="742"/>
        <v>2000</v>
      </c>
      <c r="M156" s="51">
        <f t="shared" si="742"/>
        <v>2000</v>
      </c>
      <c r="N156" s="51">
        <f t="shared" si="742"/>
        <v>2000</v>
      </c>
      <c r="O156" s="51">
        <f t="shared" si="742"/>
        <v>2000</v>
      </c>
      <c r="P156" s="51">
        <f t="shared" si="742"/>
        <v>2000</v>
      </c>
      <c r="Q156" s="51">
        <f t="shared" si="742"/>
        <v>2000</v>
      </c>
      <c r="R156" s="51">
        <f t="shared" si="742"/>
        <v>2000</v>
      </c>
      <c r="S156" s="51">
        <f t="shared" si="742"/>
        <v>2000</v>
      </c>
      <c r="T156" s="51">
        <f t="shared" si="742"/>
        <v>2000</v>
      </c>
      <c r="U156" s="51">
        <f t="shared" si="742"/>
        <v>2000</v>
      </c>
      <c r="V156" s="51">
        <f t="shared" si="742"/>
        <v>2000</v>
      </c>
      <c r="W156" s="51">
        <f t="shared" si="742"/>
        <v>2000</v>
      </c>
      <c r="X156" s="51">
        <f t="shared" si="742"/>
        <v>2000</v>
      </c>
      <c r="Y156" s="51">
        <f t="shared" si="742"/>
        <v>2000</v>
      </c>
      <c r="Z156" s="51">
        <f t="shared" si="742"/>
        <v>2000</v>
      </c>
      <c r="AA156" s="51">
        <f t="shared" si="742"/>
        <v>2000</v>
      </c>
      <c r="AB156" s="51">
        <f t="shared" si="742"/>
        <v>2000</v>
      </c>
      <c r="AC156" s="51">
        <f t="shared" si="742"/>
        <v>2000</v>
      </c>
      <c r="AD156" s="51">
        <f t="shared" si="742"/>
        <v>2000</v>
      </c>
      <c r="AE156" s="51">
        <f t="shared" si="742"/>
        <v>2000</v>
      </c>
      <c r="AF156" s="51">
        <f t="shared" si="742"/>
        <v>2000</v>
      </c>
      <c r="AG156" s="51">
        <f t="shared" si="742"/>
        <v>2000</v>
      </c>
      <c r="AH156" s="51">
        <f t="shared" si="742"/>
        <v>2000</v>
      </c>
      <c r="AI156" s="51">
        <f t="shared" si="742"/>
        <v>2000</v>
      </c>
      <c r="AJ156" s="51">
        <f t="shared" si="742"/>
        <v>2000</v>
      </c>
      <c r="AK156" s="51">
        <f t="shared" si="742"/>
        <v>2000</v>
      </c>
      <c r="AL156" s="51">
        <f t="shared" si="742"/>
        <v>0</v>
      </c>
      <c r="AM156" s="51">
        <f t="shared" si="742"/>
        <v>0</v>
      </c>
      <c r="AN156" s="51">
        <f t="shared" si="742"/>
        <v>0</v>
      </c>
      <c r="AO156" s="51">
        <f t="shared" si="742"/>
        <v>0</v>
      </c>
      <c r="AP156" s="51">
        <f t="shared" si="742"/>
        <v>0</v>
      </c>
      <c r="AQ156" s="51">
        <f t="shared" si="742"/>
        <v>0</v>
      </c>
      <c r="AR156" s="51">
        <f t="shared" si="742"/>
        <v>0</v>
      </c>
      <c r="AS156" s="51">
        <f t="shared" si="742"/>
        <v>0</v>
      </c>
      <c r="AT156" s="51">
        <f t="shared" si="742"/>
        <v>0</v>
      </c>
      <c r="AU156" s="51">
        <f t="shared" si="742"/>
        <v>0</v>
      </c>
      <c r="AV156" s="51">
        <f t="shared" si="742"/>
        <v>0</v>
      </c>
      <c r="AW156" s="51">
        <f t="shared" si="742"/>
        <v>0</v>
      </c>
      <c r="AX156" s="51">
        <f t="shared" si="742"/>
        <v>0</v>
      </c>
      <c r="AY156" s="51">
        <f t="shared" si="742"/>
        <v>0</v>
      </c>
      <c r="AZ156" s="51">
        <f t="shared" si="742"/>
        <v>0</v>
      </c>
      <c r="BA156" s="51">
        <f t="shared" si="742"/>
        <v>0</v>
      </c>
      <c r="BB156" s="51">
        <f t="shared" si="742"/>
        <v>0</v>
      </c>
      <c r="BC156" s="51">
        <f t="shared" si="742"/>
        <v>0</v>
      </c>
      <c r="BD156" s="51">
        <f t="shared" si="742"/>
        <v>0</v>
      </c>
      <c r="BE156" s="51">
        <f t="shared" si="742"/>
        <v>0</v>
      </c>
      <c r="BF156" s="51">
        <f t="shared" si="742"/>
        <v>0</v>
      </c>
      <c r="BG156" s="51">
        <f t="shared" si="742"/>
        <v>0</v>
      </c>
      <c r="BH156" s="51">
        <f t="shared" si="742"/>
        <v>0</v>
      </c>
      <c r="BI156" s="51">
        <f t="shared" si="742"/>
        <v>0</v>
      </c>
      <c r="BJ156" s="51">
        <f t="shared" si="742"/>
        <v>0</v>
      </c>
      <c r="BK156" s="51">
        <f t="shared" si="742"/>
        <v>0</v>
      </c>
      <c r="BL156" s="51">
        <f t="shared" si="742"/>
        <v>0</v>
      </c>
      <c r="BM156" s="51">
        <f t="shared" si="742"/>
        <v>0</v>
      </c>
      <c r="BN156" s="51">
        <f t="shared" si="742"/>
        <v>0</v>
      </c>
      <c r="BO156" s="51">
        <f t="shared" si="742"/>
        <v>0</v>
      </c>
      <c r="BP156" s="51">
        <f t="shared" si="742"/>
        <v>0</v>
      </c>
      <c r="BQ156" s="51">
        <f t="shared" si="742"/>
        <v>0</v>
      </c>
      <c r="BR156" s="51">
        <f t="shared" si="742"/>
        <v>0</v>
      </c>
      <c r="BS156" s="51">
        <f t="shared" si="742"/>
        <v>0</v>
      </c>
      <c r="BT156" s="51">
        <f t="shared" si="742"/>
        <v>0</v>
      </c>
      <c r="BU156" s="51">
        <f t="shared" ref="BU156:BY156" si="743">$F148*BU143</f>
        <v>0</v>
      </c>
      <c r="BV156" s="51">
        <f t="shared" si="743"/>
        <v>0</v>
      </c>
      <c r="BW156" s="51">
        <f t="shared" si="743"/>
        <v>0</v>
      </c>
      <c r="BX156" s="51">
        <f t="shared" si="743"/>
        <v>0</v>
      </c>
      <c r="BY156" s="23">
        <f t="shared" si="743"/>
        <v>0</v>
      </c>
    </row>
    <row r="157" spans="4:77" ht="13.5" customHeight="1">
      <c r="D157" s="101" t="s">
        <v>167</v>
      </c>
      <c r="E157" s="101"/>
      <c r="F157" s="101"/>
      <c r="G157" s="101"/>
      <c r="H157" s="101">
        <f t="shared" ref="H157" si="744">H156*$F147/unit</f>
        <v>5.6139999999999999</v>
      </c>
      <c r="I157" s="101">
        <f t="shared" ref="I157" si="745">I156*$F147/unit</f>
        <v>5.6139999999999999</v>
      </c>
      <c r="J157" s="101">
        <f t="shared" ref="J157" si="746">J156*$F147/unit</f>
        <v>5.6139999999999999</v>
      </c>
      <c r="K157" s="101">
        <f t="shared" ref="K157" si="747">K156*$F147/unit</f>
        <v>5.6139999999999999</v>
      </c>
      <c r="L157" s="101">
        <f t="shared" ref="L157" si="748">L156*$F147/unit</f>
        <v>5.6139999999999999</v>
      </c>
      <c r="M157" s="101">
        <f t="shared" ref="M157" si="749">M156*$F147/unit</f>
        <v>5.6139999999999999</v>
      </c>
      <c r="N157" s="101">
        <f t="shared" ref="N157" si="750">N156*$F147/unit</f>
        <v>5.6139999999999999</v>
      </c>
      <c r="O157" s="101">
        <f t="shared" ref="O157" si="751">O156*$F147/unit</f>
        <v>5.6139999999999999</v>
      </c>
      <c r="P157" s="101">
        <f t="shared" ref="P157" si="752">P156*$F147/unit</f>
        <v>5.6139999999999999</v>
      </c>
      <c r="Q157" s="101">
        <f t="shared" ref="Q157" si="753">Q156*$F147/unit</f>
        <v>5.6139999999999999</v>
      </c>
      <c r="R157" s="101">
        <f t="shared" ref="R157" si="754">R156*$F147/unit</f>
        <v>5.6139999999999999</v>
      </c>
      <c r="S157" s="101">
        <f t="shared" ref="S157" si="755">S156*$F147/unit</f>
        <v>5.6139999999999999</v>
      </c>
      <c r="T157" s="101">
        <f t="shared" ref="T157" si="756">T156*$F147/unit</f>
        <v>5.6139999999999999</v>
      </c>
      <c r="U157" s="101">
        <f t="shared" ref="U157" si="757">U156*$F147/unit</f>
        <v>5.6139999999999999</v>
      </c>
      <c r="V157" s="101">
        <f t="shared" ref="V157" si="758">V156*$F147/unit</f>
        <v>5.6139999999999999</v>
      </c>
      <c r="W157" s="101">
        <f t="shared" ref="W157" si="759">W156*$F147/unit</f>
        <v>5.6139999999999999</v>
      </c>
      <c r="X157" s="101">
        <f t="shared" ref="X157" si="760">X156*$F147/unit</f>
        <v>5.6139999999999999</v>
      </c>
      <c r="Y157" s="101">
        <f t="shared" ref="Y157" si="761">Y156*$F147/unit</f>
        <v>5.6139999999999999</v>
      </c>
      <c r="Z157" s="101">
        <f t="shared" ref="Z157" si="762">Z156*$F147/unit</f>
        <v>5.6139999999999999</v>
      </c>
      <c r="AA157" s="101">
        <f t="shared" ref="AA157" si="763">AA156*$F147/unit</f>
        <v>5.6139999999999999</v>
      </c>
      <c r="AB157" s="101">
        <f t="shared" ref="AB157" si="764">AB156*$F147/unit</f>
        <v>5.6139999999999999</v>
      </c>
      <c r="AC157" s="101">
        <f t="shared" ref="AC157" si="765">AC156*$F147/unit</f>
        <v>5.6139999999999999</v>
      </c>
      <c r="AD157" s="101">
        <f t="shared" ref="AD157" si="766">AD156*$F147/unit</f>
        <v>5.6139999999999999</v>
      </c>
      <c r="AE157" s="101">
        <f t="shared" ref="AE157" si="767">AE156*$F147/unit</f>
        <v>5.6139999999999999</v>
      </c>
      <c r="AF157" s="101">
        <f t="shared" ref="AF157" si="768">AF156*$F147/unit</f>
        <v>5.6139999999999999</v>
      </c>
      <c r="AG157" s="101">
        <f t="shared" ref="AG157" si="769">AG156*$F147/unit</f>
        <v>5.6139999999999999</v>
      </c>
      <c r="AH157" s="101">
        <f t="shared" ref="AH157" si="770">AH156*$F147/unit</f>
        <v>5.6139999999999999</v>
      </c>
      <c r="AI157" s="101">
        <f t="shared" ref="AI157" si="771">AI156*$F147/unit</f>
        <v>5.6139999999999999</v>
      </c>
      <c r="AJ157" s="101">
        <f t="shared" ref="AJ157" si="772">AJ156*$F147/unit</f>
        <v>5.6139999999999999</v>
      </c>
      <c r="AK157" s="101">
        <f t="shared" ref="AK157" si="773">AK156*$F147/unit</f>
        <v>5.6139999999999999</v>
      </c>
      <c r="AL157" s="101">
        <f t="shared" ref="AL157" si="774">AL156*$F147/unit</f>
        <v>0</v>
      </c>
      <c r="AM157" s="101">
        <f t="shared" ref="AM157" si="775">AM156*$F147/unit</f>
        <v>0</v>
      </c>
      <c r="AN157" s="101">
        <f t="shared" ref="AN157" si="776">AN156*$F147/unit</f>
        <v>0</v>
      </c>
      <c r="AO157" s="101">
        <f t="shared" ref="AO157" si="777">AO156*$F147/unit</f>
        <v>0</v>
      </c>
      <c r="AP157" s="101">
        <f t="shared" ref="AP157" si="778">AP156*$F147/unit</f>
        <v>0</v>
      </c>
      <c r="AQ157" s="101">
        <f t="shared" ref="AQ157" si="779">AQ156*$F147/unit</f>
        <v>0</v>
      </c>
      <c r="AR157" s="101">
        <f t="shared" ref="AR157" si="780">AR156*$F147/unit</f>
        <v>0</v>
      </c>
      <c r="AS157" s="101">
        <f t="shared" ref="AS157" si="781">AS156*$F147/unit</f>
        <v>0</v>
      </c>
      <c r="AT157" s="101">
        <f t="shared" ref="AT157" si="782">AT156*$F147/unit</f>
        <v>0</v>
      </c>
      <c r="AU157" s="101">
        <f t="shared" ref="AU157" si="783">AU156*$F147/unit</f>
        <v>0</v>
      </c>
      <c r="AV157" s="101">
        <f t="shared" ref="AV157" si="784">AV156*$F147/unit</f>
        <v>0</v>
      </c>
      <c r="AW157" s="101">
        <f t="shared" ref="AW157" si="785">AW156*$F147/unit</f>
        <v>0</v>
      </c>
      <c r="AX157" s="101">
        <f t="shared" ref="AX157" si="786">AX156*$F147/unit</f>
        <v>0</v>
      </c>
      <c r="AY157" s="101">
        <f t="shared" ref="AY157" si="787">AY156*$F147/unit</f>
        <v>0</v>
      </c>
      <c r="AZ157" s="101">
        <f t="shared" ref="AZ157" si="788">AZ156*$F147/unit</f>
        <v>0</v>
      </c>
      <c r="BA157" s="101">
        <f t="shared" ref="BA157" si="789">BA156*$F147/unit</f>
        <v>0</v>
      </c>
      <c r="BB157" s="101">
        <f t="shared" ref="BB157" si="790">BB156*$F147/unit</f>
        <v>0</v>
      </c>
      <c r="BC157" s="101">
        <f t="shared" ref="BC157" si="791">BC156*$F147/unit</f>
        <v>0</v>
      </c>
      <c r="BD157" s="101">
        <f t="shared" ref="BD157" si="792">BD156*$F147/unit</f>
        <v>0</v>
      </c>
      <c r="BE157" s="101">
        <f t="shared" ref="BE157" si="793">BE156*$F147/unit</f>
        <v>0</v>
      </c>
      <c r="BF157" s="101">
        <f t="shared" ref="BF157" si="794">BF156*$F147/unit</f>
        <v>0</v>
      </c>
      <c r="BG157" s="101">
        <f t="shared" ref="BG157" si="795">BG156*$F147/unit</f>
        <v>0</v>
      </c>
      <c r="BH157" s="101">
        <f t="shared" ref="BH157" si="796">BH156*$F147/unit</f>
        <v>0</v>
      </c>
      <c r="BI157" s="101">
        <f t="shared" ref="BI157" si="797">BI156*$F147/unit</f>
        <v>0</v>
      </c>
      <c r="BJ157" s="101">
        <f t="shared" ref="BJ157" si="798">BJ156*$F147/unit</f>
        <v>0</v>
      </c>
      <c r="BK157" s="101">
        <f t="shared" ref="BK157" si="799">BK156*$F147/unit</f>
        <v>0</v>
      </c>
      <c r="BL157" s="101">
        <f t="shared" ref="BL157" si="800">BL156*$F147/unit</f>
        <v>0</v>
      </c>
      <c r="BM157" s="101">
        <f t="shared" ref="BM157" si="801">BM156*$F147/unit</f>
        <v>0</v>
      </c>
      <c r="BN157" s="101">
        <f t="shared" ref="BN157" si="802">BN156*$F147/unit</f>
        <v>0</v>
      </c>
      <c r="BO157" s="101">
        <f t="shared" ref="BO157" si="803">BO156*$F147/unit</f>
        <v>0</v>
      </c>
      <c r="BP157" s="101">
        <f t="shared" ref="BP157" si="804">BP156*$F147/unit</f>
        <v>0</v>
      </c>
      <c r="BQ157" s="101">
        <f t="shared" ref="BQ157" si="805">BQ156*$F147/unit</f>
        <v>0</v>
      </c>
      <c r="BR157" s="101">
        <f t="shared" ref="BR157" si="806">BR156*$F147/unit</f>
        <v>0</v>
      </c>
      <c r="BS157" s="101">
        <f t="shared" ref="BS157" si="807">BS156*$F147/unit</f>
        <v>0</v>
      </c>
      <c r="BT157" s="101">
        <f t="shared" ref="BT157" si="808">BT156*$F147/unit</f>
        <v>0</v>
      </c>
      <c r="BU157" s="101">
        <f t="shared" ref="BU157" si="809">BU156*$F147/unit</f>
        <v>0</v>
      </c>
      <c r="BV157" s="101">
        <f t="shared" ref="BV157" si="810">BV156*$F147/unit</f>
        <v>0</v>
      </c>
      <c r="BW157" s="101">
        <f t="shared" ref="BW157" si="811">BW156*$F147/unit</f>
        <v>0</v>
      </c>
      <c r="BX157" s="101">
        <f t="shared" ref="BX157" si="812">BX156*$F147/unit</f>
        <v>0</v>
      </c>
      <c r="BY157" s="101">
        <f t="shared" ref="BY157" si="813">BY156*$F147/unit</f>
        <v>0</v>
      </c>
    </row>
    <row r="159" spans="4:77" ht="13.5" customHeight="1">
      <c r="D159" s="1" t="s">
        <v>168</v>
      </c>
    </row>
    <row r="160" spans="4:77" ht="13.5" customHeight="1">
      <c r="E160" s="1" t="s">
        <v>169</v>
      </c>
      <c r="H160" s="1">
        <f>F149</f>
        <v>404.20800000000003</v>
      </c>
      <c r="I160" s="1">
        <f>H163</f>
        <v>404.20800000000003</v>
      </c>
      <c r="J160" s="1">
        <f t="shared" ref="J160" si="814">I163</f>
        <v>404.20800000000003</v>
      </c>
      <c r="K160" s="1">
        <f t="shared" ref="K160" si="815">J163</f>
        <v>404.20800000000003</v>
      </c>
      <c r="L160" s="1">
        <f t="shared" ref="L160" si="816">K163</f>
        <v>404.20800000000003</v>
      </c>
      <c r="M160" s="1">
        <f t="shared" ref="M160" si="817">L163</f>
        <v>404.20800000000003</v>
      </c>
      <c r="N160" s="1">
        <f t="shared" ref="N160" si="818">M163</f>
        <v>404.20800000000003</v>
      </c>
      <c r="O160" s="1">
        <f t="shared" ref="O160" si="819">N163</f>
        <v>404.20800000000003</v>
      </c>
      <c r="P160" s="1">
        <f t="shared" ref="P160" si="820">O163</f>
        <v>404.20800000000003</v>
      </c>
      <c r="Q160" s="1">
        <f t="shared" ref="Q160" si="821">P163</f>
        <v>404.20800000000003</v>
      </c>
      <c r="R160" s="1">
        <f t="shared" ref="R160" si="822">Q163</f>
        <v>404.20800000000003</v>
      </c>
      <c r="S160" s="1">
        <f t="shared" ref="S160" si="823">R163</f>
        <v>404.20800000000003</v>
      </c>
      <c r="T160" s="1">
        <f t="shared" ref="T160" si="824">S163</f>
        <v>404.20800000000003</v>
      </c>
      <c r="U160" s="1">
        <f t="shared" ref="U160" si="825">T163</f>
        <v>404.20800000000003</v>
      </c>
      <c r="V160" s="1">
        <f t="shared" ref="V160" si="826">U163</f>
        <v>404.20800000000003</v>
      </c>
      <c r="W160" s="1">
        <f t="shared" ref="W160" si="827">V163</f>
        <v>404.20800000000003</v>
      </c>
      <c r="X160" s="1">
        <f t="shared" ref="X160" si="828">W163</f>
        <v>404.20800000000003</v>
      </c>
      <c r="Y160" s="1">
        <f t="shared" ref="Y160" si="829">X163</f>
        <v>404.20800000000003</v>
      </c>
      <c r="Z160" s="1">
        <f t="shared" ref="Z160" si="830">Y163</f>
        <v>404.20800000000003</v>
      </c>
      <c r="AA160" s="1">
        <f t="shared" ref="AA160" si="831">Z163</f>
        <v>404.20800000000003</v>
      </c>
      <c r="AB160" s="1">
        <f t="shared" ref="AB160" si="832">AA163</f>
        <v>404.20800000000003</v>
      </c>
      <c r="AC160" s="1">
        <f t="shared" ref="AC160" si="833">AB163</f>
        <v>404.20800000000003</v>
      </c>
      <c r="AD160" s="1">
        <f t="shared" ref="AD160" si="834">AC163</f>
        <v>404.20800000000003</v>
      </c>
      <c r="AE160" s="1">
        <f t="shared" ref="AE160" si="835">AD163</f>
        <v>404.20800000000003</v>
      </c>
      <c r="AF160" s="1">
        <f t="shared" ref="AF160" si="836">AE163</f>
        <v>404.20800000000003</v>
      </c>
      <c r="AG160" s="1">
        <f t="shared" ref="AG160" si="837">AF163</f>
        <v>404.20800000000003</v>
      </c>
      <c r="AH160" s="1">
        <f t="shared" ref="AH160" si="838">AG163</f>
        <v>404.20800000000003</v>
      </c>
      <c r="AI160" s="1">
        <f t="shared" ref="AI160" si="839">AH163</f>
        <v>404.20800000000003</v>
      </c>
      <c r="AJ160" s="1">
        <f t="shared" ref="AJ160" si="840">AI163</f>
        <v>404.20800000000003</v>
      </c>
      <c r="AK160" s="1">
        <f t="shared" ref="AK160" si="841">AJ163</f>
        <v>404.20800000000003</v>
      </c>
      <c r="AL160" s="1">
        <f t="shared" ref="AL160" si="842">AK163</f>
        <v>0</v>
      </c>
      <c r="AM160" s="1">
        <f t="shared" ref="AM160" si="843">AL163</f>
        <v>0</v>
      </c>
      <c r="AN160" s="1">
        <f t="shared" ref="AN160" si="844">AM163</f>
        <v>0</v>
      </c>
      <c r="AO160" s="1">
        <f t="shared" ref="AO160" si="845">AN163</f>
        <v>0</v>
      </c>
      <c r="AP160" s="1">
        <f t="shared" ref="AP160" si="846">AO163</f>
        <v>0</v>
      </c>
      <c r="AQ160" s="1">
        <f t="shared" ref="AQ160" si="847">AP163</f>
        <v>0</v>
      </c>
      <c r="AR160" s="1">
        <f t="shared" ref="AR160" si="848">AQ163</f>
        <v>0</v>
      </c>
      <c r="AS160" s="1">
        <f t="shared" ref="AS160" si="849">AR163</f>
        <v>0</v>
      </c>
      <c r="AT160" s="1">
        <f t="shared" ref="AT160" si="850">AS163</f>
        <v>0</v>
      </c>
      <c r="AU160" s="1">
        <f t="shared" ref="AU160" si="851">AT163</f>
        <v>0</v>
      </c>
      <c r="AV160" s="1">
        <f t="shared" ref="AV160" si="852">AU163</f>
        <v>0</v>
      </c>
      <c r="AW160" s="1">
        <f t="shared" ref="AW160" si="853">AV163</f>
        <v>0</v>
      </c>
      <c r="AX160" s="1">
        <f t="shared" ref="AX160" si="854">AW163</f>
        <v>0</v>
      </c>
      <c r="AY160" s="1">
        <f t="shared" ref="AY160" si="855">AX163</f>
        <v>0</v>
      </c>
      <c r="AZ160" s="1">
        <f t="shared" ref="AZ160" si="856">AY163</f>
        <v>0</v>
      </c>
      <c r="BA160" s="1">
        <f t="shared" ref="BA160" si="857">AZ163</f>
        <v>0</v>
      </c>
      <c r="BB160" s="1">
        <f t="shared" ref="BB160" si="858">BA163</f>
        <v>0</v>
      </c>
      <c r="BC160" s="1">
        <f t="shared" ref="BC160" si="859">BB163</f>
        <v>0</v>
      </c>
      <c r="BD160" s="1">
        <f t="shared" ref="BD160" si="860">BC163</f>
        <v>0</v>
      </c>
      <c r="BE160" s="1">
        <f t="shared" ref="BE160" si="861">BD163</f>
        <v>0</v>
      </c>
      <c r="BF160" s="1">
        <f t="shared" ref="BF160" si="862">BE163</f>
        <v>0</v>
      </c>
      <c r="BG160" s="1">
        <f t="shared" ref="BG160" si="863">BF163</f>
        <v>0</v>
      </c>
      <c r="BH160" s="1">
        <f t="shared" ref="BH160" si="864">BG163</f>
        <v>0</v>
      </c>
      <c r="BI160" s="1">
        <f t="shared" ref="BI160" si="865">BH163</f>
        <v>0</v>
      </c>
      <c r="BJ160" s="1">
        <f t="shared" ref="BJ160" si="866">BI163</f>
        <v>0</v>
      </c>
      <c r="BK160" s="1">
        <f t="shared" ref="BK160" si="867">BJ163</f>
        <v>0</v>
      </c>
      <c r="BL160" s="1">
        <f t="shared" ref="BL160" si="868">BK163</f>
        <v>0</v>
      </c>
      <c r="BM160" s="1">
        <f t="shared" ref="BM160" si="869">BL163</f>
        <v>0</v>
      </c>
      <c r="BN160" s="1">
        <f t="shared" ref="BN160" si="870">BM163</f>
        <v>0</v>
      </c>
      <c r="BO160" s="1">
        <f t="shared" ref="BO160" si="871">BN163</f>
        <v>0</v>
      </c>
      <c r="BP160" s="1">
        <f t="shared" ref="BP160" si="872">BO163</f>
        <v>0</v>
      </c>
      <c r="BQ160" s="1">
        <f t="shared" ref="BQ160" si="873">BP163</f>
        <v>0</v>
      </c>
      <c r="BR160" s="1">
        <f t="shared" ref="BR160" si="874">BQ163</f>
        <v>0</v>
      </c>
      <c r="BS160" s="1">
        <f t="shared" ref="BS160" si="875">BR163</f>
        <v>0</v>
      </c>
      <c r="BT160" s="1">
        <f t="shared" ref="BT160" si="876">BS163</f>
        <v>0</v>
      </c>
      <c r="BU160" s="1">
        <f t="shared" ref="BU160" si="877">BT163</f>
        <v>0</v>
      </c>
      <c r="BV160" s="1">
        <f t="shared" ref="BV160" si="878">BU163</f>
        <v>0</v>
      </c>
      <c r="BW160" s="1">
        <f t="shared" ref="BW160" si="879">BV163</f>
        <v>0</v>
      </c>
      <c r="BX160" s="1">
        <f t="shared" ref="BX160" si="880">BW163</f>
        <v>0</v>
      </c>
      <c r="BY160" s="1">
        <f t="shared" ref="BY160" si="881">BX163</f>
        <v>0</v>
      </c>
    </row>
    <row r="161" spans="3:77" ht="13.5" customHeight="1">
      <c r="E161" s="1" t="s">
        <v>170</v>
      </c>
      <c r="H161" s="1">
        <v>0</v>
      </c>
      <c r="I161" s="1">
        <v>0</v>
      </c>
      <c r="J161" s="1">
        <v>0</v>
      </c>
      <c r="K161" s="1">
        <v>0</v>
      </c>
      <c r="L161" s="1">
        <v>0</v>
      </c>
      <c r="M161" s="1">
        <v>0</v>
      </c>
      <c r="N161" s="1">
        <v>0</v>
      </c>
      <c r="O161" s="1">
        <v>0</v>
      </c>
      <c r="P161" s="1">
        <v>0</v>
      </c>
      <c r="Q161" s="1">
        <v>0</v>
      </c>
      <c r="R161" s="1">
        <v>0</v>
      </c>
      <c r="S161" s="1">
        <v>0</v>
      </c>
      <c r="T161" s="1">
        <v>0</v>
      </c>
      <c r="U161" s="1">
        <v>0</v>
      </c>
      <c r="V161" s="1">
        <v>0</v>
      </c>
      <c r="W161" s="1">
        <v>0</v>
      </c>
      <c r="X161" s="1">
        <v>0</v>
      </c>
      <c r="Y161" s="1">
        <v>0</v>
      </c>
      <c r="Z161" s="1">
        <v>0</v>
      </c>
      <c r="AA161" s="1">
        <v>0</v>
      </c>
      <c r="AB161" s="1">
        <v>0</v>
      </c>
      <c r="AC161" s="1">
        <v>0</v>
      </c>
      <c r="AD161" s="1">
        <v>0</v>
      </c>
      <c r="AE161" s="1">
        <v>0</v>
      </c>
      <c r="AF161" s="1">
        <v>0</v>
      </c>
      <c r="AG161" s="1">
        <v>0</v>
      </c>
      <c r="AH161" s="1">
        <v>0</v>
      </c>
      <c r="AI161" s="1">
        <v>0</v>
      </c>
      <c r="AJ161" s="1">
        <v>0</v>
      </c>
      <c r="AK161" s="1">
        <v>0</v>
      </c>
      <c r="AL161" s="1">
        <v>0</v>
      </c>
      <c r="AM161" s="1">
        <v>0</v>
      </c>
      <c r="AN161" s="1">
        <v>0</v>
      </c>
      <c r="AO161" s="1">
        <v>0</v>
      </c>
      <c r="AP161" s="1">
        <v>0</v>
      </c>
      <c r="AQ161" s="1">
        <v>0</v>
      </c>
      <c r="AR161" s="1">
        <v>0</v>
      </c>
      <c r="AS161" s="1">
        <v>0</v>
      </c>
      <c r="AT161" s="1">
        <v>0</v>
      </c>
      <c r="AU161" s="1">
        <v>0</v>
      </c>
      <c r="AV161" s="1">
        <v>0</v>
      </c>
      <c r="AW161" s="1">
        <v>0</v>
      </c>
      <c r="AX161" s="1">
        <v>0</v>
      </c>
      <c r="AY161" s="1">
        <v>0</v>
      </c>
      <c r="AZ161" s="1">
        <v>0</v>
      </c>
      <c r="BA161" s="1">
        <v>0</v>
      </c>
      <c r="BB161" s="1">
        <v>0</v>
      </c>
      <c r="BC161" s="1">
        <v>0</v>
      </c>
      <c r="BD161" s="1">
        <v>0</v>
      </c>
      <c r="BE161" s="1">
        <v>0</v>
      </c>
      <c r="BF161" s="1">
        <v>0</v>
      </c>
      <c r="BG161" s="1">
        <v>0</v>
      </c>
      <c r="BH161" s="1">
        <v>0</v>
      </c>
      <c r="BI161" s="1">
        <v>0</v>
      </c>
      <c r="BJ161" s="1">
        <v>0</v>
      </c>
      <c r="BK161" s="1">
        <v>0</v>
      </c>
      <c r="BL161" s="1">
        <v>0</v>
      </c>
      <c r="BM161" s="1">
        <v>0</v>
      </c>
      <c r="BN161" s="1">
        <v>0</v>
      </c>
      <c r="BO161" s="1">
        <v>0</v>
      </c>
      <c r="BP161" s="1">
        <v>0</v>
      </c>
      <c r="BQ161" s="1">
        <v>0</v>
      </c>
      <c r="BR161" s="1">
        <v>0</v>
      </c>
      <c r="BS161" s="1">
        <v>0</v>
      </c>
      <c r="BT161" s="1">
        <v>0</v>
      </c>
      <c r="BU161" s="1">
        <v>0</v>
      </c>
      <c r="BV161" s="1">
        <v>0</v>
      </c>
      <c r="BW161" s="1">
        <v>0</v>
      </c>
      <c r="BX161" s="1">
        <v>0</v>
      </c>
      <c r="BY161" s="1">
        <v>0</v>
      </c>
    </row>
    <row r="162" spans="3:77" ht="13.5" customHeight="1">
      <c r="E162" s="1" t="s">
        <v>171</v>
      </c>
      <c r="H162" s="1">
        <f>(H$14=$F144)*$F149*-1</f>
        <v>0</v>
      </c>
      <c r="I162" s="1">
        <f t="shared" ref="I162:BT162" si="882">(I$14=$F144)*$F149*-1</f>
        <v>0</v>
      </c>
      <c r="J162" s="1">
        <f t="shared" si="882"/>
        <v>0</v>
      </c>
      <c r="K162" s="1">
        <f t="shared" si="882"/>
        <v>0</v>
      </c>
      <c r="L162" s="1">
        <f t="shared" si="882"/>
        <v>0</v>
      </c>
      <c r="M162" s="1">
        <f t="shared" si="882"/>
        <v>0</v>
      </c>
      <c r="N162" s="1">
        <f t="shared" si="882"/>
        <v>0</v>
      </c>
      <c r="O162" s="1">
        <f t="shared" si="882"/>
        <v>0</v>
      </c>
      <c r="P162" s="1">
        <f t="shared" si="882"/>
        <v>0</v>
      </c>
      <c r="Q162" s="1">
        <f t="shared" si="882"/>
        <v>0</v>
      </c>
      <c r="R162" s="1">
        <f t="shared" si="882"/>
        <v>0</v>
      </c>
      <c r="S162" s="1">
        <f t="shared" si="882"/>
        <v>0</v>
      </c>
      <c r="T162" s="1">
        <f t="shared" si="882"/>
        <v>0</v>
      </c>
      <c r="U162" s="1">
        <f t="shared" si="882"/>
        <v>0</v>
      </c>
      <c r="V162" s="1">
        <f t="shared" si="882"/>
        <v>0</v>
      </c>
      <c r="W162" s="1">
        <f t="shared" si="882"/>
        <v>0</v>
      </c>
      <c r="X162" s="1">
        <f t="shared" si="882"/>
        <v>0</v>
      </c>
      <c r="Y162" s="1">
        <f t="shared" si="882"/>
        <v>0</v>
      </c>
      <c r="Z162" s="1">
        <f t="shared" si="882"/>
        <v>0</v>
      </c>
      <c r="AA162" s="1">
        <f t="shared" si="882"/>
        <v>0</v>
      </c>
      <c r="AB162" s="1">
        <f t="shared" si="882"/>
        <v>0</v>
      </c>
      <c r="AC162" s="1">
        <f t="shared" si="882"/>
        <v>0</v>
      </c>
      <c r="AD162" s="1">
        <f t="shared" si="882"/>
        <v>0</v>
      </c>
      <c r="AE162" s="1">
        <f t="shared" si="882"/>
        <v>0</v>
      </c>
      <c r="AF162" s="1">
        <f t="shared" si="882"/>
        <v>0</v>
      </c>
      <c r="AG162" s="1">
        <f t="shared" si="882"/>
        <v>0</v>
      </c>
      <c r="AH162" s="1">
        <f t="shared" si="882"/>
        <v>0</v>
      </c>
      <c r="AI162" s="1">
        <f t="shared" si="882"/>
        <v>0</v>
      </c>
      <c r="AJ162" s="1">
        <f t="shared" si="882"/>
        <v>0</v>
      </c>
      <c r="AK162" s="1">
        <f t="shared" si="882"/>
        <v>-404.20800000000003</v>
      </c>
      <c r="AL162" s="1">
        <f t="shared" si="882"/>
        <v>0</v>
      </c>
      <c r="AM162" s="1">
        <f t="shared" si="882"/>
        <v>0</v>
      </c>
      <c r="AN162" s="1">
        <f t="shared" si="882"/>
        <v>0</v>
      </c>
      <c r="AO162" s="1">
        <f t="shared" si="882"/>
        <v>0</v>
      </c>
      <c r="AP162" s="1">
        <f t="shared" si="882"/>
        <v>0</v>
      </c>
      <c r="AQ162" s="1">
        <f t="shared" si="882"/>
        <v>0</v>
      </c>
      <c r="AR162" s="1">
        <f t="shared" si="882"/>
        <v>0</v>
      </c>
      <c r="AS162" s="1">
        <f t="shared" si="882"/>
        <v>0</v>
      </c>
      <c r="AT162" s="1">
        <f t="shared" si="882"/>
        <v>0</v>
      </c>
      <c r="AU162" s="1">
        <f t="shared" si="882"/>
        <v>0</v>
      </c>
      <c r="AV162" s="1">
        <f t="shared" si="882"/>
        <v>0</v>
      </c>
      <c r="AW162" s="1">
        <f t="shared" si="882"/>
        <v>0</v>
      </c>
      <c r="AX162" s="1">
        <f t="shared" si="882"/>
        <v>0</v>
      </c>
      <c r="AY162" s="1">
        <f t="shared" si="882"/>
        <v>0</v>
      </c>
      <c r="AZ162" s="1">
        <f t="shared" si="882"/>
        <v>0</v>
      </c>
      <c r="BA162" s="1">
        <f t="shared" si="882"/>
        <v>0</v>
      </c>
      <c r="BB162" s="1">
        <f t="shared" si="882"/>
        <v>0</v>
      </c>
      <c r="BC162" s="1">
        <f t="shared" si="882"/>
        <v>0</v>
      </c>
      <c r="BD162" s="1">
        <f t="shared" si="882"/>
        <v>0</v>
      </c>
      <c r="BE162" s="1">
        <f t="shared" si="882"/>
        <v>0</v>
      </c>
      <c r="BF162" s="1">
        <f t="shared" si="882"/>
        <v>0</v>
      </c>
      <c r="BG162" s="1">
        <f t="shared" si="882"/>
        <v>0</v>
      </c>
      <c r="BH162" s="1">
        <f t="shared" si="882"/>
        <v>0</v>
      </c>
      <c r="BI162" s="1">
        <f t="shared" si="882"/>
        <v>0</v>
      </c>
      <c r="BJ162" s="1">
        <f t="shared" si="882"/>
        <v>0</v>
      </c>
      <c r="BK162" s="1">
        <f t="shared" si="882"/>
        <v>0</v>
      </c>
      <c r="BL162" s="1">
        <f t="shared" si="882"/>
        <v>0</v>
      </c>
      <c r="BM162" s="1">
        <f t="shared" si="882"/>
        <v>0</v>
      </c>
      <c r="BN162" s="1">
        <f t="shared" si="882"/>
        <v>0</v>
      </c>
      <c r="BO162" s="1">
        <f t="shared" si="882"/>
        <v>0</v>
      </c>
      <c r="BP162" s="1">
        <f t="shared" si="882"/>
        <v>0</v>
      </c>
      <c r="BQ162" s="1">
        <f t="shared" si="882"/>
        <v>0</v>
      </c>
      <c r="BR162" s="1">
        <f t="shared" si="882"/>
        <v>0</v>
      </c>
      <c r="BS162" s="1">
        <f t="shared" si="882"/>
        <v>0</v>
      </c>
      <c r="BT162" s="1">
        <f t="shared" si="882"/>
        <v>0</v>
      </c>
      <c r="BU162" s="1">
        <f t="shared" ref="BU162:BY162" si="883">(BU$14=$F144)*$F149*-1</f>
        <v>0</v>
      </c>
      <c r="BV162" s="1">
        <f t="shared" si="883"/>
        <v>0</v>
      </c>
      <c r="BW162" s="1">
        <f t="shared" si="883"/>
        <v>0</v>
      </c>
      <c r="BX162" s="1">
        <f t="shared" si="883"/>
        <v>0</v>
      </c>
      <c r="BY162" s="1">
        <f t="shared" si="883"/>
        <v>0</v>
      </c>
    </row>
    <row r="163" spans="3:77" ht="13.5" customHeight="1">
      <c r="E163" s="41" t="s">
        <v>172</v>
      </c>
      <c r="F163" s="41"/>
      <c r="G163" s="41"/>
      <c r="H163" s="41">
        <f>SUM(H160:H162)</f>
        <v>404.20800000000003</v>
      </c>
      <c r="I163" s="41">
        <f t="shared" ref="I163:BT163" si="884">SUM(I160:I162)</f>
        <v>404.20800000000003</v>
      </c>
      <c r="J163" s="41">
        <f t="shared" si="884"/>
        <v>404.20800000000003</v>
      </c>
      <c r="K163" s="41">
        <f t="shared" si="884"/>
        <v>404.20800000000003</v>
      </c>
      <c r="L163" s="41">
        <f t="shared" si="884"/>
        <v>404.20800000000003</v>
      </c>
      <c r="M163" s="41">
        <f t="shared" si="884"/>
        <v>404.20800000000003</v>
      </c>
      <c r="N163" s="41">
        <f t="shared" si="884"/>
        <v>404.20800000000003</v>
      </c>
      <c r="O163" s="41">
        <f t="shared" si="884"/>
        <v>404.20800000000003</v>
      </c>
      <c r="P163" s="41">
        <f t="shared" si="884"/>
        <v>404.20800000000003</v>
      </c>
      <c r="Q163" s="41">
        <f t="shared" si="884"/>
        <v>404.20800000000003</v>
      </c>
      <c r="R163" s="41">
        <f t="shared" si="884"/>
        <v>404.20800000000003</v>
      </c>
      <c r="S163" s="41">
        <f t="shared" si="884"/>
        <v>404.20800000000003</v>
      </c>
      <c r="T163" s="41">
        <f t="shared" si="884"/>
        <v>404.20800000000003</v>
      </c>
      <c r="U163" s="41">
        <f t="shared" si="884"/>
        <v>404.20800000000003</v>
      </c>
      <c r="V163" s="41">
        <f t="shared" si="884"/>
        <v>404.20800000000003</v>
      </c>
      <c r="W163" s="41">
        <f t="shared" si="884"/>
        <v>404.20800000000003</v>
      </c>
      <c r="X163" s="41">
        <f t="shared" si="884"/>
        <v>404.20800000000003</v>
      </c>
      <c r="Y163" s="41">
        <f t="shared" si="884"/>
        <v>404.20800000000003</v>
      </c>
      <c r="Z163" s="41">
        <f t="shared" si="884"/>
        <v>404.20800000000003</v>
      </c>
      <c r="AA163" s="41">
        <f t="shared" si="884"/>
        <v>404.20800000000003</v>
      </c>
      <c r="AB163" s="41">
        <f t="shared" si="884"/>
        <v>404.20800000000003</v>
      </c>
      <c r="AC163" s="41">
        <f t="shared" si="884"/>
        <v>404.20800000000003</v>
      </c>
      <c r="AD163" s="41">
        <f t="shared" si="884"/>
        <v>404.20800000000003</v>
      </c>
      <c r="AE163" s="41">
        <f t="shared" si="884"/>
        <v>404.20800000000003</v>
      </c>
      <c r="AF163" s="41">
        <f t="shared" si="884"/>
        <v>404.20800000000003</v>
      </c>
      <c r="AG163" s="41">
        <f t="shared" si="884"/>
        <v>404.20800000000003</v>
      </c>
      <c r="AH163" s="41">
        <f t="shared" si="884"/>
        <v>404.20800000000003</v>
      </c>
      <c r="AI163" s="41">
        <f t="shared" si="884"/>
        <v>404.20800000000003</v>
      </c>
      <c r="AJ163" s="41">
        <f t="shared" si="884"/>
        <v>404.20800000000003</v>
      </c>
      <c r="AK163" s="41">
        <f t="shared" si="884"/>
        <v>0</v>
      </c>
      <c r="AL163" s="41">
        <f t="shared" si="884"/>
        <v>0</v>
      </c>
      <c r="AM163" s="41">
        <f t="shared" si="884"/>
        <v>0</v>
      </c>
      <c r="AN163" s="41">
        <f t="shared" si="884"/>
        <v>0</v>
      </c>
      <c r="AO163" s="41">
        <f t="shared" si="884"/>
        <v>0</v>
      </c>
      <c r="AP163" s="41">
        <f t="shared" si="884"/>
        <v>0</v>
      </c>
      <c r="AQ163" s="41">
        <f t="shared" si="884"/>
        <v>0</v>
      </c>
      <c r="AR163" s="41">
        <f t="shared" si="884"/>
        <v>0</v>
      </c>
      <c r="AS163" s="41">
        <f t="shared" si="884"/>
        <v>0</v>
      </c>
      <c r="AT163" s="41">
        <f t="shared" si="884"/>
        <v>0</v>
      </c>
      <c r="AU163" s="41">
        <f t="shared" si="884"/>
        <v>0</v>
      </c>
      <c r="AV163" s="41">
        <f t="shared" si="884"/>
        <v>0</v>
      </c>
      <c r="AW163" s="41">
        <f t="shared" si="884"/>
        <v>0</v>
      </c>
      <c r="AX163" s="41">
        <f t="shared" si="884"/>
        <v>0</v>
      </c>
      <c r="AY163" s="41">
        <f t="shared" si="884"/>
        <v>0</v>
      </c>
      <c r="AZ163" s="41">
        <f t="shared" si="884"/>
        <v>0</v>
      </c>
      <c r="BA163" s="41">
        <f t="shared" si="884"/>
        <v>0</v>
      </c>
      <c r="BB163" s="41">
        <f t="shared" si="884"/>
        <v>0</v>
      </c>
      <c r="BC163" s="41">
        <f t="shared" si="884"/>
        <v>0</v>
      </c>
      <c r="BD163" s="41">
        <f t="shared" si="884"/>
        <v>0</v>
      </c>
      <c r="BE163" s="41">
        <f t="shared" si="884"/>
        <v>0</v>
      </c>
      <c r="BF163" s="41">
        <f t="shared" si="884"/>
        <v>0</v>
      </c>
      <c r="BG163" s="41">
        <f t="shared" si="884"/>
        <v>0</v>
      </c>
      <c r="BH163" s="41">
        <f t="shared" si="884"/>
        <v>0</v>
      </c>
      <c r="BI163" s="41">
        <f t="shared" si="884"/>
        <v>0</v>
      </c>
      <c r="BJ163" s="41">
        <f t="shared" si="884"/>
        <v>0</v>
      </c>
      <c r="BK163" s="41">
        <f t="shared" si="884"/>
        <v>0</v>
      </c>
      <c r="BL163" s="41">
        <f t="shared" si="884"/>
        <v>0</v>
      </c>
      <c r="BM163" s="41">
        <f t="shared" si="884"/>
        <v>0</v>
      </c>
      <c r="BN163" s="41">
        <f t="shared" si="884"/>
        <v>0</v>
      </c>
      <c r="BO163" s="41">
        <f t="shared" si="884"/>
        <v>0</v>
      </c>
      <c r="BP163" s="41">
        <f t="shared" si="884"/>
        <v>0</v>
      </c>
      <c r="BQ163" s="41">
        <f t="shared" si="884"/>
        <v>0</v>
      </c>
      <c r="BR163" s="41">
        <f t="shared" si="884"/>
        <v>0</v>
      </c>
      <c r="BS163" s="41">
        <f t="shared" si="884"/>
        <v>0</v>
      </c>
      <c r="BT163" s="41">
        <f t="shared" si="884"/>
        <v>0</v>
      </c>
      <c r="BU163" s="41">
        <f t="shared" ref="BU163:BY163" si="885">SUM(BU160:BU162)</f>
        <v>0</v>
      </c>
      <c r="BV163" s="41">
        <f t="shared" si="885"/>
        <v>0</v>
      </c>
      <c r="BW163" s="41">
        <f t="shared" si="885"/>
        <v>0</v>
      </c>
      <c r="BX163" s="41">
        <f t="shared" si="885"/>
        <v>0</v>
      </c>
      <c r="BY163" s="41">
        <f t="shared" si="885"/>
        <v>0</v>
      </c>
    </row>
    <row r="165" spans="3:77" ht="13.5" customHeight="1">
      <c r="C165" s="13" t="s">
        <v>183</v>
      </c>
    </row>
    <row r="166" spans="3:77" s="11" customFormat="1" ht="13.5" customHeight="1">
      <c r="F166" s="11" t="s">
        <v>160</v>
      </c>
      <c r="H166" s="11">
        <f t="shared" ref="H166:AM166" si="886">(H$14&gt;=$F173)*(H$14&lt;=exit)*1</f>
        <v>0</v>
      </c>
      <c r="I166" s="11">
        <f t="shared" si="886"/>
        <v>0</v>
      </c>
      <c r="J166" s="11">
        <f t="shared" si="886"/>
        <v>0</v>
      </c>
      <c r="K166" s="11">
        <f t="shared" si="886"/>
        <v>0</v>
      </c>
      <c r="L166" s="11">
        <f t="shared" si="886"/>
        <v>0</v>
      </c>
      <c r="M166" s="11">
        <f t="shared" si="886"/>
        <v>0</v>
      </c>
      <c r="N166" s="11">
        <f t="shared" si="886"/>
        <v>0</v>
      </c>
      <c r="O166" s="11">
        <f t="shared" si="886"/>
        <v>0</v>
      </c>
      <c r="P166" s="11">
        <f t="shared" si="886"/>
        <v>0</v>
      </c>
      <c r="Q166" s="11">
        <f t="shared" si="886"/>
        <v>0</v>
      </c>
      <c r="R166" s="11">
        <f t="shared" si="886"/>
        <v>0</v>
      </c>
      <c r="S166" s="11">
        <f t="shared" si="886"/>
        <v>0</v>
      </c>
      <c r="T166" s="11">
        <f t="shared" si="886"/>
        <v>0</v>
      </c>
      <c r="U166" s="11">
        <f t="shared" si="886"/>
        <v>0</v>
      </c>
      <c r="V166" s="11">
        <f t="shared" si="886"/>
        <v>0</v>
      </c>
      <c r="W166" s="11">
        <f t="shared" si="886"/>
        <v>0</v>
      </c>
      <c r="X166" s="11">
        <f t="shared" si="886"/>
        <v>0</v>
      </c>
      <c r="Y166" s="11">
        <f t="shared" si="886"/>
        <v>0</v>
      </c>
      <c r="Z166" s="11">
        <f t="shared" si="886"/>
        <v>0</v>
      </c>
      <c r="AA166" s="11">
        <f t="shared" si="886"/>
        <v>0</v>
      </c>
      <c r="AB166" s="11">
        <f t="shared" si="886"/>
        <v>0</v>
      </c>
      <c r="AC166" s="11">
        <f t="shared" si="886"/>
        <v>0</v>
      </c>
      <c r="AD166" s="11">
        <f t="shared" si="886"/>
        <v>0</v>
      </c>
      <c r="AE166" s="11">
        <f t="shared" si="886"/>
        <v>0</v>
      </c>
      <c r="AF166" s="11">
        <f t="shared" si="886"/>
        <v>0</v>
      </c>
      <c r="AG166" s="11">
        <f t="shared" si="886"/>
        <v>0</v>
      </c>
      <c r="AH166" s="11">
        <f t="shared" si="886"/>
        <v>0</v>
      </c>
      <c r="AI166" s="11">
        <f t="shared" si="886"/>
        <v>0</v>
      </c>
      <c r="AJ166" s="11">
        <f t="shared" si="886"/>
        <v>0</v>
      </c>
      <c r="AK166" s="11">
        <f t="shared" si="886"/>
        <v>0</v>
      </c>
      <c r="AL166" s="11">
        <f t="shared" si="886"/>
        <v>0</v>
      </c>
      <c r="AM166" s="11">
        <f t="shared" si="886"/>
        <v>1</v>
      </c>
      <c r="AN166" s="11">
        <f t="shared" ref="AN166:BS166" si="887">(AN$14&gt;=$F173)*(AN$14&lt;=exit)*1</f>
        <v>1</v>
      </c>
      <c r="AO166" s="11">
        <f t="shared" si="887"/>
        <v>1</v>
      </c>
      <c r="AP166" s="11">
        <f t="shared" si="887"/>
        <v>1</v>
      </c>
      <c r="AQ166" s="11">
        <f t="shared" si="887"/>
        <v>1</v>
      </c>
      <c r="AR166" s="11">
        <f t="shared" si="887"/>
        <v>1</v>
      </c>
      <c r="AS166" s="11">
        <f t="shared" si="887"/>
        <v>1</v>
      </c>
      <c r="AT166" s="11">
        <f t="shared" si="887"/>
        <v>1</v>
      </c>
      <c r="AU166" s="11">
        <f t="shared" si="887"/>
        <v>1</v>
      </c>
      <c r="AV166" s="11">
        <f t="shared" si="887"/>
        <v>1</v>
      </c>
      <c r="AW166" s="11">
        <f t="shared" si="887"/>
        <v>1</v>
      </c>
      <c r="AX166" s="11">
        <f t="shared" si="887"/>
        <v>1</v>
      </c>
      <c r="AY166" s="11">
        <f t="shared" si="887"/>
        <v>1</v>
      </c>
      <c r="AZ166" s="11">
        <f t="shared" si="887"/>
        <v>1</v>
      </c>
      <c r="BA166" s="11">
        <f t="shared" si="887"/>
        <v>1</v>
      </c>
      <c r="BB166" s="11">
        <f t="shared" si="887"/>
        <v>1</v>
      </c>
      <c r="BC166" s="11">
        <f t="shared" si="887"/>
        <v>1</v>
      </c>
      <c r="BD166" s="11">
        <f t="shared" si="887"/>
        <v>1</v>
      </c>
      <c r="BE166" s="11">
        <f t="shared" si="887"/>
        <v>1</v>
      </c>
      <c r="BF166" s="11">
        <f t="shared" si="887"/>
        <v>1</v>
      </c>
      <c r="BG166" s="11">
        <f t="shared" si="887"/>
        <v>1</v>
      </c>
      <c r="BH166" s="11">
        <f t="shared" si="887"/>
        <v>1</v>
      </c>
      <c r="BI166" s="11">
        <f t="shared" si="887"/>
        <v>1</v>
      </c>
      <c r="BJ166" s="11">
        <f t="shared" si="887"/>
        <v>1</v>
      </c>
      <c r="BK166" s="11">
        <f t="shared" si="887"/>
        <v>1</v>
      </c>
      <c r="BL166" s="11">
        <f t="shared" si="887"/>
        <v>1</v>
      </c>
      <c r="BM166" s="11">
        <f t="shared" si="887"/>
        <v>1</v>
      </c>
      <c r="BN166" s="11">
        <f t="shared" si="887"/>
        <v>1</v>
      </c>
      <c r="BO166" s="11">
        <f t="shared" si="887"/>
        <v>1</v>
      </c>
      <c r="BP166" s="11">
        <f t="shared" si="887"/>
        <v>1</v>
      </c>
      <c r="BQ166" s="11">
        <f t="shared" si="887"/>
        <v>0</v>
      </c>
      <c r="BR166" s="11">
        <f t="shared" si="887"/>
        <v>0</v>
      </c>
      <c r="BS166" s="11">
        <f t="shared" si="887"/>
        <v>0</v>
      </c>
      <c r="BT166" s="11">
        <f t="shared" ref="BT166:BY166" si="888">(BT$14&gt;=$F173)*(BT$14&lt;=exit)*1</f>
        <v>0</v>
      </c>
      <c r="BU166" s="11">
        <f t="shared" si="888"/>
        <v>0</v>
      </c>
      <c r="BV166" s="11">
        <f t="shared" si="888"/>
        <v>0</v>
      </c>
      <c r="BW166" s="11">
        <f t="shared" si="888"/>
        <v>0</v>
      </c>
      <c r="BX166" s="11">
        <f t="shared" si="888"/>
        <v>0</v>
      </c>
      <c r="BY166" s="11">
        <f t="shared" si="888"/>
        <v>0</v>
      </c>
    </row>
    <row r="167" spans="3:77" s="11" customFormat="1" ht="13.5" customHeight="1">
      <c r="F167" s="11" t="s">
        <v>191</v>
      </c>
      <c r="H167" s="11">
        <f>SUM($H166:H166)*H166</f>
        <v>0</v>
      </c>
      <c r="I167" s="11">
        <f>SUM($H166:I166)*I166</f>
        <v>0</v>
      </c>
      <c r="J167" s="11">
        <f>SUM($H166:J166)*J166</f>
        <v>0</v>
      </c>
      <c r="K167" s="11">
        <f>SUM($H166:K166)*K166</f>
        <v>0</v>
      </c>
      <c r="L167" s="11">
        <f>SUM($H166:L166)*L166</f>
        <v>0</v>
      </c>
      <c r="M167" s="11">
        <f>SUM($H166:M166)*M166</f>
        <v>0</v>
      </c>
      <c r="N167" s="11">
        <f>SUM($H166:N166)*N166</f>
        <v>0</v>
      </c>
      <c r="O167" s="11">
        <f>SUM($H166:O166)*O166</f>
        <v>0</v>
      </c>
      <c r="P167" s="11">
        <f>SUM($H166:P166)*P166</f>
        <v>0</v>
      </c>
      <c r="Q167" s="11">
        <f>SUM($H166:Q166)*Q166</f>
        <v>0</v>
      </c>
      <c r="R167" s="11">
        <f>SUM($H166:R166)*R166</f>
        <v>0</v>
      </c>
      <c r="S167" s="11">
        <f>SUM($H166:S166)*S166</f>
        <v>0</v>
      </c>
      <c r="T167" s="11">
        <f>SUM($H166:T166)*T166</f>
        <v>0</v>
      </c>
      <c r="U167" s="11">
        <f>SUM($H166:U166)*U166</f>
        <v>0</v>
      </c>
      <c r="V167" s="11">
        <f>SUM($H166:V166)*V166</f>
        <v>0</v>
      </c>
      <c r="W167" s="11">
        <f>SUM($H166:W166)*W166</f>
        <v>0</v>
      </c>
      <c r="X167" s="11">
        <f>SUM($H166:X166)*X166</f>
        <v>0</v>
      </c>
      <c r="Y167" s="11">
        <f>SUM($H166:Y166)*Y166</f>
        <v>0</v>
      </c>
      <c r="Z167" s="11">
        <f>SUM($H166:Z166)*Z166</f>
        <v>0</v>
      </c>
      <c r="AA167" s="11">
        <f>SUM($H166:AA166)*AA166</f>
        <v>0</v>
      </c>
      <c r="AB167" s="11">
        <f>SUM($H166:AB166)*AB166</f>
        <v>0</v>
      </c>
      <c r="AC167" s="11">
        <f>SUM($H166:AC166)*AC166</f>
        <v>0</v>
      </c>
      <c r="AD167" s="11">
        <f>SUM($H166:AD166)*AD166</f>
        <v>0</v>
      </c>
      <c r="AE167" s="11">
        <f>SUM($H166:AE166)*AE166</f>
        <v>0</v>
      </c>
      <c r="AF167" s="11">
        <f>SUM($H166:AF166)*AF166</f>
        <v>0</v>
      </c>
      <c r="AG167" s="11">
        <f>SUM($H166:AG166)*AG166</f>
        <v>0</v>
      </c>
      <c r="AH167" s="11">
        <f>SUM($H166:AH166)*AH166</f>
        <v>0</v>
      </c>
      <c r="AI167" s="11">
        <f>SUM($H166:AI166)*AI166</f>
        <v>0</v>
      </c>
      <c r="AJ167" s="11">
        <f>SUM($H166:AJ166)*AJ166</f>
        <v>0</v>
      </c>
      <c r="AK167" s="11">
        <f>SUM($H166:AK166)*AK166</f>
        <v>0</v>
      </c>
      <c r="AL167" s="11">
        <f>SUM($H166:AL166)*AL166</f>
        <v>0</v>
      </c>
      <c r="AM167" s="11">
        <f>SUM($H166:AM166)*AM166</f>
        <v>1</v>
      </c>
      <c r="AN167" s="11">
        <f>SUM($H166:AN166)*AN166</f>
        <v>2</v>
      </c>
      <c r="AO167" s="11">
        <f>SUM($H166:AO166)*AO166</f>
        <v>3</v>
      </c>
      <c r="AP167" s="11">
        <f>SUM($H166:AP166)*AP166</f>
        <v>4</v>
      </c>
      <c r="AQ167" s="11">
        <f>SUM($H166:AQ166)*AQ166</f>
        <v>5</v>
      </c>
      <c r="AR167" s="11">
        <f>SUM($H166:AR166)*AR166</f>
        <v>6</v>
      </c>
      <c r="AS167" s="11">
        <f>SUM($H166:AS166)*AS166</f>
        <v>7</v>
      </c>
      <c r="AT167" s="11">
        <f>SUM($H166:AT166)*AT166</f>
        <v>8</v>
      </c>
      <c r="AU167" s="11">
        <f>SUM($H166:AU166)*AU166</f>
        <v>9</v>
      </c>
      <c r="AV167" s="11">
        <f>SUM($H166:AV166)*AV166</f>
        <v>10</v>
      </c>
      <c r="AW167" s="11">
        <f>SUM($H166:AW166)*AW166</f>
        <v>11</v>
      </c>
      <c r="AX167" s="11">
        <f>SUM($H166:AX166)*AX166</f>
        <v>12</v>
      </c>
      <c r="AY167" s="11">
        <f>SUM($H166:AY166)*AY166</f>
        <v>13</v>
      </c>
      <c r="AZ167" s="11">
        <f>SUM($H166:AZ166)*AZ166</f>
        <v>14</v>
      </c>
      <c r="BA167" s="11">
        <f>SUM($H166:BA166)*BA166</f>
        <v>15</v>
      </c>
      <c r="BB167" s="11">
        <f>SUM($H166:BB166)*BB166</f>
        <v>16</v>
      </c>
      <c r="BC167" s="11">
        <f>SUM($H166:BC166)*BC166</f>
        <v>17</v>
      </c>
      <c r="BD167" s="11">
        <f>SUM($H166:BD166)*BD166</f>
        <v>18</v>
      </c>
      <c r="BE167" s="11">
        <f>SUM($H166:BE166)*BE166</f>
        <v>19</v>
      </c>
      <c r="BF167" s="11">
        <f>SUM($H166:BF166)*BF166</f>
        <v>20</v>
      </c>
      <c r="BG167" s="11">
        <f>SUM($H166:BG166)*BG166</f>
        <v>21</v>
      </c>
      <c r="BH167" s="11">
        <f>SUM($H166:BH166)*BH166</f>
        <v>22</v>
      </c>
      <c r="BI167" s="11">
        <f>SUM($H166:BI166)*BI166</f>
        <v>23</v>
      </c>
      <c r="BJ167" s="11">
        <f>SUM($H166:BJ166)*BJ166</f>
        <v>24</v>
      </c>
      <c r="BK167" s="11">
        <f>SUM($H166:BK166)*BK166</f>
        <v>25</v>
      </c>
      <c r="BL167" s="11">
        <f>SUM($H166:BL166)*BL166</f>
        <v>26</v>
      </c>
      <c r="BM167" s="11">
        <f>SUM($H166:BM166)*BM166</f>
        <v>27</v>
      </c>
      <c r="BN167" s="11">
        <f>SUM($H166:BN166)*BN166</f>
        <v>28</v>
      </c>
      <c r="BO167" s="11">
        <f>SUM($H166:BO166)*BO166</f>
        <v>29</v>
      </c>
      <c r="BP167" s="11">
        <f>SUM($H166:BP166)*BP166</f>
        <v>30</v>
      </c>
      <c r="BQ167" s="11">
        <f>SUM($H166:BQ166)*BQ166</f>
        <v>0</v>
      </c>
      <c r="BR167" s="11">
        <f>SUM($H166:BR166)*BR166</f>
        <v>0</v>
      </c>
      <c r="BS167" s="11">
        <f>SUM($H166:BS166)*BS166</f>
        <v>0</v>
      </c>
      <c r="BT167" s="11">
        <f>SUM($H166:BT166)*BT166</f>
        <v>0</v>
      </c>
      <c r="BU167" s="11">
        <f>SUM($H166:BU166)*BU166</f>
        <v>0</v>
      </c>
      <c r="BV167" s="11">
        <f>SUM($H166:BV166)*BV166</f>
        <v>0</v>
      </c>
      <c r="BW167" s="11">
        <f>SUM($H166:BW166)*BW166</f>
        <v>0</v>
      </c>
      <c r="BX167" s="11">
        <f>SUM($H166:BX166)*BX166</f>
        <v>0</v>
      </c>
      <c r="BY167" s="11">
        <f>SUM($H166:BY166)*BY166</f>
        <v>0</v>
      </c>
    </row>
    <row r="168" spans="3:77" s="11" customFormat="1" ht="13.5" customHeight="1">
      <c r="F168" s="11" t="s">
        <v>154</v>
      </c>
      <c r="H168" s="11">
        <f>(MOD(H167,12)=1)*1</f>
        <v>0</v>
      </c>
      <c r="I168" s="11">
        <f t="shared" ref="I168" si="889">(MOD(I167,12)=1)*1</f>
        <v>0</v>
      </c>
      <c r="J168" s="11">
        <f t="shared" ref="J168" si="890">(MOD(J167,12)=1)*1</f>
        <v>0</v>
      </c>
      <c r="K168" s="11">
        <f t="shared" ref="K168" si="891">(MOD(K167,12)=1)*1</f>
        <v>0</v>
      </c>
      <c r="L168" s="11">
        <f t="shared" ref="L168" si="892">(MOD(L167,12)=1)*1</f>
        <v>0</v>
      </c>
      <c r="M168" s="11">
        <f t="shared" ref="M168" si="893">(MOD(M167,12)=1)*1</f>
        <v>0</v>
      </c>
      <c r="N168" s="11">
        <f t="shared" ref="N168" si="894">(MOD(N167,12)=1)*1</f>
        <v>0</v>
      </c>
      <c r="O168" s="11">
        <f t="shared" ref="O168" si="895">(MOD(O167,12)=1)*1</f>
        <v>0</v>
      </c>
      <c r="P168" s="11">
        <f t="shared" ref="P168" si="896">(MOD(P167,12)=1)*1</f>
        <v>0</v>
      </c>
      <c r="Q168" s="11">
        <f t="shared" ref="Q168" si="897">(MOD(Q167,12)=1)*1</f>
        <v>0</v>
      </c>
      <c r="R168" s="11">
        <f t="shared" ref="R168" si="898">(MOD(R167,12)=1)*1</f>
        <v>0</v>
      </c>
      <c r="S168" s="11">
        <f t="shared" ref="S168" si="899">(MOD(S167,12)=1)*1</f>
        <v>0</v>
      </c>
      <c r="T168" s="11">
        <f t="shared" ref="T168" si="900">(MOD(T167,12)=1)*1</f>
        <v>0</v>
      </c>
      <c r="U168" s="11">
        <f t="shared" ref="U168" si="901">(MOD(U167,12)=1)*1</f>
        <v>0</v>
      </c>
      <c r="V168" s="11">
        <f t="shared" ref="V168" si="902">(MOD(V167,12)=1)*1</f>
        <v>0</v>
      </c>
      <c r="W168" s="11">
        <f t="shared" ref="W168" si="903">(MOD(W167,12)=1)*1</f>
        <v>0</v>
      </c>
      <c r="X168" s="11">
        <f t="shared" ref="X168" si="904">(MOD(X167,12)=1)*1</f>
        <v>0</v>
      </c>
      <c r="Y168" s="11">
        <f t="shared" ref="Y168" si="905">(MOD(Y167,12)=1)*1</f>
        <v>0</v>
      </c>
      <c r="Z168" s="11">
        <f t="shared" ref="Z168" si="906">(MOD(Z167,12)=1)*1</f>
        <v>0</v>
      </c>
      <c r="AA168" s="11">
        <f t="shared" ref="AA168" si="907">(MOD(AA167,12)=1)*1</f>
        <v>0</v>
      </c>
      <c r="AB168" s="11">
        <f t="shared" ref="AB168" si="908">(MOD(AB167,12)=1)*1</f>
        <v>0</v>
      </c>
      <c r="AC168" s="11">
        <f t="shared" ref="AC168" si="909">(MOD(AC167,12)=1)*1</f>
        <v>0</v>
      </c>
      <c r="AD168" s="11">
        <f t="shared" ref="AD168" si="910">(MOD(AD167,12)=1)*1</f>
        <v>0</v>
      </c>
      <c r="AE168" s="11">
        <f t="shared" ref="AE168" si="911">(MOD(AE167,12)=1)*1</f>
        <v>0</v>
      </c>
      <c r="AF168" s="11">
        <f t="shared" ref="AF168" si="912">(MOD(AF167,12)=1)*1</f>
        <v>0</v>
      </c>
      <c r="AG168" s="11">
        <f t="shared" ref="AG168" si="913">(MOD(AG167,12)=1)*1</f>
        <v>0</v>
      </c>
      <c r="AH168" s="11">
        <f t="shared" ref="AH168" si="914">(MOD(AH167,12)=1)*1</f>
        <v>0</v>
      </c>
      <c r="AI168" s="11">
        <f t="shared" ref="AI168" si="915">(MOD(AI167,12)=1)*1</f>
        <v>0</v>
      </c>
      <c r="AJ168" s="11">
        <f t="shared" ref="AJ168" si="916">(MOD(AJ167,12)=1)*1</f>
        <v>0</v>
      </c>
      <c r="AK168" s="11">
        <f t="shared" ref="AK168" si="917">(MOD(AK167,12)=1)*1</f>
        <v>0</v>
      </c>
      <c r="AL168" s="11">
        <f t="shared" ref="AL168" si="918">(MOD(AL167,12)=1)*1</f>
        <v>0</v>
      </c>
      <c r="AM168" s="11">
        <f t="shared" ref="AM168" si="919">(MOD(AM167,12)=1)*1</f>
        <v>1</v>
      </c>
      <c r="AN168" s="11">
        <f t="shared" ref="AN168" si="920">(MOD(AN167,12)=1)*1</f>
        <v>0</v>
      </c>
      <c r="AO168" s="11">
        <f t="shared" ref="AO168" si="921">(MOD(AO167,12)=1)*1</f>
        <v>0</v>
      </c>
      <c r="AP168" s="11">
        <f t="shared" ref="AP168" si="922">(MOD(AP167,12)=1)*1</f>
        <v>0</v>
      </c>
      <c r="AQ168" s="11">
        <f t="shared" ref="AQ168" si="923">(MOD(AQ167,12)=1)*1</f>
        <v>0</v>
      </c>
      <c r="AR168" s="11">
        <f t="shared" ref="AR168" si="924">(MOD(AR167,12)=1)*1</f>
        <v>0</v>
      </c>
      <c r="AS168" s="11">
        <f t="shared" ref="AS168" si="925">(MOD(AS167,12)=1)*1</f>
        <v>0</v>
      </c>
      <c r="AT168" s="11">
        <f t="shared" ref="AT168" si="926">(MOD(AT167,12)=1)*1</f>
        <v>0</v>
      </c>
      <c r="AU168" s="11">
        <f t="shared" ref="AU168" si="927">(MOD(AU167,12)=1)*1</f>
        <v>0</v>
      </c>
      <c r="AV168" s="11">
        <f t="shared" ref="AV168" si="928">(MOD(AV167,12)=1)*1</f>
        <v>0</v>
      </c>
      <c r="AW168" s="11">
        <f t="shared" ref="AW168" si="929">(MOD(AW167,12)=1)*1</f>
        <v>0</v>
      </c>
      <c r="AX168" s="11">
        <f t="shared" ref="AX168" si="930">(MOD(AX167,12)=1)*1</f>
        <v>0</v>
      </c>
      <c r="AY168" s="11">
        <f t="shared" ref="AY168" si="931">(MOD(AY167,12)=1)*1</f>
        <v>1</v>
      </c>
      <c r="AZ168" s="11">
        <f t="shared" ref="AZ168" si="932">(MOD(AZ167,12)=1)*1</f>
        <v>0</v>
      </c>
      <c r="BA168" s="11">
        <f t="shared" ref="BA168" si="933">(MOD(BA167,12)=1)*1</f>
        <v>0</v>
      </c>
      <c r="BB168" s="11">
        <f t="shared" ref="BB168" si="934">(MOD(BB167,12)=1)*1</f>
        <v>0</v>
      </c>
      <c r="BC168" s="11">
        <f t="shared" ref="BC168" si="935">(MOD(BC167,12)=1)*1</f>
        <v>0</v>
      </c>
      <c r="BD168" s="11">
        <f t="shared" ref="BD168" si="936">(MOD(BD167,12)=1)*1</f>
        <v>0</v>
      </c>
      <c r="BE168" s="11">
        <f t="shared" ref="BE168" si="937">(MOD(BE167,12)=1)*1</f>
        <v>0</v>
      </c>
      <c r="BF168" s="11">
        <f t="shared" ref="BF168" si="938">(MOD(BF167,12)=1)*1</f>
        <v>0</v>
      </c>
      <c r="BG168" s="11">
        <f t="shared" ref="BG168" si="939">(MOD(BG167,12)=1)*1</f>
        <v>0</v>
      </c>
      <c r="BH168" s="11">
        <f t="shared" ref="BH168" si="940">(MOD(BH167,12)=1)*1</f>
        <v>0</v>
      </c>
      <c r="BI168" s="11">
        <f t="shared" ref="BI168" si="941">(MOD(BI167,12)=1)*1</f>
        <v>0</v>
      </c>
      <c r="BJ168" s="11">
        <f t="shared" ref="BJ168" si="942">(MOD(BJ167,12)=1)*1</f>
        <v>0</v>
      </c>
      <c r="BK168" s="11">
        <f t="shared" ref="BK168" si="943">(MOD(BK167,12)=1)*1</f>
        <v>1</v>
      </c>
      <c r="BL168" s="11">
        <f t="shared" ref="BL168" si="944">(MOD(BL167,12)=1)*1</f>
        <v>0</v>
      </c>
      <c r="BM168" s="11">
        <f t="shared" ref="BM168" si="945">(MOD(BM167,12)=1)*1</f>
        <v>0</v>
      </c>
      <c r="BN168" s="11">
        <f t="shared" ref="BN168" si="946">(MOD(BN167,12)=1)*1</f>
        <v>0</v>
      </c>
      <c r="BO168" s="11">
        <f t="shared" ref="BO168" si="947">(MOD(BO167,12)=1)*1</f>
        <v>0</v>
      </c>
      <c r="BP168" s="11">
        <f t="shared" ref="BP168" si="948">(MOD(BP167,12)=1)*1</f>
        <v>0</v>
      </c>
      <c r="BQ168" s="11">
        <f t="shared" ref="BQ168" si="949">(MOD(BQ167,12)=1)*1</f>
        <v>0</v>
      </c>
      <c r="BR168" s="11">
        <f t="shared" ref="BR168" si="950">(MOD(BR167,12)=1)*1</f>
        <v>0</v>
      </c>
      <c r="BS168" s="11">
        <f t="shared" ref="BS168" si="951">(MOD(BS167,12)=1)*1</f>
        <v>0</v>
      </c>
      <c r="BT168" s="11">
        <f t="shared" ref="BT168" si="952">(MOD(BT167,12)=1)*1</f>
        <v>0</v>
      </c>
      <c r="BU168" s="11">
        <f t="shared" ref="BU168" si="953">(MOD(BU167,12)=1)*1</f>
        <v>0</v>
      </c>
      <c r="BV168" s="11">
        <f t="shared" ref="BV168" si="954">(MOD(BV167,12)=1)*1</f>
        <v>0</v>
      </c>
      <c r="BW168" s="11">
        <f t="shared" ref="BW168" si="955">(MOD(BW167,12)=1)*1</f>
        <v>0</v>
      </c>
      <c r="BX168" s="11">
        <f t="shared" ref="BX168" si="956">(MOD(BX167,12)=1)*1</f>
        <v>0</v>
      </c>
      <c r="BY168" s="11">
        <f t="shared" ref="BY168" si="957">(MOD(BY167,12)=1)*1</f>
        <v>0</v>
      </c>
    </row>
    <row r="169" spans="3:77" s="11" customFormat="1" ht="13.5" customHeight="1">
      <c r="F169" s="11" t="s">
        <v>192</v>
      </c>
      <c r="H169" s="118">
        <f>SUM($H168:H168)*H166</f>
        <v>0</v>
      </c>
      <c r="I169" s="118">
        <f>SUM($H168:I168)*I166</f>
        <v>0</v>
      </c>
      <c r="J169" s="118">
        <f>SUM($H168:J168)*J166</f>
        <v>0</v>
      </c>
      <c r="K169" s="118">
        <f>SUM($H168:K168)*K166</f>
        <v>0</v>
      </c>
      <c r="L169" s="118">
        <f>SUM($H168:L168)*L166</f>
        <v>0</v>
      </c>
      <c r="M169" s="118">
        <f>SUM($H168:M168)*M166</f>
        <v>0</v>
      </c>
      <c r="N169" s="118">
        <f>SUM($H168:N168)*N166</f>
        <v>0</v>
      </c>
      <c r="O169" s="118">
        <f>SUM($H168:O168)*O166</f>
        <v>0</v>
      </c>
      <c r="P169" s="118">
        <f>SUM($H168:P168)*P166</f>
        <v>0</v>
      </c>
      <c r="Q169" s="118">
        <f>SUM($H168:Q168)*Q166</f>
        <v>0</v>
      </c>
      <c r="R169" s="118">
        <f>SUM($H168:R168)*R166</f>
        <v>0</v>
      </c>
      <c r="S169" s="118">
        <f>SUM($H168:S168)*S166</f>
        <v>0</v>
      </c>
      <c r="T169" s="118">
        <f>SUM($H168:T168)*T166</f>
        <v>0</v>
      </c>
      <c r="U169" s="118">
        <f>SUM($H168:U168)*U166</f>
        <v>0</v>
      </c>
      <c r="V169" s="118">
        <f>SUM($H168:V168)*V166</f>
        <v>0</v>
      </c>
      <c r="W169" s="118">
        <f>SUM($H168:W168)*W166</f>
        <v>0</v>
      </c>
      <c r="X169" s="118">
        <f>SUM($H168:X168)*X166</f>
        <v>0</v>
      </c>
      <c r="Y169" s="118">
        <f>SUM($H168:Y168)*Y166</f>
        <v>0</v>
      </c>
      <c r="Z169" s="118">
        <f>SUM($H168:Z168)*Z166</f>
        <v>0</v>
      </c>
      <c r="AA169" s="118">
        <f>SUM($H168:AA168)*AA166</f>
        <v>0</v>
      </c>
      <c r="AB169" s="118">
        <f>SUM($H168:AB168)*AB166</f>
        <v>0</v>
      </c>
      <c r="AC169" s="118">
        <f>SUM($H168:AC168)*AC166</f>
        <v>0</v>
      </c>
      <c r="AD169" s="118">
        <f>SUM($H168:AD168)*AD166</f>
        <v>0</v>
      </c>
      <c r="AE169" s="118">
        <f>SUM($H168:AE168)*AE166</f>
        <v>0</v>
      </c>
      <c r="AF169" s="118">
        <f>SUM($H168:AF168)*AF166</f>
        <v>0</v>
      </c>
      <c r="AG169" s="118">
        <f>SUM($H168:AG168)*AG166</f>
        <v>0</v>
      </c>
      <c r="AH169" s="118">
        <f>SUM($H168:AH168)*AH166</f>
        <v>0</v>
      </c>
      <c r="AI169" s="118">
        <f>SUM($H168:AI168)*AI166</f>
        <v>0</v>
      </c>
      <c r="AJ169" s="118">
        <f>SUM($H168:AJ168)*AJ166</f>
        <v>0</v>
      </c>
      <c r="AK169" s="118">
        <f>SUM($H168:AK168)*AK166</f>
        <v>0</v>
      </c>
      <c r="AL169" s="118">
        <f>SUM($H168:AL168)*AL166</f>
        <v>0</v>
      </c>
      <c r="AM169" s="118">
        <f>SUM($H168:AM168)*AM166</f>
        <v>1</v>
      </c>
      <c r="AN169" s="118">
        <f>SUM($H168:AN168)*AN166</f>
        <v>1</v>
      </c>
      <c r="AO169" s="118">
        <f>SUM($H168:AO168)*AO166</f>
        <v>1</v>
      </c>
      <c r="AP169" s="118">
        <f>SUM($H168:AP168)*AP166</f>
        <v>1</v>
      </c>
      <c r="AQ169" s="118">
        <f>SUM($H168:AQ168)*AQ166</f>
        <v>1</v>
      </c>
      <c r="AR169" s="118">
        <f>SUM($H168:AR168)*AR166</f>
        <v>1</v>
      </c>
      <c r="AS169" s="118">
        <f>SUM($H168:AS168)*AS166</f>
        <v>1</v>
      </c>
      <c r="AT169" s="118">
        <f>SUM($H168:AT168)*AT166</f>
        <v>1</v>
      </c>
      <c r="AU169" s="118">
        <f>SUM($H168:AU168)*AU166</f>
        <v>1</v>
      </c>
      <c r="AV169" s="118">
        <f>SUM($H168:AV168)*AV166</f>
        <v>1</v>
      </c>
      <c r="AW169" s="118">
        <f>SUM($H168:AW168)*AW166</f>
        <v>1</v>
      </c>
      <c r="AX169" s="118">
        <f>SUM($H168:AX168)*AX166</f>
        <v>1</v>
      </c>
      <c r="AY169" s="118">
        <f>SUM($H168:AY168)*AY166</f>
        <v>2</v>
      </c>
      <c r="AZ169" s="118">
        <f>SUM($H168:AZ168)*AZ166</f>
        <v>2</v>
      </c>
      <c r="BA169" s="118">
        <f>SUM($H168:BA168)*BA166</f>
        <v>2</v>
      </c>
      <c r="BB169" s="118">
        <f>SUM($H168:BB168)*BB166</f>
        <v>2</v>
      </c>
      <c r="BC169" s="118">
        <f>SUM($H168:BC168)*BC166</f>
        <v>2</v>
      </c>
      <c r="BD169" s="118">
        <f>SUM($H168:BD168)*BD166</f>
        <v>2</v>
      </c>
      <c r="BE169" s="118">
        <f>SUM($H168:BE168)*BE166</f>
        <v>2</v>
      </c>
      <c r="BF169" s="118">
        <f>SUM($H168:BF168)*BF166</f>
        <v>2</v>
      </c>
      <c r="BG169" s="118">
        <f>SUM($H168:BG168)*BG166</f>
        <v>2</v>
      </c>
      <c r="BH169" s="118">
        <f>SUM($H168:BH168)*BH166</f>
        <v>2</v>
      </c>
      <c r="BI169" s="118">
        <f>SUM($H168:BI168)*BI166</f>
        <v>2</v>
      </c>
      <c r="BJ169" s="118">
        <f>SUM($H168:BJ168)*BJ166</f>
        <v>2</v>
      </c>
      <c r="BK169" s="118">
        <f>SUM($H168:BK168)*BK166</f>
        <v>3</v>
      </c>
      <c r="BL169" s="118">
        <f>SUM($H168:BL168)*BL166</f>
        <v>3</v>
      </c>
      <c r="BM169" s="118">
        <f>SUM($H168:BM168)*BM166</f>
        <v>3</v>
      </c>
      <c r="BN169" s="118">
        <f>SUM($H168:BN168)*BN166</f>
        <v>3</v>
      </c>
      <c r="BO169" s="118">
        <f>SUM($H168:BO168)*BO166</f>
        <v>3</v>
      </c>
      <c r="BP169" s="118">
        <f>SUM($H168:BP168)*BP166</f>
        <v>3</v>
      </c>
      <c r="BQ169" s="118">
        <f>SUM($H168:BQ168)*BQ166</f>
        <v>0</v>
      </c>
      <c r="BR169" s="118">
        <f>SUM($H168:BR168)*BR166</f>
        <v>0</v>
      </c>
      <c r="BS169" s="118">
        <f>SUM($H168:BS168)*BS166</f>
        <v>0</v>
      </c>
      <c r="BT169" s="118">
        <f>SUM($H168:BT168)*BT166</f>
        <v>0</v>
      </c>
      <c r="BU169" s="118">
        <f>SUM($H168:BU168)*BU166</f>
        <v>0</v>
      </c>
      <c r="BV169" s="118">
        <f>SUM($H168:BV168)*BV166</f>
        <v>0</v>
      </c>
      <c r="BW169" s="118">
        <f>SUM($H168:BW168)*BW166</f>
        <v>0</v>
      </c>
      <c r="BX169" s="118">
        <f>SUM($H168:BX168)*BX166</f>
        <v>0</v>
      </c>
      <c r="BY169" s="118">
        <f>SUM($H168:BY168)*BY166</f>
        <v>0</v>
      </c>
    </row>
    <row r="170" spans="3:77" s="11" customFormat="1" ht="13.5" customHeight="1">
      <c r="F170" s="11" t="s">
        <v>193</v>
      </c>
      <c r="H170" s="119">
        <f t="shared" ref="H170:AM170" si="958">(1+$F181)^(H169-1)*H166</f>
        <v>0</v>
      </c>
      <c r="I170" s="119">
        <f t="shared" si="958"/>
        <v>0</v>
      </c>
      <c r="J170" s="119">
        <f t="shared" si="958"/>
        <v>0</v>
      </c>
      <c r="K170" s="119">
        <f t="shared" si="958"/>
        <v>0</v>
      </c>
      <c r="L170" s="119">
        <f t="shared" si="958"/>
        <v>0</v>
      </c>
      <c r="M170" s="119">
        <f t="shared" si="958"/>
        <v>0</v>
      </c>
      <c r="N170" s="119">
        <f t="shared" si="958"/>
        <v>0</v>
      </c>
      <c r="O170" s="119">
        <f t="shared" si="958"/>
        <v>0</v>
      </c>
      <c r="P170" s="119">
        <f t="shared" si="958"/>
        <v>0</v>
      </c>
      <c r="Q170" s="119">
        <f t="shared" si="958"/>
        <v>0</v>
      </c>
      <c r="R170" s="119">
        <f t="shared" si="958"/>
        <v>0</v>
      </c>
      <c r="S170" s="119">
        <f t="shared" si="958"/>
        <v>0</v>
      </c>
      <c r="T170" s="119">
        <f t="shared" si="958"/>
        <v>0</v>
      </c>
      <c r="U170" s="119">
        <f t="shared" si="958"/>
        <v>0</v>
      </c>
      <c r="V170" s="119">
        <f t="shared" si="958"/>
        <v>0</v>
      </c>
      <c r="W170" s="119">
        <f t="shared" si="958"/>
        <v>0</v>
      </c>
      <c r="X170" s="119">
        <f t="shared" si="958"/>
        <v>0</v>
      </c>
      <c r="Y170" s="119">
        <f t="shared" si="958"/>
        <v>0</v>
      </c>
      <c r="Z170" s="119">
        <f t="shared" si="958"/>
        <v>0</v>
      </c>
      <c r="AA170" s="119">
        <f t="shared" si="958"/>
        <v>0</v>
      </c>
      <c r="AB170" s="119">
        <f t="shared" si="958"/>
        <v>0</v>
      </c>
      <c r="AC170" s="119">
        <f t="shared" si="958"/>
        <v>0</v>
      </c>
      <c r="AD170" s="119">
        <f t="shared" si="958"/>
        <v>0</v>
      </c>
      <c r="AE170" s="119">
        <f t="shared" si="958"/>
        <v>0</v>
      </c>
      <c r="AF170" s="119">
        <f t="shared" si="958"/>
        <v>0</v>
      </c>
      <c r="AG170" s="119">
        <f t="shared" si="958"/>
        <v>0</v>
      </c>
      <c r="AH170" s="119">
        <f t="shared" si="958"/>
        <v>0</v>
      </c>
      <c r="AI170" s="119">
        <f t="shared" si="958"/>
        <v>0</v>
      </c>
      <c r="AJ170" s="119">
        <f t="shared" si="958"/>
        <v>0</v>
      </c>
      <c r="AK170" s="119">
        <f t="shared" si="958"/>
        <v>0</v>
      </c>
      <c r="AL170" s="119">
        <f t="shared" si="958"/>
        <v>0</v>
      </c>
      <c r="AM170" s="119">
        <f t="shared" si="958"/>
        <v>1</v>
      </c>
      <c r="AN170" s="119">
        <f t="shared" ref="AN170:BS170" si="959">(1+$F181)^(AN169-1)*AN166</f>
        <v>1</v>
      </c>
      <c r="AO170" s="119">
        <f t="shared" si="959"/>
        <v>1</v>
      </c>
      <c r="AP170" s="119">
        <f t="shared" si="959"/>
        <v>1</v>
      </c>
      <c r="AQ170" s="119">
        <f t="shared" si="959"/>
        <v>1</v>
      </c>
      <c r="AR170" s="119">
        <f t="shared" si="959"/>
        <v>1</v>
      </c>
      <c r="AS170" s="119">
        <f t="shared" si="959"/>
        <v>1</v>
      </c>
      <c r="AT170" s="119">
        <f t="shared" si="959"/>
        <v>1</v>
      </c>
      <c r="AU170" s="119">
        <f t="shared" si="959"/>
        <v>1</v>
      </c>
      <c r="AV170" s="119">
        <f t="shared" si="959"/>
        <v>1</v>
      </c>
      <c r="AW170" s="119">
        <f t="shared" si="959"/>
        <v>1</v>
      </c>
      <c r="AX170" s="119">
        <f t="shared" si="959"/>
        <v>1</v>
      </c>
      <c r="AY170" s="119">
        <f t="shared" si="959"/>
        <v>1.01</v>
      </c>
      <c r="AZ170" s="119">
        <f t="shared" si="959"/>
        <v>1.01</v>
      </c>
      <c r="BA170" s="119">
        <f t="shared" si="959"/>
        <v>1.01</v>
      </c>
      <c r="BB170" s="119">
        <f t="shared" si="959"/>
        <v>1.01</v>
      </c>
      <c r="BC170" s="119">
        <f t="shared" si="959"/>
        <v>1.01</v>
      </c>
      <c r="BD170" s="119">
        <f t="shared" si="959"/>
        <v>1.01</v>
      </c>
      <c r="BE170" s="119">
        <f t="shared" si="959"/>
        <v>1.01</v>
      </c>
      <c r="BF170" s="119">
        <f t="shared" si="959"/>
        <v>1.01</v>
      </c>
      <c r="BG170" s="119">
        <f t="shared" si="959"/>
        <v>1.01</v>
      </c>
      <c r="BH170" s="119">
        <f t="shared" si="959"/>
        <v>1.01</v>
      </c>
      <c r="BI170" s="119">
        <f t="shared" si="959"/>
        <v>1.01</v>
      </c>
      <c r="BJ170" s="119">
        <f t="shared" si="959"/>
        <v>1.01</v>
      </c>
      <c r="BK170" s="119">
        <f t="shared" si="959"/>
        <v>1.0201</v>
      </c>
      <c r="BL170" s="119">
        <f t="shared" si="959"/>
        <v>1.0201</v>
      </c>
      <c r="BM170" s="119">
        <f t="shared" si="959"/>
        <v>1.0201</v>
      </c>
      <c r="BN170" s="119">
        <f t="shared" si="959"/>
        <v>1.0201</v>
      </c>
      <c r="BO170" s="119">
        <f t="shared" si="959"/>
        <v>1.0201</v>
      </c>
      <c r="BP170" s="119">
        <f t="shared" si="959"/>
        <v>1.0201</v>
      </c>
      <c r="BQ170" s="119">
        <f t="shared" si="959"/>
        <v>0</v>
      </c>
      <c r="BR170" s="119">
        <f t="shared" si="959"/>
        <v>0</v>
      </c>
      <c r="BS170" s="119">
        <f t="shared" si="959"/>
        <v>0</v>
      </c>
      <c r="BT170" s="119">
        <f t="shared" ref="BT170:BY170" si="960">(1+$F181)^(BT169-1)*BT166</f>
        <v>0</v>
      </c>
      <c r="BU170" s="119">
        <f t="shared" si="960"/>
        <v>0</v>
      </c>
      <c r="BV170" s="119">
        <f t="shared" si="960"/>
        <v>0</v>
      </c>
      <c r="BW170" s="119">
        <f t="shared" si="960"/>
        <v>0</v>
      </c>
      <c r="BX170" s="119">
        <f t="shared" si="960"/>
        <v>0</v>
      </c>
      <c r="BY170" s="119">
        <f t="shared" si="960"/>
        <v>0</v>
      </c>
    </row>
    <row r="171" spans="3:77" s="11" customFormat="1" ht="13.5" customHeight="1">
      <c r="F171" s="11" t="s">
        <v>194</v>
      </c>
      <c r="H171" s="119">
        <f t="shared" ref="H171:AM171" si="961">(1+$F182)^(H169-1)*H166</f>
        <v>0</v>
      </c>
      <c r="I171" s="119">
        <f t="shared" si="961"/>
        <v>0</v>
      </c>
      <c r="J171" s="119">
        <f t="shared" si="961"/>
        <v>0</v>
      </c>
      <c r="K171" s="119">
        <f t="shared" si="961"/>
        <v>0</v>
      </c>
      <c r="L171" s="119">
        <f t="shared" si="961"/>
        <v>0</v>
      </c>
      <c r="M171" s="119">
        <f t="shared" si="961"/>
        <v>0</v>
      </c>
      <c r="N171" s="119">
        <f t="shared" si="961"/>
        <v>0</v>
      </c>
      <c r="O171" s="119">
        <f t="shared" si="961"/>
        <v>0</v>
      </c>
      <c r="P171" s="119">
        <f t="shared" si="961"/>
        <v>0</v>
      </c>
      <c r="Q171" s="119">
        <f t="shared" si="961"/>
        <v>0</v>
      </c>
      <c r="R171" s="119">
        <f t="shared" si="961"/>
        <v>0</v>
      </c>
      <c r="S171" s="119">
        <f t="shared" si="961"/>
        <v>0</v>
      </c>
      <c r="T171" s="119">
        <f t="shared" si="961"/>
        <v>0</v>
      </c>
      <c r="U171" s="119">
        <f t="shared" si="961"/>
        <v>0</v>
      </c>
      <c r="V171" s="119">
        <f t="shared" si="961"/>
        <v>0</v>
      </c>
      <c r="W171" s="119">
        <f t="shared" si="961"/>
        <v>0</v>
      </c>
      <c r="X171" s="119">
        <f t="shared" si="961"/>
        <v>0</v>
      </c>
      <c r="Y171" s="119">
        <f t="shared" si="961"/>
        <v>0</v>
      </c>
      <c r="Z171" s="119">
        <f t="shared" si="961"/>
        <v>0</v>
      </c>
      <c r="AA171" s="119">
        <f t="shared" si="961"/>
        <v>0</v>
      </c>
      <c r="AB171" s="119">
        <f t="shared" si="961"/>
        <v>0</v>
      </c>
      <c r="AC171" s="119">
        <f t="shared" si="961"/>
        <v>0</v>
      </c>
      <c r="AD171" s="119">
        <f t="shared" si="961"/>
        <v>0</v>
      </c>
      <c r="AE171" s="119">
        <f t="shared" si="961"/>
        <v>0</v>
      </c>
      <c r="AF171" s="119">
        <f t="shared" si="961"/>
        <v>0</v>
      </c>
      <c r="AG171" s="119">
        <f t="shared" si="961"/>
        <v>0</v>
      </c>
      <c r="AH171" s="119">
        <f t="shared" si="961"/>
        <v>0</v>
      </c>
      <c r="AI171" s="119">
        <f t="shared" si="961"/>
        <v>0</v>
      </c>
      <c r="AJ171" s="119">
        <f t="shared" si="961"/>
        <v>0</v>
      </c>
      <c r="AK171" s="119">
        <f t="shared" si="961"/>
        <v>0</v>
      </c>
      <c r="AL171" s="119">
        <f t="shared" si="961"/>
        <v>0</v>
      </c>
      <c r="AM171" s="119">
        <f t="shared" si="961"/>
        <v>1</v>
      </c>
      <c r="AN171" s="119">
        <f t="shared" ref="AN171:BS171" si="962">(1+$F182)^(AN169-1)*AN166</f>
        <v>1</v>
      </c>
      <c r="AO171" s="119">
        <f t="shared" si="962"/>
        <v>1</v>
      </c>
      <c r="AP171" s="119">
        <f t="shared" si="962"/>
        <v>1</v>
      </c>
      <c r="AQ171" s="119">
        <f t="shared" si="962"/>
        <v>1</v>
      </c>
      <c r="AR171" s="119">
        <f t="shared" si="962"/>
        <v>1</v>
      </c>
      <c r="AS171" s="119">
        <f t="shared" si="962"/>
        <v>1</v>
      </c>
      <c r="AT171" s="119">
        <f t="shared" si="962"/>
        <v>1</v>
      </c>
      <c r="AU171" s="119">
        <f t="shared" si="962"/>
        <v>1</v>
      </c>
      <c r="AV171" s="119">
        <f t="shared" si="962"/>
        <v>1</v>
      </c>
      <c r="AW171" s="119">
        <f t="shared" si="962"/>
        <v>1</v>
      </c>
      <c r="AX171" s="119">
        <f t="shared" si="962"/>
        <v>1</v>
      </c>
      <c r="AY171" s="119">
        <f t="shared" si="962"/>
        <v>1.01</v>
      </c>
      <c r="AZ171" s="119">
        <f t="shared" si="962"/>
        <v>1.01</v>
      </c>
      <c r="BA171" s="119">
        <f t="shared" si="962"/>
        <v>1.01</v>
      </c>
      <c r="BB171" s="119">
        <f t="shared" si="962"/>
        <v>1.01</v>
      </c>
      <c r="BC171" s="119">
        <f t="shared" si="962"/>
        <v>1.01</v>
      </c>
      <c r="BD171" s="119">
        <f t="shared" si="962"/>
        <v>1.01</v>
      </c>
      <c r="BE171" s="119">
        <f t="shared" si="962"/>
        <v>1.01</v>
      </c>
      <c r="BF171" s="119">
        <f t="shared" si="962"/>
        <v>1.01</v>
      </c>
      <c r="BG171" s="119">
        <f t="shared" si="962"/>
        <v>1.01</v>
      </c>
      <c r="BH171" s="119">
        <f t="shared" si="962"/>
        <v>1.01</v>
      </c>
      <c r="BI171" s="119">
        <f t="shared" si="962"/>
        <v>1.01</v>
      </c>
      <c r="BJ171" s="119">
        <f t="shared" si="962"/>
        <v>1.01</v>
      </c>
      <c r="BK171" s="119">
        <f t="shared" si="962"/>
        <v>1.0201</v>
      </c>
      <c r="BL171" s="119">
        <f t="shared" si="962"/>
        <v>1.0201</v>
      </c>
      <c r="BM171" s="119">
        <f t="shared" si="962"/>
        <v>1.0201</v>
      </c>
      <c r="BN171" s="119">
        <f t="shared" si="962"/>
        <v>1.0201</v>
      </c>
      <c r="BO171" s="119">
        <f t="shared" si="962"/>
        <v>1.0201</v>
      </c>
      <c r="BP171" s="119">
        <f t="shared" si="962"/>
        <v>1.0201</v>
      </c>
      <c r="BQ171" s="119">
        <f t="shared" si="962"/>
        <v>0</v>
      </c>
      <c r="BR171" s="119">
        <f t="shared" si="962"/>
        <v>0</v>
      </c>
      <c r="BS171" s="119">
        <f t="shared" si="962"/>
        <v>0</v>
      </c>
      <c r="BT171" s="119">
        <f t="shared" ref="BT171:BY171" si="963">(1+$F182)^(BT169-1)*BT166</f>
        <v>0</v>
      </c>
      <c r="BU171" s="119">
        <f t="shared" si="963"/>
        <v>0</v>
      </c>
      <c r="BV171" s="119">
        <f t="shared" si="963"/>
        <v>0</v>
      </c>
      <c r="BW171" s="119">
        <f t="shared" si="963"/>
        <v>0</v>
      </c>
      <c r="BX171" s="119">
        <f t="shared" si="963"/>
        <v>0</v>
      </c>
      <c r="BY171" s="119">
        <f t="shared" si="963"/>
        <v>0</v>
      </c>
    </row>
    <row r="172" spans="3:77" s="11" customFormat="1" ht="13.5" customHeight="1">
      <c r="F172" s="11" t="s">
        <v>195</v>
      </c>
      <c r="H172" s="11">
        <f t="shared" ref="H172:AM172" si="964">(H$14&gt;=$F173)*(H$14&lt;=$F176)*1</f>
        <v>0</v>
      </c>
      <c r="I172" s="11">
        <f t="shared" si="964"/>
        <v>0</v>
      </c>
      <c r="J172" s="11">
        <f t="shared" si="964"/>
        <v>0</v>
      </c>
      <c r="K172" s="11">
        <f t="shared" si="964"/>
        <v>0</v>
      </c>
      <c r="L172" s="11">
        <f t="shared" si="964"/>
        <v>0</v>
      </c>
      <c r="M172" s="11">
        <f t="shared" si="964"/>
        <v>0</v>
      </c>
      <c r="N172" s="11">
        <f t="shared" si="964"/>
        <v>0</v>
      </c>
      <c r="O172" s="11">
        <f t="shared" si="964"/>
        <v>0</v>
      </c>
      <c r="P172" s="11">
        <f t="shared" si="964"/>
        <v>0</v>
      </c>
      <c r="Q172" s="11">
        <f t="shared" si="964"/>
        <v>0</v>
      </c>
      <c r="R172" s="11">
        <f t="shared" si="964"/>
        <v>0</v>
      </c>
      <c r="S172" s="11">
        <f t="shared" si="964"/>
        <v>0</v>
      </c>
      <c r="T172" s="11">
        <f t="shared" si="964"/>
        <v>0</v>
      </c>
      <c r="U172" s="11">
        <f t="shared" si="964"/>
        <v>0</v>
      </c>
      <c r="V172" s="11">
        <f t="shared" si="964"/>
        <v>0</v>
      </c>
      <c r="W172" s="11">
        <f t="shared" si="964"/>
        <v>0</v>
      </c>
      <c r="X172" s="11">
        <f t="shared" si="964"/>
        <v>0</v>
      </c>
      <c r="Y172" s="11">
        <f t="shared" si="964"/>
        <v>0</v>
      </c>
      <c r="Z172" s="11">
        <f t="shared" si="964"/>
        <v>0</v>
      </c>
      <c r="AA172" s="11">
        <f t="shared" si="964"/>
        <v>0</v>
      </c>
      <c r="AB172" s="11">
        <f t="shared" si="964"/>
        <v>0</v>
      </c>
      <c r="AC172" s="11">
        <f t="shared" si="964"/>
        <v>0</v>
      </c>
      <c r="AD172" s="11">
        <f t="shared" si="964"/>
        <v>0</v>
      </c>
      <c r="AE172" s="11">
        <f t="shared" si="964"/>
        <v>0</v>
      </c>
      <c r="AF172" s="11">
        <f t="shared" si="964"/>
        <v>0</v>
      </c>
      <c r="AG172" s="11">
        <f t="shared" si="964"/>
        <v>0</v>
      </c>
      <c r="AH172" s="11">
        <f t="shared" si="964"/>
        <v>0</v>
      </c>
      <c r="AI172" s="11">
        <f t="shared" si="964"/>
        <v>0</v>
      </c>
      <c r="AJ172" s="11">
        <f t="shared" si="964"/>
        <v>0</v>
      </c>
      <c r="AK172" s="11">
        <f t="shared" si="964"/>
        <v>0</v>
      </c>
      <c r="AL172" s="11">
        <f t="shared" si="964"/>
        <v>0</v>
      </c>
      <c r="AM172" s="11">
        <f t="shared" si="964"/>
        <v>1</v>
      </c>
      <c r="AN172" s="11">
        <f t="shared" ref="AN172:BS172" si="965">(AN$14&gt;=$F173)*(AN$14&lt;=$F176)*1</f>
        <v>0</v>
      </c>
      <c r="AO172" s="11">
        <f t="shared" si="965"/>
        <v>0</v>
      </c>
      <c r="AP172" s="11">
        <f t="shared" si="965"/>
        <v>0</v>
      </c>
      <c r="AQ172" s="11">
        <f t="shared" si="965"/>
        <v>0</v>
      </c>
      <c r="AR172" s="11">
        <f t="shared" si="965"/>
        <v>0</v>
      </c>
      <c r="AS172" s="11">
        <f t="shared" si="965"/>
        <v>0</v>
      </c>
      <c r="AT172" s="11">
        <f t="shared" si="965"/>
        <v>0</v>
      </c>
      <c r="AU172" s="11">
        <f t="shared" si="965"/>
        <v>0</v>
      </c>
      <c r="AV172" s="11">
        <f t="shared" si="965"/>
        <v>0</v>
      </c>
      <c r="AW172" s="11">
        <f t="shared" si="965"/>
        <v>0</v>
      </c>
      <c r="AX172" s="11">
        <f t="shared" si="965"/>
        <v>0</v>
      </c>
      <c r="AY172" s="11">
        <f t="shared" si="965"/>
        <v>0</v>
      </c>
      <c r="AZ172" s="11">
        <f t="shared" si="965"/>
        <v>0</v>
      </c>
      <c r="BA172" s="11">
        <f t="shared" si="965"/>
        <v>0</v>
      </c>
      <c r="BB172" s="11">
        <f t="shared" si="965"/>
        <v>0</v>
      </c>
      <c r="BC172" s="11">
        <f t="shared" si="965"/>
        <v>0</v>
      </c>
      <c r="BD172" s="11">
        <f t="shared" si="965"/>
        <v>0</v>
      </c>
      <c r="BE172" s="11">
        <f t="shared" si="965"/>
        <v>0</v>
      </c>
      <c r="BF172" s="11">
        <f t="shared" si="965"/>
        <v>0</v>
      </c>
      <c r="BG172" s="11">
        <f t="shared" si="965"/>
        <v>0</v>
      </c>
      <c r="BH172" s="11">
        <f t="shared" si="965"/>
        <v>0</v>
      </c>
      <c r="BI172" s="11">
        <f t="shared" si="965"/>
        <v>0</v>
      </c>
      <c r="BJ172" s="11">
        <f t="shared" si="965"/>
        <v>0</v>
      </c>
      <c r="BK172" s="11">
        <f t="shared" si="965"/>
        <v>0</v>
      </c>
      <c r="BL172" s="11">
        <f t="shared" si="965"/>
        <v>0</v>
      </c>
      <c r="BM172" s="11">
        <f t="shared" si="965"/>
        <v>0</v>
      </c>
      <c r="BN172" s="11">
        <f t="shared" si="965"/>
        <v>0</v>
      </c>
      <c r="BO172" s="11">
        <f t="shared" si="965"/>
        <v>0</v>
      </c>
      <c r="BP172" s="11">
        <f t="shared" si="965"/>
        <v>0</v>
      </c>
      <c r="BQ172" s="11">
        <f t="shared" si="965"/>
        <v>0</v>
      </c>
      <c r="BR172" s="11">
        <f t="shared" si="965"/>
        <v>0</v>
      </c>
      <c r="BS172" s="11">
        <f t="shared" si="965"/>
        <v>0</v>
      </c>
      <c r="BT172" s="11">
        <f t="shared" ref="BT172:BY172" si="966">(BT$14&gt;=$F173)*(BT$14&lt;=$F176)*1</f>
        <v>0</v>
      </c>
      <c r="BU172" s="11">
        <f t="shared" si="966"/>
        <v>0</v>
      </c>
      <c r="BV172" s="11">
        <f t="shared" si="966"/>
        <v>0</v>
      </c>
      <c r="BW172" s="11">
        <f t="shared" si="966"/>
        <v>0</v>
      </c>
      <c r="BX172" s="11">
        <f t="shared" si="966"/>
        <v>0</v>
      </c>
      <c r="BY172" s="11">
        <f t="shared" si="966"/>
        <v>0</v>
      </c>
    </row>
    <row r="173" spans="3:77" ht="13.5" customHeight="1">
      <c r="E173" s="95" t="s">
        <v>184</v>
      </c>
      <c r="F173" s="100">
        <f>EOMONTH(F144,VLOOKUP(B141,'A&amp;R'!$Q$12:$AC$16,4,0)+1)</f>
        <v>45230</v>
      </c>
    </row>
    <row r="174" spans="3:77" ht="13.5" customHeight="1">
      <c r="E174" s="96" t="s">
        <v>185</v>
      </c>
      <c r="F174" s="97">
        <f ca="1">VLOOKUP(B141,'A&amp;R'!$Q$12:$AC$16,7,0)</f>
        <v>25000</v>
      </c>
    </row>
    <row r="175" spans="3:77" ht="13.5" customHeight="1">
      <c r="E175" s="96" t="s">
        <v>186</v>
      </c>
      <c r="F175" s="97">
        <f>VLOOKUP(B141,'A&amp;R'!$Q$12:$AC$16,5,0)</f>
        <v>1</v>
      </c>
    </row>
    <row r="176" spans="3:77" ht="13.5" customHeight="1">
      <c r="E176" s="96" t="s">
        <v>190</v>
      </c>
      <c r="F176" s="117">
        <f>EOMONTH(F173,F175-1)</f>
        <v>45230</v>
      </c>
    </row>
    <row r="177" spans="4:77" ht="13.5" customHeight="1">
      <c r="E177" s="96" t="s">
        <v>187</v>
      </c>
      <c r="F177" s="97">
        <f>VLOOKUP(B141,'A&amp;R'!$Q$12:$AC$16,6,0)</f>
        <v>1</v>
      </c>
    </row>
    <row r="178" spans="4:77" ht="13.5" customHeight="1">
      <c r="E178" s="96" t="s">
        <v>72</v>
      </c>
      <c r="F178" s="97">
        <f ca="1">VLOOKUP(B141,'A&amp;R'!$Q$12:$AC$16,3,0)</f>
        <v>2807</v>
      </c>
    </row>
    <row r="179" spans="4:77" ht="13.5" customHeight="1">
      <c r="E179" s="96" t="s">
        <v>159</v>
      </c>
      <c r="F179" s="97">
        <f>VLOOKUP(B141,'A&amp;R'!$Q$12:$AC$16,8,0)</f>
        <v>2000</v>
      </c>
    </row>
    <row r="180" spans="4:77" ht="13.5" customHeight="1">
      <c r="E180" s="96" t="s">
        <v>76</v>
      </c>
      <c r="F180" s="97">
        <f ca="1">VLOOKUP(B141,'A&amp;R'!$Q$12:$AC$17,11,0)</f>
        <v>421.04999999999995</v>
      </c>
    </row>
    <row r="181" spans="4:77" ht="13.5" customHeight="1">
      <c r="E181" s="96" t="s">
        <v>188</v>
      </c>
      <c r="F181" s="115">
        <f>VLOOKUP(B141,'A&amp;R'!$Q$12:$AC$16,9,0)</f>
        <v>0.01</v>
      </c>
    </row>
    <row r="182" spans="4:77" ht="13.5" customHeight="1">
      <c r="E182" s="98" t="s">
        <v>189</v>
      </c>
      <c r="F182" s="116">
        <f>VLOOKUP(B141,'A&amp;R'!$Q$12:$AC$16,10,0)</f>
        <v>0.01</v>
      </c>
    </row>
    <row r="183" spans="4:77" ht="13.5" customHeight="1">
      <c r="D183" s="1" t="s">
        <v>161</v>
      </c>
    </row>
    <row r="184" spans="4:77" ht="13.5" customHeight="1">
      <c r="E184" s="30" t="s">
        <v>162</v>
      </c>
      <c r="F184" s="41"/>
      <c r="G184" s="41"/>
      <c r="H184" s="41">
        <f ca="1">IF(H172=1,0,H166*$F174*H170)</f>
        <v>0</v>
      </c>
      <c r="I184" s="41">
        <f t="shared" ref="I184:BT184" ca="1" si="967">IF(I172=1,0,I166*$F174*I170)</f>
        <v>0</v>
      </c>
      <c r="J184" s="41">
        <f t="shared" ca="1" si="967"/>
        <v>0</v>
      </c>
      <c r="K184" s="41">
        <f t="shared" ca="1" si="967"/>
        <v>0</v>
      </c>
      <c r="L184" s="41">
        <f t="shared" ca="1" si="967"/>
        <v>0</v>
      </c>
      <c r="M184" s="41">
        <f t="shared" ca="1" si="967"/>
        <v>0</v>
      </c>
      <c r="N184" s="41">
        <f t="shared" ca="1" si="967"/>
        <v>0</v>
      </c>
      <c r="O184" s="41">
        <f t="shared" ca="1" si="967"/>
        <v>0</v>
      </c>
      <c r="P184" s="41">
        <f t="shared" ca="1" si="967"/>
        <v>0</v>
      </c>
      <c r="Q184" s="41">
        <f t="shared" ca="1" si="967"/>
        <v>0</v>
      </c>
      <c r="R184" s="41">
        <f t="shared" ca="1" si="967"/>
        <v>0</v>
      </c>
      <c r="S184" s="41">
        <f t="shared" ca="1" si="967"/>
        <v>0</v>
      </c>
      <c r="T184" s="41">
        <f t="shared" ca="1" si="967"/>
        <v>0</v>
      </c>
      <c r="U184" s="41">
        <f t="shared" ca="1" si="967"/>
        <v>0</v>
      </c>
      <c r="V184" s="41">
        <f t="shared" ca="1" si="967"/>
        <v>0</v>
      </c>
      <c r="W184" s="41">
        <f t="shared" ca="1" si="967"/>
        <v>0</v>
      </c>
      <c r="X184" s="41">
        <f t="shared" ca="1" si="967"/>
        <v>0</v>
      </c>
      <c r="Y184" s="41">
        <f t="shared" ca="1" si="967"/>
        <v>0</v>
      </c>
      <c r="Z184" s="41">
        <f t="shared" ca="1" si="967"/>
        <v>0</v>
      </c>
      <c r="AA184" s="41">
        <f t="shared" ca="1" si="967"/>
        <v>0</v>
      </c>
      <c r="AB184" s="41">
        <f t="shared" ca="1" si="967"/>
        <v>0</v>
      </c>
      <c r="AC184" s="41">
        <f t="shared" ca="1" si="967"/>
        <v>0</v>
      </c>
      <c r="AD184" s="41">
        <f t="shared" ca="1" si="967"/>
        <v>0</v>
      </c>
      <c r="AE184" s="41">
        <f t="shared" ca="1" si="967"/>
        <v>0</v>
      </c>
      <c r="AF184" s="41">
        <f t="shared" ca="1" si="967"/>
        <v>0</v>
      </c>
      <c r="AG184" s="41">
        <f t="shared" ca="1" si="967"/>
        <v>0</v>
      </c>
      <c r="AH184" s="41">
        <f t="shared" ca="1" si="967"/>
        <v>0</v>
      </c>
      <c r="AI184" s="41">
        <f t="shared" ca="1" si="967"/>
        <v>0</v>
      </c>
      <c r="AJ184" s="41">
        <f t="shared" ca="1" si="967"/>
        <v>0</v>
      </c>
      <c r="AK184" s="41">
        <f t="shared" ca="1" si="967"/>
        <v>0</v>
      </c>
      <c r="AL184" s="41">
        <f t="shared" ca="1" si="967"/>
        <v>0</v>
      </c>
      <c r="AM184" s="41">
        <f t="shared" si="967"/>
        <v>0</v>
      </c>
      <c r="AN184" s="41">
        <f t="shared" ca="1" si="967"/>
        <v>25000</v>
      </c>
      <c r="AO184" s="41">
        <f t="shared" ca="1" si="967"/>
        <v>25000</v>
      </c>
      <c r="AP184" s="41">
        <f t="shared" ca="1" si="967"/>
        <v>25000</v>
      </c>
      <c r="AQ184" s="41">
        <f t="shared" ca="1" si="967"/>
        <v>25000</v>
      </c>
      <c r="AR184" s="41">
        <f t="shared" ca="1" si="967"/>
        <v>25000</v>
      </c>
      <c r="AS184" s="41">
        <f t="shared" ca="1" si="967"/>
        <v>25000</v>
      </c>
      <c r="AT184" s="41">
        <f t="shared" ca="1" si="967"/>
        <v>25000</v>
      </c>
      <c r="AU184" s="41">
        <f t="shared" ca="1" si="967"/>
        <v>25000</v>
      </c>
      <c r="AV184" s="41">
        <f t="shared" ca="1" si="967"/>
        <v>25000</v>
      </c>
      <c r="AW184" s="41">
        <f t="shared" ca="1" si="967"/>
        <v>25000</v>
      </c>
      <c r="AX184" s="41">
        <f t="shared" ca="1" si="967"/>
        <v>25000</v>
      </c>
      <c r="AY184" s="41">
        <f t="shared" ca="1" si="967"/>
        <v>25250</v>
      </c>
      <c r="AZ184" s="41">
        <f t="shared" ca="1" si="967"/>
        <v>25250</v>
      </c>
      <c r="BA184" s="41">
        <f t="shared" ca="1" si="967"/>
        <v>25250</v>
      </c>
      <c r="BB184" s="41">
        <f t="shared" ca="1" si="967"/>
        <v>25250</v>
      </c>
      <c r="BC184" s="41">
        <f t="shared" ca="1" si="967"/>
        <v>25250</v>
      </c>
      <c r="BD184" s="41">
        <f t="shared" ca="1" si="967"/>
        <v>25250</v>
      </c>
      <c r="BE184" s="41">
        <f t="shared" ca="1" si="967"/>
        <v>25250</v>
      </c>
      <c r="BF184" s="41">
        <f t="shared" ca="1" si="967"/>
        <v>25250</v>
      </c>
      <c r="BG184" s="41">
        <f t="shared" ca="1" si="967"/>
        <v>25250</v>
      </c>
      <c r="BH184" s="41">
        <f t="shared" ca="1" si="967"/>
        <v>25250</v>
      </c>
      <c r="BI184" s="41">
        <f t="shared" ca="1" si="967"/>
        <v>25250</v>
      </c>
      <c r="BJ184" s="41">
        <f t="shared" ca="1" si="967"/>
        <v>25250</v>
      </c>
      <c r="BK184" s="41">
        <f t="shared" ca="1" si="967"/>
        <v>25502.5</v>
      </c>
      <c r="BL184" s="41">
        <f t="shared" ca="1" si="967"/>
        <v>25502.5</v>
      </c>
      <c r="BM184" s="41">
        <f t="shared" ca="1" si="967"/>
        <v>25502.5</v>
      </c>
      <c r="BN184" s="41">
        <f t="shared" ca="1" si="967"/>
        <v>25502.5</v>
      </c>
      <c r="BO184" s="41">
        <f t="shared" ca="1" si="967"/>
        <v>25502.5</v>
      </c>
      <c r="BP184" s="41">
        <f t="shared" ca="1" si="967"/>
        <v>25502.5</v>
      </c>
      <c r="BQ184" s="41">
        <f t="shared" ca="1" si="967"/>
        <v>0</v>
      </c>
      <c r="BR184" s="41">
        <f t="shared" ca="1" si="967"/>
        <v>0</v>
      </c>
      <c r="BS184" s="41">
        <f t="shared" ca="1" si="967"/>
        <v>0</v>
      </c>
      <c r="BT184" s="41">
        <f t="shared" ca="1" si="967"/>
        <v>0</v>
      </c>
      <c r="BU184" s="41">
        <f t="shared" ref="BU184:BY184" ca="1" si="968">IF(BU172=1,0,BU166*$F174*BU170)</f>
        <v>0</v>
      </c>
      <c r="BV184" s="41">
        <f t="shared" ca="1" si="968"/>
        <v>0</v>
      </c>
      <c r="BW184" s="41">
        <f t="shared" ca="1" si="968"/>
        <v>0</v>
      </c>
      <c r="BX184" s="41">
        <f t="shared" ca="1" si="968"/>
        <v>0</v>
      </c>
      <c r="BY184" s="41">
        <f t="shared" ca="1" si="968"/>
        <v>0</v>
      </c>
    </row>
    <row r="185" spans="4:77" ht="13.5" customHeight="1">
      <c r="E185" s="36" t="s">
        <v>163</v>
      </c>
      <c r="F185" s="42"/>
      <c r="G185" s="42"/>
      <c r="H185" s="42">
        <f ca="1">H184*((12-$F177)/12)</f>
        <v>0</v>
      </c>
      <c r="I185" s="42">
        <f t="shared" ref="I185" ca="1" si="969">I184*((12-$F177)/12)</f>
        <v>0</v>
      </c>
      <c r="J185" s="42">
        <f t="shared" ref="J185" ca="1" si="970">J184*((12-$F177)/12)</f>
        <v>0</v>
      </c>
      <c r="K185" s="42">
        <f t="shared" ref="K185" ca="1" si="971">K184*((12-$F177)/12)</f>
        <v>0</v>
      </c>
      <c r="L185" s="42">
        <f t="shared" ref="L185" ca="1" si="972">L184*((12-$F177)/12)</f>
        <v>0</v>
      </c>
      <c r="M185" s="42">
        <f t="shared" ref="M185" ca="1" si="973">M184*((12-$F177)/12)</f>
        <v>0</v>
      </c>
      <c r="N185" s="42">
        <f t="shared" ref="N185" ca="1" si="974">N184*((12-$F177)/12)</f>
        <v>0</v>
      </c>
      <c r="O185" s="42">
        <f t="shared" ref="O185" ca="1" si="975">O184*((12-$F177)/12)</f>
        <v>0</v>
      </c>
      <c r="P185" s="42">
        <f t="shared" ref="P185" ca="1" si="976">P184*((12-$F177)/12)</f>
        <v>0</v>
      </c>
      <c r="Q185" s="42">
        <f t="shared" ref="Q185" ca="1" si="977">Q184*((12-$F177)/12)</f>
        <v>0</v>
      </c>
      <c r="R185" s="42">
        <f t="shared" ref="R185" ca="1" si="978">R184*((12-$F177)/12)</f>
        <v>0</v>
      </c>
      <c r="S185" s="42">
        <f t="shared" ref="S185" ca="1" si="979">S184*((12-$F177)/12)</f>
        <v>0</v>
      </c>
      <c r="T185" s="42">
        <f t="shared" ref="T185" ca="1" si="980">T184*((12-$F177)/12)</f>
        <v>0</v>
      </c>
      <c r="U185" s="42">
        <f t="shared" ref="U185" ca="1" si="981">U184*((12-$F177)/12)</f>
        <v>0</v>
      </c>
      <c r="V185" s="42">
        <f t="shared" ref="V185" ca="1" si="982">V184*((12-$F177)/12)</f>
        <v>0</v>
      </c>
      <c r="W185" s="42">
        <f t="shared" ref="W185" ca="1" si="983">W184*((12-$F177)/12)</f>
        <v>0</v>
      </c>
      <c r="X185" s="42">
        <f t="shared" ref="X185" ca="1" si="984">X184*((12-$F177)/12)</f>
        <v>0</v>
      </c>
      <c r="Y185" s="42">
        <f t="shared" ref="Y185" ca="1" si="985">Y184*((12-$F177)/12)</f>
        <v>0</v>
      </c>
      <c r="Z185" s="42">
        <f t="shared" ref="Z185" ca="1" si="986">Z184*((12-$F177)/12)</f>
        <v>0</v>
      </c>
      <c r="AA185" s="42">
        <f t="shared" ref="AA185" ca="1" si="987">AA184*((12-$F177)/12)</f>
        <v>0</v>
      </c>
      <c r="AB185" s="42">
        <f t="shared" ref="AB185" ca="1" si="988">AB184*((12-$F177)/12)</f>
        <v>0</v>
      </c>
      <c r="AC185" s="42">
        <f t="shared" ref="AC185" ca="1" si="989">AC184*((12-$F177)/12)</f>
        <v>0</v>
      </c>
      <c r="AD185" s="42">
        <f t="shared" ref="AD185" ca="1" si="990">AD184*((12-$F177)/12)</f>
        <v>0</v>
      </c>
      <c r="AE185" s="42">
        <f t="shared" ref="AE185" ca="1" si="991">AE184*((12-$F177)/12)</f>
        <v>0</v>
      </c>
      <c r="AF185" s="42">
        <f t="shared" ref="AF185" ca="1" si="992">AF184*((12-$F177)/12)</f>
        <v>0</v>
      </c>
      <c r="AG185" s="42">
        <f t="shared" ref="AG185" ca="1" si="993">AG184*((12-$F177)/12)</f>
        <v>0</v>
      </c>
      <c r="AH185" s="42">
        <f t="shared" ref="AH185" ca="1" si="994">AH184*((12-$F177)/12)</f>
        <v>0</v>
      </c>
      <c r="AI185" s="42">
        <f t="shared" ref="AI185" ca="1" si="995">AI184*((12-$F177)/12)</f>
        <v>0</v>
      </c>
      <c r="AJ185" s="42">
        <f t="shared" ref="AJ185" ca="1" si="996">AJ184*((12-$F177)/12)</f>
        <v>0</v>
      </c>
      <c r="AK185" s="42">
        <f t="shared" ref="AK185" ca="1" si="997">AK184*((12-$F177)/12)</f>
        <v>0</v>
      </c>
      <c r="AL185" s="42">
        <f t="shared" ref="AL185" ca="1" si="998">AL184*((12-$F177)/12)</f>
        <v>0</v>
      </c>
      <c r="AM185" s="42">
        <f t="shared" ref="AM185" si="999">AM184*((12-$F177)/12)</f>
        <v>0</v>
      </c>
      <c r="AN185" s="42">
        <f t="shared" ref="AN185" ca="1" si="1000">AN184*((12-$F177)/12)</f>
        <v>22916.666666666664</v>
      </c>
      <c r="AO185" s="42">
        <f t="shared" ref="AO185" ca="1" si="1001">AO184*((12-$F177)/12)</f>
        <v>22916.666666666664</v>
      </c>
      <c r="AP185" s="42">
        <f t="shared" ref="AP185" ca="1" si="1002">AP184*((12-$F177)/12)</f>
        <v>22916.666666666664</v>
      </c>
      <c r="AQ185" s="42">
        <f t="shared" ref="AQ185" ca="1" si="1003">AQ184*((12-$F177)/12)</f>
        <v>22916.666666666664</v>
      </c>
      <c r="AR185" s="42">
        <f t="shared" ref="AR185" ca="1" si="1004">AR184*((12-$F177)/12)</f>
        <v>22916.666666666664</v>
      </c>
      <c r="AS185" s="42">
        <f t="shared" ref="AS185" ca="1" si="1005">AS184*((12-$F177)/12)</f>
        <v>22916.666666666664</v>
      </c>
      <c r="AT185" s="42">
        <f t="shared" ref="AT185" ca="1" si="1006">AT184*((12-$F177)/12)</f>
        <v>22916.666666666664</v>
      </c>
      <c r="AU185" s="42">
        <f t="shared" ref="AU185" ca="1" si="1007">AU184*((12-$F177)/12)</f>
        <v>22916.666666666664</v>
      </c>
      <c r="AV185" s="42">
        <f t="shared" ref="AV185" ca="1" si="1008">AV184*((12-$F177)/12)</f>
        <v>22916.666666666664</v>
      </c>
      <c r="AW185" s="42">
        <f t="shared" ref="AW185" ca="1" si="1009">AW184*((12-$F177)/12)</f>
        <v>22916.666666666664</v>
      </c>
      <c r="AX185" s="42">
        <f t="shared" ref="AX185" ca="1" si="1010">AX184*((12-$F177)/12)</f>
        <v>22916.666666666664</v>
      </c>
      <c r="AY185" s="42">
        <f t="shared" ref="AY185" ca="1" si="1011">AY184*((12-$F177)/12)</f>
        <v>23145.833333333332</v>
      </c>
      <c r="AZ185" s="42">
        <f t="shared" ref="AZ185" ca="1" si="1012">AZ184*((12-$F177)/12)</f>
        <v>23145.833333333332</v>
      </c>
      <c r="BA185" s="42">
        <f t="shared" ref="BA185" ca="1" si="1013">BA184*((12-$F177)/12)</f>
        <v>23145.833333333332</v>
      </c>
      <c r="BB185" s="42">
        <f t="shared" ref="BB185" ca="1" si="1014">BB184*((12-$F177)/12)</f>
        <v>23145.833333333332</v>
      </c>
      <c r="BC185" s="42">
        <f t="shared" ref="BC185" ca="1" si="1015">BC184*((12-$F177)/12)</f>
        <v>23145.833333333332</v>
      </c>
      <c r="BD185" s="42">
        <f t="shared" ref="BD185" ca="1" si="1016">BD184*((12-$F177)/12)</f>
        <v>23145.833333333332</v>
      </c>
      <c r="BE185" s="42">
        <f t="shared" ref="BE185" ca="1" si="1017">BE184*((12-$F177)/12)</f>
        <v>23145.833333333332</v>
      </c>
      <c r="BF185" s="42">
        <f t="shared" ref="BF185" ca="1" si="1018">BF184*((12-$F177)/12)</f>
        <v>23145.833333333332</v>
      </c>
      <c r="BG185" s="42">
        <f t="shared" ref="BG185" ca="1" si="1019">BG184*((12-$F177)/12)</f>
        <v>23145.833333333332</v>
      </c>
      <c r="BH185" s="42">
        <f t="shared" ref="BH185" ca="1" si="1020">BH184*((12-$F177)/12)</f>
        <v>23145.833333333332</v>
      </c>
      <c r="BI185" s="42">
        <f t="shared" ref="BI185" ca="1" si="1021">BI184*((12-$F177)/12)</f>
        <v>23145.833333333332</v>
      </c>
      <c r="BJ185" s="42">
        <f t="shared" ref="BJ185" ca="1" si="1022">BJ184*((12-$F177)/12)</f>
        <v>23145.833333333332</v>
      </c>
      <c r="BK185" s="42">
        <f t="shared" ref="BK185" ca="1" si="1023">BK184*((12-$F177)/12)</f>
        <v>23377.291666666664</v>
      </c>
      <c r="BL185" s="42">
        <f t="shared" ref="BL185" ca="1" si="1024">BL184*((12-$F177)/12)</f>
        <v>23377.291666666664</v>
      </c>
      <c r="BM185" s="42">
        <f t="shared" ref="BM185" ca="1" si="1025">BM184*((12-$F177)/12)</f>
        <v>23377.291666666664</v>
      </c>
      <c r="BN185" s="42">
        <f t="shared" ref="BN185" ca="1" si="1026">BN184*((12-$F177)/12)</f>
        <v>23377.291666666664</v>
      </c>
      <c r="BO185" s="42">
        <f t="shared" ref="BO185" ca="1" si="1027">BO184*((12-$F177)/12)</f>
        <v>23377.291666666664</v>
      </c>
      <c r="BP185" s="42">
        <f t="shared" ref="BP185" ca="1" si="1028">BP184*((12-$F177)/12)</f>
        <v>23377.291666666664</v>
      </c>
      <c r="BQ185" s="42">
        <f t="shared" ref="BQ185" ca="1" si="1029">BQ184*((12-$F177)/12)</f>
        <v>0</v>
      </c>
      <c r="BR185" s="42">
        <f t="shared" ref="BR185" ca="1" si="1030">BR184*((12-$F177)/12)</f>
        <v>0</v>
      </c>
      <c r="BS185" s="42">
        <f t="shared" ref="BS185" ca="1" si="1031">BS184*((12-$F177)/12)</f>
        <v>0</v>
      </c>
      <c r="BT185" s="42">
        <f t="shared" ref="BT185" ca="1" si="1032">BT184*((12-$F177)/12)</f>
        <v>0</v>
      </c>
      <c r="BU185" s="42">
        <f t="shared" ref="BU185" ca="1" si="1033">BU184*((12-$F177)/12)</f>
        <v>0</v>
      </c>
      <c r="BV185" s="42">
        <f t="shared" ref="BV185" ca="1" si="1034">BV184*((12-$F177)/12)</f>
        <v>0</v>
      </c>
      <c r="BW185" s="42">
        <f t="shared" ref="BW185" ca="1" si="1035">BW184*((12-$F177)/12)</f>
        <v>0</v>
      </c>
      <c r="BX185" s="42">
        <f t="shared" ref="BX185" ca="1" si="1036">BX184*((12-$F177)/12)</f>
        <v>0</v>
      </c>
      <c r="BY185" s="42">
        <f t="shared" ref="BY185" ca="1" si="1037">BY184*((12-$F177)/12)</f>
        <v>0</v>
      </c>
    </row>
    <row r="186" spans="4:77" ht="13.5" customHeight="1">
      <c r="D186" s="101" t="s">
        <v>164</v>
      </c>
      <c r="E186" s="101"/>
      <c r="F186" s="101"/>
      <c r="G186" s="101"/>
      <c r="H186" s="101">
        <f t="shared" ref="H186:AM186" ca="1" si="1038">H185*$F178/unit</f>
        <v>0</v>
      </c>
      <c r="I186" s="101">
        <f t="shared" ca="1" si="1038"/>
        <v>0</v>
      </c>
      <c r="J186" s="101">
        <f t="shared" ca="1" si="1038"/>
        <v>0</v>
      </c>
      <c r="K186" s="101">
        <f t="shared" ca="1" si="1038"/>
        <v>0</v>
      </c>
      <c r="L186" s="101">
        <f t="shared" ca="1" si="1038"/>
        <v>0</v>
      </c>
      <c r="M186" s="101">
        <f t="shared" ca="1" si="1038"/>
        <v>0</v>
      </c>
      <c r="N186" s="101">
        <f t="shared" ca="1" si="1038"/>
        <v>0</v>
      </c>
      <c r="O186" s="101">
        <f t="shared" ca="1" si="1038"/>
        <v>0</v>
      </c>
      <c r="P186" s="101">
        <f t="shared" ca="1" si="1038"/>
        <v>0</v>
      </c>
      <c r="Q186" s="101">
        <f t="shared" ca="1" si="1038"/>
        <v>0</v>
      </c>
      <c r="R186" s="101">
        <f t="shared" ca="1" si="1038"/>
        <v>0</v>
      </c>
      <c r="S186" s="101">
        <f t="shared" ca="1" si="1038"/>
        <v>0</v>
      </c>
      <c r="T186" s="101">
        <f t="shared" ca="1" si="1038"/>
        <v>0</v>
      </c>
      <c r="U186" s="101">
        <f t="shared" ca="1" si="1038"/>
        <v>0</v>
      </c>
      <c r="V186" s="101">
        <f t="shared" ca="1" si="1038"/>
        <v>0</v>
      </c>
      <c r="W186" s="101">
        <f t="shared" ca="1" si="1038"/>
        <v>0</v>
      </c>
      <c r="X186" s="101">
        <f t="shared" ca="1" si="1038"/>
        <v>0</v>
      </c>
      <c r="Y186" s="101">
        <f t="shared" ca="1" si="1038"/>
        <v>0</v>
      </c>
      <c r="Z186" s="101">
        <f t="shared" ca="1" si="1038"/>
        <v>0</v>
      </c>
      <c r="AA186" s="101">
        <f t="shared" ca="1" si="1038"/>
        <v>0</v>
      </c>
      <c r="AB186" s="101">
        <f t="shared" ca="1" si="1038"/>
        <v>0</v>
      </c>
      <c r="AC186" s="101">
        <f t="shared" ca="1" si="1038"/>
        <v>0</v>
      </c>
      <c r="AD186" s="101">
        <f t="shared" ca="1" si="1038"/>
        <v>0</v>
      </c>
      <c r="AE186" s="101">
        <f t="shared" ca="1" si="1038"/>
        <v>0</v>
      </c>
      <c r="AF186" s="101">
        <f t="shared" ca="1" si="1038"/>
        <v>0</v>
      </c>
      <c r="AG186" s="101">
        <f t="shared" ca="1" si="1038"/>
        <v>0</v>
      </c>
      <c r="AH186" s="101">
        <f t="shared" ca="1" si="1038"/>
        <v>0</v>
      </c>
      <c r="AI186" s="101">
        <f t="shared" ca="1" si="1038"/>
        <v>0</v>
      </c>
      <c r="AJ186" s="101">
        <f t="shared" ca="1" si="1038"/>
        <v>0</v>
      </c>
      <c r="AK186" s="101">
        <f t="shared" ca="1" si="1038"/>
        <v>0</v>
      </c>
      <c r="AL186" s="101">
        <f t="shared" ca="1" si="1038"/>
        <v>0</v>
      </c>
      <c r="AM186" s="101">
        <f t="shared" ca="1" si="1038"/>
        <v>0</v>
      </c>
      <c r="AN186" s="101">
        <f t="shared" ref="AN186:BS186" ca="1" si="1039">AN185*$F178/unit</f>
        <v>64.327083333333334</v>
      </c>
      <c r="AO186" s="101">
        <f t="shared" ca="1" si="1039"/>
        <v>64.327083333333334</v>
      </c>
      <c r="AP186" s="101">
        <f t="shared" ca="1" si="1039"/>
        <v>64.327083333333334</v>
      </c>
      <c r="AQ186" s="101">
        <f t="shared" ca="1" si="1039"/>
        <v>64.327083333333334</v>
      </c>
      <c r="AR186" s="101">
        <f t="shared" ca="1" si="1039"/>
        <v>64.327083333333334</v>
      </c>
      <c r="AS186" s="101">
        <f t="shared" ca="1" si="1039"/>
        <v>64.327083333333334</v>
      </c>
      <c r="AT186" s="101">
        <f t="shared" ca="1" si="1039"/>
        <v>64.327083333333334</v>
      </c>
      <c r="AU186" s="101">
        <f t="shared" ca="1" si="1039"/>
        <v>64.327083333333334</v>
      </c>
      <c r="AV186" s="101">
        <f t="shared" ca="1" si="1039"/>
        <v>64.327083333333334</v>
      </c>
      <c r="AW186" s="101">
        <f t="shared" ca="1" si="1039"/>
        <v>64.327083333333334</v>
      </c>
      <c r="AX186" s="101">
        <f t="shared" ca="1" si="1039"/>
        <v>64.327083333333334</v>
      </c>
      <c r="AY186" s="101">
        <f t="shared" ca="1" si="1039"/>
        <v>64.970354166666667</v>
      </c>
      <c r="AZ186" s="101">
        <f t="shared" ca="1" si="1039"/>
        <v>64.970354166666667</v>
      </c>
      <c r="BA186" s="101">
        <f t="shared" ca="1" si="1039"/>
        <v>64.970354166666667</v>
      </c>
      <c r="BB186" s="101">
        <f t="shared" ca="1" si="1039"/>
        <v>64.970354166666667</v>
      </c>
      <c r="BC186" s="101">
        <f t="shared" ca="1" si="1039"/>
        <v>64.970354166666667</v>
      </c>
      <c r="BD186" s="101">
        <f t="shared" ca="1" si="1039"/>
        <v>64.970354166666667</v>
      </c>
      <c r="BE186" s="101">
        <f t="shared" ca="1" si="1039"/>
        <v>64.970354166666667</v>
      </c>
      <c r="BF186" s="101">
        <f t="shared" ca="1" si="1039"/>
        <v>64.970354166666667</v>
      </c>
      <c r="BG186" s="101">
        <f t="shared" ca="1" si="1039"/>
        <v>64.970354166666667</v>
      </c>
      <c r="BH186" s="101">
        <f t="shared" ca="1" si="1039"/>
        <v>64.970354166666667</v>
      </c>
      <c r="BI186" s="101">
        <f t="shared" ca="1" si="1039"/>
        <v>64.970354166666667</v>
      </c>
      <c r="BJ186" s="101">
        <f t="shared" ca="1" si="1039"/>
        <v>64.970354166666667</v>
      </c>
      <c r="BK186" s="101">
        <f t="shared" ca="1" si="1039"/>
        <v>65.620057708333334</v>
      </c>
      <c r="BL186" s="101">
        <f t="shared" ca="1" si="1039"/>
        <v>65.620057708333334</v>
      </c>
      <c r="BM186" s="101">
        <f t="shared" ca="1" si="1039"/>
        <v>65.620057708333334</v>
      </c>
      <c r="BN186" s="101">
        <f t="shared" ca="1" si="1039"/>
        <v>65.620057708333334</v>
      </c>
      <c r="BO186" s="101">
        <f t="shared" ca="1" si="1039"/>
        <v>65.620057708333334</v>
      </c>
      <c r="BP186" s="101">
        <f t="shared" ca="1" si="1039"/>
        <v>65.620057708333334</v>
      </c>
      <c r="BQ186" s="101">
        <f t="shared" ca="1" si="1039"/>
        <v>0</v>
      </c>
      <c r="BR186" s="101">
        <f t="shared" ca="1" si="1039"/>
        <v>0</v>
      </c>
      <c r="BS186" s="101">
        <f t="shared" ca="1" si="1039"/>
        <v>0</v>
      </c>
      <c r="BT186" s="101">
        <f t="shared" ref="BT186:BY186" ca="1" si="1040">BT185*$F178/unit</f>
        <v>0</v>
      </c>
      <c r="BU186" s="101">
        <f t="shared" ca="1" si="1040"/>
        <v>0</v>
      </c>
      <c r="BV186" s="101">
        <f t="shared" ca="1" si="1040"/>
        <v>0</v>
      </c>
      <c r="BW186" s="101">
        <f t="shared" ca="1" si="1040"/>
        <v>0</v>
      </c>
      <c r="BX186" s="101">
        <f t="shared" ca="1" si="1040"/>
        <v>0</v>
      </c>
      <c r="BY186" s="101">
        <f t="shared" ca="1" si="1040"/>
        <v>0</v>
      </c>
    </row>
    <row r="188" spans="4:77" ht="13.5" customHeight="1">
      <c r="D188" s="1" t="s">
        <v>165</v>
      </c>
    </row>
    <row r="189" spans="4:77" ht="13.5" customHeight="1">
      <c r="E189" s="25" t="s">
        <v>166</v>
      </c>
      <c r="F189" s="51"/>
      <c r="G189" s="51"/>
      <c r="H189" s="51">
        <f>$F179*H166*H171</f>
        <v>0</v>
      </c>
      <c r="I189" s="51">
        <f t="shared" ref="I189:BT189" si="1041">$F179*I166*I171</f>
        <v>0</v>
      </c>
      <c r="J189" s="51">
        <f t="shared" si="1041"/>
        <v>0</v>
      </c>
      <c r="K189" s="51">
        <f t="shared" si="1041"/>
        <v>0</v>
      </c>
      <c r="L189" s="51">
        <f t="shared" si="1041"/>
        <v>0</v>
      </c>
      <c r="M189" s="51">
        <f t="shared" si="1041"/>
        <v>0</v>
      </c>
      <c r="N189" s="51">
        <f t="shared" si="1041"/>
        <v>0</v>
      </c>
      <c r="O189" s="51">
        <f t="shared" si="1041"/>
        <v>0</v>
      </c>
      <c r="P189" s="51">
        <f t="shared" si="1041"/>
        <v>0</v>
      </c>
      <c r="Q189" s="51">
        <f t="shared" si="1041"/>
        <v>0</v>
      </c>
      <c r="R189" s="51">
        <f t="shared" si="1041"/>
        <v>0</v>
      </c>
      <c r="S189" s="51">
        <f t="shared" si="1041"/>
        <v>0</v>
      </c>
      <c r="T189" s="51">
        <f t="shared" si="1041"/>
        <v>0</v>
      </c>
      <c r="U189" s="51">
        <f t="shared" si="1041"/>
        <v>0</v>
      </c>
      <c r="V189" s="51">
        <f t="shared" si="1041"/>
        <v>0</v>
      </c>
      <c r="W189" s="51">
        <f t="shared" si="1041"/>
        <v>0</v>
      </c>
      <c r="X189" s="51">
        <f t="shared" si="1041"/>
        <v>0</v>
      </c>
      <c r="Y189" s="51">
        <f t="shared" si="1041"/>
        <v>0</v>
      </c>
      <c r="Z189" s="51">
        <f t="shared" si="1041"/>
        <v>0</v>
      </c>
      <c r="AA189" s="51">
        <f t="shared" si="1041"/>
        <v>0</v>
      </c>
      <c r="AB189" s="51">
        <f t="shared" si="1041"/>
        <v>0</v>
      </c>
      <c r="AC189" s="51">
        <f t="shared" si="1041"/>
        <v>0</v>
      </c>
      <c r="AD189" s="51">
        <f t="shared" si="1041"/>
        <v>0</v>
      </c>
      <c r="AE189" s="51">
        <f t="shared" si="1041"/>
        <v>0</v>
      </c>
      <c r="AF189" s="51">
        <f t="shared" si="1041"/>
        <v>0</v>
      </c>
      <c r="AG189" s="51">
        <f t="shared" si="1041"/>
        <v>0</v>
      </c>
      <c r="AH189" s="51">
        <f t="shared" si="1041"/>
        <v>0</v>
      </c>
      <c r="AI189" s="51">
        <f t="shared" si="1041"/>
        <v>0</v>
      </c>
      <c r="AJ189" s="51">
        <f t="shared" si="1041"/>
        <v>0</v>
      </c>
      <c r="AK189" s="51">
        <f t="shared" si="1041"/>
        <v>0</v>
      </c>
      <c r="AL189" s="51">
        <f t="shared" si="1041"/>
        <v>0</v>
      </c>
      <c r="AM189" s="51">
        <f t="shared" si="1041"/>
        <v>2000</v>
      </c>
      <c r="AN189" s="51">
        <f t="shared" si="1041"/>
        <v>2000</v>
      </c>
      <c r="AO189" s="51">
        <f t="shared" si="1041"/>
        <v>2000</v>
      </c>
      <c r="AP189" s="51">
        <f t="shared" si="1041"/>
        <v>2000</v>
      </c>
      <c r="AQ189" s="51">
        <f t="shared" si="1041"/>
        <v>2000</v>
      </c>
      <c r="AR189" s="51">
        <f t="shared" si="1041"/>
        <v>2000</v>
      </c>
      <c r="AS189" s="51">
        <f t="shared" si="1041"/>
        <v>2000</v>
      </c>
      <c r="AT189" s="51">
        <f t="shared" si="1041"/>
        <v>2000</v>
      </c>
      <c r="AU189" s="51">
        <f t="shared" si="1041"/>
        <v>2000</v>
      </c>
      <c r="AV189" s="51">
        <f t="shared" si="1041"/>
        <v>2000</v>
      </c>
      <c r="AW189" s="51">
        <f t="shared" si="1041"/>
        <v>2000</v>
      </c>
      <c r="AX189" s="51">
        <f t="shared" si="1041"/>
        <v>2000</v>
      </c>
      <c r="AY189" s="51">
        <f t="shared" si="1041"/>
        <v>2020</v>
      </c>
      <c r="AZ189" s="51">
        <f t="shared" si="1041"/>
        <v>2020</v>
      </c>
      <c r="BA189" s="51">
        <f t="shared" si="1041"/>
        <v>2020</v>
      </c>
      <c r="BB189" s="51">
        <f t="shared" si="1041"/>
        <v>2020</v>
      </c>
      <c r="BC189" s="51">
        <f t="shared" si="1041"/>
        <v>2020</v>
      </c>
      <c r="BD189" s="51">
        <f t="shared" si="1041"/>
        <v>2020</v>
      </c>
      <c r="BE189" s="51">
        <f t="shared" si="1041"/>
        <v>2020</v>
      </c>
      <c r="BF189" s="51">
        <f t="shared" si="1041"/>
        <v>2020</v>
      </c>
      <c r="BG189" s="51">
        <f t="shared" si="1041"/>
        <v>2020</v>
      </c>
      <c r="BH189" s="51">
        <f t="shared" si="1041"/>
        <v>2020</v>
      </c>
      <c r="BI189" s="51">
        <f t="shared" si="1041"/>
        <v>2020</v>
      </c>
      <c r="BJ189" s="51">
        <f t="shared" si="1041"/>
        <v>2020</v>
      </c>
      <c r="BK189" s="51">
        <f t="shared" si="1041"/>
        <v>2040.2</v>
      </c>
      <c r="BL189" s="51">
        <f t="shared" si="1041"/>
        <v>2040.2</v>
      </c>
      <c r="BM189" s="51">
        <f t="shared" si="1041"/>
        <v>2040.2</v>
      </c>
      <c r="BN189" s="51">
        <f t="shared" si="1041"/>
        <v>2040.2</v>
      </c>
      <c r="BO189" s="51">
        <f t="shared" si="1041"/>
        <v>2040.2</v>
      </c>
      <c r="BP189" s="51">
        <f t="shared" si="1041"/>
        <v>2040.2</v>
      </c>
      <c r="BQ189" s="51">
        <f t="shared" si="1041"/>
        <v>0</v>
      </c>
      <c r="BR189" s="51">
        <f t="shared" si="1041"/>
        <v>0</v>
      </c>
      <c r="BS189" s="51">
        <f t="shared" si="1041"/>
        <v>0</v>
      </c>
      <c r="BT189" s="51">
        <f t="shared" si="1041"/>
        <v>0</v>
      </c>
      <c r="BU189" s="51">
        <f t="shared" ref="BU189:BY189" si="1042">$F179*BU166*BU171</f>
        <v>0</v>
      </c>
      <c r="BV189" s="51">
        <f t="shared" si="1042"/>
        <v>0</v>
      </c>
      <c r="BW189" s="51">
        <f t="shared" si="1042"/>
        <v>0</v>
      </c>
      <c r="BX189" s="51">
        <f t="shared" si="1042"/>
        <v>0</v>
      </c>
      <c r="BY189" s="51">
        <f t="shared" si="1042"/>
        <v>0</v>
      </c>
    </row>
    <row r="190" spans="4:77" ht="13.5" customHeight="1">
      <c r="D190" s="101" t="s">
        <v>167</v>
      </c>
      <c r="E190" s="101"/>
      <c r="F190" s="101"/>
      <c r="G190" s="101"/>
      <c r="H190" s="101">
        <f t="shared" ref="H190:AM190" ca="1" si="1043">H189*$F178/unit</f>
        <v>0</v>
      </c>
      <c r="I190" s="101">
        <f t="shared" ca="1" si="1043"/>
        <v>0</v>
      </c>
      <c r="J190" s="101">
        <f t="shared" ca="1" si="1043"/>
        <v>0</v>
      </c>
      <c r="K190" s="101">
        <f t="shared" ca="1" si="1043"/>
        <v>0</v>
      </c>
      <c r="L190" s="101">
        <f t="shared" ca="1" si="1043"/>
        <v>0</v>
      </c>
      <c r="M190" s="101">
        <f t="shared" ca="1" si="1043"/>
        <v>0</v>
      </c>
      <c r="N190" s="101">
        <f t="shared" ca="1" si="1043"/>
        <v>0</v>
      </c>
      <c r="O190" s="101">
        <f t="shared" ca="1" si="1043"/>
        <v>0</v>
      </c>
      <c r="P190" s="101">
        <f t="shared" ca="1" si="1043"/>
        <v>0</v>
      </c>
      <c r="Q190" s="101">
        <f t="shared" ca="1" si="1043"/>
        <v>0</v>
      </c>
      <c r="R190" s="101">
        <f t="shared" ca="1" si="1043"/>
        <v>0</v>
      </c>
      <c r="S190" s="101">
        <f t="shared" ca="1" si="1043"/>
        <v>0</v>
      </c>
      <c r="T190" s="101">
        <f t="shared" ca="1" si="1043"/>
        <v>0</v>
      </c>
      <c r="U190" s="101">
        <f t="shared" ca="1" si="1043"/>
        <v>0</v>
      </c>
      <c r="V190" s="101">
        <f t="shared" ca="1" si="1043"/>
        <v>0</v>
      </c>
      <c r="W190" s="101">
        <f t="shared" ca="1" si="1043"/>
        <v>0</v>
      </c>
      <c r="X190" s="101">
        <f t="shared" ca="1" si="1043"/>
        <v>0</v>
      </c>
      <c r="Y190" s="101">
        <f t="shared" ca="1" si="1043"/>
        <v>0</v>
      </c>
      <c r="Z190" s="101">
        <f t="shared" ca="1" si="1043"/>
        <v>0</v>
      </c>
      <c r="AA190" s="101">
        <f t="shared" ca="1" si="1043"/>
        <v>0</v>
      </c>
      <c r="AB190" s="101">
        <f t="shared" ca="1" si="1043"/>
        <v>0</v>
      </c>
      <c r="AC190" s="101">
        <f t="shared" ca="1" si="1043"/>
        <v>0</v>
      </c>
      <c r="AD190" s="101">
        <f t="shared" ca="1" si="1043"/>
        <v>0</v>
      </c>
      <c r="AE190" s="101">
        <f t="shared" ca="1" si="1043"/>
        <v>0</v>
      </c>
      <c r="AF190" s="101">
        <f t="shared" ca="1" si="1043"/>
        <v>0</v>
      </c>
      <c r="AG190" s="101">
        <f t="shared" ca="1" si="1043"/>
        <v>0</v>
      </c>
      <c r="AH190" s="101">
        <f t="shared" ca="1" si="1043"/>
        <v>0</v>
      </c>
      <c r="AI190" s="101">
        <f t="shared" ca="1" si="1043"/>
        <v>0</v>
      </c>
      <c r="AJ190" s="101">
        <f t="shared" ca="1" si="1043"/>
        <v>0</v>
      </c>
      <c r="AK190" s="101">
        <f t="shared" ca="1" si="1043"/>
        <v>0</v>
      </c>
      <c r="AL190" s="101">
        <f t="shared" ca="1" si="1043"/>
        <v>0</v>
      </c>
      <c r="AM190" s="101">
        <f t="shared" ca="1" si="1043"/>
        <v>5.6139999999999999</v>
      </c>
      <c r="AN190" s="101">
        <f t="shared" ref="AN190:BS190" ca="1" si="1044">AN189*$F178/unit</f>
        <v>5.6139999999999999</v>
      </c>
      <c r="AO190" s="101">
        <f t="shared" ca="1" si="1044"/>
        <v>5.6139999999999999</v>
      </c>
      <c r="AP190" s="101">
        <f t="shared" ca="1" si="1044"/>
        <v>5.6139999999999999</v>
      </c>
      <c r="AQ190" s="101">
        <f t="shared" ca="1" si="1044"/>
        <v>5.6139999999999999</v>
      </c>
      <c r="AR190" s="101">
        <f t="shared" ca="1" si="1044"/>
        <v>5.6139999999999999</v>
      </c>
      <c r="AS190" s="101">
        <f t="shared" ca="1" si="1044"/>
        <v>5.6139999999999999</v>
      </c>
      <c r="AT190" s="101">
        <f t="shared" ca="1" si="1044"/>
        <v>5.6139999999999999</v>
      </c>
      <c r="AU190" s="101">
        <f t="shared" ca="1" si="1044"/>
        <v>5.6139999999999999</v>
      </c>
      <c r="AV190" s="101">
        <f t="shared" ca="1" si="1044"/>
        <v>5.6139999999999999</v>
      </c>
      <c r="AW190" s="101">
        <f t="shared" ca="1" si="1044"/>
        <v>5.6139999999999999</v>
      </c>
      <c r="AX190" s="101">
        <f t="shared" ca="1" si="1044"/>
        <v>5.6139999999999999</v>
      </c>
      <c r="AY190" s="101">
        <f t="shared" ca="1" si="1044"/>
        <v>5.67014</v>
      </c>
      <c r="AZ190" s="101">
        <f t="shared" ca="1" si="1044"/>
        <v>5.67014</v>
      </c>
      <c r="BA190" s="101">
        <f t="shared" ca="1" si="1044"/>
        <v>5.67014</v>
      </c>
      <c r="BB190" s="101">
        <f t="shared" ca="1" si="1044"/>
        <v>5.67014</v>
      </c>
      <c r="BC190" s="101">
        <f t="shared" ca="1" si="1044"/>
        <v>5.67014</v>
      </c>
      <c r="BD190" s="101">
        <f t="shared" ca="1" si="1044"/>
        <v>5.67014</v>
      </c>
      <c r="BE190" s="101">
        <f t="shared" ca="1" si="1044"/>
        <v>5.67014</v>
      </c>
      <c r="BF190" s="101">
        <f t="shared" ca="1" si="1044"/>
        <v>5.67014</v>
      </c>
      <c r="BG190" s="101">
        <f t="shared" ca="1" si="1044"/>
        <v>5.67014</v>
      </c>
      <c r="BH190" s="101">
        <f t="shared" ca="1" si="1044"/>
        <v>5.67014</v>
      </c>
      <c r="BI190" s="101">
        <f t="shared" ca="1" si="1044"/>
        <v>5.67014</v>
      </c>
      <c r="BJ190" s="101">
        <f t="shared" ca="1" si="1044"/>
        <v>5.67014</v>
      </c>
      <c r="BK190" s="101">
        <f t="shared" ca="1" si="1044"/>
        <v>5.7268414000000005</v>
      </c>
      <c r="BL190" s="101">
        <f t="shared" ca="1" si="1044"/>
        <v>5.7268414000000005</v>
      </c>
      <c r="BM190" s="101">
        <f t="shared" ca="1" si="1044"/>
        <v>5.7268414000000005</v>
      </c>
      <c r="BN190" s="101">
        <f t="shared" ca="1" si="1044"/>
        <v>5.7268414000000005</v>
      </c>
      <c r="BO190" s="101">
        <f t="shared" ca="1" si="1044"/>
        <v>5.7268414000000005</v>
      </c>
      <c r="BP190" s="101">
        <f t="shared" ca="1" si="1044"/>
        <v>5.7268414000000005</v>
      </c>
      <c r="BQ190" s="101">
        <f t="shared" ca="1" si="1044"/>
        <v>0</v>
      </c>
      <c r="BR190" s="101">
        <f t="shared" ca="1" si="1044"/>
        <v>0</v>
      </c>
      <c r="BS190" s="101">
        <f t="shared" ca="1" si="1044"/>
        <v>0</v>
      </c>
      <c r="BT190" s="101">
        <f t="shared" ref="BT190:BY190" ca="1" si="1045">BT189*$F178/unit</f>
        <v>0</v>
      </c>
      <c r="BU190" s="101">
        <f t="shared" ca="1" si="1045"/>
        <v>0</v>
      </c>
      <c r="BV190" s="101">
        <f t="shared" ca="1" si="1045"/>
        <v>0</v>
      </c>
      <c r="BW190" s="101">
        <f t="shared" ca="1" si="1045"/>
        <v>0</v>
      </c>
      <c r="BX190" s="101">
        <f t="shared" ca="1" si="1045"/>
        <v>0</v>
      </c>
      <c r="BY190" s="101">
        <f t="shared" ca="1" si="1045"/>
        <v>0</v>
      </c>
    </row>
    <row r="192" spans="4:77" ht="13.5" customHeight="1">
      <c r="D192" s="1" t="s">
        <v>168</v>
      </c>
    </row>
    <row r="193" spans="2:77" ht="13.5" customHeight="1">
      <c r="E193" s="1" t="s">
        <v>169</v>
      </c>
      <c r="H193" s="1">
        <v>0</v>
      </c>
      <c r="I193" s="1">
        <f ca="1">H196</f>
        <v>0</v>
      </c>
      <c r="J193" s="1">
        <f t="shared" ref="J193" ca="1" si="1046">I196</f>
        <v>0</v>
      </c>
      <c r="K193" s="1">
        <f t="shared" ref="K193" ca="1" si="1047">J196</f>
        <v>0</v>
      </c>
      <c r="L193" s="1">
        <f t="shared" ref="L193" ca="1" si="1048">K196</f>
        <v>0</v>
      </c>
      <c r="M193" s="1">
        <f t="shared" ref="M193" ca="1" si="1049">L196</f>
        <v>0</v>
      </c>
      <c r="N193" s="1">
        <f t="shared" ref="N193" ca="1" si="1050">M196</f>
        <v>0</v>
      </c>
      <c r="O193" s="1">
        <f t="shared" ref="O193" ca="1" si="1051">N196</f>
        <v>0</v>
      </c>
      <c r="P193" s="1">
        <f t="shared" ref="P193" ca="1" si="1052">O196</f>
        <v>0</v>
      </c>
      <c r="Q193" s="1">
        <f t="shared" ref="Q193" ca="1" si="1053">P196</f>
        <v>0</v>
      </c>
      <c r="R193" s="1">
        <f t="shared" ref="R193" ca="1" si="1054">Q196</f>
        <v>0</v>
      </c>
      <c r="S193" s="1">
        <f t="shared" ref="S193" ca="1" si="1055">R196</f>
        <v>0</v>
      </c>
      <c r="T193" s="1">
        <f t="shared" ref="T193" ca="1" si="1056">S196</f>
        <v>0</v>
      </c>
      <c r="U193" s="1">
        <f t="shared" ref="U193" ca="1" si="1057">T196</f>
        <v>0</v>
      </c>
      <c r="V193" s="1">
        <f t="shared" ref="V193" ca="1" si="1058">U196</f>
        <v>0</v>
      </c>
      <c r="W193" s="1">
        <f t="shared" ref="W193" ca="1" si="1059">V196</f>
        <v>0</v>
      </c>
      <c r="X193" s="1">
        <f t="shared" ref="X193" ca="1" si="1060">W196</f>
        <v>0</v>
      </c>
      <c r="Y193" s="1">
        <f t="shared" ref="Y193" ca="1" si="1061">X196</f>
        <v>0</v>
      </c>
      <c r="Z193" s="1">
        <f t="shared" ref="Z193" ca="1" si="1062">Y196</f>
        <v>0</v>
      </c>
      <c r="AA193" s="1">
        <f t="shared" ref="AA193" ca="1" si="1063">Z196</f>
        <v>0</v>
      </c>
      <c r="AB193" s="1">
        <f t="shared" ref="AB193" ca="1" si="1064">AA196</f>
        <v>0</v>
      </c>
      <c r="AC193" s="1">
        <f t="shared" ref="AC193" ca="1" si="1065">AB196</f>
        <v>0</v>
      </c>
      <c r="AD193" s="1">
        <f t="shared" ref="AD193" ca="1" si="1066">AC196</f>
        <v>0</v>
      </c>
      <c r="AE193" s="1">
        <f t="shared" ref="AE193" ca="1" si="1067">AD196</f>
        <v>0</v>
      </c>
      <c r="AF193" s="1">
        <f t="shared" ref="AF193" ca="1" si="1068">AE196</f>
        <v>0</v>
      </c>
      <c r="AG193" s="1">
        <f t="shared" ref="AG193" ca="1" si="1069">AF196</f>
        <v>0</v>
      </c>
      <c r="AH193" s="1">
        <f t="shared" ref="AH193" ca="1" si="1070">AG196</f>
        <v>0</v>
      </c>
      <c r="AI193" s="1">
        <f t="shared" ref="AI193" ca="1" si="1071">AH196</f>
        <v>0</v>
      </c>
      <c r="AJ193" s="1">
        <f t="shared" ref="AJ193" ca="1" si="1072">AI196</f>
        <v>0</v>
      </c>
      <c r="AK193" s="1">
        <f t="shared" ref="AK193" ca="1" si="1073">AJ196</f>
        <v>0</v>
      </c>
      <c r="AL193" s="1">
        <f t="shared" ref="AL193" ca="1" si="1074">AK196</f>
        <v>0</v>
      </c>
      <c r="AM193" s="1">
        <f t="shared" ref="AM193" ca="1" si="1075">AL196</f>
        <v>0</v>
      </c>
      <c r="AN193" s="1">
        <f t="shared" ref="AN193" ca="1" si="1076">AM196</f>
        <v>421.04999999999995</v>
      </c>
      <c r="AO193" s="1">
        <f t="shared" ref="AO193" ca="1" si="1077">AN196</f>
        <v>421.04999999999995</v>
      </c>
      <c r="AP193" s="1">
        <f t="shared" ref="AP193" ca="1" si="1078">AO196</f>
        <v>421.04999999999995</v>
      </c>
      <c r="AQ193" s="1">
        <f t="shared" ref="AQ193" ca="1" si="1079">AP196</f>
        <v>421.04999999999995</v>
      </c>
      <c r="AR193" s="1">
        <f t="shared" ref="AR193" ca="1" si="1080">AQ196</f>
        <v>421.04999999999995</v>
      </c>
      <c r="AS193" s="1">
        <f t="shared" ref="AS193" ca="1" si="1081">AR196</f>
        <v>421.04999999999995</v>
      </c>
      <c r="AT193" s="1">
        <f t="shared" ref="AT193" ca="1" si="1082">AS196</f>
        <v>421.04999999999995</v>
      </c>
      <c r="AU193" s="1">
        <f t="shared" ref="AU193" ca="1" si="1083">AT196</f>
        <v>421.04999999999995</v>
      </c>
      <c r="AV193" s="1">
        <f t="shared" ref="AV193" ca="1" si="1084">AU196</f>
        <v>421.04999999999995</v>
      </c>
      <c r="AW193" s="1">
        <f t="shared" ref="AW193" ca="1" si="1085">AV196</f>
        <v>421.04999999999995</v>
      </c>
      <c r="AX193" s="1">
        <f t="shared" ref="AX193" ca="1" si="1086">AW196</f>
        <v>421.04999999999995</v>
      </c>
      <c r="AY193" s="1">
        <f t="shared" ref="AY193" ca="1" si="1087">AX196</f>
        <v>421.04999999999995</v>
      </c>
      <c r="AZ193" s="1">
        <f t="shared" ref="AZ193" ca="1" si="1088">AY196</f>
        <v>421.04999999999995</v>
      </c>
      <c r="BA193" s="1">
        <f t="shared" ref="BA193" ca="1" si="1089">AZ196</f>
        <v>421.04999999999995</v>
      </c>
      <c r="BB193" s="1">
        <f t="shared" ref="BB193" ca="1" si="1090">BA196</f>
        <v>421.04999999999995</v>
      </c>
      <c r="BC193" s="1">
        <f t="shared" ref="BC193" ca="1" si="1091">BB196</f>
        <v>421.04999999999995</v>
      </c>
      <c r="BD193" s="1">
        <f t="shared" ref="BD193" ca="1" si="1092">BC196</f>
        <v>421.04999999999995</v>
      </c>
      <c r="BE193" s="1">
        <f t="shared" ref="BE193" ca="1" si="1093">BD196</f>
        <v>421.04999999999995</v>
      </c>
      <c r="BF193" s="1">
        <f t="shared" ref="BF193" ca="1" si="1094">BE196</f>
        <v>421.04999999999995</v>
      </c>
      <c r="BG193" s="1">
        <f t="shared" ref="BG193" ca="1" si="1095">BF196</f>
        <v>421.04999999999995</v>
      </c>
      <c r="BH193" s="1">
        <f t="shared" ref="BH193" ca="1" si="1096">BG196</f>
        <v>421.04999999999995</v>
      </c>
      <c r="BI193" s="1">
        <f t="shared" ref="BI193" ca="1" si="1097">BH196</f>
        <v>421.04999999999995</v>
      </c>
      <c r="BJ193" s="1">
        <f t="shared" ref="BJ193" ca="1" si="1098">BI196</f>
        <v>421.04999999999995</v>
      </c>
      <c r="BK193" s="1">
        <f t="shared" ref="BK193" ca="1" si="1099">BJ196</f>
        <v>421.04999999999995</v>
      </c>
      <c r="BL193" s="1">
        <f t="shared" ref="BL193" ca="1" si="1100">BK196</f>
        <v>421.04999999999995</v>
      </c>
      <c r="BM193" s="1">
        <f t="shared" ref="BM193" ca="1" si="1101">BL196</f>
        <v>421.04999999999995</v>
      </c>
      <c r="BN193" s="1">
        <f t="shared" ref="BN193" ca="1" si="1102">BM196</f>
        <v>421.04999999999995</v>
      </c>
      <c r="BO193" s="1">
        <f t="shared" ref="BO193" ca="1" si="1103">BN196</f>
        <v>421.04999999999995</v>
      </c>
      <c r="BP193" s="1">
        <f t="shared" ref="BP193" ca="1" si="1104">BO196</f>
        <v>421.04999999999995</v>
      </c>
      <c r="BQ193" s="1">
        <f t="shared" ref="BQ193" ca="1" si="1105">BP196</f>
        <v>0</v>
      </c>
      <c r="BR193" s="1">
        <f t="shared" ref="BR193" ca="1" si="1106">BQ196</f>
        <v>0</v>
      </c>
      <c r="BS193" s="1">
        <f t="shared" ref="BS193" ca="1" si="1107">BR196</f>
        <v>0</v>
      </c>
      <c r="BT193" s="1">
        <f t="shared" ref="BT193" ca="1" si="1108">BS196</f>
        <v>0</v>
      </c>
      <c r="BU193" s="1">
        <f t="shared" ref="BU193" ca="1" si="1109">BT196</f>
        <v>0</v>
      </c>
      <c r="BV193" s="1">
        <f t="shared" ref="BV193" ca="1" si="1110">BU196</f>
        <v>0</v>
      </c>
      <c r="BW193" s="1">
        <f t="shared" ref="BW193" ca="1" si="1111">BV196</f>
        <v>0</v>
      </c>
      <c r="BX193" s="1">
        <f t="shared" ref="BX193" ca="1" si="1112">BW196</f>
        <v>0</v>
      </c>
      <c r="BY193" s="1">
        <f t="shared" ref="BY193" ca="1" si="1113">BX196</f>
        <v>0</v>
      </c>
    </row>
    <row r="194" spans="2:77" ht="13.5" customHeight="1">
      <c r="E194" s="1" t="s">
        <v>170</v>
      </c>
      <c r="H194" s="1">
        <f ca="1">(H$14=$F173)*$F180</f>
        <v>0</v>
      </c>
      <c r="I194" s="1">
        <f t="shared" ref="I194:BT194" ca="1" si="1114">(I$14=$F173)*$F180</f>
        <v>0</v>
      </c>
      <c r="J194" s="1">
        <f t="shared" ca="1" si="1114"/>
        <v>0</v>
      </c>
      <c r="K194" s="1">
        <f t="shared" ca="1" si="1114"/>
        <v>0</v>
      </c>
      <c r="L194" s="1">
        <f t="shared" ca="1" si="1114"/>
        <v>0</v>
      </c>
      <c r="M194" s="1">
        <f t="shared" ca="1" si="1114"/>
        <v>0</v>
      </c>
      <c r="N194" s="1">
        <f t="shared" ca="1" si="1114"/>
        <v>0</v>
      </c>
      <c r="O194" s="1">
        <f t="shared" ca="1" si="1114"/>
        <v>0</v>
      </c>
      <c r="P194" s="1">
        <f t="shared" ca="1" si="1114"/>
        <v>0</v>
      </c>
      <c r="Q194" s="1">
        <f t="shared" ca="1" si="1114"/>
        <v>0</v>
      </c>
      <c r="R194" s="1">
        <f t="shared" ca="1" si="1114"/>
        <v>0</v>
      </c>
      <c r="S194" s="1">
        <f t="shared" ca="1" si="1114"/>
        <v>0</v>
      </c>
      <c r="T194" s="1">
        <f t="shared" ca="1" si="1114"/>
        <v>0</v>
      </c>
      <c r="U194" s="1">
        <f t="shared" ca="1" si="1114"/>
        <v>0</v>
      </c>
      <c r="V194" s="1">
        <f t="shared" ca="1" si="1114"/>
        <v>0</v>
      </c>
      <c r="W194" s="1">
        <f t="shared" ca="1" si="1114"/>
        <v>0</v>
      </c>
      <c r="X194" s="1">
        <f t="shared" ca="1" si="1114"/>
        <v>0</v>
      </c>
      <c r="Y194" s="1">
        <f t="shared" ca="1" si="1114"/>
        <v>0</v>
      </c>
      <c r="Z194" s="1">
        <f t="shared" ca="1" si="1114"/>
        <v>0</v>
      </c>
      <c r="AA194" s="1">
        <f t="shared" ca="1" si="1114"/>
        <v>0</v>
      </c>
      <c r="AB194" s="1">
        <f t="shared" ca="1" si="1114"/>
        <v>0</v>
      </c>
      <c r="AC194" s="1">
        <f t="shared" ca="1" si="1114"/>
        <v>0</v>
      </c>
      <c r="AD194" s="1">
        <f t="shared" ca="1" si="1114"/>
        <v>0</v>
      </c>
      <c r="AE194" s="1">
        <f t="shared" ca="1" si="1114"/>
        <v>0</v>
      </c>
      <c r="AF194" s="1">
        <f t="shared" ca="1" si="1114"/>
        <v>0</v>
      </c>
      <c r="AG194" s="1">
        <f t="shared" ca="1" si="1114"/>
        <v>0</v>
      </c>
      <c r="AH194" s="1">
        <f t="shared" ca="1" si="1114"/>
        <v>0</v>
      </c>
      <c r="AI194" s="1">
        <f t="shared" ca="1" si="1114"/>
        <v>0</v>
      </c>
      <c r="AJ194" s="1">
        <f t="shared" ca="1" si="1114"/>
        <v>0</v>
      </c>
      <c r="AK194" s="1">
        <f t="shared" ca="1" si="1114"/>
        <v>0</v>
      </c>
      <c r="AL194" s="1">
        <f t="shared" ca="1" si="1114"/>
        <v>0</v>
      </c>
      <c r="AM194" s="1">
        <f t="shared" ca="1" si="1114"/>
        <v>421.04999999999995</v>
      </c>
      <c r="AN194" s="1">
        <f t="shared" ca="1" si="1114"/>
        <v>0</v>
      </c>
      <c r="AO194" s="1">
        <f t="shared" ca="1" si="1114"/>
        <v>0</v>
      </c>
      <c r="AP194" s="1">
        <f t="shared" ca="1" si="1114"/>
        <v>0</v>
      </c>
      <c r="AQ194" s="1">
        <f t="shared" ca="1" si="1114"/>
        <v>0</v>
      </c>
      <c r="AR194" s="1">
        <f t="shared" ca="1" si="1114"/>
        <v>0</v>
      </c>
      <c r="AS194" s="1">
        <f t="shared" ca="1" si="1114"/>
        <v>0</v>
      </c>
      <c r="AT194" s="1">
        <f t="shared" ca="1" si="1114"/>
        <v>0</v>
      </c>
      <c r="AU194" s="1">
        <f t="shared" ca="1" si="1114"/>
        <v>0</v>
      </c>
      <c r="AV194" s="1">
        <f t="shared" ca="1" si="1114"/>
        <v>0</v>
      </c>
      <c r="AW194" s="1">
        <f t="shared" ca="1" si="1114"/>
        <v>0</v>
      </c>
      <c r="AX194" s="1">
        <f t="shared" ca="1" si="1114"/>
        <v>0</v>
      </c>
      <c r="AY194" s="1">
        <f t="shared" ca="1" si="1114"/>
        <v>0</v>
      </c>
      <c r="AZ194" s="1">
        <f t="shared" ca="1" si="1114"/>
        <v>0</v>
      </c>
      <c r="BA194" s="1">
        <f t="shared" ca="1" si="1114"/>
        <v>0</v>
      </c>
      <c r="BB194" s="1">
        <f t="shared" ca="1" si="1114"/>
        <v>0</v>
      </c>
      <c r="BC194" s="1">
        <f t="shared" ca="1" si="1114"/>
        <v>0</v>
      </c>
      <c r="BD194" s="1">
        <f t="shared" ca="1" si="1114"/>
        <v>0</v>
      </c>
      <c r="BE194" s="1">
        <f t="shared" ca="1" si="1114"/>
        <v>0</v>
      </c>
      <c r="BF194" s="1">
        <f t="shared" ca="1" si="1114"/>
        <v>0</v>
      </c>
      <c r="BG194" s="1">
        <f t="shared" ca="1" si="1114"/>
        <v>0</v>
      </c>
      <c r="BH194" s="1">
        <f t="shared" ca="1" si="1114"/>
        <v>0</v>
      </c>
      <c r="BI194" s="1">
        <f t="shared" ca="1" si="1114"/>
        <v>0</v>
      </c>
      <c r="BJ194" s="1">
        <f t="shared" ca="1" si="1114"/>
        <v>0</v>
      </c>
      <c r="BK194" s="1">
        <f t="shared" ca="1" si="1114"/>
        <v>0</v>
      </c>
      <c r="BL194" s="1">
        <f t="shared" ca="1" si="1114"/>
        <v>0</v>
      </c>
      <c r="BM194" s="1">
        <f t="shared" ca="1" si="1114"/>
        <v>0</v>
      </c>
      <c r="BN194" s="1">
        <f t="shared" ca="1" si="1114"/>
        <v>0</v>
      </c>
      <c r="BO194" s="1">
        <f t="shared" ca="1" si="1114"/>
        <v>0</v>
      </c>
      <c r="BP194" s="1">
        <f t="shared" ca="1" si="1114"/>
        <v>0</v>
      </c>
      <c r="BQ194" s="1">
        <f t="shared" ca="1" si="1114"/>
        <v>0</v>
      </c>
      <c r="BR194" s="1">
        <f t="shared" ca="1" si="1114"/>
        <v>0</v>
      </c>
      <c r="BS194" s="1">
        <f t="shared" ca="1" si="1114"/>
        <v>0</v>
      </c>
      <c r="BT194" s="1">
        <f t="shared" ca="1" si="1114"/>
        <v>0</v>
      </c>
      <c r="BU194" s="1">
        <f t="shared" ref="BU194:BY194" ca="1" si="1115">(BU$14=$F173)*$F180</f>
        <v>0</v>
      </c>
      <c r="BV194" s="1">
        <f t="shared" ca="1" si="1115"/>
        <v>0</v>
      </c>
      <c r="BW194" s="1">
        <f t="shared" ca="1" si="1115"/>
        <v>0</v>
      </c>
      <c r="BX194" s="1">
        <f t="shared" ca="1" si="1115"/>
        <v>0</v>
      </c>
      <c r="BY194" s="1">
        <f t="shared" ca="1" si="1115"/>
        <v>0</v>
      </c>
    </row>
    <row r="195" spans="2:77" ht="13.5" customHeight="1">
      <c r="E195" s="1" t="s">
        <v>171</v>
      </c>
      <c r="H195" s="1">
        <f t="shared" ref="H195:AM195" ca="1" si="1116">(H$14=exit)*$F180*-1</f>
        <v>0</v>
      </c>
      <c r="I195" s="1">
        <f t="shared" ca="1" si="1116"/>
        <v>0</v>
      </c>
      <c r="J195" s="1">
        <f t="shared" ca="1" si="1116"/>
        <v>0</v>
      </c>
      <c r="K195" s="1">
        <f t="shared" ca="1" si="1116"/>
        <v>0</v>
      </c>
      <c r="L195" s="1">
        <f t="shared" ca="1" si="1116"/>
        <v>0</v>
      </c>
      <c r="M195" s="1">
        <f t="shared" ca="1" si="1116"/>
        <v>0</v>
      </c>
      <c r="N195" s="1">
        <f t="shared" ca="1" si="1116"/>
        <v>0</v>
      </c>
      <c r="O195" s="1">
        <f t="shared" ca="1" si="1116"/>
        <v>0</v>
      </c>
      <c r="P195" s="1">
        <f t="shared" ca="1" si="1116"/>
        <v>0</v>
      </c>
      <c r="Q195" s="1">
        <f t="shared" ca="1" si="1116"/>
        <v>0</v>
      </c>
      <c r="R195" s="1">
        <f t="shared" ca="1" si="1116"/>
        <v>0</v>
      </c>
      <c r="S195" s="1">
        <f t="shared" ca="1" si="1116"/>
        <v>0</v>
      </c>
      <c r="T195" s="1">
        <f t="shared" ca="1" si="1116"/>
        <v>0</v>
      </c>
      <c r="U195" s="1">
        <f t="shared" ca="1" si="1116"/>
        <v>0</v>
      </c>
      <c r="V195" s="1">
        <f t="shared" ca="1" si="1116"/>
        <v>0</v>
      </c>
      <c r="W195" s="1">
        <f t="shared" ca="1" si="1116"/>
        <v>0</v>
      </c>
      <c r="X195" s="1">
        <f t="shared" ca="1" si="1116"/>
        <v>0</v>
      </c>
      <c r="Y195" s="1">
        <f t="shared" ca="1" si="1116"/>
        <v>0</v>
      </c>
      <c r="Z195" s="1">
        <f t="shared" ca="1" si="1116"/>
        <v>0</v>
      </c>
      <c r="AA195" s="1">
        <f t="shared" ca="1" si="1116"/>
        <v>0</v>
      </c>
      <c r="AB195" s="1">
        <f t="shared" ca="1" si="1116"/>
        <v>0</v>
      </c>
      <c r="AC195" s="1">
        <f t="shared" ca="1" si="1116"/>
        <v>0</v>
      </c>
      <c r="AD195" s="1">
        <f t="shared" ca="1" si="1116"/>
        <v>0</v>
      </c>
      <c r="AE195" s="1">
        <f t="shared" ca="1" si="1116"/>
        <v>0</v>
      </c>
      <c r="AF195" s="1">
        <f t="shared" ca="1" si="1116"/>
        <v>0</v>
      </c>
      <c r="AG195" s="1">
        <f t="shared" ca="1" si="1116"/>
        <v>0</v>
      </c>
      <c r="AH195" s="1">
        <f t="shared" ca="1" si="1116"/>
        <v>0</v>
      </c>
      <c r="AI195" s="1">
        <f t="shared" ca="1" si="1116"/>
        <v>0</v>
      </c>
      <c r="AJ195" s="1">
        <f t="shared" ca="1" si="1116"/>
        <v>0</v>
      </c>
      <c r="AK195" s="1">
        <f t="shared" ca="1" si="1116"/>
        <v>0</v>
      </c>
      <c r="AL195" s="1">
        <f t="shared" ca="1" si="1116"/>
        <v>0</v>
      </c>
      <c r="AM195" s="1">
        <f t="shared" ca="1" si="1116"/>
        <v>0</v>
      </c>
      <c r="AN195" s="1">
        <f t="shared" ref="AN195:BS195" ca="1" si="1117">(AN$14=exit)*$F180*-1</f>
        <v>0</v>
      </c>
      <c r="AO195" s="1">
        <f t="shared" ca="1" si="1117"/>
        <v>0</v>
      </c>
      <c r="AP195" s="1">
        <f t="shared" ca="1" si="1117"/>
        <v>0</v>
      </c>
      <c r="AQ195" s="1">
        <f t="shared" ca="1" si="1117"/>
        <v>0</v>
      </c>
      <c r="AR195" s="1">
        <f t="shared" ca="1" si="1117"/>
        <v>0</v>
      </c>
      <c r="AS195" s="1">
        <f t="shared" ca="1" si="1117"/>
        <v>0</v>
      </c>
      <c r="AT195" s="1">
        <f t="shared" ca="1" si="1117"/>
        <v>0</v>
      </c>
      <c r="AU195" s="1">
        <f t="shared" ca="1" si="1117"/>
        <v>0</v>
      </c>
      <c r="AV195" s="1">
        <f t="shared" ca="1" si="1117"/>
        <v>0</v>
      </c>
      <c r="AW195" s="1">
        <f t="shared" ca="1" si="1117"/>
        <v>0</v>
      </c>
      <c r="AX195" s="1">
        <f t="shared" ca="1" si="1117"/>
        <v>0</v>
      </c>
      <c r="AY195" s="1">
        <f t="shared" ca="1" si="1117"/>
        <v>0</v>
      </c>
      <c r="AZ195" s="1">
        <f t="shared" ca="1" si="1117"/>
        <v>0</v>
      </c>
      <c r="BA195" s="1">
        <f t="shared" ca="1" si="1117"/>
        <v>0</v>
      </c>
      <c r="BB195" s="1">
        <f t="shared" ca="1" si="1117"/>
        <v>0</v>
      </c>
      <c r="BC195" s="1">
        <f t="shared" ca="1" si="1117"/>
        <v>0</v>
      </c>
      <c r="BD195" s="1">
        <f t="shared" ca="1" si="1117"/>
        <v>0</v>
      </c>
      <c r="BE195" s="1">
        <f t="shared" ca="1" si="1117"/>
        <v>0</v>
      </c>
      <c r="BF195" s="1">
        <f t="shared" ca="1" si="1117"/>
        <v>0</v>
      </c>
      <c r="BG195" s="1">
        <f t="shared" ca="1" si="1117"/>
        <v>0</v>
      </c>
      <c r="BH195" s="1">
        <f t="shared" ca="1" si="1117"/>
        <v>0</v>
      </c>
      <c r="BI195" s="1">
        <f t="shared" ca="1" si="1117"/>
        <v>0</v>
      </c>
      <c r="BJ195" s="1">
        <f t="shared" ca="1" si="1117"/>
        <v>0</v>
      </c>
      <c r="BK195" s="1">
        <f t="shared" ca="1" si="1117"/>
        <v>0</v>
      </c>
      <c r="BL195" s="1">
        <f t="shared" ca="1" si="1117"/>
        <v>0</v>
      </c>
      <c r="BM195" s="1">
        <f t="shared" ca="1" si="1117"/>
        <v>0</v>
      </c>
      <c r="BN195" s="1">
        <f t="shared" ca="1" si="1117"/>
        <v>0</v>
      </c>
      <c r="BO195" s="1">
        <f t="shared" ca="1" si="1117"/>
        <v>0</v>
      </c>
      <c r="BP195" s="1">
        <f t="shared" ca="1" si="1117"/>
        <v>-421.04999999999995</v>
      </c>
      <c r="BQ195" s="1">
        <f t="shared" ca="1" si="1117"/>
        <v>0</v>
      </c>
      <c r="BR195" s="1">
        <f t="shared" ca="1" si="1117"/>
        <v>0</v>
      </c>
      <c r="BS195" s="1">
        <f t="shared" ca="1" si="1117"/>
        <v>0</v>
      </c>
      <c r="BT195" s="1">
        <f t="shared" ref="BT195:BY195" ca="1" si="1118">(BT$14=exit)*$F180*-1</f>
        <v>0</v>
      </c>
      <c r="BU195" s="1">
        <f t="shared" ca="1" si="1118"/>
        <v>0</v>
      </c>
      <c r="BV195" s="1">
        <f t="shared" ca="1" si="1118"/>
        <v>0</v>
      </c>
      <c r="BW195" s="1">
        <f t="shared" ca="1" si="1118"/>
        <v>0</v>
      </c>
      <c r="BX195" s="1">
        <f t="shared" ca="1" si="1118"/>
        <v>0</v>
      </c>
      <c r="BY195" s="1">
        <f t="shared" ca="1" si="1118"/>
        <v>0</v>
      </c>
    </row>
    <row r="196" spans="2:77" ht="13.5" customHeight="1">
      <c r="E196" s="41" t="s">
        <v>172</v>
      </c>
      <c r="F196" s="41"/>
      <c r="G196" s="41"/>
      <c r="H196" s="41">
        <f ca="1">SUM(H193:H195)</f>
        <v>0</v>
      </c>
      <c r="I196" s="41">
        <f t="shared" ref="I196:BT196" ca="1" si="1119">SUM(I193:I195)</f>
        <v>0</v>
      </c>
      <c r="J196" s="41">
        <f t="shared" ca="1" si="1119"/>
        <v>0</v>
      </c>
      <c r="K196" s="41">
        <f t="shared" ca="1" si="1119"/>
        <v>0</v>
      </c>
      <c r="L196" s="41">
        <f t="shared" ca="1" si="1119"/>
        <v>0</v>
      </c>
      <c r="M196" s="41">
        <f t="shared" ca="1" si="1119"/>
        <v>0</v>
      </c>
      <c r="N196" s="41">
        <f t="shared" ca="1" si="1119"/>
        <v>0</v>
      </c>
      <c r="O196" s="41">
        <f t="shared" ca="1" si="1119"/>
        <v>0</v>
      </c>
      <c r="P196" s="41">
        <f t="shared" ca="1" si="1119"/>
        <v>0</v>
      </c>
      <c r="Q196" s="41">
        <f t="shared" ca="1" si="1119"/>
        <v>0</v>
      </c>
      <c r="R196" s="41">
        <f t="shared" ca="1" si="1119"/>
        <v>0</v>
      </c>
      <c r="S196" s="41">
        <f t="shared" ca="1" si="1119"/>
        <v>0</v>
      </c>
      <c r="T196" s="41">
        <f t="shared" ca="1" si="1119"/>
        <v>0</v>
      </c>
      <c r="U196" s="41">
        <f t="shared" ca="1" si="1119"/>
        <v>0</v>
      </c>
      <c r="V196" s="41">
        <f t="shared" ca="1" si="1119"/>
        <v>0</v>
      </c>
      <c r="W196" s="41">
        <f t="shared" ca="1" si="1119"/>
        <v>0</v>
      </c>
      <c r="X196" s="41">
        <f t="shared" ca="1" si="1119"/>
        <v>0</v>
      </c>
      <c r="Y196" s="41">
        <f t="shared" ca="1" si="1119"/>
        <v>0</v>
      </c>
      <c r="Z196" s="41">
        <f t="shared" ca="1" si="1119"/>
        <v>0</v>
      </c>
      <c r="AA196" s="41">
        <f t="shared" ca="1" si="1119"/>
        <v>0</v>
      </c>
      <c r="AB196" s="41">
        <f t="shared" ca="1" si="1119"/>
        <v>0</v>
      </c>
      <c r="AC196" s="41">
        <f t="shared" ca="1" si="1119"/>
        <v>0</v>
      </c>
      <c r="AD196" s="41">
        <f t="shared" ca="1" si="1119"/>
        <v>0</v>
      </c>
      <c r="AE196" s="41">
        <f t="shared" ca="1" si="1119"/>
        <v>0</v>
      </c>
      <c r="AF196" s="41">
        <f t="shared" ca="1" si="1119"/>
        <v>0</v>
      </c>
      <c r="AG196" s="41">
        <f t="shared" ca="1" si="1119"/>
        <v>0</v>
      </c>
      <c r="AH196" s="41">
        <f t="shared" ca="1" si="1119"/>
        <v>0</v>
      </c>
      <c r="AI196" s="41">
        <f t="shared" ca="1" si="1119"/>
        <v>0</v>
      </c>
      <c r="AJ196" s="41">
        <f t="shared" ca="1" si="1119"/>
        <v>0</v>
      </c>
      <c r="AK196" s="41">
        <f t="shared" ca="1" si="1119"/>
        <v>0</v>
      </c>
      <c r="AL196" s="41">
        <f t="shared" ca="1" si="1119"/>
        <v>0</v>
      </c>
      <c r="AM196" s="41">
        <f t="shared" ca="1" si="1119"/>
        <v>421.04999999999995</v>
      </c>
      <c r="AN196" s="41">
        <f t="shared" ca="1" si="1119"/>
        <v>421.04999999999995</v>
      </c>
      <c r="AO196" s="41">
        <f t="shared" ca="1" si="1119"/>
        <v>421.04999999999995</v>
      </c>
      <c r="AP196" s="41">
        <f t="shared" ca="1" si="1119"/>
        <v>421.04999999999995</v>
      </c>
      <c r="AQ196" s="41">
        <f t="shared" ca="1" si="1119"/>
        <v>421.04999999999995</v>
      </c>
      <c r="AR196" s="41">
        <f t="shared" ca="1" si="1119"/>
        <v>421.04999999999995</v>
      </c>
      <c r="AS196" s="41">
        <f t="shared" ca="1" si="1119"/>
        <v>421.04999999999995</v>
      </c>
      <c r="AT196" s="41">
        <f t="shared" ca="1" si="1119"/>
        <v>421.04999999999995</v>
      </c>
      <c r="AU196" s="41">
        <f t="shared" ca="1" si="1119"/>
        <v>421.04999999999995</v>
      </c>
      <c r="AV196" s="41">
        <f t="shared" ca="1" si="1119"/>
        <v>421.04999999999995</v>
      </c>
      <c r="AW196" s="41">
        <f t="shared" ca="1" si="1119"/>
        <v>421.04999999999995</v>
      </c>
      <c r="AX196" s="41">
        <f t="shared" ca="1" si="1119"/>
        <v>421.04999999999995</v>
      </c>
      <c r="AY196" s="41">
        <f t="shared" ca="1" si="1119"/>
        <v>421.04999999999995</v>
      </c>
      <c r="AZ196" s="41">
        <f t="shared" ca="1" si="1119"/>
        <v>421.04999999999995</v>
      </c>
      <c r="BA196" s="41">
        <f t="shared" ca="1" si="1119"/>
        <v>421.04999999999995</v>
      </c>
      <c r="BB196" s="41">
        <f t="shared" ca="1" si="1119"/>
        <v>421.04999999999995</v>
      </c>
      <c r="BC196" s="41">
        <f t="shared" ca="1" si="1119"/>
        <v>421.04999999999995</v>
      </c>
      <c r="BD196" s="41">
        <f t="shared" ca="1" si="1119"/>
        <v>421.04999999999995</v>
      </c>
      <c r="BE196" s="41">
        <f t="shared" ca="1" si="1119"/>
        <v>421.04999999999995</v>
      </c>
      <c r="BF196" s="41">
        <f t="shared" ca="1" si="1119"/>
        <v>421.04999999999995</v>
      </c>
      <c r="BG196" s="41">
        <f t="shared" ca="1" si="1119"/>
        <v>421.04999999999995</v>
      </c>
      <c r="BH196" s="41">
        <f t="shared" ca="1" si="1119"/>
        <v>421.04999999999995</v>
      </c>
      <c r="BI196" s="41">
        <f t="shared" ca="1" si="1119"/>
        <v>421.04999999999995</v>
      </c>
      <c r="BJ196" s="41">
        <f t="shared" ca="1" si="1119"/>
        <v>421.04999999999995</v>
      </c>
      <c r="BK196" s="41">
        <f t="shared" ca="1" si="1119"/>
        <v>421.04999999999995</v>
      </c>
      <c r="BL196" s="41">
        <f t="shared" ca="1" si="1119"/>
        <v>421.04999999999995</v>
      </c>
      <c r="BM196" s="41">
        <f t="shared" ca="1" si="1119"/>
        <v>421.04999999999995</v>
      </c>
      <c r="BN196" s="41">
        <f t="shared" ca="1" si="1119"/>
        <v>421.04999999999995</v>
      </c>
      <c r="BO196" s="41">
        <f t="shared" ca="1" si="1119"/>
        <v>421.04999999999995</v>
      </c>
      <c r="BP196" s="41">
        <f t="shared" ca="1" si="1119"/>
        <v>0</v>
      </c>
      <c r="BQ196" s="41">
        <f t="shared" ca="1" si="1119"/>
        <v>0</v>
      </c>
      <c r="BR196" s="41">
        <f t="shared" ca="1" si="1119"/>
        <v>0</v>
      </c>
      <c r="BS196" s="41">
        <f t="shared" ca="1" si="1119"/>
        <v>0</v>
      </c>
      <c r="BT196" s="41">
        <f t="shared" ca="1" si="1119"/>
        <v>0</v>
      </c>
      <c r="BU196" s="41">
        <f t="shared" ref="BU196:BY196" ca="1" si="1120">SUM(BU193:BU195)</f>
        <v>0</v>
      </c>
      <c r="BV196" s="41">
        <f t="shared" ca="1" si="1120"/>
        <v>0</v>
      </c>
      <c r="BW196" s="41">
        <f t="shared" ca="1" si="1120"/>
        <v>0</v>
      </c>
      <c r="BX196" s="41">
        <f t="shared" ca="1" si="1120"/>
        <v>0</v>
      </c>
      <c r="BY196" s="41">
        <f t="shared" ca="1" si="1120"/>
        <v>0</v>
      </c>
    </row>
    <row r="198" spans="2:77" ht="13.5" customHeight="1">
      <c r="C198" s="13" t="s">
        <v>196</v>
      </c>
    </row>
    <row r="199" spans="2:77" ht="13.5" customHeight="1">
      <c r="D199" s="120" t="str">
        <f>CONCATENATE(B141," 임대료 수입 합계")</f>
        <v>지상1층 임대료 수입 합계</v>
      </c>
      <c r="E199" s="120"/>
      <c r="F199" s="120"/>
      <c r="G199" s="120"/>
      <c r="H199" s="120">
        <f ca="1">H153+H186</f>
        <v>61.753999999999998</v>
      </c>
      <c r="I199" s="120">
        <f t="shared" ref="I199:BT199" ca="1" si="1121">I153+I186</f>
        <v>61.753999999999998</v>
      </c>
      <c r="J199" s="120">
        <f t="shared" ca="1" si="1121"/>
        <v>61.753999999999998</v>
      </c>
      <c r="K199" s="120">
        <f t="shared" ca="1" si="1121"/>
        <v>61.753999999999998</v>
      </c>
      <c r="L199" s="120">
        <f t="shared" ca="1" si="1121"/>
        <v>61.753999999999998</v>
      </c>
      <c r="M199" s="120">
        <f t="shared" ca="1" si="1121"/>
        <v>61.753999999999998</v>
      </c>
      <c r="N199" s="120">
        <f t="shared" ca="1" si="1121"/>
        <v>61.753999999999998</v>
      </c>
      <c r="O199" s="120">
        <f t="shared" ca="1" si="1121"/>
        <v>61.753999999999998</v>
      </c>
      <c r="P199" s="120">
        <f t="shared" ca="1" si="1121"/>
        <v>61.753999999999998</v>
      </c>
      <c r="Q199" s="120">
        <f t="shared" ca="1" si="1121"/>
        <v>61.753999999999998</v>
      </c>
      <c r="R199" s="120">
        <f t="shared" ca="1" si="1121"/>
        <v>61.753999999999998</v>
      </c>
      <c r="S199" s="120">
        <f t="shared" ca="1" si="1121"/>
        <v>61.753999999999998</v>
      </c>
      <c r="T199" s="120">
        <f t="shared" ca="1" si="1121"/>
        <v>61.753999999999998</v>
      </c>
      <c r="U199" s="120">
        <f t="shared" ca="1" si="1121"/>
        <v>61.753999999999998</v>
      </c>
      <c r="V199" s="120">
        <f t="shared" ca="1" si="1121"/>
        <v>61.753999999999998</v>
      </c>
      <c r="W199" s="120">
        <f t="shared" ca="1" si="1121"/>
        <v>61.753999999999998</v>
      </c>
      <c r="X199" s="120">
        <f t="shared" ca="1" si="1121"/>
        <v>61.753999999999998</v>
      </c>
      <c r="Y199" s="120">
        <f t="shared" ca="1" si="1121"/>
        <v>61.753999999999998</v>
      </c>
      <c r="Z199" s="120">
        <f t="shared" ca="1" si="1121"/>
        <v>61.753999999999998</v>
      </c>
      <c r="AA199" s="120">
        <f t="shared" ca="1" si="1121"/>
        <v>61.753999999999998</v>
      </c>
      <c r="AB199" s="120">
        <f t="shared" ca="1" si="1121"/>
        <v>61.753999999999998</v>
      </c>
      <c r="AC199" s="120">
        <f t="shared" ca="1" si="1121"/>
        <v>61.753999999999998</v>
      </c>
      <c r="AD199" s="120">
        <f t="shared" ca="1" si="1121"/>
        <v>61.753999999999998</v>
      </c>
      <c r="AE199" s="120">
        <f t="shared" ca="1" si="1121"/>
        <v>61.753999999999998</v>
      </c>
      <c r="AF199" s="120">
        <f t="shared" ca="1" si="1121"/>
        <v>61.753999999999998</v>
      </c>
      <c r="AG199" s="120">
        <f t="shared" ca="1" si="1121"/>
        <v>61.753999999999998</v>
      </c>
      <c r="AH199" s="120">
        <f t="shared" ca="1" si="1121"/>
        <v>61.753999999999998</v>
      </c>
      <c r="AI199" s="120">
        <f t="shared" ca="1" si="1121"/>
        <v>61.753999999999998</v>
      </c>
      <c r="AJ199" s="120">
        <f t="shared" ca="1" si="1121"/>
        <v>61.753999999999998</v>
      </c>
      <c r="AK199" s="120">
        <f t="shared" ca="1" si="1121"/>
        <v>61.753999999999998</v>
      </c>
      <c r="AL199" s="120">
        <f t="shared" ca="1" si="1121"/>
        <v>0</v>
      </c>
      <c r="AM199" s="120">
        <f t="shared" ca="1" si="1121"/>
        <v>0</v>
      </c>
      <c r="AN199" s="120">
        <f t="shared" ca="1" si="1121"/>
        <v>64.327083333333334</v>
      </c>
      <c r="AO199" s="120">
        <f t="shared" ca="1" si="1121"/>
        <v>64.327083333333334</v>
      </c>
      <c r="AP199" s="120">
        <f t="shared" ca="1" si="1121"/>
        <v>64.327083333333334</v>
      </c>
      <c r="AQ199" s="120">
        <f t="shared" ca="1" si="1121"/>
        <v>64.327083333333334</v>
      </c>
      <c r="AR199" s="120">
        <f t="shared" ca="1" si="1121"/>
        <v>64.327083333333334</v>
      </c>
      <c r="AS199" s="120">
        <f t="shared" ca="1" si="1121"/>
        <v>64.327083333333334</v>
      </c>
      <c r="AT199" s="120">
        <f t="shared" ca="1" si="1121"/>
        <v>64.327083333333334</v>
      </c>
      <c r="AU199" s="120">
        <f t="shared" ca="1" si="1121"/>
        <v>64.327083333333334</v>
      </c>
      <c r="AV199" s="120">
        <f t="shared" ca="1" si="1121"/>
        <v>64.327083333333334</v>
      </c>
      <c r="AW199" s="120">
        <f t="shared" ca="1" si="1121"/>
        <v>64.327083333333334</v>
      </c>
      <c r="AX199" s="120">
        <f t="shared" ca="1" si="1121"/>
        <v>64.327083333333334</v>
      </c>
      <c r="AY199" s="120">
        <f t="shared" ca="1" si="1121"/>
        <v>64.970354166666667</v>
      </c>
      <c r="AZ199" s="120">
        <f t="shared" ca="1" si="1121"/>
        <v>64.970354166666667</v>
      </c>
      <c r="BA199" s="120">
        <f t="shared" ca="1" si="1121"/>
        <v>64.970354166666667</v>
      </c>
      <c r="BB199" s="120">
        <f t="shared" ca="1" si="1121"/>
        <v>64.970354166666667</v>
      </c>
      <c r="BC199" s="120">
        <f t="shared" ca="1" si="1121"/>
        <v>64.970354166666667</v>
      </c>
      <c r="BD199" s="120">
        <f t="shared" ca="1" si="1121"/>
        <v>64.970354166666667</v>
      </c>
      <c r="BE199" s="120">
        <f t="shared" ca="1" si="1121"/>
        <v>64.970354166666667</v>
      </c>
      <c r="BF199" s="120">
        <f t="shared" ca="1" si="1121"/>
        <v>64.970354166666667</v>
      </c>
      <c r="BG199" s="120">
        <f t="shared" ca="1" si="1121"/>
        <v>64.970354166666667</v>
      </c>
      <c r="BH199" s="120">
        <f t="shared" ca="1" si="1121"/>
        <v>64.970354166666667</v>
      </c>
      <c r="BI199" s="120">
        <f t="shared" ca="1" si="1121"/>
        <v>64.970354166666667</v>
      </c>
      <c r="BJ199" s="120">
        <f t="shared" ca="1" si="1121"/>
        <v>64.970354166666667</v>
      </c>
      <c r="BK199" s="120">
        <f t="shared" ca="1" si="1121"/>
        <v>65.620057708333334</v>
      </c>
      <c r="BL199" s="120">
        <f t="shared" ca="1" si="1121"/>
        <v>65.620057708333334</v>
      </c>
      <c r="BM199" s="120">
        <f t="shared" ca="1" si="1121"/>
        <v>65.620057708333334</v>
      </c>
      <c r="BN199" s="120">
        <f t="shared" ca="1" si="1121"/>
        <v>65.620057708333334</v>
      </c>
      <c r="BO199" s="120">
        <f t="shared" ca="1" si="1121"/>
        <v>65.620057708333334</v>
      </c>
      <c r="BP199" s="120">
        <f t="shared" ca="1" si="1121"/>
        <v>65.620057708333334</v>
      </c>
      <c r="BQ199" s="120">
        <f t="shared" ca="1" si="1121"/>
        <v>0</v>
      </c>
      <c r="BR199" s="120">
        <f t="shared" ca="1" si="1121"/>
        <v>0</v>
      </c>
      <c r="BS199" s="120">
        <f t="shared" ca="1" si="1121"/>
        <v>0</v>
      </c>
      <c r="BT199" s="120">
        <f t="shared" ca="1" si="1121"/>
        <v>0</v>
      </c>
      <c r="BU199" s="120">
        <f t="shared" ref="BU199:BY199" ca="1" si="1122">BU153+BU186</f>
        <v>0</v>
      </c>
      <c r="BV199" s="120">
        <f t="shared" ca="1" si="1122"/>
        <v>0</v>
      </c>
      <c r="BW199" s="120">
        <f t="shared" ca="1" si="1122"/>
        <v>0</v>
      </c>
      <c r="BX199" s="120">
        <f t="shared" ca="1" si="1122"/>
        <v>0</v>
      </c>
      <c r="BY199" s="120">
        <f t="shared" ca="1" si="1122"/>
        <v>0</v>
      </c>
    </row>
    <row r="200" spans="2:77" ht="13.5" customHeight="1">
      <c r="D200" s="120" t="str">
        <f>CONCATENATE(B141," 관리비 수입 합계")</f>
        <v>지상1층 관리비 수입 합계</v>
      </c>
      <c r="E200" s="120"/>
      <c r="F200" s="120"/>
      <c r="G200" s="120"/>
      <c r="H200" s="120">
        <f ca="1">H157+H190</f>
        <v>5.6139999999999999</v>
      </c>
      <c r="I200" s="120">
        <f t="shared" ref="I200:BT200" ca="1" si="1123">I157+I190</f>
        <v>5.6139999999999999</v>
      </c>
      <c r="J200" s="120">
        <f t="shared" ca="1" si="1123"/>
        <v>5.6139999999999999</v>
      </c>
      <c r="K200" s="120">
        <f t="shared" ca="1" si="1123"/>
        <v>5.6139999999999999</v>
      </c>
      <c r="L200" s="120">
        <f t="shared" ca="1" si="1123"/>
        <v>5.6139999999999999</v>
      </c>
      <c r="M200" s="120">
        <f t="shared" ca="1" si="1123"/>
        <v>5.6139999999999999</v>
      </c>
      <c r="N200" s="120">
        <f t="shared" ca="1" si="1123"/>
        <v>5.6139999999999999</v>
      </c>
      <c r="O200" s="120">
        <f t="shared" ca="1" si="1123"/>
        <v>5.6139999999999999</v>
      </c>
      <c r="P200" s="120">
        <f t="shared" ca="1" si="1123"/>
        <v>5.6139999999999999</v>
      </c>
      <c r="Q200" s="120">
        <f t="shared" ca="1" si="1123"/>
        <v>5.6139999999999999</v>
      </c>
      <c r="R200" s="120">
        <f t="shared" ca="1" si="1123"/>
        <v>5.6139999999999999</v>
      </c>
      <c r="S200" s="120">
        <f t="shared" ca="1" si="1123"/>
        <v>5.6139999999999999</v>
      </c>
      <c r="T200" s="120">
        <f t="shared" ca="1" si="1123"/>
        <v>5.6139999999999999</v>
      </c>
      <c r="U200" s="120">
        <f t="shared" ca="1" si="1123"/>
        <v>5.6139999999999999</v>
      </c>
      <c r="V200" s="120">
        <f t="shared" ca="1" si="1123"/>
        <v>5.6139999999999999</v>
      </c>
      <c r="W200" s="120">
        <f t="shared" ca="1" si="1123"/>
        <v>5.6139999999999999</v>
      </c>
      <c r="X200" s="120">
        <f t="shared" ca="1" si="1123"/>
        <v>5.6139999999999999</v>
      </c>
      <c r="Y200" s="120">
        <f t="shared" ca="1" si="1123"/>
        <v>5.6139999999999999</v>
      </c>
      <c r="Z200" s="120">
        <f t="shared" ca="1" si="1123"/>
        <v>5.6139999999999999</v>
      </c>
      <c r="AA200" s="120">
        <f t="shared" ca="1" si="1123"/>
        <v>5.6139999999999999</v>
      </c>
      <c r="AB200" s="120">
        <f t="shared" ca="1" si="1123"/>
        <v>5.6139999999999999</v>
      </c>
      <c r="AC200" s="120">
        <f t="shared" ca="1" si="1123"/>
        <v>5.6139999999999999</v>
      </c>
      <c r="AD200" s="120">
        <f t="shared" ca="1" si="1123"/>
        <v>5.6139999999999999</v>
      </c>
      <c r="AE200" s="120">
        <f t="shared" ca="1" si="1123"/>
        <v>5.6139999999999999</v>
      </c>
      <c r="AF200" s="120">
        <f t="shared" ca="1" si="1123"/>
        <v>5.6139999999999999</v>
      </c>
      <c r="AG200" s="120">
        <f t="shared" ca="1" si="1123"/>
        <v>5.6139999999999999</v>
      </c>
      <c r="AH200" s="120">
        <f t="shared" ca="1" si="1123"/>
        <v>5.6139999999999999</v>
      </c>
      <c r="AI200" s="120">
        <f t="shared" ca="1" si="1123"/>
        <v>5.6139999999999999</v>
      </c>
      <c r="AJ200" s="120">
        <f t="shared" ca="1" si="1123"/>
        <v>5.6139999999999999</v>
      </c>
      <c r="AK200" s="120">
        <f t="shared" ca="1" si="1123"/>
        <v>5.6139999999999999</v>
      </c>
      <c r="AL200" s="120">
        <f t="shared" ca="1" si="1123"/>
        <v>0</v>
      </c>
      <c r="AM200" s="120">
        <f t="shared" ca="1" si="1123"/>
        <v>5.6139999999999999</v>
      </c>
      <c r="AN200" s="120">
        <f t="shared" ca="1" si="1123"/>
        <v>5.6139999999999999</v>
      </c>
      <c r="AO200" s="120">
        <f t="shared" ca="1" si="1123"/>
        <v>5.6139999999999999</v>
      </c>
      <c r="AP200" s="120">
        <f t="shared" ca="1" si="1123"/>
        <v>5.6139999999999999</v>
      </c>
      <c r="AQ200" s="120">
        <f t="shared" ca="1" si="1123"/>
        <v>5.6139999999999999</v>
      </c>
      <c r="AR200" s="120">
        <f t="shared" ca="1" si="1123"/>
        <v>5.6139999999999999</v>
      </c>
      <c r="AS200" s="120">
        <f t="shared" ca="1" si="1123"/>
        <v>5.6139999999999999</v>
      </c>
      <c r="AT200" s="120">
        <f t="shared" ca="1" si="1123"/>
        <v>5.6139999999999999</v>
      </c>
      <c r="AU200" s="120">
        <f t="shared" ca="1" si="1123"/>
        <v>5.6139999999999999</v>
      </c>
      <c r="AV200" s="120">
        <f t="shared" ca="1" si="1123"/>
        <v>5.6139999999999999</v>
      </c>
      <c r="AW200" s="120">
        <f t="shared" ca="1" si="1123"/>
        <v>5.6139999999999999</v>
      </c>
      <c r="AX200" s="120">
        <f t="shared" ca="1" si="1123"/>
        <v>5.6139999999999999</v>
      </c>
      <c r="AY200" s="120">
        <f t="shared" ca="1" si="1123"/>
        <v>5.67014</v>
      </c>
      <c r="AZ200" s="120">
        <f t="shared" ca="1" si="1123"/>
        <v>5.67014</v>
      </c>
      <c r="BA200" s="120">
        <f t="shared" ca="1" si="1123"/>
        <v>5.67014</v>
      </c>
      <c r="BB200" s="120">
        <f t="shared" ca="1" si="1123"/>
        <v>5.67014</v>
      </c>
      <c r="BC200" s="120">
        <f t="shared" ca="1" si="1123"/>
        <v>5.67014</v>
      </c>
      <c r="BD200" s="120">
        <f t="shared" ca="1" si="1123"/>
        <v>5.67014</v>
      </c>
      <c r="BE200" s="120">
        <f t="shared" ca="1" si="1123"/>
        <v>5.67014</v>
      </c>
      <c r="BF200" s="120">
        <f t="shared" ca="1" si="1123"/>
        <v>5.67014</v>
      </c>
      <c r="BG200" s="120">
        <f t="shared" ca="1" si="1123"/>
        <v>5.67014</v>
      </c>
      <c r="BH200" s="120">
        <f t="shared" ca="1" si="1123"/>
        <v>5.67014</v>
      </c>
      <c r="BI200" s="120">
        <f t="shared" ca="1" si="1123"/>
        <v>5.67014</v>
      </c>
      <c r="BJ200" s="120">
        <f t="shared" ca="1" si="1123"/>
        <v>5.67014</v>
      </c>
      <c r="BK200" s="120">
        <f t="shared" ca="1" si="1123"/>
        <v>5.7268414000000005</v>
      </c>
      <c r="BL200" s="120">
        <f t="shared" ca="1" si="1123"/>
        <v>5.7268414000000005</v>
      </c>
      <c r="BM200" s="120">
        <f t="shared" ca="1" si="1123"/>
        <v>5.7268414000000005</v>
      </c>
      <c r="BN200" s="120">
        <f t="shared" ca="1" si="1123"/>
        <v>5.7268414000000005</v>
      </c>
      <c r="BO200" s="120">
        <f t="shared" ca="1" si="1123"/>
        <v>5.7268414000000005</v>
      </c>
      <c r="BP200" s="120">
        <f t="shared" ca="1" si="1123"/>
        <v>5.7268414000000005</v>
      </c>
      <c r="BQ200" s="120">
        <f t="shared" ca="1" si="1123"/>
        <v>0</v>
      </c>
      <c r="BR200" s="120">
        <f t="shared" ca="1" si="1123"/>
        <v>0</v>
      </c>
      <c r="BS200" s="120">
        <f t="shared" ca="1" si="1123"/>
        <v>0</v>
      </c>
      <c r="BT200" s="120">
        <f t="shared" ca="1" si="1123"/>
        <v>0</v>
      </c>
      <c r="BU200" s="120">
        <f t="shared" ref="BU200:BY200" ca="1" si="1124">BU157+BU190</f>
        <v>0</v>
      </c>
      <c r="BV200" s="120">
        <f t="shared" ca="1" si="1124"/>
        <v>0</v>
      </c>
      <c r="BW200" s="120">
        <f t="shared" ca="1" si="1124"/>
        <v>0</v>
      </c>
      <c r="BX200" s="120">
        <f t="shared" ca="1" si="1124"/>
        <v>0</v>
      </c>
      <c r="BY200" s="120">
        <f t="shared" ca="1" si="1124"/>
        <v>0</v>
      </c>
    </row>
    <row r="201" spans="2:77" ht="13.5" customHeight="1">
      <c r="D201" s="120" t="str">
        <f>CONCATENATE(B141," 보증금 현금흐름 합계")</f>
        <v>지상1층 보증금 현금흐름 합계</v>
      </c>
      <c r="E201" s="120"/>
      <c r="F201" s="120"/>
      <c r="G201" s="120"/>
      <c r="H201" s="120">
        <f ca="1">SUM(H161:H162,H194:H195)</f>
        <v>0</v>
      </c>
      <c r="I201" s="120">
        <f t="shared" ref="I201:BT201" ca="1" si="1125">SUM(I161:I162,I194:I195)</f>
        <v>0</v>
      </c>
      <c r="J201" s="120">
        <f t="shared" ca="1" si="1125"/>
        <v>0</v>
      </c>
      <c r="K201" s="120">
        <f t="shared" ca="1" si="1125"/>
        <v>0</v>
      </c>
      <c r="L201" s="120">
        <f t="shared" ca="1" si="1125"/>
        <v>0</v>
      </c>
      <c r="M201" s="120">
        <f t="shared" ca="1" si="1125"/>
        <v>0</v>
      </c>
      <c r="N201" s="120">
        <f t="shared" ca="1" si="1125"/>
        <v>0</v>
      </c>
      <c r="O201" s="120">
        <f t="shared" ca="1" si="1125"/>
        <v>0</v>
      </c>
      <c r="P201" s="120">
        <f t="shared" ca="1" si="1125"/>
        <v>0</v>
      </c>
      <c r="Q201" s="120">
        <f t="shared" ca="1" si="1125"/>
        <v>0</v>
      </c>
      <c r="R201" s="120">
        <f t="shared" ca="1" si="1125"/>
        <v>0</v>
      </c>
      <c r="S201" s="120">
        <f t="shared" ca="1" si="1125"/>
        <v>0</v>
      </c>
      <c r="T201" s="120">
        <f t="shared" ca="1" si="1125"/>
        <v>0</v>
      </c>
      <c r="U201" s="120">
        <f t="shared" ca="1" si="1125"/>
        <v>0</v>
      </c>
      <c r="V201" s="120">
        <f t="shared" ca="1" si="1125"/>
        <v>0</v>
      </c>
      <c r="W201" s="120">
        <f t="shared" ca="1" si="1125"/>
        <v>0</v>
      </c>
      <c r="X201" s="120">
        <f t="shared" ca="1" si="1125"/>
        <v>0</v>
      </c>
      <c r="Y201" s="120">
        <f t="shared" ca="1" si="1125"/>
        <v>0</v>
      </c>
      <c r="Z201" s="120">
        <f t="shared" ca="1" si="1125"/>
        <v>0</v>
      </c>
      <c r="AA201" s="120">
        <f t="shared" ca="1" si="1125"/>
        <v>0</v>
      </c>
      <c r="AB201" s="120">
        <f t="shared" ca="1" si="1125"/>
        <v>0</v>
      </c>
      <c r="AC201" s="120">
        <f t="shared" ca="1" si="1125"/>
        <v>0</v>
      </c>
      <c r="AD201" s="120">
        <f t="shared" ca="1" si="1125"/>
        <v>0</v>
      </c>
      <c r="AE201" s="120">
        <f t="shared" ca="1" si="1125"/>
        <v>0</v>
      </c>
      <c r="AF201" s="120">
        <f t="shared" ca="1" si="1125"/>
        <v>0</v>
      </c>
      <c r="AG201" s="120">
        <f t="shared" ca="1" si="1125"/>
        <v>0</v>
      </c>
      <c r="AH201" s="120">
        <f t="shared" ca="1" si="1125"/>
        <v>0</v>
      </c>
      <c r="AI201" s="120">
        <f t="shared" ca="1" si="1125"/>
        <v>0</v>
      </c>
      <c r="AJ201" s="120">
        <f t="shared" ca="1" si="1125"/>
        <v>0</v>
      </c>
      <c r="AK201" s="120">
        <f t="shared" ca="1" si="1125"/>
        <v>-404.20800000000003</v>
      </c>
      <c r="AL201" s="120">
        <f t="shared" ca="1" si="1125"/>
        <v>0</v>
      </c>
      <c r="AM201" s="120">
        <f t="shared" ca="1" si="1125"/>
        <v>421.04999999999995</v>
      </c>
      <c r="AN201" s="120">
        <f t="shared" ca="1" si="1125"/>
        <v>0</v>
      </c>
      <c r="AO201" s="120">
        <f t="shared" ca="1" si="1125"/>
        <v>0</v>
      </c>
      <c r="AP201" s="120">
        <f t="shared" ca="1" si="1125"/>
        <v>0</v>
      </c>
      <c r="AQ201" s="120">
        <f t="shared" ca="1" si="1125"/>
        <v>0</v>
      </c>
      <c r="AR201" s="120">
        <f t="shared" ca="1" si="1125"/>
        <v>0</v>
      </c>
      <c r="AS201" s="120">
        <f t="shared" ca="1" si="1125"/>
        <v>0</v>
      </c>
      <c r="AT201" s="120">
        <f t="shared" ca="1" si="1125"/>
        <v>0</v>
      </c>
      <c r="AU201" s="120">
        <f t="shared" ca="1" si="1125"/>
        <v>0</v>
      </c>
      <c r="AV201" s="120">
        <f t="shared" ca="1" si="1125"/>
        <v>0</v>
      </c>
      <c r="AW201" s="120">
        <f t="shared" ca="1" si="1125"/>
        <v>0</v>
      </c>
      <c r="AX201" s="120">
        <f t="shared" ca="1" si="1125"/>
        <v>0</v>
      </c>
      <c r="AY201" s="120">
        <f t="shared" ca="1" si="1125"/>
        <v>0</v>
      </c>
      <c r="AZ201" s="120">
        <f t="shared" ca="1" si="1125"/>
        <v>0</v>
      </c>
      <c r="BA201" s="120">
        <f t="shared" ca="1" si="1125"/>
        <v>0</v>
      </c>
      <c r="BB201" s="120">
        <f t="shared" ca="1" si="1125"/>
        <v>0</v>
      </c>
      <c r="BC201" s="120">
        <f t="shared" ca="1" si="1125"/>
        <v>0</v>
      </c>
      <c r="BD201" s="120">
        <f t="shared" ca="1" si="1125"/>
        <v>0</v>
      </c>
      <c r="BE201" s="120">
        <f t="shared" ca="1" si="1125"/>
        <v>0</v>
      </c>
      <c r="BF201" s="120">
        <f t="shared" ca="1" si="1125"/>
        <v>0</v>
      </c>
      <c r="BG201" s="120">
        <f t="shared" ca="1" si="1125"/>
        <v>0</v>
      </c>
      <c r="BH201" s="120">
        <f t="shared" ca="1" si="1125"/>
        <v>0</v>
      </c>
      <c r="BI201" s="120">
        <f t="shared" ca="1" si="1125"/>
        <v>0</v>
      </c>
      <c r="BJ201" s="120">
        <f t="shared" ca="1" si="1125"/>
        <v>0</v>
      </c>
      <c r="BK201" s="120">
        <f t="shared" ca="1" si="1125"/>
        <v>0</v>
      </c>
      <c r="BL201" s="120">
        <f t="shared" ca="1" si="1125"/>
        <v>0</v>
      </c>
      <c r="BM201" s="120">
        <f t="shared" ca="1" si="1125"/>
        <v>0</v>
      </c>
      <c r="BN201" s="120">
        <f t="shared" ca="1" si="1125"/>
        <v>0</v>
      </c>
      <c r="BO201" s="120">
        <f t="shared" ca="1" si="1125"/>
        <v>0</v>
      </c>
      <c r="BP201" s="120">
        <f t="shared" ca="1" si="1125"/>
        <v>-421.04999999999995</v>
      </c>
      <c r="BQ201" s="120">
        <f t="shared" ca="1" si="1125"/>
        <v>0</v>
      </c>
      <c r="BR201" s="120">
        <f t="shared" ca="1" si="1125"/>
        <v>0</v>
      </c>
      <c r="BS201" s="120">
        <f t="shared" ca="1" si="1125"/>
        <v>0</v>
      </c>
      <c r="BT201" s="120">
        <f t="shared" ca="1" si="1125"/>
        <v>0</v>
      </c>
      <c r="BU201" s="120">
        <f t="shared" ref="BU201:BY201" ca="1" si="1126">SUM(BU161:BU162,BU194:BU195)</f>
        <v>0</v>
      </c>
      <c r="BV201" s="120">
        <f t="shared" ca="1" si="1126"/>
        <v>0</v>
      </c>
      <c r="BW201" s="120">
        <f t="shared" ca="1" si="1126"/>
        <v>0</v>
      </c>
      <c r="BX201" s="120">
        <f t="shared" ca="1" si="1126"/>
        <v>0</v>
      </c>
      <c r="BY201" s="120">
        <f t="shared" ca="1" si="1126"/>
        <v>0</v>
      </c>
    </row>
    <row r="203" spans="2:77" ht="13.5" customHeight="1">
      <c r="B203" s="13" t="str">
        <f>'A&amp;R'!C39</f>
        <v>지하1층</v>
      </c>
    </row>
    <row r="204" spans="2:77" ht="13.5" customHeight="1">
      <c r="C204" s="13" t="s">
        <v>155</v>
      </c>
    </row>
    <row r="205" spans="2:77" s="11" customFormat="1" ht="13.5" customHeight="1">
      <c r="F205" s="11" t="s">
        <v>160</v>
      </c>
      <c r="H205" s="11">
        <f>(H$14&lt;=$F206)*1</f>
        <v>1</v>
      </c>
      <c r="I205" s="11">
        <f t="shared" ref="I205:BT205" si="1127">(I$14&lt;=$F206)*1</f>
        <v>1</v>
      </c>
      <c r="J205" s="11">
        <f t="shared" si="1127"/>
        <v>1</v>
      </c>
      <c r="K205" s="11">
        <f t="shared" si="1127"/>
        <v>1</v>
      </c>
      <c r="L205" s="11">
        <f t="shared" si="1127"/>
        <v>1</v>
      </c>
      <c r="M205" s="11">
        <f t="shared" si="1127"/>
        <v>1</v>
      </c>
      <c r="N205" s="11">
        <f t="shared" si="1127"/>
        <v>0</v>
      </c>
      <c r="O205" s="11">
        <f t="shared" si="1127"/>
        <v>0</v>
      </c>
      <c r="P205" s="11">
        <f t="shared" si="1127"/>
        <v>0</v>
      </c>
      <c r="Q205" s="11">
        <f t="shared" si="1127"/>
        <v>0</v>
      </c>
      <c r="R205" s="11">
        <f t="shared" si="1127"/>
        <v>0</v>
      </c>
      <c r="S205" s="11">
        <f t="shared" si="1127"/>
        <v>0</v>
      </c>
      <c r="T205" s="11">
        <f t="shared" si="1127"/>
        <v>0</v>
      </c>
      <c r="U205" s="11">
        <f t="shared" si="1127"/>
        <v>0</v>
      </c>
      <c r="V205" s="11">
        <f t="shared" si="1127"/>
        <v>0</v>
      </c>
      <c r="W205" s="11">
        <f t="shared" si="1127"/>
        <v>0</v>
      </c>
      <c r="X205" s="11">
        <f t="shared" si="1127"/>
        <v>0</v>
      </c>
      <c r="Y205" s="11">
        <f t="shared" si="1127"/>
        <v>0</v>
      </c>
      <c r="Z205" s="11">
        <f t="shared" si="1127"/>
        <v>0</v>
      </c>
      <c r="AA205" s="11">
        <f t="shared" si="1127"/>
        <v>0</v>
      </c>
      <c r="AB205" s="11">
        <f t="shared" si="1127"/>
        <v>0</v>
      </c>
      <c r="AC205" s="11">
        <f t="shared" si="1127"/>
        <v>0</v>
      </c>
      <c r="AD205" s="11">
        <f t="shared" si="1127"/>
        <v>0</v>
      </c>
      <c r="AE205" s="11">
        <f t="shared" si="1127"/>
        <v>0</v>
      </c>
      <c r="AF205" s="11">
        <f t="shared" si="1127"/>
        <v>0</v>
      </c>
      <c r="AG205" s="11">
        <f t="shared" si="1127"/>
        <v>0</v>
      </c>
      <c r="AH205" s="11">
        <f t="shared" si="1127"/>
        <v>0</v>
      </c>
      <c r="AI205" s="11">
        <f t="shared" si="1127"/>
        <v>0</v>
      </c>
      <c r="AJ205" s="11">
        <f t="shared" si="1127"/>
        <v>0</v>
      </c>
      <c r="AK205" s="11">
        <f t="shared" si="1127"/>
        <v>0</v>
      </c>
      <c r="AL205" s="11">
        <f t="shared" si="1127"/>
        <v>0</v>
      </c>
      <c r="AM205" s="11">
        <f t="shared" si="1127"/>
        <v>0</v>
      </c>
      <c r="AN205" s="11">
        <f t="shared" si="1127"/>
        <v>0</v>
      </c>
      <c r="AO205" s="11">
        <f t="shared" si="1127"/>
        <v>0</v>
      </c>
      <c r="AP205" s="11">
        <f t="shared" si="1127"/>
        <v>0</v>
      </c>
      <c r="AQ205" s="11">
        <f t="shared" si="1127"/>
        <v>0</v>
      </c>
      <c r="AR205" s="11">
        <f t="shared" si="1127"/>
        <v>0</v>
      </c>
      <c r="AS205" s="11">
        <f t="shared" si="1127"/>
        <v>0</v>
      </c>
      <c r="AT205" s="11">
        <f t="shared" si="1127"/>
        <v>0</v>
      </c>
      <c r="AU205" s="11">
        <f t="shared" si="1127"/>
        <v>0</v>
      </c>
      <c r="AV205" s="11">
        <f t="shared" si="1127"/>
        <v>0</v>
      </c>
      <c r="AW205" s="11">
        <f t="shared" si="1127"/>
        <v>0</v>
      </c>
      <c r="AX205" s="11">
        <f t="shared" si="1127"/>
        <v>0</v>
      </c>
      <c r="AY205" s="11">
        <f t="shared" si="1127"/>
        <v>0</v>
      </c>
      <c r="AZ205" s="11">
        <f t="shared" si="1127"/>
        <v>0</v>
      </c>
      <c r="BA205" s="11">
        <f t="shared" si="1127"/>
        <v>0</v>
      </c>
      <c r="BB205" s="11">
        <f t="shared" si="1127"/>
        <v>0</v>
      </c>
      <c r="BC205" s="11">
        <f t="shared" si="1127"/>
        <v>0</v>
      </c>
      <c r="BD205" s="11">
        <f t="shared" si="1127"/>
        <v>0</v>
      </c>
      <c r="BE205" s="11">
        <f t="shared" si="1127"/>
        <v>0</v>
      </c>
      <c r="BF205" s="11">
        <f t="shared" si="1127"/>
        <v>0</v>
      </c>
      <c r="BG205" s="11">
        <f t="shared" si="1127"/>
        <v>0</v>
      </c>
      <c r="BH205" s="11">
        <f t="shared" si="1127"/>
        <v>0</v>
      </c>
      <c r="BI205" s="11">
        <f t="shared" si="1127"/>
        <v>0</v>
      </c>
      <c r="BJ205" s="11">
        <f t="shared" si="1127"/>
        <v>0</v>
      </c>
      <c r="BK205" s="11">
        <f t="shared" si="1127"/>
        <v>0</v>
      </c>
      <c r="BL205" s="11">
        <f t="shared" si="1127"/>
        <v>0</v>
      </c>
      <c r="BM205" s="11">
        <f t="shared" si="1127"/>
        <v>0</v>
      </c>
      <c r="BN205" s="11">
        <f t="shared" si="1127"/>
        <v>0</v>
      </c>
      <c r="BO205" s="11">
        <f t="shared" si="1127"/>
        <v>0</v>
      </c>
      <c r="BP205" s="11">
        <f t="shared" si="1127"/>
        <v>0</v>
      </c>
      <c r="BQ205" s="11">
        <f t="shared" si="1127"/>
        <v>0</v>
      </c>
      <c r="BR205" s="11">
        <f t="shared" si="1127"/>
        <v>0</v>
      </c>
      <c r="BS205" s="11">
        <f t="shared" si="1127"/>
        <v>0</v>
      </c>
      <c r="BT205" s="11">
        <f t="shared" si="1127"/>
        <v>0</v>
      </c>
      <c r="BU205" s="11">
        <f t="shared" ref="BU205:BY205" si="1128">(BU$14&lt;=$F206)*1</f>
        <v>0</v>
      </c>
      <c r="BV205" s="11">
        <f t="shared" si="1128"/>
        <v>0</v>
      </c>
      <c r="BW205" s="11">
        <f t="shared" si="1128"/>
        <v>0</v>
      </c>
      <c r="BX205" s="11">
        <f t="shared" si="1128"/>
        <v>0</v>
      </c>
      <c r="BY205" s="11">
        <f t="shared" si="1128"/>
        <v>0</v>
      </c>
    </row>
    <row r="206" spans="2:77" ht="13.5" customHeight="1">
      <c r="E206" s="95" t="s">
        <v>156</v>
      </c>
      <c r="F206" s="100">
        <f>VLOOKUP(B203,'A&amp;R'!$C$36:$N$40,6,0)</f>
        <v>44439</v>
      </c>
    </row>
    <row r="207" spans="2:77" ht="13.5" customHeight="1">
      <c r="E207" s="96" t="s">
        <v>157</v>
      </c>
      <c r="F207" s="97">
        <f>VLOOKUP(B203,'A&amp;R'!$C$36:$N$40,8,0)</f>
        <v>24000</v>
      </c>
    </row>
    <row r="208" spans="2:77" ht="13.5" customHeight="1">
      <c r="E208" s="96" t="s">
        <v>158</v>
      </c>
      <c r="F208" s="97">
        <f>VLOOKUP(B203,'A&amp;R'!$C$36:$N$40,12,0)</f>
        <v>1</v>
      </c>
    </row>
    <row r="209" spans="4:77" ht="13.5" customHeight="1">
      <c r="E209" s="96" t="s">
        <v>72</v>
      </c>
      <c r="F209" s="97">
        <f>VLOOKUP(B203,'A&amp;R'!$C$36:$N$40,4,0)</f>
        <v>599</v>
      </c>
    </row>
    <row r="210" spans="4:77" ht="13.5" customHeight="1">
      <c r="E210" s="96" t="s">
        <v>159</v>
      </c>
      <c r="F210" s="97">
        <f>VLOOKUP(B203,'A&amp;R'!$C$36:$N$40,10,0)</f>
        <v>2000</v>
      </c>
    </row>
    <row r="211" spans="4:77" ht="13.5" customHeight="1">
      <c r="E211" s="98" t="s">
        <v>76</v>
      </c>
      <c r="F211" s="99">
        <f>VLOOKUP(B203,'A&amp;R'!$C$36:$N$40,7,0)</f>
        <v>89.85</v>
      </c>
    </row>
    <row r="212" spans="4:77" ht="13.5" customHeight="1">
      <c r="D212" s="1" t="s">
        <v>161</v>
      </c>
    </row>
    <row r="213" spans="4:77" ht="13.5" customHeight="1">
      <c r="E213" s="30" t="s">
        <v>162</v>
      </c>
      <c r="F213" s="41"/>
      <c r="G213" s="41"/>
      <c r="H213" s="41">
        <f>$F207*H205</f>
        <v>24000</v>
      </c>
      <c r="I213" s="41">
        <f t="shared" ref="I213:BT213" si="1129">$F207*I205</f>
        <v>24000</v>
      </c>
      <c r="J213" s="41">
        <f t="shared" si="1129"/>
        <v>24000</v>
      </c>
      <c r="K213" s="41">
        <f t="shared" si="1129"/>
        <v>24000</v>
      </c>
      <c r="L213" s="41">
        <f t="shared" si="1129"/>
        <v>24000</v>
      </c>
      <c r="M213" s="41">
        <f t="shared" si="1129"/>
        <v>24000</v>
      </c>
      <c r="N213" s="41">
        <f t="shared" si="1129"/>
        <v>0</v>
      </c>
      <c r="O213" s="41">
        <f t="shared" si="1129"/>
        <v>0</v>
      </c>
      <c r="P213" s="41">
        <f t="shared" si="1129"/>
        <v>0</v>
      </c>
      <c r="Q213" s="41">
        <f t="shared" si="1129"/>
        <v>0</v>
      </c>
      <c r="R213" s="41">
        <f t="shared" si="1129"/>
        <v>0</v>
      </c>
      <c r="S213" s="41">
        <f t="shared" si="1129"/>
        <v>0</v>
      </c>
      <c r="T213" s="41">
        <f t="shared" si="1129"/>
        <v>0</v>
      </c>
      <c r="U213" s="41">
        <f t="shared" si="1129"/>
        <v>0</v>
      </c>
      <c r="V213" s="41">
        <f t="shared" si="1129"/>
        <v>0</v>
      </c>
      <c r="W213" s="41">
        <f t="shared" si="1129"/>
        <v>0</v>
      </c>
      <c r="X213" s="41">
        <f t="shared" si="1129"/>
        <v>0</v>
      </c>
      <c r="Y213" s="41">
        <f t="shared" si="1129"/>
        <v>0</v>
      </c>
      <c r="Z213" s="41">
        <f t="shared" si="1129"/>
        <v>0</v>
      </c>
      <c r="AA213" s="41">
        <f t="shared" si="1129"/>
        <v>0</v>
      </c>
      <c r="AB213" s="41">
        <f t="shared" si="1129"/>
        <v>0</v>
      </c>
      <c r="AC213" s="41">
        <f t="shared" si="1129"/>
        <v>0</v>
      </c>
      <c r="AD213" s="41">
        <f t="shared" si="1129"/>
        <v>0</v>
      </c>
      <c r="AE213" s="41">
        <f t="shared" si="1129"/>
        <v>0</v>
      </c>
      <c r="AF213" s="41">
        <f t="shared" si="1129"/>
        <v>0</v>
      </c>
      <c r="AG213" s="41">
        <f t="shared" si="1129"/>
        <v>0</v>
      </c>
      <c r="AH213" s="41">
        <f t="shared" si="1129"/>
        <v>0</v>
      </c>
      <c r="AI213" s="41">
        <f t="shared" si="1129"/>
        <v>0</v>
      </c>
      <c r="AJ213" s="41">
        <f t="shared" si="1129"/>
        <v>0</v>
      </c>
      <c r="AK213" s="41">
        <f t="shared" si="1129"/>
        <v>0</v>
      </c>
      <c r="AL213" s="41">
        <f t="shared" si="1129"/>
        <v>0</v>
      </c>
      <c r="AM213" s="41">
        <f t="shared" si="1129"/>
        <v>0</v>
      </c>
      <c r="AN213" s="41">
        <f t="shared" si="1129"/>
        <v>0</v>
      </c>
      <c r="AO213" s="41">
        <f t="shared" si="1129"/>
        <v>0</v>
      </c>
      <c r="AP213" s="41">
        <f t="shared" si="1129"/>
        <v>0</v>
      </c>
      <c r="AQ213" s="41">
        <f t="shared" si="1129"/>
        <v>0</v>
      </c>
      <c r="AR213" s="41">
        <f t="shared" si="1129"/>
        <v>0</v>
      </c>
      <c r="AS213" s="41">
        <f t="shared" si="1129"/>
        <v>0</v>
      </c>
      <c r="AT213" s="41">
        <f t="shared" si="1129"/>
        <v>0</v>
      </c>
      <c r="AU213" s="41">
        <f t="shared" si="1129"/>
        <v>0</v>
      </c>
      <c r="AV213" s="41">
        <f t="shared" si="1129"/>
        <v>0</v>
      </c>
      <c r="AW213" s="41">
        <f t="shared" si="1129"/>
        <v>0</v>
      </c>
      <c r="AX213" s="41">
        <f t="shared" si="1129"/>
        <v>0</v>
      </c>
      <c r="AY213" s="41">
        <f t="shared" si="1129"/>
        <v>0</v>
      </c>
      <c r="AZ213" s="41">
        <f t="shared" si="1129"/>
        <v>0</v>
      </c>
      <c r="BA213" s="41">
        <f t="shared" si="1129"/>
        <v>0</v>
      </c>
      <c r="BB213" s="41">
        <f t="shared" si="1129"/>
        <v>0</v>
      </c>
      <c r="BC213" s="41">
        <f t="shared" si="1129"/>
        <v>0</v>
      </c>
      <c r="BD213" s="41">
        <f t="shared" si="1129"/>
        <v>0</v>
      </c>
      <c r="BE213" s="41">
        <f t="shared" si="1129"/>
        <v>0</v>
      </c>
      <c r="BF213" s="41">
        <f t="shared" si="1129"/>
        <v>0</v>
      </c>
      <c r="BG213" s="41">
        <f t="shared" si="1129"/>
        <v>0</v>
      </c>
      <c r="BH213" s="41">
        <f t="shared" si="1129"/>
        <v>0</v>
      </c>
      <c r="BI213" s="41">
        <f t="shared" si="1129"/>
        <v>0</v>
      </c>
      <c r="BJ213" s="41">
        <f t="shared" si="1129"/>
        <v>0</v>
      </c>
      <c r="BK213" s="41">
        <f t="shared" si="1129"/>
        <v>0</v>
      </c>
      <c r="BL213" s="41">
        <f t="shared" si="1129"/>
        <v>0</v>
      </c>
      <c r="BM213" s="41">
        <f t="shared" si="1129"/>
        <v>0</v>
      </c>
      <c r="BN213" s="41">
        <f t="shared" si="1129"/>
        <v>0</v>
      </c>
      <c r="BO213" s="41">
        <f t="shared" si="1129"/>
        <v>0</v>
      </c>
      <c r="BP213" s="41">
        <f t="shared" si="1129"/>
        <v>0</v>
      </c>
      <c r="BQ213" s="41">
        <f t="shared" si="1129"/>
        <v>0</v>
      </c>
      <c r="BR213" s="41">
        <f t="shared" si="1129"/>
        <v>0</v>
      </c>
      <c r="BS213" s="41">
        <f t="shared" si="1129"/>
        <v>0</v>
      </c>
      <c r="BT213" s="41">
        <f t="shared" si="1129"/>
        <v>0</v>
      </c>
      <c r="BU213" s="41">
        <f t="shared" ref="BU213:BY213" si="1130">$F207*BU205</f>
        <v>0</v>
      </c>
      <c r="BV213" s="41">
        <f t="shared" si="1130"/>
        <v>0</v>
      </c>
      <c r="BW213" s="41">
        <f t="shared" si="1130"/>
        <v>0</v>
      </c>
      <c r="BX213" s="41">
        <f t="shared" si="1130"/>
        <v>0</v>
      </c>
      <c r="BY213" s="28">
        <f t="shared" si="1130"/>
        <v>0</v>
      </c>
    </row>
    <row r="214" spans="4:77" ht="13.5" customHeight="1">
      <c r="E214" s="36" t="s">
        <v>163</v>
      </c>
      <c r="F214" s="42"/>
      <c r="G214" s="42"/>
      <c r="H214" s="42">
        <f>H213*((12-$F208)/12)</f>
        <v>22000</v>
      </c>
      <c r="I214" s="42">
        <f t="shared" ref="I214:BT214" si="1131">I213*((12-$F208)/12)</f>
        <v>22000</v>
      </c>
      <c r="J214" s="42">
        <f t="shared" si="1131"/>
        <v>22000</v>
      </c>
      <c r="K214" s="42">
        <f t="shared" si="1131"/>
        <v>22000</v>
      </c>
      <c r="L214" s="42">
        <f t="shared" si="1131"/>
        <v>22000</v>
      </c>
      <c r="M214" s="42">
        <f t="shared" si="1131"/>
        <v>22000</v>
      </c>
      <c r="N214" s="42">
        <f t="shared" si="1131"/>
        <v>0</v>
      </c>
      <c r="O214" s="42">
        <f t="shared" si="1131"/>
        <v>0</v>
      </c>
      <c r="P214" s="42">
        <f t="shared" si="1131"/>
        <v>0</v>
      </c>
      <c r="Q214" s="42">
        <f t="shared" si="1131"/>
        <v>0</v>
      </c>
      <c r="R214" s="42">
        <f t="shared" si="1131"/>
        <v>0</v>
      </c>
      <c r="S214" s="42">
        <f t="shared" si="1131"/>
        <v>0</v>
      </c>
      <c r="T214" s="42">
        <f t="shared" si="1131"/>
        <v>0</v>
      </c>
      <c r="U214" s="42">
        <f t="shared" si="1131"/>
        <v>0</v>
      </c>
      <c r="V214" s="42">
        <f t="shared" si="1131"/>
        <v>0</v>
      </c>
      <c r="W214" s="42">
        <f t="shared" si="1131"/>
        <v>0</v>
      </c>
      <c r="X214" s="42">
        <f t="shared" si="1131"/>
        <v>0</v>
      </c>
      <c r="Y214" s="42">
        <f t="shared" si="1131"/>
        <v>0</v>
      </c>
      <c r="Z214" s="42">
        <f t="shared" si="1131"/>
        <v>0</v>
      </c>
      <c r="AA214" s="42">
        <f t="shared" si="1131"/>
        <v>0</v>
      </c>
      <c r="AB214" s="42">
        <f t="shared" si="1131"/>
        <v>0</v>
      </c>
      <c r="AC214" s="42">
        <f t="shared" si="1131"/>
        <v>0</v>
      </c>
      <c r="AD214" s="42">
        <f t="shared" si="1131"/>
        <v>0</v>
      </c>
      <c r="AE214" s="42">
        <f t="shared" si="1131"/>
        <v>0</v>
      </c>
      <c r="AF214" s="42">
        <f t="shared" si="1131"/>
        <v>0</v>
      </c>
      <c r="AG214" s="42">
        <f t="shared" si="1131"/>
        <v>0</v>
      </c>
      <c r="AH214" s="42">
        <f t="shared" si="1131"/>
        <v>0</v>
      </c>
      <c r="AI214" s="42">
        <f t="shared" si="1131"/>
        <v>0</v>
      </c>
      <c r="AJ214" s="42">
        <f t="shared" si="1131"/>
        <v>0</v>
      </c>
      <c r="AK214" s="42">
        <f t="shared" si="1131"/>
        <v>0</v>
      </c>
      <c r="AL214" s="42">
        <f t="shared" si="1131"/>
        <v>0</v>
      </c>
      <c r="AM214" s="42">
        <f t="shared" si="1131"/>
        <v>0</v>
      </c>
      <c r="AN214" s="42">
        <f t="shared" si="1131"/>
        <v>0</v>
      </c>
      <c r="AO214" s="42">
        <f t="shared" si="1131"/>
        <v>0</v>
      </c>
      <c r="AP214" s="42">
        <f t="shared" si="1131"/>
        <v>0</v>
      </c>
      <c r="AQ214" s="42">
        <f t="shared" si="1131"/>
        <v>0</v>
      </c>
      <c r="AR214" s="42">
        <f t="shared" si="1131"/>
        <v>0</v>
      </c>
      <c r="AS214" s="42">
        <f t="shared" si="1131"/>
        <v>0</v>
      </c>
      <c r="AT214" s="42">
        <f t="shared" si="1131"/>
        <v>0</v>
      </c>
      <c r="AU214" s="42">
        <f t="shared" si="1131"/>
        <v>0</v>
      </c>
      <c r="AV214" s="42">
        <f t="shared" si="1131"/>
        <v>0</v>
      </c>
      <c r="AW214" s="42">
        <f t="shared" si="1131"/>
        <v>0</v>
      </c>
      <c r="AX214" s="42">
        <f t="shared" si="1131"/>
        <v>0</v>
      </c>
      <c r="AY214" s="42">
        <f t="shared" si="1131"/>
        <v>0</v>
      </c>
      <c r="AZ214" s="42">
        <f t="shared" si="1131"/>
        <v>0</v>
      </c>
      <c r="BA214" s="42">
        <f t="shared" si="1131"/>
        <v>0</v>
      </c>
      <c r="BB214" s="42">
        <f t="shared" si="1131"/>
        <v>0</v>
      </c>
      <c r="BC214" s="42">
        <f t="shared" si="1131"/>
        <v>0</v>
      </c>
      <c r="BD214" s="42">
        <f t="shared" si="1131"/>
        <v>0</v>
      </c>
      <c r="BE214" s="42">
        <f t="shared" si="1131"/>
        <v>0</v>
      </c>
      <c r="BF214" s="42">
        <f t="shared" si="1131"/>
        <v>0</v>
      </c>
      <c r="BG214" s="42">
        <f t="shared" si="1131"/>
        <v>0</v>
      </c>
      <c r="BH214" s="42">
        <f t="shared" si="1131"/>
        <v>0</v>
      </c>
      <c r="BI214" s="42">
        <f t="shared" si="1131"/>
        <v>0</v>
      </c>
      <c r="BJ214" s="42">
        <f t="shared" si="1131"/>
        <v>0</v>
      </c>
      <c r="BK214" s="42">
        <f t="shared" si="1131"/>
        <v>0</v>
      </c>
      <c r="BL214" s="42">
        <f t="shared" si="1131"/>
        <v>0</v>
      </c>
      <c r="BM214" s="42">
        <f t="shared" si="1131"/>
        <v>0</v>
      </c>
      <c r="BN214" s="42">
        <f t="shared" si="1131"/>
        <v>0</v>
      </c>
      <c r="BO214" s="42">
        <f t="shared" si="1131"/>
        <v>0</v>
      </c>
      <c r="BP214" s="42">
        <f t="shared" si="1131"/>
        <v>0</v>
      </c>
      <c r="BQ214" s="42">
        <f t="shared" si="1131"/>
        <v>0</v>
      </c>
      <c r="BR214" s="42">
        <f t="shared" si="1131"/>
        <v>0</v>
      </c>
      <c r="BS214" s="42">
        <f t="shared" si="1131"/>
        <v>0</v>
      </c>
      <c r="BT214" s="42">
        <f t="shared" si="1131"/>
        <v>0</v>
      </c>
      <c r="BU214" s="42">
        <f t="shared" ref="BU214:BY214" si="1132">BU213*((12-$F208)/12)</f>
        <v>0</v>
      </c>
      <c r="BV214" s="42">
        <f t="shared" si="1132"/>
        <v>0</v>
      </c>
      <c r="BW214" s="42">
        <f t="shared" si="1132"/>
        <v>0</v>
      </c>
      <c r="BX214" s="42">
        <f t="shared" si="1132"/>
        <v>0</v>
      </c>
      <c r="BY214" s="34">
        <f t="shared" si="1132"/>
        <v>0</v>
      </c>
    </row>
    <row r="215" spans="4:77" ht="13.5" customHeight="1">
      <c r="D215" s="101" t="s">
        <v>164</v>
      </c>
      <c r="E215" s="101"/>
      <c r="F215" s="101"/>
      <c r="G215" s="101"/>
      <c r="H215" s="101">
        <f t="shared" ref="H215" si="1133">H214*$F209/unit</f>
        <v>13.178000000000001</v>
      </c>
      <c r="I215" s="101">
        <f t="shared" ref="I215" si="1134">I214*$F209/unit</f>
        <v>13.178000000000001</v>
      </c>
      <c r="J215" s="101">
        <f t="shared" ref="J215" si="1135">J214*$F209/unit</f>
        <v>13.178000000000001</v>
      </c>
      <c r="K215" s="101">
        <f t="shared" ref="K215" si="1136">K214*$F209/unit</f>
        <v>13.178000000000001</v>
      </c>
      <c r="L215" s="101">
        <f t="shared" ref="L215" si="1137">L214*$F209/unit</f>
        <v>13.178000000000001</v>
      </c>
      <c r="M215" s="101">
        <f t="shared" ref="M215" si="1138">M214*$F209/unit</f>
        <v>13.178000000000001</v>
      </c>
      <c r="N215" s="101">
        <f t="shared" ref="N215" si="1139">N214*$F209/unit</f>
        <v>0</v>
      </c>
      <c r="O215" s="101">
        <f t="shared" ref="O215" si="1140">O214*$F209/unit</f>
        <v>0</v>
      </c>
      <c r="P215" s="101">
        <f t="shared" ref="P215" si="1141">P214*$F209/unit</f>
        <v>0</v>
      </c>
      <c r="Q215" s="101">
        <f t="shared" ref="Q215" si="1142">Q214*$F209/unit</f>
        <v>0</v>
      </c>
      <c r="R215" s="101">
        <f t="shared" ref="R215" si="1143">R214*$F209/unit</f>
        <v>0</v>
      </c>
      <c r="S215" s="101">
        <f t="shared" ref="S215" si="1144">S214*$F209/unit</f>
        <v>0</v>
      </c>
      <c r="T215" s="101">
        <f t="shared" ref="T215" si="1145">T214*$F209/unit</f>
        <v>0</v>
      </c>
      <c r="U215" s="101">
        <f t="shared" ref="U215" si="1146">U214*$F209/unit</f>
        <v>0</v>
      </c>
      <c r="V215" s="101">
        <f t="shared" ref="V215" si="1147">V214*$F209/unit</f>
        <v>0</v>
      </c>
      <c r="W215" s="101">
        <f t="shared" ref="W215" si="1148">W214*$F209/unit</f>
        <v>0</v>
      </c>
      <c r="X215" s="101">
        <f t="shared" ref="X215" si="1149">X214*$F209/unit</f>
        <v>0</v>
      </c>
      <c r="Y215" s="101">
        <f t="shared" ref="Y215" si="1150">Y214*$F209/unit</f>
        <v>0</v>
      </c>
      <c r="Z215" s="101">
        <f t="shared" ref="Z215" si="1151">Z214*$F209/unit</f>
        <v>0</v>
      </c>
      <c r="AA215" s="101">
        <f t="shared" ref="AA215" si="1152">AA214*$F209/unit</f>
        <v>0</v>
      </c>
      <c r="AB215" s="101">
        <f t="shared" ref="AB215" si="1153">AB214*$F209/unit</f>
        <v>0</v>
      </c>
      <c r="AC215" s="101">
        <f t="shared" ref="AC215" si="1154">AC214*$F209/unit</f>
        <v>0</v>
      </c>
      <c r="AD215" s="101">
        <f t="shared" ref="AD215" si="1155">AD214*$F209/unit</f>
        <v>0</v>
      </c>
      <c r="AE215" s="101">
        <f t="shared" ref="AE215" si="1156">AE214*$F209/unit</f>
        <v>0</v>
      </c>
      <c r="AF215" s="101">
        <f t="shared" ref="AF215" si="1157">AF214*$F209/unit</f>
        <v>0</v>
      </c>
      <c r="AG215" s="101">
        <f t="shared" ref="AG215" si="1158">AG214*$F209/unit</f>
        <v>0</v>
      </c>
      <c r="AH215" s="101">
        <f t="shared" ref="AH215" si="1159">AH214*$F209/unit</f>
        <v>0</v>
      </c>
      <c r="AI215" s="101">
        <f t="shared" ref="AI215" si="1160">AI214*$F209/unit</f>
        <v>0</v>
      </c>
      <c r="AJ215" s="101">
        <f t="shared" ref="AJ215" si="1161">AJ214*$F209/unit</f>
        <v>0</v>
      </c>
      <c r="AK215" s="101">
        <f t="shared" ref="AK215" si="1162">AK214*$F209/unit</f>
        <v>0</v>
      </c>
      <c r="AL215" s="101">
        <f t="shared" ref="AL215" si="1163">AL214*$F209/unit</f>
        <v>0</v>
      </c>
      <c r="AM215" s="101">
        <f t="shared" ref="AM215" si="1164">AM214*$F209/unit</f>
        <v>0</v>
      </c>
      <c r="AN215" s="101">
        <f t="shared" ref="AN215" si="1165">AN214*$F209/unit</f>
        <v>0</v>
      </c>
      <c r="AO215" s="101">
        <f t="shared" ref="AO215" si="1166">AO214*$F209/unit</f>
        <v>0</v>
      </c>
      <c r="AP215" s="101">
        <f t="shared" ref="AP215" si="1167">AP214*$F209/unit</f>
        <v>0</v>
      </c>
      <c r="AQ215" s="101">
        <f t="shared" ref="AQ215" si="1168">AQ214*$F209/unit</f>
        <v>0</v>
      </c>
      <c r="AR215" s="101">
        <f t="shared" ref="AR215" si="1169">AR214*$F209/unit</f>
        <v>0</v>
      </c>
      <c r="AS215" s="101">
        <f t="shared" ref="AS215" si="1170">AS214*$F209/unit</f>
        <v>0</v>
      </c>
      <c r="AT215" s="101">
        <f t="shared" ref="AT215" si="1171">AT214*$F209/unit</f>
        <v>0</v>
      </c>
      <c r="AU215" s="101">
        <f t="shared" ref="AU215" si="1172">AU214*$F209/unit</f>
        <v>0</v>
      </c>
      <c r="AV215" s="101">
        <f t="shared" ref="AV215" si="1173">AV214*$F209/unit</f>
        <v>0</v>
      </c>
      <c r="AW215" s="101">
        <f t="shared" ref="AW215" si="1174">AW214*$F209/unit</f>
        <v>0</v>
      </c>
      <c r="AX215" s="101">
        <f t="shared" ref="AX215" si="1175">AX214*$F209/unit</f>
        <v>0</v>
      </c>
      <c r="AY215" s="101">
        <f t="shared" ref="AY215" si="1176">AY214*$F209/unit</f>
        <v>0</v>
      </c>
      <c r="AZ215" s="101">
        <f t="shared" ref="AZ215" si="1177">AZ214*$F209/unit</f>
        <v>0</v>
      </c>
      <c r="BA215" s="101">
        <f t="shared" ref="BA215" si="1178">BA214*$F209/unit</f>
        <v>0</v>
      </c>
      <c r="BB215" s="101">
        <f t="shared" ref="BB215" si="1179">BB214*$F209/unit</f>
        <v>0</v>
      </c>
      <c r="BC215" s="101">
        <f t="shared" ref="BC215" si="1180">BC214*$F209/unit</f>
        <v>0</v>
      </c>
      <c r="BD215" s="101">
        <f t="shared" ref="BD215" si="1181">BD214*$F209/unit</f>
        <v>0</v>
      </c>
      <c r="BE215" s="101">
        <f t="shared" ref="BE215" si="1182">BE214*$F209/unit</f>
        <v>0</v>
      </c>
      <c r="BF215" s="101">
        <f t="shared" ref="BF215" si="1183">BF214*$F209/unit</f>
        <v>0</v>
      </c>
      <c r="BG215" s="101">
        <f t="shared" ref="BG215" si="1184">BG214*$F209/unit</f>
        <v>0</v>
      </c>
      <c r="BH215" s="101">
        <f t="shared" ref="BH215" si="1185">BH214*$F209/unit</f>
        <v>0</v>
      </c>
      <c r="BI215" s="101">
        <f t="shared" ref="BI215" si="1186">BI214*$F209/unit</f>
        <v>0</v>
      </c>
      <c r="BJ215" s="101">
        <f t="shared" ref="BJ215" si="1187">BJ214*$F209/unit</f>
        <v>0</v>
      </c>
      <c r="BK215" s="101">
        <f t="shared" ref="BK215" si="1188">BK214*$F209/unit</f>
        <v>0</v>
      </c>
      <c r="BL215" s="101">
        <f t="shared" ref="BL215" si="1189">BL214*$F209/unit</f>
        <v>0</v>
      </c>
      <c r="BM215" s="101">
        <f t="shared" ref="BM215" si="1190">BM214*$F209/unit</f>
        <v>0</v>
      </c>
      <c r="BN215" s="101">
        <f t="shared" ref="BN215" si="1191">BN214*$F209/unit</f>
        <v>0</v>
      </c>
      <c r="BO215" s="101">
        <f t="shared" ref="BO215" si="1192">BO214*$F209/unit</f>
        <v>0</v>
      </c>
      <c r="BP215" s="101">
        <f t="shared" ref="BP215" si="1193">BP214*$F209/unit</f>
        <v>0</v>
      </c>
      <c r="BQ215" s="101">
        <f t="shared" ref="BQ215" si="1194">BQ214*$F209/unit</f>
        <v>0</v>
      </c>
      <c r="BR215" s="101">
        <f t="shared" ref="BR215" si="1195">BR214*$F209/unit</f>
        <v>0</v>
      </c>
      <c r="BS215" s="101">
        <f t="shared" ref="BS215" si="1196">BS214*$F209/unit</f>
        <v>0</v>
      </c>
      <c r="BT215" s="101">
        <f t="shared" ref="BT215" si="1197">BT214*$F209/unit</f>
        <v>0</v>
      </c>
      <c r="BU215" s="101">
        <f t="shared" ref="BU215" si="1198">BU214*$F209/unit</f>
        <v>0</v>
      </c>
      <c r="BV215" s="101">
        <f t="shared" ref="BV215" si="1199">BV214*$F209/unit</f>
        <v>0</v>
      </c>
      <c r="BW215" s="101">
        <f t="shared" ref="BW215" si="1200">BW214*$F209/unit</f>
        <v>0</v>
      </c>
      <c r="BX215" s="101">
        <f t="shared" ref="BX215" si="1201">BX214*$F209/unit</f>
        <v>0</v>
      </c>
      <c r="BY215" s="101">
        <f t="shared" ref="BY215" si="1202">BY214*$F209/unit</f>
        <v>0</v>
      </c>
    </row>
    <row r="217" spans="4:77" ht="13.5" customHeight="1">
      <c r="D217" s="1" t="s">
        <v>165</v>
      </c>
    </row>
    <row r="218" spans="4:77" ht="13.5" customHeight="1">
      <c r="E218" s="25" t="s">
        <v>166</v>
      </c>
      <c r="F218" s="51"/>
      <c r="G218" s="51"/>
      <c r="H218" s="51">
        <f>$F210*H205</f>
        <v>2000</v>
      </c>
      <c r="I218" s="51">
        <f t="shared" ref="I218:BT218" si="1203">$F210*I205</f>
        <v>2000</v>
      </c>
      <c r="J218" s="51">
        <f t="shared" si="1203"/>
        <v>2000</v>
      </c>
      <c r="K218" s="51">
        <f t="shared" si="1203"/>
        <v>2000</v>
      </c>
      <c r="L218" s="51">
        <f t="shared" si="1203"/>
        <v>2000</v>
      </c>
      <c r="M218" s="51">
        <f t="shared" si="1203"/>
        <v>2000</v>
      </c>
      <c r="N218" s="51">
        <f t="shared" si="1203"/>
        <v>0</v>
      </c>
      <c r="O218" s="51">
        <f t="shared" si="1203"/>
        <v>0</v>
      </c>
      <c r="P218" s="51">
        <f t="shared" si="1203"/>
        <v>0</v>
      </c>
      <c r="Q218" s="51">
        <f t="shared" si="1203"/>
        <v>0</v>
      </c>
      <c r="R218" s="51">
        <f t="shared" si="1203"/>
        <v>0</v>
      </c>
      <c r="S218" s="51">
        <f t="shared" si="1203"/>
        <v>0</v>
      </c>
      <c r="T218" s="51">
        <f t="shared" si="1203"/>
        <v>0</v>
      </c>
      <c r="U218" s="51">
        <f t="shared" si="1203"/>
        <v>0</v>
      </c>
      <c r="V218" s="51">
        <f t="shared" si="1203"/>
        <v>0</v>
      </c>
      <c r="W218" s="51">
        <f t="shared" si="1203"/>
        <v>0</v>
      </c>
      <c r="X218" s="51">
        <f t="shared" si="1203"/>
        <v>0</v>
      </c>
      <c r="Y218" s="51">
        <f t="shared" si="1203"/>
        <v>0</v>
      </c>
      <c r="Z218" s="51">
        <f t="shared" si="1203"/>
        <v>0</v>
      </c>
      <c r="AA218" s="51">
        <f t="shared" si="1203"/>
        <v>0</v>
      </c>
      <c r="AB218" s="51">
        <f t="shared" si="1203"/>
        <v>0</v>
      </c>
      <c r="AC218" s="51">
        <f t="shared" si="1203"/>
        <v>0</v>
      </c>
      <c r="AD218" s="51">
        <f t="shared" si="1203"/>
        <v>0</v>
      </c>
      <c r="AE218" s="51">
        <f t="shared" si="1203"/>
        <v>0</v>
      </c>
      <c r="AF218" s="51">
        <f t="shared" si="1203"/>
        <v>0</v>
      </c>
      <c r="AG218" s="51">
        <f t="shared" si="1203"/>
        <v>0</v>
      </c>
      <c r="AH218" s="51">
        <f t="shared" si="1203"/>
        <v>0</v>
      </c>
      <c r="AI218" s="51">
        <f t="shared" si="1203"/>
        <v>0</v>
      </c>
      <c r="AJ218" s="51">
        <f t="shared" si="1203"/>
        <v>0</v>
      </c>
      <c r="AK218" s="51">
        <f t="shared" si="1203"/>
        <v>0</v>
      </c>
      <c r="AL218" s="51">
        <f t="shared" si="1203"/>
        <v>0</v>
      </c>
      <c r="AM218" s="51">
        <f t="shared" si="1203"/>
        <v>0</v>
      </c>
      <c r="AN218" s="51">
        <f t="shared" si="1203"/>
        <v>0</v>
      </c>
      <c r="AO218" s="51">
        <f t="shared" si="1203"/>
        <v>0</v>
      </c>
      <c r="AP218" s="51">
        <f t="shared" si="1203"/>
        <v>0</v>
      </c>
      <c r="AQ218" s="51">
        <f t="shared" si="1203"/>
        <v>0</v>
      </c>
      <c r="AR218" s="51">
        <f t="shared" si="1203"/>
        <v>0</v>
      </c>
      <c r="AS218" s="51">
        <f t="shared" si="1203"/>
        <v>0</v>
      </c>
      <c r="AT218" s="51">
        <f t="shared" si="1203"/>
        <v>0</v>
      </c>
      <c r="AU218" s="51">
        <f t="shared" si="1203"/>
        <v>0</v>
      </c>
      <c r="AV218" s="51">
        <f t="shared" si="1203"/>
        <v>0</v>
      </c>
      <c r="AW218" s="51">
        <f t="shared" si="1203"/>
        <v>0</v>
      </c>
      <c r="AX218" s="51">
        <f t="shared" si="1203"/>
        <v>0</v>
      </c>
      <c r="AY218" s="51">
        <f t="shared" si="1203"/>
        <v>0</v>
      </c>
      <c r="AZ218" s="51">
        <f t="shared" si="1203"/>
        <v>0</v>
      </c>
      <c r="BA218" s="51">
        <f t="shared" si="1203"/>
        <v>0</v>
      </c>
      <c r="BB218" s="51">
        <f t="shared" si="1203"/>
        <v>0</v>
      </c>
      <c r="BC218" s="51">
        <f t="shared" si="1203"/>
        <v>0</v>
      </c>
      <c r="BD218" s="51">
        <f t="shared" si="1203"/>
        <v>0</v>
      </c>
      <c r="BE218" s="51">
        <f t="shared" si="1203"/>
        <v>0</v>
      </c>
      <c r="BF218" s="51">
        <f t="shared" si="1203"/>
        <v>0</v>
      </c>
      <c r="BG218" s="51">
        <f t="shared" si="1203"/>
        <v>0</v>
      </c>
      <c r="BH218" s="51">
        <f t="shared" si="1203"/>
        <v>0</v>
      </c>
      <c r="BI218" s="51">
        <f t="shared" si="1203"/>
        <v>0</v>
      </c>
      <c r="BJ218" s="51">
        <f t="shared" si="1203"/>
        <v>0</v>
      </c>
      <c r="BK218" s="51">
        <f t="shared" si="1203"/>
        <v>0</v>
      </c>
      <c r="BL218" s="51">
        <f t="shared" si="1203"/>
        <v>0</v>
      </c>
      <c r="BM218" s="51">
        <f t="shared" si="1203"/>
        <v>0</v>
      </c>
      <c r="BN218" s="51">
        <f t="shared" si="1203"/>
        <v>0</v>
      </c>
      <c r="BO218" s="51">
        <f t="shared" si="1203"/>
        <v>0</v>
      </c>
      <c r="BP218" s="51">
        <f t="shared" si="1203"/>
        <v>0</v>
      </c>
      <c r="BQ218" s="51">
        <f t="shared" si="1203"/>
        <v>0</v>
      </c>
      <c r="BR218" s="51">
        <f t="shared" si="1203"/>
        <v>0</v>
      </c>
      <c r="BS218" s="51">
        <f t="shared" si="1203"/>
        <v>0</v>
      </c>
      <c r="BT218" s="51">
        <f t="shared" si="1203"/>
        <v>0</v>
      </c>
      <c r="BU218" s="51">
        <f t="shared" ref="BU218:BY218" si="1204">$F210*BU205</f>
        <v>0</v>
      </c>
      <c r="BV218" s="51">
        <f t="shared" si="1204"/>
        <v>0</v>
      </c>
      <c r="BW218" s="51">
        <f t="shared" si="1204"/>
        <v>0</v>
      </c>
      <c r="BX218" s="51">
        <f t="shared" si="1204"/>
        <v>0</v>
      </c>
      <c r="BY218" s="23">
        <f t="shared" si="1204"/>
        <v>0</v>
      </c>
    </row>
    <row r="219" spans="4:77" ht="13.5" customHeight="1">
      <c r="D219" s="101" t="s">
        <v>167</v>
      </c>
      <c r="E219" s="101"/>
      <c r="F219" s="101"/>
      <c r="G219" s="101"/>
      <c r="H219" s="101">
        <f t="shared" ref="H219" si="1205">H218*$F209/unit</f>
        <v>1.198</v>
      </c>
      <c r="I219" s="101">
        <f t="shared" ref="I219" si="1206">I218*$F209/unit</f>
        <v>1.198</v>
      </c>
      <c r="J219" s="101">
        <f t="shared" ref="J219" si="1207">J218*$F209/unit</f>
        <v>1.198</v>
      </c>
      <c r="K219" s="101">
        <f t="shared" ref="K219" si="1208">K218*$F209/unit</f>
        <v>1.198</v>
      </c>
      <c r="L219" s="101">
        <f t="shared" ref="L219" si="1209">L218*$F209/unit</f>
        <v>1.198</v>
      </c>
      <c r="M219" s="101">
        <f t="shared" ref="M219" si="1210">M218*$F209/unit</f>
        <v>1.198</v>
      </c>
      <c r="N219" s="101">
        <f t="shared" ref="N219" si="1211">N218*$F209/unit</f>
        <v>0</v>
      </c>
      <c r="O219" s="101">
        <f t="shared" ref="O219" si="1212">O218*$F209/unit</f>
        <v>0</v>
      </c>
      <c r="P219" s="101">
        <f t="shared" ref="P219" si="1213">P218*$F209/unit</f>
        <v>0</v>
      </c>
      <c r="Q219" s="101">
        <f t="shared" ref="Q219" si="1214">Q218*$F209/unit</f>
        <v>0</v>
      </c>
      <c r="R219" s="101">
        <f t="shared" ref="R219" si="1215">R218*$F209/unit</f>
        <v>0</v>
      </c>
      <c r="S219" s="101">
        <f t="shared" ref="S219" si="1216">S218*$F209/unit</f>
        <v>0</v>
      </c>
      <c r="T219" s="101">
        <f t="shared" ref="T219" si="1217">T218*$F209/unit</f>
        <v>0</v>
      </c>
      <c r="U219" s="101">
        <f t="shared" ref="U219" si="1218">U218*$F209/unit</f>
        <v>0</v>
      </c>
      <c r="V219" s="101">
        <f t="shared" ref="V219" si="1219">V218*$F209/unit</f>
        <v>0</v>
      </c>
      <c r="W219" s="101">
        <f t="shared" ref="W219" si="1220">W218*$F209/unit</f>
        <v>0</v>
      </c>
      <c r="X219" s="101">
        <f t="shared" ref="X219" si="1221">X218*$F209/unit</f>
        <v>0</v>
      </c>
      <c r="Y219" s="101">
        <f t="shared" ref="Y219" si="1222">Y218*$F209/unit</f>
        <v>0</v>
      </c>
      <c r="Z219" s="101">
        <f t="shared" ref="Z219" si="1223">Z218*$F209/unit</f>
        <v>0</v>
      </c>
      <c r="AA219" s="101">
        <f t="shared" ref="AA219" si="1224">AA218*$F209/unit</f>
        <v>0</v>
      </c>
      <c r="AB219" s="101">
        <f t="shared" ref="AB219" si="1225">AB218*$F209/unit</f>
        <v>0</v>
      </c>
      <c r="AC219" s="101">
        <f t="shared" ref="AC219" si="1226">AC218*$F209/unit</f>
        <v>0</v>
      </c>
      <c r="AD219" s="101">
        <f t="shared" ref="AD219" si="1227">AD218*$F209/unit</f>
        <v>0</v>
      </c>
      <c r="AE219" s="101">
        <f t="shared" ref="AE219" si="1228">AE218*$F209/unit</f>
        <v>0</v>
      </c>
      <c r="AF219" s="101">
        <f t="shared" ref="AF219" si="1229">AF218*$F209/unit</f>
        <v>0</v>
      </c>
      <c r="AG219" s="101">
        <f t="shared" ref="AG219" si="1230">AG218*$F209/unit</f>
        <v>0</v>
      </c>
      <c r="AH219" s="101">
        <f t="shared" ref="AH219" si="1231">AH218*$F209/unit</f>
        <v>0</v>
      </c>
      <c r="AI219" s="101">
        <f t="shared" ref="AI219" si="1232">AI218*$F209/unit</f>
        <v>0</v>
      </c>
      <c r="AJ219" s="101">
        <f t="shared" ref="AJ219" si="1233">AJ218*$F209/unit</f>
        <v>0</v>
      </c>
      <c r="AK219" s="101">
        <f t="shared" ref="AK219" si="1234">AK218*$F209/unit</f>
        <v>0</v>
      </c>
      <c r="AL219" s="101">
        <f t="shared" ref="AL219" si="1235">AL218*$F209/unit</f>
        <v>0</v>
      </c>
      <c r="AM219" s="101">
        <f t="shared" ref="AM219" si="1236">AM218*$F209/unit</f>
        <v>0</v>
      </c>
      <c r="AN219" s="101">
        <f t="shared" ref="AN219" si="1237">AN218*$F209/unit</f>
        <v>0</v>
      </c>
      <c r="AO219" s="101">
        <f t="shared" ref="AO219" si="1238">AO218*$F209/unit</f>
        <v>0</v>
      </c>
      <c r="AP219" s="101">
        <f t="shared" ref="AP219" si="1239">AP218*$F209/unit</f>
        <v>0</v>
      </c>
      <c r="AQ219" s="101">
        <f t="shared" ref="AQ219" si="1240">AQ218*$F209/unit</f>
        <v>0</v>
      </c>
      <c r="AR219" s="101">
        <f t="shared" ref="AR219" si="1241">AR218*$F209/unit</f>
        <v>0</v>
      </c>
      <c r="AS219" s="101">
        <f t="shared" ref="AS219" si="1242">AS218*$F209/unit</f>
        <v>0</v>
      </c>
      <c r="AT219" s="101">
        <f t="shared" ref="AT219" si="1243">AT218*$F209/unit</f>
        <v>0</v>
      </c>
      <c r="AU219" s="101">
        <f t="shared" ref="AU219" si="1244">AU218*$F209/unit</f>
        <v>0</v>
      </c>
      <c r="AV219" s="101">
        <f t="shared" ref="AV219" si="1245">AV218*$F209/unit</f>
        <v>0</v>
      </c>
      <c r="AW219" s="101">
        <f t="shared" ref="AW219" si="1246">AW218*$F209/unit</f>
        <v>0</v>
      </c>
      <c r="AX219" s="101">
        <f t="shared" ref="AX219" si="1247">AX218*$F209/unit</f>
        <v>0</v>
      </c>
      <c r="AY219" s="101">
        <f t="shared" ref="AY219" si="1248">AY218*$F209/unit</f>
        <v>0</v>
      </c>
      <c r="AZ219" s="101">
        <f t="shared" ref="AZ219" si="1249">AZ218*$F209/unit</f>
        <v>0</v>
      </c>
      <c r="BA219" s="101">
        <f t="shared" ref="BA219" si="1250">BA218*$F209/unit</f>
        <v>0</v>
      </c>
      <c r="BB219" s="101">
        <f t="shared" ref="BB219" si="1251">BB218*$F209/unit</f>
        <v>0</v>
      </c>
      <c r="BC219" s="101">
        <f t="shared" ref="BC219" si="1252">BC218*$F209/unit</f>
        <v>0</v>
      </c>
      <c r="BD219" s="101">
        <f t="shared" ref="BD219" si="1253">BD218*$F209/unit</f>
        <v>0</v>
      </c>
      <c r="BE219" s="101">
        <f t="shared" ref="BE219" si="1254">BE218*$F209/unit</f>
        <v>0</v>
      </c>
      <c r="BF219" s="101">
        <f t="shared" ref="BF219" si="1255">BF218*$F209/unit</f>
        <v>0</v>
      </c>
      <c r="BG219" s="101">
        <f t="shared" ref="BG219" si="1256">BG218*$F209/unit</f>
        <v>0</v>
      </c>
      <c r="BH219" s="101">
        <f t="shared" ref="BH219" si="1257">BH218*$F209/unit</f>
        <v>0</v>
      </c>
      <c r="BI219" s="101">
        <f t="shared" ref="BI219" si="1258">BI218*$F209/unit</f>
        <v>0</v>
      </c>
      <c r="BJ219" s="101">
        <f t="shared" ref="BJ219" si="1259">BJ218*$F209/unit</f>
        <v>0</v>
      </c>
      <c r="BK219" s="101">
        <f t="shared" ref="BK219" si="1260">BK218*$F209/unit</f>
        <v>0</v>
      </c>
      <c r="BL219" s="101">
        <f t="shared" ref="BL219" si="1261">BL218*$F209/unit</f>
        <v>0</v>
      </c>
      <c r="BM219" s="101">
        <f t="shared" ref="BM219" si="1262">BM218*$F209/unit</f>
        <v>0</v>
      </c>
      <c r="BN219" s="101">
        <f t="shared" ref="BN219" si="1263">BN218*$F209/unit</f>
        <v>0</v>
      </c>
      <c r="BO219" s="101">
        <f t="shared" ref="BO219" si="1264">BO218*$F209/unit</f>
        <v>0</v>
      </c>
      <c r="BP219" s="101">
        <f t="shared" ref="BP219" si="1265">BP218*$F209/unit</f>
        <v>0</v>
      </c>
      <c r="BQ219" s="101">
        <f t="shared" ref="BQ219" si="1266">BQ218*$F209/unit</f>
        <v>0</v>
      </c>
      <c r="BR219" s="101">
        <f t="shared" ref="BR219" si="1267">BR218*$F209/unit</f>
        <v>0</v>
      </c>
      <c r="BS219" s="101">
        <f t="shared" ref="BS219" si="1268">BS218*$F209/unit</f>
        <v>0</v>
      </c>
      <c r="BT219" s="101">
        <f t="shared" ref="BT219" si="1269">BT218*$F209/unit</f>
        <v>0</v>
      </c>
      <c r="BU219" s="101">
        <f t="shared" ref="BU219" si="1270">BU218*$F209/unit</f>
        <v>0</v>
      </c>
      <c r="BV219" s="101">
        <f t="shared" ref="BV219" si="1271">BV218*$F209/unit</f>
        <v>0</v>
      </c>
      <c r="BW219" s="101">
        <f t="shared" ref="BW219" si="1272">BW218*$F209/unit</f>
        <v>0</v>
      </c>
      <c r="BX219" s="101">
        <f t="shared" ref="BX219" si="1273">BX218*$F209/unit</f>
        <v>0</v>
      </c>
      <c r="BY219" s="101">
        <f t="shared" ref="BY219" si="1274">BY218*$F209/unit</f>
        <v>0</v>
      </c>
    </row>
    <row r="221" spans="4:77" ht="13.5" customHeight="1">
      <c r="D221" s="1" t="s">
        <v>168</v>
      </c>
    </row>
    <row r="222" spans="4:77" ht="13.5" customHeight="1">
      <c r="E222" s="1" t="s">
        <v>169</v>
      </c>
      <c r="H222" s="1">
        <f>F211</f>
        <v>89.85</v>
      </c>
      <c r="I222" s="1">
        <f>H225</f>
        <v>89.85</v>
      </c>
      <c r="J222" s="1">
        <f t="shared" ref="J222" si="1275">I225</f>
        <v>89.85</v>
      </c>
      <c r="K222" s="1">
        <f t="shared" ref="K222" si="1276">J225</f>
        <v>89.85</v>
      </c>
      <c r="L222" s="1">
        <f t="shared" ref="L222" si="1277">K225</f>
        <v>89.85</v>
      </c>
      <c r="M222" s="1">
        <f t="shared" ref="M222" si="1278">L225</f>
        <v>89.85</v>
      </c>
      <c r="N222" s="1">
        <f t="shared" ref="N222" si="1279">M225</f>
        <v>0</v>
      </c>
      <c r="O222" s="1">
        <f t="shared" ref="O222" si="1280">N225</f>
        <v>0</v>
      </c>
      <c r="P222" s="1">
        <f t="shared" ref="P222" si="1281">O225</f>
        <v>0</v>
      </c>
      <c r="Q222" s="1">
        <f t="shared" ref="Q222" si="1282">P225</f>
        <v>0</v>
      </c>
      <c r="R222" s="1">
        <f t="shared" ref="R222" si="1283">Q225</f>
        <v>0</v>
      </c>
      <c r="S222" s="1">
        <f t="shared" ref="S222" si="1284">R225</f>
        <v>0</v>
      </c>
      <c r="T222" s="1">
        <f t="shared" ref="T222" si="1285">S225</f>
        <v>0</v>
      </c>
      <c r="U222" s="1">
        <f t="shared" ref="U222" si="1286">T225</f>
        <v>0</v>
      </c>
      <c r="V222" s="1">
        <f t="shared" ref="V222" si="1287">U225</f>
        <v>0</v>
      </c>
      <c r="W222" s="1">
        <f t="shared" ref="W222" si="1288">V225</f>
        <v>0</v>
      </c>
      <c r="X222" s="1">
        <f t="shared" ref="X222" si="1289">W225</f>
        <v>0</v>
      </c>
      <c r="Y222" s="1">
        <f t="shared" ref="Y222" si="1290">X225</f>
        <v>0</v>
      </c>
      <c r="Z222" s="1">
        <f t="shared" ref="Z222" si="1291">Y225</f>
        <v>0</v>
      </c>
      <c r="AA222" s="1">
        <f t="shared" ref="AA222" si="1292">Z225</f>
        <v>0</v>
      </c>
      <c r="AB222" s="1">
        <f t="shared" ref="AB222" si="1293">AA225</f>
        <v>0</v>
      </c>
      <c r="AC222" s="1">
        <f t="shared" ref="AC222" si="1294">AB225</f>
        <v>0</v>
      </c>
      <c r="AD222" s="1">
        <f t="shared" ref="AD222" si="1295">AC225</f>
        <v>0</v>
      </c>
      <c r="AE222" s="1">
        <f t="shared" ref="AE222" si="1296">AD225</f>
        <v>0</v>
      </c>
      <c r="AF222" s="1">
        <f t="shared" ref="AF222" si="1297">AE225</f>
        <v>0</v>
      </c>
      <c r="AG222" s="1">
        <f t="shared" ref="AG222" si="1298">AF225</f>
        <v>0</v>
      </c>
      <c r="AH222" s="1">
        <f t="shared" ref="AH222" si="1299">AG225</f>
        <v>0</v>
      </c>
      <c r="AI222" s="1">
        <f t="shared" ref="AI222" si="1300">AH225</f>
        <v>0</v>
      </c>
      <c r="AJ222" s="1">
        <f t="shared" ref="AJ222" si="1301">AI225</f>
        <v>0</v>
      </c>
      <c r="AK222" s="1">
        <f t="shared" ref="AK222" si="1302">AJ225</f>
        <v>0</v>
      </c>
      <c r="AL222" s="1">
        <f t="shared" ref="AL222" si="1303">AK225</f>
        <v>0</v>
      </c>
      <c r="AM222" s="1">
        <f t="shared" ref="AM222" si="1304">AL225</f>
        <v>0</v>
      </c>
      <c r="AN222" s="1">
        <f t="shared" ref="AN222" si="1305">AM225</f>
        <v>0</v>
      </c>
      <c r="AO222" s="1">
        <f t="shared" ref="AO222" si="1306">AN225</f>
        <v>0</v>
      </c>
      <c r="AP222" s="1">
        <f t="shared" ref="AP222" si="1307">AO225</f>
        <v>0</v>
      </c>
      <c r="AQ222" s="1">
        <f t="shared" ref="AQ222" si="1308">AP225</f>
        <v>0</v>
      </c>
      <c r="AR222" s="1">
        <f t="shared" ref="AR222" si="1309">AQ225</f>
        <v>0</v>
      </c>
      <c r="AS222" s="1">
        <f t="shared" ref="AS222" si="1310">AR225</f>
        <v>0</v>
      </c>
      <c r="AT222" s="1">
        <f t="shared" ref="AT222" si="1311">AS225</f>
        <v>0</v>
      </c>
      <c r="AU222" s="1">
        <f t="shared" ref="AU222" si="1312">AT225</f>
        <v>0</v>
      </c>
      <c r="AV222" s="1">
        <f t="shared" ref="AV222" si="1313">AU225</f>
        <v>0</v>
      </c>
      <c r="AW222" s="1">
        <f t="shared" ref="AW222" si="1314">AV225</f>
        <v>0</v>
      </c>
      <c r="AX222" s="1">
        <f t="shared" ref="AX222" si="1315">AW225</f>
        <v>0</v>
      </c>
      <c r="AY222" s="1">
        <f t="shared" ref="AY222" si="1316">AX225</f>
        <v>0</v>
      </c>
      <c r="AZ222" s="1">
        <f t="shared" ref="AZ222" si="1317">AY225</f>
        <v>0</v>
      </c>
      <c r="BA222" s="1">
        <f t="shared" ref="BA222" si="1318">AZ225</f>
        <v>0</v>
      </c>
      <c r="BB222" s="1">
        <f t="shared" ref="BB222" si="1319">BA225</f>
        <v>0</v>
      </c>
      <c r="BC222" s="1">
        <f t="shared" ref="BC222" si="1320">BB225</f>
        <v>0</v>
      </c>
      <c r="BD222" s="1">
        <f t="shared" ref="BD222" si="1321">BC225</f>
        <v>0</v>
      </c>
      <c r="BE222" s="1">
        <f t="shared" ref="BE222" si="1322">BD225</f>
        <v>0</v>
      </c>
      <c r="BF222" s="1">
        <f t="shared" ref="BF222" si="1323">BE225</f>
        <v>0</v>
      </c>
      <c r="BG222" s="1">
        <f t="shared" ref="BG222" si="1324">BF225</f>
        <v>0</v>
      </c>
      <c r="BH222" s="1">
        <f t="shared" ref="BH222" si="1325">BG225</f>
        <v>0</v>
      </c>
      <c r="BI222" s="1">
        <f t="shared" ref="BI222" si="1326">BH225</f>
        <v>0</v>
      </c>
      <c r="BJ222" s="1">
        <f t="shared" ref="BJ222" si="1327">BI225</f>
        <v>0</v>
      </c>
      <c r="BK222" s="1">
        <f t="shared" ref="BK222" si="1328">BJ225</f>
        <v>0</v>
      </c>
      <c r="BL222" s="1">
        <f t="shared" ref="BL222" si="1329">BK225</f>
        <v>0</v>
      </c>
      <c r="BM222" s="1">
        <f t="shared" ref="BM222" si="1330">BL225</f>
        <v>0</v>
      </c>
      <c r="BN222" s="1">
        <f t="shared" ref="BN222" si="1331">BM225</f>
        <v>0</v>
      </c>
      <c r="BO222" s="1">
        <f t="shared" ref="BO222" si="1332">BN225</f>
        <v>0</v>
      </c>
      <c r="BP222" s="1">
        <f t="shared" ref="BP222" si="1333">BO225</f>
        <v>0</v>
      </c>
      <c r="BQ222" s="1">
        <f t="shared" ref="BQ222" si="1334">BP225</f>
        <v>0</v>
      </c>
      <c r="BR222" s="1">
        <f t="shared" ref="BR222" si="1335">BQ225</f>
        <v>0</v>
      </c>
      <c r="BS222" s="1">
        <f t="shared" ref="BS222" si="1336">BR225</f>
        <v>0</v>
      </c>
      <c r="BT222" s="1">
        <f t="shared" ref="BT222" si="1337">BS225</f>
        <v>0</v>
      </c>
      <c r="BU222" s="1">
        <f t="shared" ref="BU222" si="1338">BT225</f>
        <v>0</v>
      </c>
      <c r="BV222" s="1">
        <f t="shared" ref="BV222" si="1339">BU225</f>
        <v>0</v>
      </c>
      <c r="BW222" s="1">
        <f t="shared" ref="BW222" si="1340">BV225</f>
        <v>0</v>
      </c>
      <c r="BX222" s="1">
        <f t="shared" ref="BX222" si="1341">BW225</f>
        <v>0</v>
      </c>
      <c r="BY222" s="1">
        <f t="shared" ref="BY222" si="1342">BX225</f>
        <v>0</v>
      </c>
    </row>
    <row r="223" spans="4:77" ht="13.5" customHeight="1">
      <c r="E223" s="1" t="s">
        <v>170</v>
      </c>
      <c r="H223" s="1">
        <v>0</v>
      </c>
      <c r="I223" s="1">
        <v>0</v>
      </c>
      <c r="J223" s="1">
        <v>0</v>
      </c>
      <c r="K223" s="1">
        <v>0</v>
      </c>
      <c r="L223" s="1">
        <v>0</v>
      </c>
      <c r="M223" s="1">
        <v>0</v>
      </c>
      <c r="N223" s="1">
        <v>0</v>
      </c>
      <c r="O223" s="1">
        <v>0</v>
      </c>
      <c r="P223" s="1">
        <v>0</v>
      </c>
      <c r="Q223" s="1">
        <v>0</v>
      </c>
      <c r="R223" s="1">
        <v>0</v>
      </c>
      <c r="S223" s="1">
        <v>0</v>
      </c>
      <c r="T223" s="1">
        <v>0</v>
      </c>
      <c r="U223" s="1">
        <v>0</v>
      </c>
      <c r="V223" s="1">
        <v>0</v>
      </c>
      <c r="W223" s="1">
        <v>0</v>
      </c>
      <c r="X223" s="1">
        <v>0</v>
      </c>
      <c r="Y223" s="1">
        <v>0</v>
      </c>
      <c r="Z223" s="1">
        <v>0</v>
      </c>
      <c r="AA223" s="1">
        <v>0</v>
      </c>
      <c r="AB223" s="1">
        <v>0</v>
      </c>
      <c r="AC223" s="1">
        <v>0</v>
      </c>
      <c r="AD223" s="1">
        <v>0</v>
      </c>
      <c r="AE223" s="1">
        <v>0</v>
      </c>
      <c r="AF223" s="1">
        <v>0</v>
      </c>
      <c r="AG223" s="1">
        <v>0</v>
      </c>
      <c r="AH223" s="1">
        <v>0</v>
      </c>
      <c r="AI223" s="1">
        <v>0</v>
      </c>
      <c r="AJ223" s="1">
        <v>0</v>
      </c>
      <c r="AK223" s="1">
        <v>0</v>
      </c>
      <c r="AL223" s="1">
        <v>0</v>
      </c>
      <c r="AM223" s="1">
        <v>0</v>
      </c>
      <c r="AN223" s="1">
        <v>0</v>
      </c>
      <c r="AO223" s="1">
        <v>0</v>
      </c>
      <c r="AP223" s="1">
        <v>0</v>
      </c>
      <c r="AQ223" s="1">
        <v>0</v>
      </c>
      <c r="AR223" s="1">
        <v>0</v>
      </c>
      <c r="AS223" s="1">
        <v>0</v>
      </c>
      <c r="AT223" s="1">
        <v>0</v>
      </c>
      <c r="AU223" s="1">
        <v>0</v>
      </c>
      <c r="AV223" s="1">
        <v>0</v>
      </c>
      <c r="AW223" s="1">
        <v>0</v>
      </c>
      <c r="AX223" s="1">
        <v>0</v>
      </c>
      <c r="AY223" s="1">
        <v>0</v>
      </c>
      <c r="AZ223" s="1">
        <v>0</v>
      </c>
      <c r="BA223" s="1">
        <v>0</v>
      </c>
      <c r="BB223" s="1">
        <v>0</v>
      </c>
      <c r="BC223" s="1">
        <v>0</v>
      </c>
      <c r="BD223" s="1">
        <v>0</v>
      </c>
      <c r="BE223" s="1">
        <v>0</v>
      </c>
      <c r="BF223" s="1">
        <v>0</v>
      </c>
      <c r="BG223" s="1">
        <v>0</v>
      </c>
      <c r="BH223" s="1">
        <v>0</v>
      </c>
      <c r="BI223" s="1">
        <v>0</v>
      </c>
      <c r="BJ223" s="1">
        <v>0</v>
      </c>
      <c r="BK223" s="1">
        <v>0</v>
      </c>
      <c r="BL223" s="1">
        <v>0</v>
      </c>
      <c r="BM223" s="1">
        <v>0</v>
      </c>
      <c r="BN223" s="1">
        <v>0</v>
      </c>
      <c r="BO223" s="1">
        <v>0</v>
      </c>
      <c r="BP223" s="1">
        <v>0</v>
      </c>
      <c r="BQ223" s="1">
        <v>0</v>
      </c>
      <c r="BR223" s="1">
        <v>0</v>
      </c>
      <c r="BS223" s="1">
        <v>0</v>
      </c>
      <c r="BT223" s="1">
        <v>0</v>
      </c>
      <c r="BU223" s="1">
        <v>0</v>
      </c>
      <c r="BV223" s="1">
        <v>0</v>
      </c>
      <c r="BW223" s="1">
        <v>0</v>
      </c>
      <c r="BX223" s="1">
        <v>0</v>
      </c>
      <c r="BY223" s="1">
        <v>0</v>
      </c>
    </row>
    <row r="224" spans="4:77" ht="13.5" customHeight="1">
      <c r="E224" s="1" t="s">
        <v>171</v>
      </c>
      <c r="H224" s="1">
        <f>(H$14=$F206)*$F211*-1</f>
        <v>0</v>
      </c>
      <c r="I224" s="1">
        <f t="shared" ref="I224:BT224" si="1343">(I$14=$F206)*$F211*-1</f>
        <v>0</v>
      </c>
      <c r="J224" s="1">
        <f t="shared" si="1343"/>
        <v>0</v>
      </c>
      <c r="K224" s="1">
        <f t="shared" si="1343"/>
        <v>0</v>
      </c>
      <c r="L224" s="1">
        <f t="shared" si="1343"/>
        <v>0</v>
      </c>
      <c r="M224" s="1">
        <f t="shared" si="1343"/>
        <v>-89.85</v>
      </c>
      <c r="N224" s="1">
        <f t="shared" si="1343"/>
        <v>0</v>
      </c>
      <c r="O224" s="1">
        <f t="shared" si="1343"/>
        <v>0</v>
      </c>
      <c r="P224" s="1">
        <f t="shared" si="1343"/>
        <v>0</v>
      </c>
      <c r="Q224" s="1">
        <f t="shared" si="1343"/>
        <v>0</v>
      </c>
      <c r="R224" s="1">
        <f t="shared" si="1343"/>
        <v>0</v>
      </c>
      <c r="S224" s="1">
        <f t="shared" si="1343"/>
        <v>0</v>
      </c>
      <c r="T224" s="1">
        <f t="shared" si="1343"/>
        <v>0</v>
      </c>
      <c r="U224" s="1">
        <f t="shared" si="1343"/>
        <v>0</v>
      </c>
      <c r="V224" s="1">
        <f t="shared" si="1343"/>
        <v>0</v>
      </c>
      <c r="W224" s="1">
        <f t="shared" si="1343"/>
        <v>0</v>
      </c>
      <c r="X224" s="1">
        <f t="shared" si="1343"/>
        <v>0</v>
      </c>
      <c r="Y224" s="1">
        <f t="shared" si="1343"/>
        <v>0</v>
      </c>
      <c r="Z224" s="1">
        <f t="shared" si="1343"/>
        <v>0</v>
      </c>
      <c r="AA224" s="1">
        <f t="shared" si="1343"/>
        <v>0</v>
      </c>
      <c r="AB224" s="1">
        <f t="shared" si="1343"/>
        <v>0</v>
      </c>
      <c r="AC224" s="1">
        <f t="shared" si="1343"/>
        <v>0</v>
      </c>
      <c r="AD224" s="1">
        <f t="shared" si="1343"/>
        <v>0</v>
      </c>
      <c r="AE224" s="1">
        <f t="shared" si="1343"/>
        <v>0</v>
      </c>
      <c r="AF224" s="1">
        <f t="shared" si="1343"/>
        <v>0</v>
      </c>
      <c r="AG224" s="1">
        <f t="shared" si="1343"/>
        <v>0</v>
      </c>
      <c r="AH224" s="1">
        <f t="shared" si="1343"/>
        <v>0</v>
      </c>
      <c r="AI224" s="1">
        <f t="shared" si="1343"/>
        <v>0</v>
      </c>
      <c r="AJ224" s="1">
        <f t="shared" si="1343"/>
        <v>0</v>
      </c>
      <c r="AK224" s="1">
        <f t="shared" si="1343"/>
        <v>0</v>
      </c>
      <c r="AL224" s="1">
        <f t="shared" si="1343"/>
        <v>0</v>
      </c>
      <c r="AM224" s="1">
        <f t="shared" si="1343"/>
        <v>0</v>
      </c>
      <c r="AN224" s="1">
        <f t="shared" si="1343"/>
        <v>0</v>
      </c>
      <c r="AO224" s="1">
        <f t="shared" si="1343"/>
        <v>0</v>
      </c>
      <c r="AP224" s="1">
        <f t="shared" si="1343"/>
        <v>0</v>
      </c>
      <c r="AQ224" s="1">
        <f t="shared" si="1343"/>
        <v>0</v>
      </c>
      <c r="AR224" s="1">
        <f t="shared" si="1343"/>
        <v>0</v>
      </c>
      <c r="AS224" s="1">
        <f t="shared" si="1343"/>
        <v>0</v>
      </c>
      <c r="AT224" s="1">
        <f t="shared" si="1343"/>
        <v>0</v>
      </c>
      <c r="AU224" s="1">
        <f t="shared" si="1343"/>
        <v>0</v>
      </c>
      <c r="AV224" s="1">
        <f t="shared" si="1343"/>
        <v>0</v>
      </c>
      <c r="AW224" s="1">
        <f t="shared" si="1343"/>
        <v>0</v>
      </c>
      <c r="AX224" s="1">
        <f t="shared" si="1343"/>
        <v>0</v>
      </c>
      <c r="AY224" s="1">
        <f t="shared" si="1343"/>
        <v>0</v>
      </c>
      <c r="AZ224" s="1">
        <f t="shared" si="1343"/>
        <v>0</v>
      </c>
      <c r="BA224" s="1">
        <f t="shared" si="1343"/>
        <v>0</v>
      </c>
      <c r="BB224" s="1">
        <f t="shared" si="1343"/>
        <v>0</v>
      </c>
      <c r="BC224" s="1">
        <f t="shared" si="1343"/>
        <v>0</v>
      </c>
      <c r="BD224" s="1">
        <f t="shared" si="1343"/>
        <v>0</v>
      </c>
      <c r="BE224" s="1">
        <f t="shared" si="1343"/>
        <v>0</v>
      </c>
      <c r="BF224" s="1">
        <f t="shared" si="1343"/>
        <v>0</v>
      </c>
      <c r="BG224" s="1">
        <f t="shared" si="1343"/>
        <v>0</v>
      </c>
      <c r="BH224" s="1">
        <f t="shared" si="1343"/>
        <v>0</v>
      </c>
      <c r="BI224" s="1">
        <f t="shared" si="1343"/>
        <v>0</v>
      </c>
      <c r="BJ224" s="1">
        <f t="shared" si="1343"/>
        <v>0</v>
      </c>
      <c r="BK224" s="1">
        <f t="shared" si="1343"/>
        <v>0</v>
      </c>
      <c r="BL224" s="1">
        <f t="shared" si="1343"/>
        <v>0</v>
      </c>
      <c r="BM224" s="1">
        <f t="shared" si="1343"/>
        <v>0</v>
      </c>
      <c r="BN224" s="1">
        <f t="shared" si="1343"/>
        <v>0</v>
      </c>
      <c r="BO224" s="1">
        <f t="shared" si="1343"/>
        <v>0</v>
      </c>
      <c r="BP224" s="1">
        <f t="shared" si="1343"/>
        <v>0</v>
      </c>
      <c r="BQ224" s="1">
        <f t="shared" si="1343"/>
        <v>0</v>
      </c>
      <c r="BR224" s="1">
        <f t="shared" si="1343"/>
        <v>0</v>
      </c>
      <c r="BS224" s="1">
        <f t="shared" si="1343"/>
        <v>0</v>
      </c>
      <c r="BT224" s="1">
        <f t="shared" si="1343"/>
        <v>0</v>
      </c>
      <c r="BU224" s="1">
        <f t="shared" ref="BU224:BY224" si="1344">(BU$14=$F206)*$F211*-1</f>
        <v>0</v>
      </c>
      <c r="BV224" s="1">
        <f t="shared" si="1344"/>
        <v>0</v>
      </c>
      <c r="BW224" s="1">
        <f t="shared" si="1344"/>
        <v>0</v>
      </c>
      <c r="BX224" s="1">
        <f t="shared" si="1344"/>
        <v>0</v>
      </c>
      <c r="BY224" s="1">
        <f t="shared" si="1344"/>
        <v>0</v>
      </c>
    </row>
    <row r="225" spans="3:77" ht="13.5" customHeight="1">
      <c r="E225" s="41" t="s">
        <v>172</v>
      </c>
      <c r="F225" s="41"/>
      <c r="G225" s="41"/>
      <c r="H225" s="41">
        <f>SUM(H222:H224)</f>
        <v>89.85</v>
      </c>
      <c r="I225" s="41">
        <f t="shared" ref="I225:BT225" si="1345">SUM(I222:I224)</f>
        <v>89.85</v>
      </c>
      <c r="J225" s="41">
        <f t="shared" si="1345"/>
        <v>89.85</v>
      </c>
      <c r="K225" s="41">
        <f t="shared" si="1345"/>
        <v>89.85</v>
      </c>
      <c r="L225" s="41">
        <f t="shared" si="1345"/>
        <v>89.85</v>
      </c>
      <c r="M225" s="41">
        <f t="shared" si="1345"/>
        <v>0</v>
      </c>
      <c r="N225" s="41">
        <f t="shared" si="1345"/>
        <v>0</v>
      </c>
      <c r="O225" s="41">
        <f t="shared" si="1345"/>
        <v>0</v>
      </c>
      <c r="P225" s="41">
        <f t="shared" si="1345"/>
        <v>0</v>
      </c>
      <c r="Q225" s="41">
        <f t="shared" si="1345"/>
        <v>0</v>
      </c>
      <c r="R225" s="41">
        <f t="shared" si="1345"/>
        <v>0</v>
      </c>
      <c r="S225" s="41">
        <f t="shared" si="1345"/>
        <v>0</v>
      </c>
      <c r="T225" s="41">
        <f t="shared" si="1345"/>
        <v>0</v>
      </c>
      <c r="U225" s="41">
        <f t="shared" si="1345"/>
        <v>0</v>
      </c>
      <c r="V225" s="41">
        <f t="shared" si="1345"/>
        <v>0</v>
      </c>
      <c r="W225" s="41">
        <f t="shared" si="1345"/>
        <v>0</v>
      </c>
      <c r="X225" s="41">
        <f t="shared" si="1345"/>
        <v>0</v>
      </c>
      <c r="Y225" s="41">
        <f t="shared" si="1345"/>
        <v>0</v>
      </c>
      <c r="Z225" s="41">
        <f t="shared" si="1345"/>
        <v>0</v>
      </c>
      <c r="AA225" s="41">
        <f t="shared" si="1345"/>
        <v>0</v>
      </c>
      <c r="AB225" s="41">
        <f t="shared" si="1345"/>
        <v>0</v>
      </c>
      <c r="AC225" s="41">
        <f t="shared" si="1345"/>
        <v>0</v>
      </c>
      <c r="AD225" s="41">
        <f t="shared" si="1345"/>
        <v>0</v>
      </c>
      <c r="AE225" s="41">
        <f t="shared" si="1345"/>
        <v>0</v>
      </c>
      <c r="AF225" s="41">
        <f t="shared" si="1345"/>
        <v>0</v>
      </c>
      <c r="AG225" s="41">
        <f t="shared" si="1345"/>
        <v>0</v>
      </c>
      <c r="AH225" s="41">
        <f t="shared" si="1345"/>
        <v>0</v>
      </c>
      <c r="AI225" s="41">
        <f t="shared" si="1345"/>
        <v>0</v>
      </c>
      <c r="AJ225" s="41">
        <f t="shared" si="1345"/>
        <v>0</v>
      </c>
      <c r="AK225" s="41">
        <f t="shared" si="1345"/>
        <v>0</v>
      </c>
      <c r="AL225" s="41">
        <f t="shared" si="1345"/>
        <v>0</v>
      </c>
      <c r="AM225" s="41">
        <f t="shared" si="1345"/>
        <v>0</v>
      </c>
      <c r="AN225" s="41">
        <f t="shared" si="1345"/>
        <v>0</v>
      </c>
      <c r="AO225" s="41">
        <f t="shared" si="1345"/>
        <v>0</v>
      </c>
      <c r="AP225" s="41">
        <f t="shared" si="1345"/>
        <v>0</v>
      </c>
      <c r="AQ225" s="41">
        <f t="shared" si="1345"/>
        <v>0</v>
      </c>
      <c r="AR225" s="41">
        <f t="shared" si="1345"/>
        <v>0</v>
      </c>
      <c r="AS225" s="41">
        <f t="shared" si="1345"/>
        <v>0</v>
      </c>
      <c r="AT225" s="41">
        <f t="shared" si="1345"/>
        <v>0</v>
      </c>
      <c r="AU225" s="41">
        <f t="shared" si="1345"/>
        <v>0</v>
      </c>
      <c r="AV225" s="41">
        <f t="shared" si="1345"/>
        <v>0</v>
      </c>
      <c r="AW225" s="41">
        <f t="shared" si="1345"/>
        <v>0</v>
      </c>
      <c r="AX225" s="41">
        <f t="shared" si="1345"/>
        <v>0</v>
      </c>
      <c r="AY225" s="41">
        <f t="shared" si="1345"/>
        <v>0</v>
      </c>
      <c r="AZ225" s="41">
        <f t="shared" si="1345"/>
        <v>0</v>
      </c>
      <c r="BA225" s="41">
        <f t="shared" si="1345"/>
        <v>0</v>
      </c>
      <c r="BB225" s="41">
        <f t="shared" si="1345"/>
        <v>0</v>
      </c>
      <c r="BC225" s="41">
        <f t="shared" si="1345"/>
        <v>0</v>
      </c>
      <c r="BD225" s="41">
        <f t="shared" si="1345"/>
        <v>0</v>
      </c>
      <c r="BE225" s="41">
        <f t="shared" si="1345"/>
        <v>0</v>
      </c>
      <c r="BF225" s="41">
        <f t="shared" si="1345"/>
        <v>0</v>
      </c>
      <c r="BG225" s="41">
        <f t="shared" si="1345"/>
        <v>0</v>
      </c>
      <c r="BH225" s="41">
        <f t="shared" si="1345"/>
        <v>0</v>
      </c>
      <c r="BI225" s="41">
        <f t="shared" si="1345"/>
        <v>0</v>
      </c>
      <c r="BJ225" s="41">
        <f t="shared" si="1345"/>
        <v>0</v>
      </c>
      <c r="BK225" s="41">
        <f t="shared" si="1345"/>
        <v>0</v>
      </c>
      <c r="BL225" s="41">
        <f t="shared" si="1345"/>
        <v>0</v>
      </c>
      <c r="BM225" s="41">
        <f t="shared" si="1345"/>
        <v>0</v>
      </c>
      <c r="BN225" s="41">
        <f t="shared" si="1345"/>
        <v>0</v>
      </c>
      <c r="BO225" s="41">
        <f t="shared" si="1345"/>
        <v>0</v>
      </c>
      <c r="BP225" s="41">
        <f t="shared" si="1345"/>
        <v>0</v>
      </c>
      <c r="BQ225" s="41">
        <f t="shared" si="1345"/>
        <v>0</v>
      </c>
      <c r="BR225" s="41">
        <f t="shared" si="1345"/>
        <v>0</v>
      </c>
      <c r="BS225" s="41">
        <f t="shared" si="1345"/>
        <v>0</v>
      </c>
      <c r="BT225" s="41">
        <f t="shared" si="1345"/>
        <v>0</v>
      </c>
      <c r="BU225" s="41">
        <f t="shared" ref="BU225:BY225" si="1346">SUM(BU222:BU224)</f>
        <v>0</v>
      </c>
      <c r="BV225" s="41">
        <f t="shared" si="1346"/>
        <v>0</v>
      </c>
      <c r="BW225" s="41">
        <f t="shared" si="1346"/>
        <v>0</v>
      </c>
      <c r="BX225" s="41">
        <f t="shared" si="1346"/>
        <v>0</v>
      </c>
      <c r="BY225" s="41">
        <f t="shared" si="1346"/>
        <v>0</v>
      </c>
    </row>
    <row r="227" spans="3:77" ht="13.5" customHeight="1">
      <c r="C227" s="13" t="s">
        <v>183</v>
      </c>
    </row>
    <row r="228" spans="3:77" s="11" customFormat="1" ht="13.5" customHeight="1">
      <c r="F228" s="11" t="s">
        <v>160</v>
      </c>
      <c r="H228" s="11">
        <f t="shared" ref="H228:AM228" si="1347">(H$14&gt;=$F235)*(H$14&lt;=exit)*1</f>
        <v>0</v>
      </c>
      <c r="I228" s="11">
        <f t="shared" si="1347"/>
        <v>0</v>
      </c>
      <c r="J228" s="11">
        <f t="shared" si="1347"/>
        <v>0</v>
      </c>
      <c r="K228" s="11">
        <f t="shared" si="1347"/>
        <v>0</v>
      </c>
      <c r="L228" s="11">
        <f t="shared" si="1347"/>
        <v>0</v>
      </c>
      <c r="M228" s="11">
        <f t="shared" si="1347"/>
        <v>0</v>
      </c>
      <c r="N228" s="11">
        <f t="shared" si="1347"/>
        <v>0</v>
      </c>
      <c r="O228" s="11">
        <f t="shared" si="1347"/>
        <v>1</v>
      </c>
      <c r="P228" s="11">
        <f t="shared" si="1347"/>
        <v>1</v>
      </c>
      <c r="Q228" s="11">
        <f t="shared" si="1347"/>
        <v>1</v>
      </c>
      <c r="R228" s="11">
        <f t="shared" si="1347"/>
        <v>1</v>
      </c>
      <c r="S228" s="11">
        <f t="shared" si="1347"/>
        <v>1</v>
      </c>
      <c r="T228" s="11">
        <f t="shared" si="1347"/>
        <v>1</v>
      </c>
      <c r="U228" s="11">
        <f t="shared" si="1347"/>
        <v>1</v>
      </c>
      <c r="V228" s="11">
        <f t="shared" si="1347"/>
        <v>1</v>
      </c>
      <c r="W228" s="11">
        <f t="shared" si="1347"/>
        <v>1</v>
      </c>
      <c r="X228" s="11">
        <f t="shared" si="1347"/>
        <v>1</v>
      </c>
      <c r="Y228" s="11">
        <f t="shared" si="1347"/>
        <v>1</v>
      </c>
      <c r="Z228" s="11">
        <f t="shared" si="1347"/>
        <v>1</v>
      </c>
      <c r="AA228" s="11">
        <f t="shared" si="1347"/>
        <v>1</v>
      </c>
      <c r="AB228" s="11">
        <f t="shared" si="1347"/>
        <v>1</v>
      </c>
      <c r="AC228" s="11">
        <f t="shared" si="1347"/>
        <v>1</v>
      </c>
      <c r="AD228" s="11">
        <f t="shared" si="1347"/>
        <v>1</v>
      </c>
      <c r="AE228" s="11">
        <f t="shared" si="1347"/>
        <v>1</v>
      </c>
      <c r="AF228" s="11">
        <f t="shared" si="1347"/>
        <v>1</v>
      </c>
      <c r="AG228" s="11">
        <f t="shared" si="1347"/>
        <v>1</v>
      </c>
      <c r="AH228" s="11">
        <f t="shared" si="1347"/>
        <v>1</v>
      </c>
      <c r="AI228" s="11">
        <f t="shared" si="1347"/>
        <v>1</v>
      </c>
      <c r="AJ228" s="11">
        <f t="shared" si="1347"/>
        <v>1</v>
      </c>
      <c r="AK228" s="11">
        <f t="shared" si="1347"/>
        <v>1</v>
      </c>
      <c r="AL228" s="11">
        <f t="shared" si="1347"/>
        <v>1</v>
      </c>
      <c r="AM228" s="11">
        <f t="shared" si="1347"/>
        <v>1</v>
      </c>
      <c r="AN228" s="11">
        <f t="shared" ref="AN228:BS228" si="1348">(AN$14&gt;=$F235)*(AN$14&lt;=exit)*1</f>
        <v>1</v>
      </c>
      <c r="AO228" s="11">
        <f t="shared" si="1348"/>
        <v>1</v>
      </c>
      <c r="AP228" s="11">
        <f t="shared" si="1348"/>
        <v>1</v>
      </c>
      <c r="AQ228" s="11">
        <f t="shared" si="1348"/>
        <v>1</v>
      </c>
      <c r="AR228" s="11">
        <f t="shared" si="1348"/>
        <v>1</v>
      </c>
      <c r="AS228" s="11">
        <f t="shared" si="1348"/>
        <v>1</v>
      </c>
      <c r="AT228" s="11">
        <f t="shared" si="1348"/>
        <v>1</v>
      </c>
      <c r="AU228" s="11">
        <f t="shared" si="1348"/>
        <v>1</v>
      </c>
      <c r="AV228" s="11">
        <f t="shared" si="1348"/>
        <v>1</v>
      </c>
      <c r="AW228" s="11">
        <f t="shared" si="1348"/>
        <v>1</v>
      </c>
      <c r="AX228" s="11">
        <f t="shared" si="1348"/>
        <v>1</v>
      </c>
      <c r="AY228" s="11">
        <f t="shared" si="1348"/>
        <v>1</v>
      </c>
      <c r="AZ228" s="11">
        <f t="shared" si="1348"/>
        <v>1</v>
      </c>
      <c r="BA228" s="11">
        <f t="shared" si="1348"/>
        <v>1</v>
      </c>
      <c r="BB228" s="11">
        <f t="shared" si="1348"/>
        <v>1</v>
      </c>
      <c r="BC228" s="11">
        <f t="shared" si="1348"/>
        <v>1</v>
      </c>
      <c r="BD228" s="11">
        <f t="shared" si="1348"/>
        <v>1</v>
      </c>
      <c r="BE228" s="11">
        <f t="shared" si="1348"/>
        <v>1</v>
      </c>
      <c r="BF228" s="11">
        <f t="shared" si="1348"/>
        <v>1</v>
      </c>
      <c r="BG228" s="11">
        <f t="shared" si="1348"/>
        <v>1</v>
      </c>
      <c r="BH228" s="11">
        <f t="shared" si="1348"/>
        <v>1</v>
      </c>
      <c r="BI228" s="11">
        <f t="shared" si="1348"/>
        <v>1</v>
      </c>
      <c r="BJ228" s="11">
        <f t="shared" si="1348"/>
        <v>1</v>
      </c>
      <c r="BK228" s="11">
        <f t="shared" si="1348"/>
        <v>1</v>
      </c>
      <c r="BL228" s="11">
        <f t="shared" si="1348"/>
        <v>1</v>
      </c>
      <c r="BM228" s="11">
        <f t="shared" si="1348"/>
        <v>1</v>
      </c>
      <c r="BN228" s="11">
        <f t="shared" si="1348"/>
        <v>1</v>
      </c>
      <c r="BO228" s="11">
        <f t="shared" si="1348"/>
        <v>1</v>
      </c>
      <c r="BP228" s="11">
        <f t="shared" si="1348"/>
        <v>1</v>
      </c>
      <c r="BQ228" s="11">
        <f t="shared" si="1348"/>
        <v>0</v>
      </c>
      <c r="BR228" s="11">
        <f t="shared" si="1348"/>
        <v>0</v>
      </c>
      <c r="BS228" s="11">
        <f t="shared" si="1348"/>
        <v>0</v>
      </c>
      <c r="BT228" s="11">
        <f t="shared" ref="BT228:BY228" si="1349">(BT$14&gt;=$F235)*(BT$14&lt;=exit)*1</f>
        <v>0</v>
      </c>
      <c r="BU228" s="11">
        <f t="shared" si="1349"/>
        <v>0</v>
      </c>
      <c r="BV228" s="11">
        <f t="shared" si="1349"/>
        <v>0</v>
      </c>
      <c r="BW228" s="11">
        <f t="shared" si="1349"/>
        <v>0</v>
      </c>
      <c r="BX228" s="11">
        <f t="shared" si="1349"/>
        <v>0</v>
      </c>
      <c r="BY228" s="11">
        <f t="shared" si="1349"/>
        <v>0</v>
      </c>
    </row>
    <row r="229" spans="3:77" s="11" customFormat="1" ht="13.5" customHeight="1">
      <c r="F229" s="11" t="s">
        <v>191</v>
      </c>
      <c r="H229" s="11">
        <f>SUM($H228:H228)*H228</f>
        <v>0</v>
      </c>
      <c r="I229" s="11">
        <f>SUM($H228:I228)*I228</f>
        <v>0</v>
      </c>
      <c r="J229" s="11">
        <f>SUM($H228:J228)*J228</f>
        <v>0</v>
      </c>
      <c r="K229" s="11">
        <f>SUM($H228:K228)*K228</f>
        <v>0</v>
      </c>
      <c r="L229" s="11">
        <f>SUM($H228:L228)*L228</f>
        <v>0</v>
      </c>
      <c r="M229" s="11">
        <f>SUM($H228:M228)*M228</f>
        <v>0</v>
      </c>
      <c r="N229" s="11">
        <f>SUM($H228:N228)*N228</f>
        <v>0</v>
      </c>
      <c r="O229" s="11">
        <f>SUM($H228:O228)*O228</f>
        <v>1</v>
      </c>
      <c r="P229" s="11">
        <f>SUM($H228:P228)*P228</f>
        <v>2</v>
      </c>
      <c r="Q229" s="11">
        <f>SUM($H228:Q228)*Q228</f>
        <v>3</v>
      </c>
      <c r="R229" s="11">
        <f>SUM($H228:R228)*R228</f>
        <v>4</v>
      </c>
      <c r="S229" s="11">
        <f>SUM($H228:S228)*S228</f>
        <v>5</v>
      </c>
      <c r="T229" s="11">
        <f>SUM($H228:T228)*T228</f>
        <v>6</v>
      </c>
      <c r="U229" s="11">
        <f>SUM($H228:U228)*U228</f>
        <v>7</v>
      </c>
      <c r="V229" s="11">
        <f>SUM($H228:V228)*V228</f>
        <v>8</v>
      </c>
      <c r="W229" s="11">
        <f>SUM($H228:W228)*W228</f>
        <v>9</v>
      </c>
      <c r="X229" s="11">
        <f>SUM($H228:X228)*X228</f>
        <v>10</v>
      </c>
      <c r="Y229" s="11">
        <f>SUM($H228:Y228)*Y228</f>
        <v>11</v>
      </c>
      <c r="Z229" s="11">
        <f>SUM($H228:Z228)*Z228</f>
        <v>12</v>
      </c>
      <c r="AA229" s="11">
        <f>SUM($H228:AA228)*AA228</f>
        <v>13</v>
      </c>
      <c r="AB229" s="11">
        <f>SUM($H228:AB228)*AB228</f>
        <v>14</v>
      </c>
      <c r="AC229" s="11">
        <f>SUM($H228:AC228)*AC228</f>
        <v>15</v>
      </c>
      <c r="AD229" s="11">
        <f>SUM($H228:AD228)*AD228</f>
        <v>16</v>
      </c>
      <c r="AE229" s="11">
        <f>SUM($H228:AE228)*AE228</f>
        <v>17</v>
      </c>
      <c r="AF229" s="11">
        <f>SUM($H228:AF228)*AF228</f>
        <v>18</v>
      </c>
      <c r="AG229" s="11">
        <f>SUM($H228:AG228)*AG228</f>
        <v>19</v>
      </c>
      <c r="AH229" s="11">
        <f>SUM($H228:AH228)*AH228</f>
        <v>20</v>
      </c>
      <c r="AI229" s="11">
        <f>SUM($H228:AI228)*AI228</f>
        <v>21</v>
      </c>
      <c r="AJ229" s="11">
        <f>SUM($H228:AJ228)*AJ228</f>
        <v>22</v>
      </c>
      <c r="AK229" s="11">
        <f>SUM($H228:AK228)*AK228</f>
        <v>23</v>
      </c>
      <c r="AL229" s="11">
        <f>SUM($H228:AL228)*AL228</f>
        <v>24</v>
      </c>
      <c r="AM229" s="11">
        <f>SUM($H228:AM228)*AM228</f>
        <v>25</v>
      </c>
      <c r="AN229" s="11">
        <f>SUM($H228:AN228)*AN228</f>
        <v>26</v>
      </c>
      <c r="AO229" s="11">
        <f>SUM($H228:AO228)*AO228</f>
        <v>27</v>
      </c>
      <c r="AP229" s="11">
        <f>SUM($H228:AP228)*AP228</f>
        <v>28</v>
      </c>
      <c r="AQ229" s="11">
        <f>SUM($H228:AQ228)*AQ228</f>
        <v>29</v>
      </c>
      <c r="AR229" s="11">
        <f>SUM($H228:AR228)*AR228</f>
        <v>30</v>
      </c>
      <c r="AS229" s="11">
        <f>SUM($H228:AS228)*AS228</f>
        <v>31</v>
      </c>
      <c r="AT229" s="11">
        <f>SUM($H228:AT228)*AT228</f>
        <v>32</v>
      </c>
      <c r="AU229" s="11">
        <f>SUM($H228:AU228)*AU228</f>
        <v>33</v>
      </c>
      <c r="AV229" s="11">
        <f>SUM($H228:AV228)*AV228</f>
        <v>34</v>
      </c>
      <c r="AW229" s="11">
        <f>SUM($H228:AW228)*AW228</f>
        <v>35</v>
      </c>
      <c r="AX229" s="11">
        <f>SUM($H228:AX228)*AX228</f>
        <v>36</v>
      </c>
      <c r="AY229" s="11">
        <f>SUM($H228:AY228)*AY228</f>
        <v>37</v>
      </c>
      <c r="AZ229" s="11">
        <f>SUM($H228:AZ228)*AZ228</f>
        <v>38</v>
      </c>
      <c r="BA229" s="11">
        <f>SUM($H228:BA228)*BA228</f>
        <v>39</v>
      </c>
      <c r="BB229" s="11">
        <f>SUM($H228:BB228)*BB228</f>
        <v>40</v>
      </c>
      <c r="BC229" s="11">
        <f>SUM($H228:BC228)*BC228</f>
        <v>41</v>
      </c>
      <c r="BD229" s="11">
        <f>SUM($H228:BD228)*BD228</f>
        <v>42</v>
      </c>
      <c r="BE229" s="11">
        <f>SUM($H228:BE228)*BE228</f>
        <v>43</v>
      </c>
      <c r="BF229" s="11">
        <f>SUM($H228:BF228)*BF228</f>
        <v>44</v>
      </c>
      <c r="BG229" s="11">
        <f>SUM($H228:BG228)*BG228</f>
        <v>45</v>
      </c>
      <c r="BH229" s="11">
        <f>SUM($H228:BH228)*BH228</f>
        <v>46</v>
      </c>
      <c r="BI229" s="11">
        <f>SUM($H228:BI228)*BI228</f>
        <v>47</v>
      </c>
      <c r="BJ229" s="11">
        <f>SUM($H228:BJ228)*BJ228</f>
        <v>48</v>
      </c>
      <c r="BK229" s="11">
        <f>SUM($H228:BK228)*BK228</f>
        <v>49</v>
      </c>
      <c r="BL229" s="11">
        <f>SUM($H228:BL228)*BL228</f>
        <v>50</v>
      </c>
      <c r="BM229" s="11">
        <f>SUM($H228:BM228)*BM228</f>
        <v>51</v>
      </c>
      <c r="BN229" s="11">
        <f>SUM($H228:BN228)*BN228</f>
        <v>52</v>
      </c>
      <c r="BO229" s="11">
        <f>SUM($H228:BO228)*BO228</f>
        <v>53</v>
      </c>
      <c r="BP229" s="11">
        <f>SUM($H228:BP228)*BP228</f>
        <v>54</v>
      </c>
      <c r="BQ229" s="11">
        <f>SUM($H228:BQ228)*BQ228</f>
        <v>0</v>
      </c>
      <c r="BR229" s="11">
        <f>SUM($H228:BR228)*BR228</f>
        <v>0</v>
      </c>
      <c r="BS229" s="11">
        <f>SUM($H228:BS228)*BS228</f>
        <v>0</v>
      </c>
      <c r="BT229" s="11">
        <f>SUM($H228:BT228)*BT228</f>
        <v>0</v>
      </c>
      <c r="BU229" s="11">
        <f>SUM($H228:BU228)*BU228</f>
        <v>0</v>
      </c>
      <c r="BV229" s="11">
        <f>SUM($H228:BV228)*BV228</f>
        <v>0</v>
      </c>
      <c r="BW229" s="11">
        <f>SUM($H228:BW228)*BW228</f>
        <v>0</v>
      </c>
      <c r="BX229" s="11">
        <f>SUM($H228:BX228)*BX228</f>
        <v>0</v>
      </c>
      <c r="BY229" s="11">
        <f>SUM($H228:BY228)*BY228</f>
        <v>0</v>
      </c>
    </row>
    <row r="230" spans="3:77" s="11" customFormat="1" ht="13.5" customHeight="1">
      <c r="F230" s="11" t="s">
        <v>154</v>
      </c>
      <c r="H230" s="11">
        <f>(MOD(H229,12)=1)*1</f>
        <v>0</v>
      </c>
      <c r="I230" s="11">
        <f t="shared" ref="I230" si="1350">(MOD(I229,12)=1)*1</f>
        <v>0</v>
      </c>
      <c r="J230" s="11">
        <f t="shared" ref="J230" si="1351">(MOD(J229,12)=1)*1</f>
        <v>0</v>
      </c>
      <c r="K230" s="11">
        <f t="shared" ref="K230" si="1352">(MOD(K229,12)=1)*1</f>
        <v>0</v>
      </c>
      <c r="L230" s="11">
        <f t="shared" ref="L230" si="1353">(MOD(L229,12)=1)*1</f>
        <v>0</v>
      </c>
      <c r="M230" s="11">
        <f t="shared" ref="M230" si="1354">(MOD(M229,12)=1)*1</f>
        <v>0</v>
      </c>
      <c r="N230" s="11">
        <f t="shared" ref="N230" si="1355">(MOD(N229,12)=1)*1</f>
        <v>0</v>
      </c>
      <c r="O230" s="11">
        <f t="shared" ref="O230" si="1356">(MOD(O229,12)=1)*1</f>
        <v>1</v>
      </c>
      <c r="P230" s="11">
        <f t="shared" ref="P230" si="1357">(MOD(P229,12)=1)*1</f>
        <v>0</v>
      </c>
      <c r="Q230" s="11">
        <f t="shared" ref="Q230" si="1358">(MOD(Q229,12)=1)*1</f>
        <v>0</v>
      </c>
      <c r="R230" s="11">
        <f t="shared" ref="R230" si="1359">(MOD(R229,12)=1)*1</f>
        <v>0</v>
      </c>
      <c r="S230" s="11">
        <f t="shared" ref="S230" si="1360">(MOD(S229,12)=1)*1</f>
        <v>0</v>
      </c>
      <c r="T230" s="11">
        <f t="shared" ref="T230" si="1361">(MOD(T229,12)=1)*1</f>
        <v>0</v>
      </c>
      <c r="U230" s="11">
        <f t="shared" ref="U230" si="1362">(MOD(U229,12)=1)*1</f>
        <v>0</v>
      </c>
      <c r="V230" s="11">
        <f t="shared" ref="V230" si="1363">(MOD(V229,12)=1)*1</f>
        <v>0</v>
      </c>
      <c r="W230" s="11">
        <f t="shared" ref="W230" si="1364">(MOD(W229,12)=1)*1</f>
        <v>0</v>
      </c>
      <c r="X230" s="11">
        <f t="shared" ref="X230" si="1365">(MOD(X229,12)=1)*1</f>
        <v>0</v>
      </c>
      <c r="Y230" s="11">
        <f t="shared" ref="Y230" si="1366">(MOD(Y229,12)=1)*1</f>
        <v>0</v>
      </c>
      <c r="Z230" s="11">
        <f t="shared" ref="Z230" si="1367">(MOD(Z229,12)=1)*1</f>
        <v>0</v>
      </c>
      <c r="AA230" s="11">
        <f t="shared" ref="AA230" si="1368">(MOD(AA229,12)=1)*1</f>
        <v>1</v>
      </c>
      <c r="AB230" s="11">
        <f t="shared" ref="AB230" si="1369">(MOD(AB229,12)=1)*1</f>
        <v>0</v>
      </c>
      <c r="AC230" s="11">
        <f t="shared" ref="AC230" si="1370">(MOD(AC229,12)=1)*1</f>
        <v>0</v>
      </c>
      <c r="AD230" s="11">
        <f t="shared" ref="AD230" si="1371">(MOD(AD229,12)=1)*1</f>
        <v>0</v>
      </c>
      <c r="AE230" s="11">
        <f t="shared" ref="AE230" si="1372">(MOD(AE229,12)=1)*1</f>
        <v>0</v>
      </c>
      <c r="AF230" s="11">
        <f t="shared" ref="AF230" si="1373">(MOD(AF229,12)=1)*1</f>
        <v>0</v>
      </c>
      <c r="AG230" s="11">
        <f t="shared" ref="AG230" si="1374">(MOD(AG229,12)=1)*1</f>
        <v>0</v>
      </c>
      <c r="AH230" s="11">
        <f t="shared" ref="AH230" si="1375">(MOD(AH229,12)=1)*1</f>
        <v>0</v>
      </c>
      <c r="AI230" s="11">
        <f t="shared" ref="AI230" si="1376">(MOD(AI229,12)=1)*1</f>
        <v>0</v>
      </c>
      <c r="AJ230" s="11">
        <f t="shared" ref="AJ230" si="1377">(MOD(AJ229,12)=1)*1</f>
        <v>0</v>
      </c>
      <c r="AK230" s="11">
        <f t="shared" ref="AK230" si="1378">(MOD(AK229,12)=1)*1</f>
        <v>0</v>
      </c>
      <c r="AL230" s="11">
        <f t="shared" ref="AL230" si="1379">(MOD(AL229,12)=1)*1</f>
        <v>0</v>
      </c>
      <c r="AM230" s="11">
        <f t="shared" ref="AM230" si="1380">(MOD(AM229,12)=1)*1</f>
        <v>1</v>
      </c>
      <c r="AN230" s="11">
        <f t="shared" ref="AN230" si="1381">(MOD(AN229,12)=1)*1</f>
        <v>0</v>
      </c>
      <c r="AO230" s="11">
        <f t="shared" ref="AO230" si="1382">(MOD(AO229,12)=1)*1</f>
        <v>0</v>
      </c>
      <c r="AP230" s="11">
        <f t="shared" ref="AP230" si="1383">(MOD(AP229,12)=1)*1</f>
        <v>0</v>
      </c>
      <c r="AQ230" s="11">
        <f t="shared" ref="AQ230" si="1384">(MOD(AQ229,12)=1)*1</f>
        <v>0</v>
      </c>
      <c r="AR230" s="11">
        <f t="shared" ref="AR230" si="1385">(MOD(AR229,12)=1)*1</f>
        <v>0</v>
      </c>
      <c r="AS230" s="11">
        <f t="shared" ref="AS230" si="1386">(MOD(AS229,12)=1)*1</f>
        <v>0</v>
      </c>
      <c r="AT230" s="11">
        <f t="shared" ref="AT230" si="1387">(MOD(AT229,12)=1)*1</f>
        <v>0</v>
      </c>
      <c r="AU230" s="11">
        <f t="shared" ref="AU230" si="1388">(MOD(AU229,12)=1)*1</f>
        <v>0</v>
      </c>
      <c r="AV230" s="11">
        <f t="shared" ref="AV230" si="1389">(MOD(AV229,12)=1)*1</f>
        <v>0</v>
      </c>
      <c r="AW230" s="11">
        <f t="shared" ref="AW230" si="1390">(MOD(AW229,12)=1)*1</f>
        <v>0</v>
      </c>
      <c r="AX230" s="11">
        <f t="shared" ref="AX230" si="1391">(MOD(AX229,12)=1)*1</f>
        <v>0</v>
      </c>
      <c r="AY230" s="11">
        <f t="shared" ref="AY230" si="1392">(MOD(AY229,12)=1)*1</f>
        <v>1</v>
      </c>
      <c r="AZ230" s="11">
        <f t="shared" ref="AZ230" si="1393">(MOD(AZ229,12)=1)*1</f>
        <v>0</v>
      </c>
      <c r="BA230" s="11">
        <f t="shared" ref="BA230" si="1394">(MOD(BA229,12)=1)*1</f>
        <v>0</v>
      </c>
      <c r="BB230" s="11">
        <f t="shared" ref="BB230" si="1395">(MOD(BB229,12)=1)*1</f>
        <v>0</v>
      </c>
      <c r="BC230" s="11">
        <f t="shared" ref="BC230" si="1396">(MOD(BC229,12)=1)*1</f>
        <v>0</v>
      </c>
      <c r="BD230" s="11">
        <f t="shared" ref="BD230" si="1397">(MOD(BD229,12)=1)*1</f>
        <v>0</v>
      </c>
      <c r="BE230" s="11">
        <f t="shared" ref="BE230" si="1398">(MOD(BE229,12)=1)*1</f>
        <v>0</v>
      </c>
      <c r="BF230" s="11">
        <f t="shared" ref="BF230" si="1399">(MOD(BF229,12)=1)*1</f>
        <v>0</v>
      </c>
      <c r="BG230" s="11">
        <f t="shared" ref="BG230" si="1400">(MOD(BG229,12)=1)*1</f>
        <v>0</v>
      </c>
      <c r="BH230" s="11">
        <f t="shared" ref="BH230" si="1401">(MOD(BH229,12)=1)*1</f>
        <v>0</v>
      </c>
      <c r="BI230" s="11">
        <f t="shared" ref="BI230" si="1402">(MOD(BI229,12)=1)*1</f>
        <v>0</v>
      </c>
      <c r="BJ230" s="11">
        <f t="shared" ref="BJ230" si="1403">(MOD(BJ229,12)=1)*1</f>
        <v>0</v>
      </c>
      <c r="BK230" s="11">
        <f t="shared" ref="BK230" si="1404">(MOD(BK229,12)=1)*1</f>
        <v>1</v>
      </c>
      <c r="BL230" s="11">
        <f t="shared" ref="BL230" si="1405">(MOD(BL229,12)=1)*1</f>
        <v>0</v>
      </c>
      <c r="BM230" s="11">
        <f t="shared" ref="BM230" si="1406">(MOD(BM229,12)=1)*1</f>
        <v>0</v>
      </c>
      <c r="BN230" s="11">
        <f t="shared" ref="BN230" si="1407">(MOD(BN229,12)=1)*1</f>
        <v>0</v>
      </c>
      <c r="BO230" s="11">
        <f t="shared" ref="BO230" si="1408">(MOD(BO229,12)=1)*1</f>
        <v>0</v>
      </c>
      <c r="BP230" s="11">
        <f t="shared" ref="BP230" si="1409">(MOD(BP229,12)=1)*1</f>
        <v>0</v>
      </c>
      <c r="BQ230" s="11">
        <f t="shared" ref="BQ230" si="1410">(MOD(BQ229,12)=1)*1</f>
        <v>0</v>
      </c>
      <c r="BR230" s="11">
        <f t="shared" ref="BR230" si="1411">(MOD(BR229,12)=1)*1</f>
        <v>0</v>
      </c>
      <c r="BS230" s="11">
        <f t="shared" ref="BS230" si="1412">(MOD(BS229,12)=1)*1</f>
        <v>0</v>
      </c>
      <c r="BT230" s="11">
        <f t="shared" ref="BT230" si="1413">(MOD(BT229,12)=1)*1</f>
        <v>0</v>
      </c>
      <c r="BU230" s="11">
        <f t="shared" ref="BU230" si="1414">(MOD(BU229,12)=1)*1</f>
        <v>0</v>
      </c>
      <c r="BV230" s="11">
        <f t="shared" ref="BV230" si="1415">(MOD(BV229,12)=1)*1</f>
        <v>0</v>
      </c>
      <c r="BW230" s="11">
        <f t="shared" ref="BW230" si="1416">(MOD(BW229,12)=1)*1</f>
        <v>0</v>
      </c>
      <c r="BX230" s="11">
        <f t="shared" ref="BX230" si="1417">(MOD(BX229,12)=1)*1</f>
        <v>0</v>
      </c>
      <c r="BY230" s="11">
        <f t="shared" ref="BY230" si="1418">(MOD(BY229,12)=1)*1</f>
        <v>0</v>
      </c>
    </row>
    <row r="231" spans="3:77" s="11" customFormat="1" ht="13.5" customHeight="1">
      <c r="F231" s="11" t="s">
        <v>192</v>
      </c>
      <c r="H231" s="118">
        <f>SUM($H230:H230)*H228</f>
        <v>0</v>
      </c>
      <c r="I231" s="118">
        <f>SUM($H230:I230)*I228</f>
        <v>0</v>
      </c>
      <c r="J231" s="118">
        <f>SUM($H230:J230)*J228</f>
        <v>0</v>
      </c>
      <c r="K231" s="118">
        <f>SUM($H230:K230)*K228</f>
        <v>0</v>
      </c>
      <c r="L231" s="118">
        <f>SUM($H230:L230)*L228</f>
        <v>0</v>
      </c>
      <c r="M231" s="118">
        <f>SUM($H230:M230)*M228</f>
        <v>0</v>
      </c>
      <c r="N231" s="118">
        <f>SUM($H230:N230)*N228</f>
        <v>0</v>
      </c>
      <c r="O231" s="118">
        <f>SUM($H230:O230)*O228</f>
        <v>1</v>
      </c>
      <c r="P231" s="118">
        <f>SUM($H230:P230)*P228</f>
        <v>1</v>
      </c>
      <c r="Q231" s="118">
        <f>SUM($H230:Q230)*Q228</f>
        <v>1</v>
      </c>
      <c r="R231" s="118">
        <f>SUM($H230:R230)*R228</f>
        <v>1</v>
      </c>
      <c r="S231" s="118">
        <f>SUM($H230:S230)*S228</f>
        <v>1</v>
      </c>
      <c r="T231" s="118">
        <f>SUM($H230:T230)*T228</f>
        <v>1</v>
      </c>
      <c r="U231" s="118">
        <f>SUM($H230:U230)*U228</f>
        <v>1</v>
      </c>
      <c r="V231" s="118">
        <f>SUM($H230:V230)*V228</f>
        <v>1</v>
      </c>
      <c r="W231" s="118">
        <f>SUM($H230:W230)*W228</f>
        <v>1</v>
      </c>
      <c r="X231" s="118">
        <f>SUM($H230:X230)*X228</f>
        <v>1</v>
      </c>
      <c r="Y231" s="118">
        <f>SUM($H230:Y230)*Y228</f>
        <v>1</v>
      </c>
      <c r="Z231" s="118">
        <f>SUM($H230:Z230)*Z228</f>
        <v>1</v>
      </c>
      <c r="AA231" s="118">
        <f>SUM($H230:AA230)*AA228</f>
        <v>2</v>
      </c>
      <c r="AB231" s="118">
        <f>SUM($H230:AB230)*AB228</f>
        <v>2</v>
      </c>
      <c r="AC231" s="118">
        <f>SUM($H230:AC230)*AC228</f>
        <v>2</v>
      </c>
      <c r="AD231" s="118">
        <f>SUM($H230:AD230)*AD228</f>
        <v>2</v>
      </c>
      <c r="AE231" s="118">
        <f>SUM($H230:AE230)*AE228</f>
        <v>2</v>
      </c>
      <c r="AF231" s="118">
        <f>SUM($H230:AF230)*AF228</f>
        <v>2</v>
      </c>
      <c r="AG231" s="118">
        <f>SUM($H230:AG230)*AG228</f>
        <v>2</v>
      </c>
      <c r="AH231" s="118">
        <f>SUM($H230:AH230)*AH228</f>
        <v>2</v>
      </c>
      <c r="AI231" s="118">
        <f>SUM($H230:AI230)*AI228</f>
        <v>2</v>
      </c>
      <c r="AJ231" s="118">
        <f>SUM($H230:AJ230)*AJ228</f>
        <v>2</v>
      </c>
      <c r="AK231" s="118">
        <f>SUM($H230:AK230)*AK228</f>
        <v>2</v>
      </c>
      <c r="AL231" s="118">
        <f>SUM($H230:AL230)*AL228</f>
        <v>2</v>
      </c>
      <c r="AM231" s="118">
        <f>SUM($H230:AM230)*AM228</f>
        <v>3</v>
      </c>
      <c r="AN231" s="118">
        <f>SUM($H230:AN230)*AN228</f>
        <v>3</v>
      </c>
      <c r="AO231" s="118">
        <f>SUM($H230:AO230)*AO228</f>
        <v>3</v>
      </c>
      <c r="AP231" s="118">
        <f>SUM($H230:AP230)*AP228</f>
        <v>3</v>
      </c>
      <c r="AQ231" s="118">
        <f>SUM($H230:AQ230)*AQ228</f>
        <v>3</v>
      </c>
      <c r="AR231" s="118">
        <f>SUM($H230:AR230)*AR228</f>
        <v>3</v>
      </c>
      <c r="AS231" s="118">
        <f>SUM($H230:AS230)*AS228</f>
        <v>3</v>
      </c>
      <c r="AT231" s="118">
        <f>SUM($H230:AT230)*AT228</f>
        <v>3</v>
      </c>
      <c r="AU231" s="118">
        <f>SUM($H230:AU230)*AU228</f>
        <v>3</v>
      </c>
      <c r="AV231" s="118">
        <f>SUM($H230:AV230)*AV228</f>
        <v>3</v>
      </c>
      <c r="AW231" s="118">
        <f>SUM($H230:AW230)*AW228</f>
        <v>3</v>
      </c>
      <c r="AX231" s="118">
        <f>SUM($H230:AX230)*AX228</f>
        <v>3</v>
      </c>
      <c r="AY231" s="118">
        <f>SUM($H230:AY230)*AY228</f>
        <v>4</v>
      </c>
      <c r="AZ231" s="118">
        <f>SUM($H230:AZ230)*AZ228</f>
        <v>4</v>
      </c>
      <c r="BA231" s="118">
        <f>SUM($H230:BA230)*BA228</f>
        <v>4</v>
      </c>
      <c r="BB231" s="118">
        <f>SUM($H230:BB230)*BB228</f>
        <v>4</v>
      </c>
      <c r="BC231" s="118">
        <f>SUM($H230:BC230)*BC228</f>
        <v>4</v>
      </c>
      <c r="BD231" s="118">
        <f>SUM($H230:BD230)*BD228</f>
        <v>4</v>
      </c>
      <c r="BE231" s="118">
        <f>SUM($H230:BE230)*BE228</f>
        <v>4</v>
      </c>
      <c r="BF231" s="118">
        <f>SUM($H230:BF230)*BF228</f>
        <v>4</v>
      </c>
      <c r="BG231" s="118">
        <f>SUM($H230:BG230)*BG228</f>
        <v>4</v>
      </c>
      <c r="BH231" s="118">
        <f>SUM($H230:BH230)*BH228</f>
        <v>4</v>
      </c>
      <c r="BI231" s="118">
        <f>SUM($H230:BI230)*BI228</f>
        <v>4</v>
      </c>
      <c r="BJ231" s="118">
        <f>SUM($H230:BJ230)*BJ228</f>
        <v>4</v>
      </c>
      <c r="BK231" s="118">
        <f>SUM($H230:BK230)*BK228</f>
        <v>5</v>
      </c>
      <c r="BL231" s="118">
        <f>SUM($H230:BL230)*BL228</f>
        <v>5</v>
      </c>
      <c r="BM231" s="118">
        <f>SUM($H230:BM230)*BM228</f>
        <v>5</v>
      </c>
      <c r="BN231" s="118">
        <f>SUM($H230:BN230)*BN228</f>
        <v>5</v>
      </c>
      <c r="BO231" s="118">
        <f>SUM($H230:BO230)*BO228</f>
        <v>5</v>
      </c>
      <c r="BP231" s="118">
        <f>SUM($H230:BP230)*BP228</f>
        <v>5</v>
      </c>
      <c r="BQ231" s="118">
        <f>SUM($H230:BQ230)*BQ228</f>
        <v>0</v>
      </c>
      <c r="BR231" s="118">
        <f>SUM($H230:BR230)*BR228</f>
        <v>0</v>
      </c>
      <c r="BS231" s="118">
        <f>SUM($H230:BS230)*BS228</f>
        <v>0</v>
      </c>
      <c r="BT231" s="118">
        <f>SUM($H230:BT230)*BT228</f>
        <v>0</v>
      </c>
      <c r="BU231" s="118">
        <f>SUM($H230:BU230)*BU228</f>
        <v>0</v>
      </c>
      <c r="BV231" s="118">
        <f>SUM($H230:BV230)*BV228</f>
        <v>0</v>
      </c>
      <c r="BW231" s="118">
        <f>SUM($H230:BW230)*BW228</f>
        <v>0</v>
      </c>
      <c r="BX231" s="118">
        <f>SUM($H230:BX230)*BX228</f>
        <v>0</v>
      </c>
      <c r="BY231" s="118">
        <f>SUM($H230:BY230)*BY228</f>
        <v>0</v>
      </c>
    </row>
    <row r="232" spans="3:77" s="11" customFormat="1" ht="13.5" customHeight="1">
      <c r="F232" s="11" t="s">
        <v>193</v>
      </c>
      <c r="H232" s="119">
        <f t="shared" ref="H232:AM232" si="1419">(1+$F243)^(H231-1)*H228</f>
        <v>0</v>
      </c>
      <c r="I232" s="119">
        <f t="shared" si="1419"/>
        <v>0</v>
      </c>
      <c r="J232" s="119">
        <f t="shared" si="1419"/>
        <v>0</v>
      </c>
      <c r="K232" s="119">
        <f t="shared" si="1419"/>
        <v>0</v>
      </c>
      <c r="L232" s="119">
        <f t="shared" si="1419"/>
        <v>0</v>
      </c>
      <c r="M232" s="119">
        <f t="shared" si="1419"/>
        <v>0</v>
      </c>
      <c r="N232" s="119">
        <f t="shared" si="1419"/>
        <v>0</v>
      </c>
      <c r="O232" s="119">
        <f t="shared" si="1419"/>
        <v>1</v>
      </c>
      <c r="P232" s="119">
        <f t="shared" si="1419"/>
        <v>1</v>
      </c>
      <c r="Q232" s="119">
        <f t="shared" si="1419"/>
        <v>1</v>
      </c>
      <c r="R232" s="119">
        <f t="shared" si="1419"/>
        <v>1</v>
      </c>
      <c r="S232" s="119">
        <f t="shared" si="1419"/>
        <v>1</v>
      </c>
      <c r="T232" s="119">
        <f t="shared" si="1419"/>
        <v>1</v>
      </c>
      <c r="U232" s="119">
        <f t="shared" si="1419"/>
        <v>1</v>
      </c>
      <c r="V232" s="119">
        <f t="shared" si="1419"/>
        <v>1</v>
      </c>
      <c r="W232" s="119">
        <f t="shared" si="1419"/>
        <v>1</v>
      </c>
      <c r="X232" s="119">
        <f t="shared" si="1419"/>
        <v>1</v>
      </c>
      <c r="Y232" s="119">
        <f t="shared" si="1419"/>
        <v>1</v>
      </c>
      <c r="Z232" s="119">
        <f t="shared" si="1419"/>
        <v>1</v>
      </c>
      <c r="AA232" s="119">
        <f t="shared" si="1419"/>
        <v>1.01</v>
      </c>
      <c r="AB232" s="119">
        <f t="shared" si="1419"/>
        <v>1.01</v>
      </c>
      <c r="AC232" s="119">
        <f t="shared" si="1419"/>
        <v>1.01</v>
      </c>
      <c r="AD232" s="119">
        <f t="shared" si="1419"/>
        <v>1.01</v>
      </c>
      <c r="AE232" s="119">
        <f t="shared" si="1419"/>
        <v>1.01</v>
      </c>
      <c r="AF232" s="119">
        <f t="shared" si="1419"/>
        <v>1.01</v>
      </c>
      <c r="AG232" s="119">
        <f t="shared" si="1419"/>
        <v>1.01</v>
      </c>
      <c r="AH232" s="119">
        <f t="shared" si="1419"/>
        <v>1.01</v>
      </c>
      <c r="AI232" s="119">
        <f t="shared" si="1419"/>
        <v>1.01</v>
      </c>
      <c r="AJ232" s="119">
        <f t="shared" si="1419"/>
        <v>1.01</v>
      </c>
      <c r="AK232" s="119">
        <f t="shared" si="1419"/>
        <v>1.01</v>
      </c>
      <c r="AL232" s="119">
        <f t="shared" si="1419"/>
        <v>1.01</v>
      </c>
      <c r="AM232" s="119">
        <f t="shared" si="1419"/>
        <v>1.0201</v>
      </c>
      <c r="AN232" s="119">
        <f t="shared" ref="AN232:BS232" si="1420">(1+$F243)^(AN231-1)*AN228</f>
        <v>1.0201</v>
      </c>
      <c r="AO232" s="119">
        <f t="shared" si="1420"/>
        <v>1.0201</v>
      </c>
      <c r="AP232" s="119">
        <f t="shared" si="1420"/>
        <v>1.0201</v>
      </c>
      <c r="AQ232" s="119">
        <f t="shared" si="1420"/>
        <v>1.0201</v>
      </c>
      <c r="AR232" s="119">
        <f t="shared" si="1420"/>
        <v>1.0201</v>
      </c>
      <c r="AS232" s="119">
        <f t="shared" si="1420"/>
        <v>1.0201</v>
      </c>
      <c r="AT232" s="119">
        <f t="shared" si="1420"/>
        <v>1.0201</v>
      </c>
      <c r="AU232" s="119">
        <f t="shared" si="1420"/>
        <v>1.0201</v>
      </c>
      <c r="AV232" s="119">
        <f t="shared" si="1420"/>
        <v>1.0201</v>
      </c>
      <c r="AW232" s="119">
        <f t="shared" si="1420"/>
        <v>1.0201</v>
      </c>
      <c r="AX232" s="119">
        <f t="shared" si="1420"/>
        <v>1.0201</v>
      </c>
      <c r="AY232" s="119">
        <f t="shared" si="1420"/>
        <v>1.0303009999999999</v>
      </c>
      <c r="AZ232" s="119">
        <f t="shared" si="1420"/>
        <v>1.0303009999999999</v>
      </c>
      <c r="BA232" s="119">
        <f t="shared" si="1420"/>
        <v>1.0303009999999999</v>
      </c>
      <c r="BB232" s="119">
        <f t="shared" si="1420"/>
        <v>1.0303009999999999</v>
      </c>
      <c r="BC232" s="119">
        <f t="shared" si="1420"/>
        <v>1.0303009999999999</v>
      </c>
      <c r="BD232" s="119">
        <f t="shared" si="1420"/>
        <v>1.0303009999999999</v>
      </c>
      <c r="BE232" s="119">
        <f t="shared" si="1420"/>
        <v>1.0303009999999999</v>
      </c>
      <c r="BF232" s="119">
        <f t="shared" si="1420"/>
        <v>1.0303009999999999</v>
      </c>
      <c r="BG232" s="119">
        <f t="shared" si="1420"/>
        <v>1.0303009999999999</v>
      </c>
      <c r="BH232" s="119">
        <f t="shared" si="1420"/>
        <v>1.0303009999999999</v>
      </c>
      <c r="BI232" s="119">
        <f t="shared" si="1420"/>
        <v>1.0303009999999999</v>
      </c>
      <c r="BJ232" s="119">
        <f t="shared" si="1420"/>
        <v>1.0303009999999999</v>
      </c>
      <c r="BK232" s="119">
        <f t="shared" si="1420"/>
        <v>1.04060401</v>
      </c>
      <c r="BL232" s="119">
        <f t="shared" si="1420"/>
        <v>1.04060401</v>
      </c>
      <c r="BM232" s="119">
        <f t="shared" si="1420"/>
        <v>1.04060401</v>
      </c>
      <c r="BN232" s="119">
        <f t="shared" si="1420"/>
        <v>1.04060401</v>
      </c>
      <c r="BO232" s="119">
        <f t="shared" si="1420"/>
        <v>1.04060401</v>
      </c>
      <c r="BP232" s="119">
        <f t="shared" si="1420"/>
        <v>1.04060401</v>
      </c>
      <c r="BQ232" s="119">
        <f t="shared" si="1420"/>
        <v>0</v>
      </c>
      <c r="BR232" s="119">
        <f t="shared" si="1420"/>
        <v>0</v>
      </c>
      <c r="BS232" s="119">
        <f t="shared" si="1420"/>
        <v>0</v>
      </c>
      <c r="BT232" s="119">
        <f t="shared" ref="BT232:BY232" si="1421">(1+$F243)^(BT231-1)*BT228</f>
        <v>0</v>
      </c>
      <c r="BU232" s="119">
        <f t="shared" si="1421"/>
        <v>0</v>
      </c>
      <c r="BV232" s="119">
        <f t="shared" si="1421"/>
        <v>0</v>
      </c>
      <c r="BW232" s="119">
        <f t="shared" si="1421"/>
        <v>0</v>
      </c>
      <c r="BX232" s="119">
        <f t="shared" si="1421"/>
        <v>0</v>
      </c>
      <c r="BY232" s="119">
        <f t="shared" si="1421"/>
        <v>0</v>
      </c>
    </row>
    <row r="233" spans="3:77" s="11" customFormat="1" ht="13.5" customHeight="1">
      <c r="F233" s="11" t="s">
        <v>194</v>
      </c>
      <c r="H233" s="119">
        <f t="shared" ref="H233:AM233" si="1422">(1+$F244)^(H231-1)*H228</f>
        <v>0</v>
      </c>
      <c r="I233" s="119">
        <f t="shared" si="1422"/>
        <v>0</v>
      </c>
      <c r="J233" s="119">
        <f t="shared" si="1422"/>
        <v>0</v>
      </c>
      <c r="K233" s="119">
        <f t="shared" si="1422"/>
        <v>0</v>
      </c>
      <c r="L233" s="119">
        <f t="shared" si="1422"/>
        <v>0</v>
      </c>
      <c r="M233" s="119">
        <f t="shared" si="1422"/>
        <v>0</v>
      </c>
      <c r="N233" s="119">
        <f t="shared" si="1422"/>
        <v>0</v>
      </c>
      <c r="O233" s="119">
        <f t="shared" si="1422"/>
        <v>1</v>
      </c>
      <c r="P233" s="119">
        <f t="shared" si="1422"/>
        <v>1</v>
      </c>
      <c r="Q233" s="119">
        <f t="shared" si="1422"/>
        <v>1</v>
      </c>
      <c r="R233" s="119">
        <f t="shared" si="1422"/>
        <v>1</v>
      </c>
      <c r="S233" s="119">
        <f t="shared" si="1422"/>
        <v>1</v>
      </c>
      <c r="T233" s="119">
        <f t="shared" si="1422"/>
        <v>1</v>
      </c>
      <c r="U233" s="119">
        <f t="shared" si="1422"/>
        <v>1</v>
      </c>
      <c r="V233" s="119">
        <f t="shared" si="1422"/>
        <v>1</v>
      </c>
      <c r="W233" s="119">
        <f t="shared" si="1422"/>
        <v>1</v>
      </c>
      <c r="X233" s="119">
        <f t="shared" si="1422"/>
        <v>1</v>
      </c>
      <c r="Y233" s="119">
        <f t="shared" si="1422"/>
        <v>1</v>
      </c>
      <c r="Z233" s="119">
        <f t="shared" si="1422"/>
        <v>1</v>
      </c>
      <c r="AA233" s="119">
        <f t="shared" si="1422"/>
        <v>1.01</v>
      </c>
      <c r="AB233" s="119">
        <f t="shared" si="1422"/>
        <v>1.01</v>
      </c>
      <c r="AC233" s="119">
        <f t="shared" si="1422"/>
        <v>1.01</v>
      </c>
      <c r="AD233" s="119">
        <f t="shared" si="1422"/>
        <v>1.01</v>
      </c>
      <c r="AE233" s="119">
        <f t="shared" si="1422"/>
        <v>1.01</v>
      </c>
      <c r="AF233" s="119">
        <f t="shared" si="1422"/>
        <v>1.01</v>
      </c>
      <c r="AG233" s="119">
        <f t="shared" si="1422"/>
        <v>1.01</v>
      </c>
      <c r="AH233" s="119">
        <f t="shared" si="1422"/>
        <v>1.01</v>
      </c>
      <c r="AI233" s="119">
        <f t="shared" si="1422"/>
        <v>1.01</v>
      </c>
      <c r="AJ233" s="119">
        <f t="shared" si="1422"/>
        <v>1.01</v>
      </c>
      <c r="AK233" s="119">
        <f t="shared" si="1422"/>
        <v>1.01</v>
      </c>
      <c r="AL233" s="119">
        <f t="shared" si="1422"/>
        <v>1.01</v>
      </c>
      <c r="AM233" s="119">
        <f t="shared" si="1422"/>
        <v>1.0201</v>
      </c>
      <c r="AN233" s="119">
        <f t="shared" ref="AN233:BS233" si="1423">(1+$F244)^(AN231-1)*AN228</f>
        <v>1.0201</v>
      </c>
      <c r="AO233" s="119">
        <f t="shared" si="1423"/>
        <v>1.0201</v>
      </c>
      <c r="AP233" s="119">
        <f t="shared" si="1423"/>
        <v>1.0201</v>
      </c>
      <c r="AQ233" s="119">
        <f t="shared" si="1423"/>
        <v>1.0201</v>
      </c>
      <c r="AR233" s="119">
        <f t="shared" si="1423"/>
        <v>1.0201</v>
      </c>
      <c r="AS233" s="119">
        <f t="shared" si="1423"/>
        <v>1.0201</v>
      </c>
      <c r="AT233" s="119">
        <f t="shared" si="1423"/>
        <v>1.0201</v>
      </c>
      <c r="AU233" s="119">
        <f t="shared" si="1423"/>
        <v>1.0201</v>
      </c>
      <c r="AV233" s="119">
        <f t="shared" si="1423"/>
        <v>1.0201</v>
      </c>
      <c r="AW233" s="119">
        <f t="shared" si="1423"/>
        <v>1.0201</v>
      </c>
      <c r="AX233" s="119">
        <f t="shared" si="1423"/>
        <v>1.0201</v>
      </c>
      <c r="AY233" s="119">
        <f t="shared" si="1423"/>
        <v>1.0303009999999999</v>
      </c>
      <c r="AZ233" s="119">
        <f t="shared" si="1423"/>
        <v>1.0303009999999999</v>
      </c>
      <c r="BA233" s="119">
        <f t="shared" si="1423"/>
        <v>1.0303009999999999</v>
      </c>
      <c r="BB233" s="119">
        <f t="shared" si="1423"/>
        <v>1.0303009999999999</v>
      </c>
      <c r="BC233" s="119">
        <f t="shared" si="1423"/>
        <v>1.0303009999999999</v>
      </c>
      <c r="BD233" s="119">
        <f t="shared" si="1423"/>
        <v>1.0303009999999999</v>
      </c>
      <c r="BE233" s="119">
        <f t="shared" si="1423"/>
        <v>1.0303009999999999</v>
      </c>
      <c r="BF233" s="119">
        <f t="shared" si="1423"/>
        <v>1.0303009999999999</v>
      </c>
      <c r="BG233" s="119">
        <f t="shared" si="1423"/>
        <v>1.0303009999999999</v>
      </c>
      <c r="BH233" s="119">
        <f t="shared" si="1423"/>
        <v>1.0303009999999999</v>
      </c>
      <c r="BI233" s="119">
        <f t="shared" si="1423"/>
        <v>1.0303009999999999</v>
      </c>
      <c r="BJ233" s="119">
        <f t="shared" si="1423"/>
        <v>1.0303009999999999</v>
      </c>
      <c r="BK233" s="119">
        <f t="shared" si="1423"/>
        <v>1.04060401</v>
      </c>
      <c r="BL233" s="119">
        <f t="shared" si="1423"/>
        <v>1.04060401</v>
      </c>
      <c r="BM233" s="119">
        <f t="shared" si="1423"/>
        <v>1.04060401</v>
      </c>
      <c r="BN233" s="119">
        <f t="shared" si="1423"/>
        <v>1.04060401</v>
      </c>
      <c r="BO233" s="119">
        <f t="shared" si="1423"/>
        <v>1.04060401</v>
      </c>
      <c r="BP233" s="119">
        <f t="shared" si="1423"/>
        <v>1.04060401</v>
      </c>
      <c r="BQ233" s="119">
        <f t="shared" si="1423"/>
        <v>0</v>
      </c>
      <c r="BR233" s="119">
        <f t="shared" si="1423"/>
        <v>0</v>
      </c>
      <c r="BS233" s="119">
        <f t="shared" si="1423"/>
        <v>0</v>
      </c>
      <c r="BT233" s="119">
        <f t="shared" ref="BT233:BY233" si="1424">(1+$F244)^(BT231-1)*BT228</f>
        <v>0</v>
      </c>
      <c r="BU233" s="119">
        <f t="shared" si="1424"/>
        <v>0</v>
      </c>
      <c r="BV233" s="119">
        <f t="shared" si="1424"/>
        <v>0</v>
      </c>
      <c r="BW233" s="119">
        <f t="shared" si="1424"/>
        <v>0</v>
      </c>
      <c r="BX233" s="119">
        <f t="shared" si="1424"/>
        <v>0</v>
      </c>
      <c r="BY233" s="119">
        <f t="shared" si="1424"/>
        <v>0</v>
      </c>
    </row>
    <row r="234" spans="3:77" s="11" customFormat="1" ht="13.5" customHeight="1">
      <c r="F234" s="11" t="s">
        <v>195</v>
      </c>
      <c r="H234" s="11">
        <f t="shared" ref="H234:AM234" si="1425">(H$14&gt;=$F235)*(H$14&lt;=$F238)*1</f>
        <v>0</v>
      </c>
      <c r="I234" s="11">
        <f t="shared" si="1425"/>
        <v>0</v>
      </c>
      <c r="J234" s="11">
        <f t="shared" si="1425"/>
        <v>0</v>
      </c>
      <c r="K234" s="11">
        <f t="shared" si="1425"/>
        <v>0</v>
      </c>
      <c r="L234" s="11">
        <f t="shared" si="1425"/>
        <v>0</v>
      </c>
      <c r="M234" s="11">
        <f t="shared" si="1425"/>
        <v>0</v>
      </c>
      <c r="N234" s="11">
        <f t="shared" si="1425"/>
        <v>0</v>
      </c>
      <c r="O234" s="11">
        <f t="shared" si="1425"/>
        <v>1</v>
      </c>
      <c r="P234" s="11">
        <f t="shared" si="1425"/>
        <v>0</v>
      </c>
      <c r="Q234" s="11">
        <f t="shared" si="1425"/>
        <v>0</v>
      </c>
      <c r="R234" s="11">
        <f t="shared" si="1425"/>
        <v>0</v>
      </c>
      <c r="S234" s="11">
        <f t="shared" si="1425"/>
        <v>0</v>
      </c>
      <c r="T234" s="11">
        <f t="shared" si="1425"/>
        <v>0</v>
      </c>
      <c r="U234" s="11">
        <f t="shared" si="1425"/>
        <v>0</v>
      </c>
      <c r="V234" s="11">
        <f t="shared" si="1425"/>
        <v>0</v>
      </c>
      <c r="W234" s="11">
        <f t="shared" si="1425"/>
        <v>0</v>
      </c>
      <c r="X234" s="11">
        <f t="shared" si="1425"/>
        <v>0</v>
      </c>
      <c r="Y234" s="11">
        <f t="shared" si="1425"/>
        <v>0</v>
      </c>
      <c r="Z234" s="11">
        <f t="shared" si="1425"/>
        <v>0</v>
      </c>
      <c r="AA234" s="11">
        <f t="shared" si="1425"/>
        <v>0</v>
      </c>
      <c r="AB234" s="11">
        <f t="shared" si="1425"/>
        <v>0</v>
      </c>
      <c r="AC234" s="11">
        <f t="shared" si="1425"/>
        <v>0</v>
      </c>
      <c r="AD234" s="11">
        <f t="shared" si="1425"/>
        <v>0</v>
      </c>
      <c r="AE234" s="11">
        <f t="shared" si="1425"/>
        <v>0</v>
      </c>
      <c r="AF234" s="11">
        <f t="shared" si="1425"/>
        <v>0</v>
      </c>
      <c r="AG234" s="11">
        <f t="shared" si="1425"/>
        <v>0</v>
      </c>
      <c r="AH234" s="11">
        <f t="shared" si="1425"/>
        <v>0</v>
      </c>
      <c r="AI234" s="11">
        <f t="shared" si="1425"/>
        <v>0</v>
      </c>
      <c r="AJ234" s="11">
        <f t="shared" si="1425"/>
        <v>0</v>
      </c>
      <c r="AK234" s="11">
        <f t="shared" si="1425"/>
        <v>0</v>
      </c>
      <c r="AL234" s="11">
        <f t="shared" si="1425"/>
        <v>0</v>
      </c>
      <c r="AM234" s="11">
        <f t="shared" si="1425"/>
        <v>0</v>
      </c>
      <c r="AN234" s="11">
        <f t="shared" ref="AN234:BS234" si="1426">(AN$14&gt;=$F235)*(AN$14&lt;=$F238)*1</f>
        <v>0</v>
      </c>
      <c r="AO234" s="11">
        <f t="shared" si="1426"/>
        <v>0</v>
      </c>
      <c r="AP234" s="11">
        <f t="shared" si="1426"/>
        <v>0</v>
      </c>
      <c r="AQ234" s="11">
        <f t="shared" si="1426"/>
        <v>0</v>
      </c>
      <c r="AR234" s="11">
        <f t="shared" si="1426"/>
        <v>0</v>
      </c>
      <c r="AS234" s="11">
        <f t="shared" si="1426"/>
        <v>0</v>
      </c>
      <c r="AT234" s="11">
        <f t="shared" si="1426"/>
        <v>0</v>
      </c>
      <c r="AU234" s="11">
        <f t="shared" si="1426"/>
        <v>0</v>
      </c>
      <c r="AV234" s="11">
        <f t="shared" si="1426"/>
        <v>0</v>
      </c>
      <c r="AW234" s="11">
        <f t="shared" si="1426"/>
        <v>0</v>
      </c>
      <c r="AX234" s="11">
        <f t="shared" si="1426"/>
        <v>0</v>
      </c>
      <c r="AY234" s="11">
        <f t="shared" si="1426"/>
        <v>0</v>
      </c>
      <c r="AZ234" s="11">
        <f t="shared" si="1426"/>
        <v>0</v>
      </c>
      <c r="BA234" s="11">
        <f t="shared" si="1426"/>
        <v>0</v>
      </c>
      <c r="BB234" s="11">
        <f t="shared" si="1426"/>
        <v>0</v>
      </c>
      <c r="BC234" s="11">
        <f t="shared" si="1426"/>
        <v>0</v>
      </c>
      <c r="BD234" s="11">
        <f t="shared" si="1426"/>
        <v>0</v>
      </c>
      <c r="BE234" s="11">
        <f t="shared" si="1426"/>
        <v>0</v>
      </c>
      <c r="BF234" s="11">
        <f t="shared" si="1426"/>
        <v>0</v>
      </c>
      <c r="BG234" s="11">
        <f t="shared" si="1426"/>
        <v>0</v>
      </c>
      <c r="BH234" s="11">
        <f t="shared" si="1426"/>
        <v>0</v>
      </c>
      <c r="BI234" s="11">
        <f t="shared" si="1426"/>
        <v>0</v>
      </c>
      <c r="BJ234" s="11">
        <f t="shared" si="1426"/>
        <v>0</v>
      </c>
      <c r="BK234" s="11">
        <f t="shared" si="1426"/>
        <v>0</v>
      </c>
      <c r="BL234" s="11">
        <f t="shared" si="1426"/>
        <v>0</v>
      </c>
      <c r="BM234" s="11">
        <f t="shared" si="1426"/>
        <v>0</v>
      </c>
      <c r="BN234" s="11">
        <f t="shared" si="1426"/>
        <v>0</v>
      </c>
      <c r="BO234" s="11">
        <f t="shared" si="1426"/>
        <v>0</v>
      </c>
      <c r="BP234" s="11">
        <f t="shared" si="1426"/>
        <v>0</v>
      </c>
      <c r="BQ234" s="11">
        <f t="shared" si="1426"/>
        <v>0</v>
      </c>
      <c r="BR234" s="11">
        <f t="shared" si="1426"/>
        <v>0</v>
      </c>
      <c r="BS234" s="11">
        <f t="shared" si="1426"/>
        <v>0</v>
      </c>
      <c r="BT234" s="11">
        <f t="shared" ref="BT234:BY234" si="1427">(BT$14&gt;=$F235)*(BT$14&lt;=$F238)*1</f>
        <v>0</v>
      </c>
      <c r="BU234" s="11">
        <f t="shared" si="1427"/>
        <v>0</v>
      </c>
      <c r="BV234" s="11">
        <f t="shared" si="1427"/>
        <v>0</v>
      </c>
      <c r="BW234" s="11">
        <f t="shared" si="1427"/>
        <v>0</v>
      </c>
      <c r="BX234" s="11">
        <f t="shared" si="1427"/>
        <v>0</v>
      </c>
      <c r="BY234" s="11">
        <f t="shared" si="1427"/>
        <v>0</v>
      </c>
    </row>
    <row r="235" spans="3:77" ht="13.5" customHeight="1">
      <c r="E235" s="95" t="s">
        <v>184</v>
      </c>
      <c r="F235" s="100">
        <f>EOMONTH(F206,VLOOKUP(B203,'A&amp;R'!$Q$12:$AC$16,4,0)+1)</f>
        <v>44500</v>
      </c>
    </row>
    <row r="236" spans="3:77" ht="13.5" customHeight="1">
      <c r="E236" s="96" t="s">
        <v>185</v>
      </c>
      <c r="F236" s="97">
        <f ca="1">VLOOKUP(B203,'A&amp;R'!$Q$12:$AC$16,7,0)</f>
        <v>25000</v>
      </c>
    </row>
    <row r="237" spans="3:77" ht="13.5" customHeight="1">
      <c r="E237" s="96" t="s">
        <v>186</v>
      </c>
      <c r="F237" s="97">
        <f>VLOOKUP(B203,'A&amp;R'!$Q$12:$AC$16,5,0)</f>
        <v>1</v>
      </c>
    </row>
    <row r="238" spans="3:77" ht="13.5" customHeight="1">
      <c r="E238" s="96" t="s">
        <v>190</v>
      </c>
      <c r="F238" s="117">
        <f>EOMONTH(F235,F237-1)</f>
        <v>44500</v>
      </c>
    </row>
    <row r="239" spans="3:77" ht="13.5" customHeight="1">
      <c r="E239" s="96" t="s">
        <v>187</v>
      </c>
      <c r="F239" s="97">
        <f>VLOOKUP(B203,'A&amp;R'!$Q$12:$AC$16,6,0)</f>
        <v>1</v>
      </c>
    </row>
    <row r="240" spans="3:77" ht="13.5" customHeight="1">
      <c r="E240" s="96" t="s">
        <v>72</v>
      </c>
      <c r="F240" s="97">
        <f ca="1">VLOOKUP(B203,'A&amp;R'!$Q$12:$AC$16,3,0)</f>
        <v>599</v>
      </c>
    </row>
    <row r="241" spans="4:77" ht="13.5" customHeight="1">
      <c r="E241" s="96" t="s">
        <v>159</v>
      </c>
      <c r="F241" s="97">
        <f>VLOOKUP(B203,'A&amp;R'!$Q$12:$AC$16,8,0)</f>
        <v>2000</v>
      </c>
    </row>
    <row r="242" spans="4:77" ht="13.5" customHeight="1">
      <c r="E242" s="96" t="s">
        <v>76</v>
      </c>
      <c r="F242" s="97">
        <f ca="1">VLOOKUP(B203,'A&amp;R'!$Q$12:$AC$17,11,0)</f>
        <v>89.85</v>
      </c>
    </row>
    <row r="243" spans="4:77" ht="13.5" customHeight="1">
      <c r="E243" s="96" t="s">
        <v>188</v>
      </c>
      <c r="F243" s="115">
        <f>VLOOKUP(B203,'A&amp;R'!$Q$12:$AC$16,9,0)</f>
        <v>0.01</v>
      </c>
    </row>
    <row r="244" spans="4:77" ht="13.5" customHeight="1">
      <c r="E244" s="98" t="s">
        <v>189</v>
      </c>
      <c r="F244" s="116">
        <f>VLOOKUP(B203,'A&amp;R'!$Q$12:$AC$16,10,0)</f>
        <v>0.01</v>
      </c>
    </row>
    <row r="245" spans="4:77" ht="13.5" customHeight="1">
      <c r="D245" s="1" t="s">
        <v>161</v>
      </c>
    </row>
    <row r="246" spans="4:77" ht="13.5" customHeight="1">
      <c r="E246" s="30" t="s">
        <v>162</v>
      </c>
      <c r="F246" s="41"/>
      <c r="G246" s="41"/>
      <c r="H246" s="41">
        <f ca="1">IF(H234=1,0,H228*$F236*H232)</f>
        <v>0</v>
      </c>
      <c r="I246" s="41">
        <f t="shared" ref="I246:BT246" ca="1" si="1428">IF(I234=1,0,I228*$F236*I232)</f>
        <v>0</v>
      </c>
      <c r="J246" s="41">
        <f t="shared" ca="1" si="1428"/>
        <v>0</v>
      </c>
      <c r="K246" s="41">
        <f t="shared" ca="1" si="1428"/>
        <v>0</v>
      </c>
      <c r="L246" s="41">
        <f t="shared" ca="1" si="1428"/>
        <v>0</v>
      </c>
      <c r="M246" s="41">
        <f t="shared" ca="1" si="1428"/>
        <v>0</v>
      </c>
      <c r="N246" s="41">
        <f t="shared" ca="1" si="1428"/>
        <v>0</v>
      </c>
      <c r="O246" s="41">
        <f t="shared" si="1428"/>
        <v>0</v>
      </c>
      <c r="P246" s="41">
        <f t="shared" ca="1" si="1428"/>
        <v>25000</v>
      </c>
      <c r="Q246" s="41">
        <f t="shared" ca="1" si="1428"/>
        <v>25000</v>
      </c>
      <c r="R246" s="41">
        <f t="shared" ca="1" si="1428"/>
        <v>25000</v>
      </c>
      <c r="S246" s="41">
        <f t="shared" ca="1" si="1428"/>
        <v>25000</v>
      </c>
      <c r="T246" s="41">
        <f t="shared" ca="1" si="1428"/>
        <v>25000</v>
      </c>
      <c r="U246" s="41">
        <f t="shared" ca="1" si="1428"/>
        <v>25000</v>
      </c>
      <c r="V246" s="41">
        <f t="shared" ca="1" si="1428"/>
        <v>25000</v>
      </c>
      <c r="W246" s="41">
        <f t="shared" ca="1" si="1428"/>
        <v>25000</v>
      </c>
      <c r="X246" s="41">
        <f t="shared" ca="1" si="1428"/>
        <v>25000</v>
      </c>
      <c r="Y246" s="41">
        <f t="shared" ca="1" si="1428"/>
        <v>25000</v>
      </c>
      <c r="Z246" s="41">
        <f t="shared" ca="1" si="1428"/>
        <v>25000</v>
      </c>
      <c r="AA246" s="41">
        <f t="shared" ca="1" si="1428"/>
        <v>25250</v>
      </c>
      <c r="AB246" s="41">
        <f t="shared" ca="1" si="1428"/>
        <v>25250</v>
      </c>
      <c r="AC246" s="41">
        <f t="shared" ca="1" si="1428"/>
        <v>25250</v>
      </c>
      <c r="AD246" s="41">
        <f t="shared" ca="1" si="1428"/>
        <v>25250</v>
      </c>
      <c r="AE246" s="41">
        <f t="shared" ca="1" si="1428"/>
        <v>25250</v>
      </c>
      <c r="AF246" s="41">
        <f t="shared" ca="1" si="1428"/>
        <v>25250</v>
      </c>
      <c r="AG246" s="41">
        <f t="shared" ca="1" si="1428"/>
        <v>25250</v>
      </c>
      <c r="AH246" s="41">
        <f t="shared" ca="1" si="1428"/>
        <v>25250</v>
      </c>
      <c r="AI246" s="41">
        <f t="shared" ca="1" si="1428"/>
        <v>25250</v>
      </c>
      <c r="AJ246" s="41">
        <f t="shared" ca="1" si="1428"/>
        <v>25250</v>
      </c>
      <c r="AK246" s="41">
        <f t="shared" ca="1" si="1428"/>
        <v>25250</v>
      </c>
      <c r="AL246" s="41">
        <f t="shared" ca="1" si="1428"/>
        <v>25250</v>
      </c>
      <c r="AM246" s="41">
        <f t="shared" ca="1" si="1428"/>
        <v>25502.5</v>
      </c>
      <c r="AN246" s="41">
        <f t="shared" ca="1" si="1428"/>
        <v>25502.5</v>
      </c>
      <c r="AO246" s="41">
        <f t="shared" ca="1" si="1428"/>
        <v>25502.5</v>
      </c>
      <c r="AP246" s="41">
        <f t="shared" ca="1" si="1428"/>
        <v>25502.5</v>
      </c>
      <c r="AQ246" s="41">
        <f t="shared" ca="1" si="1428"/>
        <v>25502.5</v>
      </c>
      <c r="AR246" s="41">
        <f t="shared" ca="1" si="1428"/>
        <v>25502.5</v>
      </c>
      <c r="AS246" s="41">
        <f t="shared" ca="1" si="1428"/>
        <v>25502.5</v>
      </c>
      <c r="AT246" s="41">
        <f t="shared" ca="1" si="1428"/>
        <v>25502.5</v>
      </c>
      <c r="AU246" s="41">
        <f t="shared" ca="1" si="1428"/>
        <v>25502.5</v>
      </c>
      <c r="AV246" s="41">
        <f t="shared" ca="1" si="1428"/>
        <v>25502.5</v>
      </c>
      <c r="AW246" s="41">
        <f t="shared" ca="1" si="1428"/>
        <v>25502.5</v>
      </c>
      <c r="AX246" s="41">
        <f t="shared" ca="1" si="1428"/>
        <v>25502.5</v>
      </c>
      <c r="AY246" s="41">
        <f t="shared" ca="1" si="1428"/>
        <v>25757.524999999998</v>
      </c>
      <c r="AZ246" s="41">
        <f t="shared" ca="1" si="1428"/>
        <v>25757.524999999998</v>
      </c>
      <c r="BA246" s="41">
        <f t="shared" ca="1" si="1428"/>
        <v>25757.524999999998</v>
      </c>
      <c r="BB246" s="41">
        <f t="shared" ca="1" si="1428"/>
        <v>25757.524999999998</v>
      </c>
      <c r="BC246" s="41">
        <f t="shared" ca="1" si="1428"/>
        <v>25757.524999999998</v>
      </c>
      <c r="BD246" s="41">
        <f t="shared" ca="1" si="1428"/>
        <v>25757.524999999998</v>
      </c>
      <c r="BE246" s="41">
        <f t="shared" ca="1" si="1428"/>
        <v>25757.524999999998</v>
      </c>
      <c r="BF246" s="41">
        <f t="shared" ca="1" si="1428"/>
        <v>25757.524999999998</v>
      </c>
      <c r="BG246" s="41">
        <f t="shared" ca="1" si="1428"/>
        <v>25757.524999999998</v>
      </c>
      <c r="BH246" s="41">
        <f t="shared" ca="1" si="1428"/>
        <v>25757.524999999998</v>
      </c>
      <c r="BI246" s="41">
        <f t="shared" ca="1" si="1428"/>
        <v>25757.524999999998</v>
      </c>
      <c r="BJ246" s="41">
        <f t="shared" ca="1" si="1428"/>
        <v>25757.524999999998</v>
      </c>
      <c r="BK246" s="41">
        <f t="shared" ca="1" si="1428"/>
        <v>26015.10025</v>
      </c>
      <c r="BL246" s="41">
        <f t="shared" ca="1" si="1428"/>
        <v>26015.10025</v>
      </c>
      <c r="BM246" s="41">
        <f t="shared" ca="1" si="1428"/>
        <v>26015.10025</v>
      </c>
      <c r="BN246" s="41">
        <f t="shared" ca="1" si="1428"/>
        <v>26015.10025</v>
      </c>
      <c r="BO246" s="41">
        <f t="shared" ca="1" si="1428"/>
        <v>26015.10025</v>
      </c>
      <c r="BP246" s="41">
        <f t="shared" ca="1" si="1428"/>
        <v>26015.10025</v>
      </c>
      <c r="BQ246" s="41">
        <f t="shared" ca="1" si="1428"/>
        <v>0</v>
      </c>
      <c r="BR246" s="41">
        <f t="shared" ca="1" si="1428"/>
        <v>0</v>
      </c>
      <c r="BS246" s="41">
        <f t="shared" ca="1" si="1428"/>
        <v>0</v>
      </c>
      <c r="BT246" s="41">
        <f t="shared" ca="1" si="1428"/>
        <v>0</v>
      </c>
      <c r="BU246" s="41">
        <f t="shared" ref="BU246:BY246" ca="1" si="1429">IF(BU234=1,0,BU228*$F236*BU232)</f>
        <v>0</v>
      </c>
      <c r="BV246" s="41">
        <f t="shared" ca="1" si="1429"/>
        <v>0</v>
      </c>
      <c r="BW246" s="41">
        <f t="shared" ca="1" si="1429"/>
        <v>0</v>
      </c>
      <c r="BX246" s="41">
        <f t="shared" ca="1" si="1429"/>
        <v>0</v>
      </c>
      <c r="BY246" s="41">
        <f t="shared" ca="1" si="1429"/>
        <v>0</v>
      </c>
    </row>
    <row r="247" spans="4:77" ht="13.5" customHeight="1">
      <c r="E247" s="36" t="s">
        <v>163</v>
      </c>
      <c r="F247" s="42"/>
      <c r="G247" s="42"/>
      <c r="H247" s="42">
        <f ca="1">H246*((12-$F239)/12)</f>
        <v>0</v>
      </c>
      <c r="I247" s="42">
        <f t="shared" ref="I247" ca="1" si="1430">I246*((12-$F239)/12)</f>
        <v>0</v>
      </c>
      <c r="J247" s="42">
        <f t="shared" ref="J247" ca="1" si="1431">J246*((12-$F239)/12)</f>
        <v>0</v>
      </c>
      <c r="K247" s="42">
        <f t="shared" ref="K247" ca="1" si="1432">K246*((12-$F239)/12)</f>
        <v>0</v>
      </c>
      <c r="L247" s="42">
        <f t="shared" ref="L247" ca="1" si="1433">L246*((12-$F239)/12)</f>
        <v>0</v>
      </c>
      <c r="M247" s="42">
        <f t="shared" ref="M247" ca="1" si="1434">M246*((12-$F239)/12)</f>
        <v>0</v>
      </c>
      <c r="N247" s="42">
        <f t="shared" ref="N247" ca="1" si="1435">N246*((12-$F239)/12)</f>
        <v>0</v>
      </c>
      <c r="O247" s="42">
        <f t="shared" ref="O247" si="1436">O246*((12-$F239)/12)</f>
        <v>0</v>
      </c>
      <c r="P247" s="42">
        <f t="shared" ref="P247" ca="1" si="1437">P246*((12-$F239)/12)</f>
        <v>22916.666666666664</v>
      </c>
      <c r="Q247" s="42">
        <f t="shared" ref="Q247" ca="1" si="1438">Q246*((12-$F239)/12)</f>
        <v>22916.666666666664</v>
      </c>
      <c r="R247" s="42">
        <f t="shared" ref="R247" ca="1" si="1439">R246*((12-$F239)/12)</f>
        <v>22916.666666666664</v>
      </c>
      <c r="S247" s="42">
        <f t="shared" ref="S247" ca="1" si="1440">S246*((12-$F239)/12)</f>
        <v>22916.666666666664</v>
      </c>
      <c r="T247" s="42">
        <f t="shared" ref="T247" ca="1" si="1441">T246*((12-$F239)/12)</f>
        <v>22916.666666666664</v>
      </c>
      <c r="U247" s="42">
        <f t="shared" ref="U247" ca="1" si="1442">U246*((12-$F239)/12)</f>
        <v>22916.666666666664</v>
      </c>
      <c r="V247" s="42">
        <f t="shared" ref="V247" ca="1" si="1443">V246*((12-$F239)/12)</f>
        <v>22916.666666666664</v>
      </c>
      <c r="W247" s="42">
        <f t="shared" ref="W247" ca="1" si="1444">W246*((12-$F239)/12)</f>
        <v>22916.666666666664</v>
      </c>
      <c r="X247" s="42">
        <f t="shared" ref="X247" ca="1" si="1445">X246*((12-$F239)/12)</f>
        <v>22916.666666666664</v>
      </c>
      <c r="Y247" s="42">
        <f t="shared" ref="Y247" ca="1" si="1446">Y246*((12-$F239)/12)</f>
        <v>22916.666666666664</v>
      </c>
      <c r="Z247" s="42">
        <f t="shared" ref="Z247" ca="1" si="1447">Z246*((12-$F239)/12)</f>
        <v>22916.666666666664</v>
      </c>
      <c r="AA247" s="42">
        <f t="shared" ref="AA247" ca="1" si="1448">AA246*((12-$F239)/12)</f>
        <v>23145.833333333332</v>
      </c>
      <c r="AB247" s="42">
        <f t="shared" ref="AB247" ca="1" si="1449">AB246*((12-$F239)/12)</f>
        <v>23145.833333333332</v>
      </c>
      <c r="AC247" s="42">
        <f t="shared" ref="AC247" ca="1" si="1450">AC246*((12-$F239)/12)</f>
        <v>23145.833333333332</v>
      </c>
      <c r="AD247" s="42">
        <f t="shared" ref="AD247" ca="1" si="1451">AD246*((12-$F239)/12)</f>
        <v>23145.833333333332</v>
      </c>
      <c r="AE247" s="42">
        <f t="shared" ref="AE247" ca="1" si="1452">AE246*((12-$F239)/12)</f>
        <v>23145.833333333332</v>
      </c>
      <c r="AF247" s="42">
        <f t="shared" ref="AF247" ca="1" si="1453">AF246*((12-$F239)/12)</f>
        <v>23145.833333333332</v>
      </c>
      <c r="AG247" s="42">
        <f t="shared" ref="AG247" ca="1" si="1454">AG246*((12-$F239)/12)</f>
        <v>23145.833333333332</v>
      </c>
      <c r="AH247" s="42">
        <f t="shared" ref="AH247" ca="1" si="1455">AH246*((12-$F239)/12)</f>
        <v>23145.833333333332</v>
      </c>
      <c r="AI247" s="42">
        <f t="shared" ref="AI247" ca="1" si="1456">AI246*((12-$F239)/12)</f>
        <v>23145.833333333332</v>
      </c>
      <c r="AJ247" s="42">
        <f t="shared" ref="AJ247" ca="1" si="1457">AJ246*((12-$F239)/12)</f>
        <v>23145.833333333332</v>
      </c>
      <c r="AK247" s="42">
        <f t="shared" ref="AK247" ca="1" si="1458">AK246*((12-$F239)/12)</f>
        <v>23145.833333333332</v>
      </c>
      <c r="AL247" s="42">
        <f t="shared" ref="AL247" ca="1" si="1459">AL246*((12-$F239)/12)</f>
        <v>23145.833333333332</v>
      </c>
      <c r="AM247" s="42">
        <f t="shared" ref="AM247" ca="1" si="1460">AM246*((12-$F239)/12)</f>
        <v>23377.291666666664</v>
      </c>
      <c r="AN247" s="42">
        <f t="shared" ref="AN247" ca="1" si="1461">AN246*((12-$F239)/12)</f>
        <v>23377.291666666664</v>
      </c>
      <c r="AO247" s="42">
        <f t="shared" ref="AO247" ca="1" si="1462">AO246*((12-$F239)/12)</f>
        <v>23377.291666666664</v>
      </c>
      <c r="AP247" s="42">
        <f t="shared" ref="AP247" ca="1" si="1463">AP246*((12-$F239)/12)</f>
        <v>23377.291666666664</v>
      </c>
      <c r="AQ247" s="42">
        <f t="shared" ref="AQ247" ca="1" si="1464">AQ246*((12-$F239)/12)</f>
        <v>23377.291666666664</v>
      </c>
      <c r="AR247" s="42">
        <f t="shared" ref="AR247" ca="1" si="1465">AR246*((12-$F239)/12)</f>
        <v>23377.291666666664</v>
      </c>
      <c r="AS247" s="42">
        <f t="shared" ref="AS247" ca="1" si="1466">AS246*((12-$F239)/12)</f>
        <v>23377.291666666664</v>
      </c>
      <c r="AT247" s="42">
        <f t="shared" ref="AT247" ca="1" si="1467">AT246*((12-$F239)/12)</f>
        <v>23377.291666666664</v>
      </c>
      <c r="AU247" s="42">
        <f t="shared" ref="AU247" ca="1" si="1468">AU246*((12-$F239)/12)</f>
        <v>23377.291666666664</v>
      </c>
      <c r="AV247" s="42">
        <f t="shared" ref="AV247" ca="1" si="1469">AV246*((12-$F239)/12)</f>
        <v>23377.291666666664</v>
      </c>
      <c r="AW247" s="42">
        <f t="shared" ref="AW247" ca="1" si="1470">AW246*((12-$F239)/12)</f>
        <v>23377.291666666664</v>
      </c>
      <c r="AX247" s="42">
        <f t="shared" ref="AX247" ca="1" si="1471">AX246*((12-$F239)/12)</f>
        <v>23377.291666666664</v>
      </c>
      <c r="AY247" s="42">
        <f t="shared" ref="AY247" ca="1" si="1472">AY246*((12-$F239)/12)</f>
        <v>23611.064583333329</v>
      </c>
      <c r="AZ247" s="42">
        <f t="shared" ref="AZ247" ca="1" si="1473">AZ246*((12-$F239)/12)</f>
        <v>23611.064583333329</v>
      </c>
      <c r="BA247" s="42">
        <f t="shared" ref="BA247" ca="1" si="1474">BA246*((12-$F239)/12)</f>
        <v>23611.064583333329</v>
      </c>
      <c r="BB247" s="42">
        <f t="shared" ref="BB247" ca="1" si="1475">BB246*((12-$F239)/12)</f>
        <v>23611.064583333329</v>
      </c>
      <c r="BC247" s="42">
        <f t="shared" ref="BC247" ca="1" si="1476">BC246*((12-$F239)/12)</f>
        <v>23611.064583333329</v>
      </c>
      <c r="BD247" s="42">
        <f t="shared" ref="BD247" ca="1" si="1477">BD246*((12-$F239)/12)</f>
        <v>23611.064583333329</v>
      </c>
      <c r="BE247" s="42">
        <f t="shared" ref="BE247" ca="1" si="1478">BE246*((12-$F239)/12)</f>
        <v>23611.064583333329</v>
      </c>
      <c r="BF247" s="42">
        <f t="shared" ref="BF247" ca="1" si="1479">BF246*((12-$F239)/12)</f>
        <v>23611.064583333329</v>
      </c>
      <c r="BG247" s="42">
        <f t="shared" ref="BG247" ca="1" si="1480">BG246*((12-$F239)/12)</f>
        <v>23611.064583333329</v>
      </c>
      <c r="BH247" s="42">
        <f t="shared" ref="BH247" ca="1" si="1481">BH246*((12-$F239)/12)</f>
        <v>23611.064583333329</v>
      </c>
      <c r="BI247" s="42">
        <f t="shared" ref="BI247" ca="1" si="1482">BI246*((12-$F239)/12)</f>
        <v>23611.064583333329</v>
      </c>
      <c r="BJ247" s="42">
        <f t="shared" ref="BJ247" ca="1" si="1483">BJ246*((12-$F239)/12)</f>
        <v>23611.064583333329</v>
      </c>
      <c r="BK247" s="42">
        <f t="shared" ref="BK247" ca="1" si="1484">BK246*((12-$F239)/12)</f>
        <v>23847.175229166663</v>
      </c>
      <c r="BL247" s="42">
        <f t="shared" ref="BL247" ca="1" si="1485">BL246*((12-$F239)/12)</f>
        <v>23847.175229166663</v>
      </c>
      <c r="BM247" s="42">
        <f t="shared" ref="BM247" ca="1" si="1486">BM246*((12-$F239)/12)</f>
        <v>23847.175229166663</v>
      </c>
      <c r="BN247" s="42">
        <f t="shared" ref="BN247" ca="1" si="1487">BN246*((12-$F239)/12)</f>
        <v>23847.175229166663</v>
      </c>
      <c r="BO247" s="42">
        <f t="shared" ref="BO247" ca="1" si="1488">BO246*((12-$F239)/12)</f>
        <v>23847.175229166663</v>
      </c>
      <c r="BP247" s="42">
        <f t="shared" ref="BP247" ca="1" si="1489">BP246*((12-$F239)/12)</f>
        <v>23847.175229166663</v>
      </c>
      <c r="BQ247" s="42">
        <f t="shared" ref="BQ247" ca="1" si="1490">BQ246*((12-$F239)/12)</f>
        <v>0</v>
      </c>
      <c r="BR247" s="42">
        <f t="shared" ref="BR247" ca="1" si="1491">BR246*((12-$F239)/12)</f>
        <v>0</v>
      </c>
      <c r="BS247" s="42">
        <f t="shared" ref="BS247" ca="1" si="1492">BS246*((12-$F239)/12)</f>
        <v>0</v>
      </c>
      <c r="BT247" s="42">
        <f t="shared" ref="BT247" ca="1" si="1493">BT246*((12-$F239)/12)</f>
        <v>0</v>
      </c>
      <c r="BU247" s="42">
        <f t="shared" ref="BU247" ca="1" si="1494">BU246*((12-$F239)/12)</f>
        <v>0</v>
      </c>
      <c r="BV247" s="42">
        <f t="shared" ref="BV247" ca="1" si="1495">BV246*((12-$F239)/12)</f>
        <v>0</v>
      </c>
      <c r="BW247" s="42">
        <f t="shared" ref="BW247" ca="1" si="1496">BW246*((12-$F239)/12)</f>
        <v>0</v>
      </c>
      <c r="BX247" s="42">
        <f t="shared" ref="BX247" ca="1" si="1497">BX246*((12-$F239)/12)</f>
        <v>0</v>
      </c>
      <c r="BY247" s="42">
        <f t="shared" ref="BY247" ca="1" si="1498">BY246*((12-$F239)/12)</f>
        <v>0</v>
      </c>
    </row>
    <row r="248" spans="4:77" ht="13.5" customHeight="1">
      <c r="D248" s="101" t="s">
        <v>164</v>
      </c>
      <c r="E248" s="101"/>
      <c r="F248" s="101"/>
      <c r="G248" s="101"/>
      <c r="H248" s="101">
        <f t="shared" ref="H248:AM248" ca="1" si="1499">H247*$F240/unit</f>
        <v>0</v>
      </c>
      <c r="I248" s="101">
        <f t="shared" ca="1" si="1499"/>
        <v>0</v>
      </c>
      <c r="J248" s="101">
        <f t="shared" ca="1" si="1499"/>
        <v>0</v>
      </c>
      <c r="K248" s="101">
        <f t="shared" ca="1" si="1499"/>
        <v>0</v>
      </c>
      <c r="L248" s="101">
        <f t="shared" ca="1" si="1499"/>
        <v>0</v>
      </c>
      <c r="M248" s="101">
        <f t="shared" ca="1" si="1499"/>
        <v>0</v>
      </c>
      <c r="N248" s="101">
        <f t="shared" ca="1" si="1499"/>
        <v>0</v>
      </c>
      <c r="O248" s="101">
        <f t="shared" ca="1" si="1499"/>
        <v>0</v>
      </c>
      <c r="P248" s="101">
        <f t="shared" ca="1" si="1499"/>
        <v>13.727083333333333</v>
      </c>
      <c r="Q248" s="101">
        <f t="shared" ca="1" si="1499"/>
        <v>13.727083333333333</v>
      </c>
      <c r="R248" s="101">
        <f t="shared" ca="1" si="1499"/>
        <v>13.727083333333333</v>
      </c>
      <c r="S248" s="101">
        <f t="shared" ca="1" si="1499"/>
        <v>13.727083333333333</v>
      </c>
      <c r="T248" s="101">
        <f t="shared" ca="1" si="1499"/>
        <v>13.727083333333333</v>
      </c>
      <c r="U248" s="101">
        <f t="shared" ca="1" si="1499"/>
        <v>13.727083333333333</v>
      </c>
      <c r="V248" s="101">
        <f t="shared" ca="1" si="1499"/>
        <v>13.727083333333333</v>
      </c>
      <c r="W248" s="101">
        <f t="shared" ca="1" si="1499"/>
        <v>13.727083333333333</v>
      </c>
      <c r="X248" s="101">
        <f t="shared" ca="1" si="1499"/>
        <v>13.727083333333333</v>
      </c>
      <c r="Y248" s="101">
        <f t="shared" ca="1" si="1499"/>
        <v>13.727083333333333</v>
      </c>
      <c r="Z248" s="101">
        <f t="shared" ca="1" si="1499"/>
        <v>13.727083333333333</v>
      </c>
      <c r="AA248" s="101">
        <f t="shared" ca="1" si="1499"/>
        <v>13.864354166666667</v>
      </c>
      <c r="AB248" s="101">
        <f t="shared" ca="1" si="1499"/>
        <v>13.864354166666667</v>
      </c>
      <c r="AC248" s="101">
        <f t="shared" ca="1" si="1499"/>
        <v>13.864354166666667</v>
      </c>
      <c r="AD248" s="101">
        <f t="shared" ca="1" si="1499"/>
        <v>13.864354166666667</v>
      </c>
      <c r="AE248" s="101">
        <f t="shared" ca="1" si="1499"/>
        <v>13.864354166666667</v>
      </c>
      <c r="AF248" s="101">
        <f t="shared" ca="1" si="1499"/>
        <v>13.864354166666667</v>
      </c>
      <c r="AG248" s="101">
        <f t="shared" ca="1" si="1499"/>
        <v>13.864354166666667</v>
      </c>
      <c r="AH248" s="101">
        <f t="shared" ca="1" si="1499"/>
        <v>13.864354166666667</v>
      </c>
      <c r="AI248" s="101">
        <f t="shared" ca="1" si="1499"/>
        <v>13.864354166666667</v>
      </c>
      <c r="AJ248" s="101">
        <f t="shared" ca="1" si="1499"/>
        <v>13.864354166666667</v>
      </c>
      <c r="AK248" s="101">
        <f t="shared" ca="1" si="1499"/>
        <v>13.864354166666667</v>
      </c>
      <c r="AL248" s="101">
        <f t="shared" ca="1" si="1499"/>
        <v>13.864354166666667</v>
      </c>
      <c r="AM248" s="101">
        <f t="shared" ca="1" si="1499"/>
        <v>14.002997708333332</v>
      </c>
      <c r="AN248" s="101">
        <f t="shared" ref="AN248:BS248" ca="1" si="1500">AN247*$F240/unit</f>
        <v>14.002997708333332</v>
      </c>
      <c r="AO248" s="101">
        <f t="shared" ca="1" si="1500"/>
        <v>14.002997708333332</v>
      </c>
      <c r="AP248" s="101">
        <f t="shared" ca="1" si="1500"/>
        <v>14.002997708333332</v>
      </c>
      <c r="AQ248" s="101">
        <f t="shared" ca="1" si="1500"/>
        <v>14.002997708333332</v>
      </c>
      <c r="AR248" s="101">
        <f t="shared" ca="1" si="1500"/>
        <v>14.002997708333332</v>
      </c>
      <c r="AS248" s="101">
        <f t="shared" ca="1" si="1500"/>
        <v>14.002997708333332</v>
      </c>
      <c r="AT248" s="101">
        <f t="shared" ca="1" si="1500"/>
        <v>14.002997708333332</v>
      </c>
      <c r="AU248" s="101">
        <f t="shared" ca="1" si="1500"/>
        <v>14.002997708333332</v>
      </c>
      <c r="AV248" s="101">
        <f t="shared" ca="1" si="1500"/>
        <v>14.002997708333332</v>
      </c>
      <c r="AW248" s="101">
        <f t="shared" ca="1" si="1500"/>
        <v>14.002997708333332</v>
      </c>
      <c r="AX248" s="101">
        <f t="shared" ca="1" si="1500"/>
        <v>14.002997708333332</v>
      </c>
      <c r="AY248" s="101">
        <f t="shared" ca="1" si="1500"/>
        <v>14.143027685416666</v>
      </c>
      <c r="AZ248" s="101">
        <f t="shared" ca="1" si="1500"/>
        <v>14.143027685416666</v>
      </c>
      <c r="BA248" s="101">
        <f t="shared" ca="1" si="1500"/>
        <v>14.143027685416666</v>
      </c>
      <c r="BB248" s="101">
        <f t="shared" ca="1" si="1500"/>
        <v>14.143027685416666</v>
      </c>
      <c r="BC248" s="101">
        <f t="shared" ca="1" si="1500"/>
        <v>14.143027685416666</v>
      </c>
      <c r="BD248" s="101">
        <f t="shared" ca="1" si="1500"/>
        <v>14.143027685416666</v>
      </c>
      <c r="BE248" s="101">
        <f t="shared" ca="1" si="1500"/>
        <v>14.143027685416666</v>
      </c>
      <c r="BF248" s="101">
        <f t="shared" ca="1" si="1500"/>
        <v>14.143027685416666</v>
      </c>
      <c r="BG248" s="101">
        <f t="shared" ca="1" si="1500"/>
        <v>14.143027685416666</v>
      </c>
      <c r="BH248" s="101">
        <f t="shared" ca="1" si="1500"/>
        <v>14.143027685416666</v>
      </c>
      <c r="BI248" s="101">
        <f t="shared" ca="1" si="1500"/>
        <v>14.143027685416666</v>
      </c>
      <c r="BJ248" s="101">
        <f t="shared" ca="1" si="1500"/>
        <v>14.143027685416666</v>
      </c>
      <c r="BK248" s="101">
        <f t="shared" ca="1" si="1500"/>
        <v>14.284457962270832</v>
      </c>
      <c r="BL248" s="101">
        <f t="shared" ca="1" si="1500"/>
        <v>14.284457962270832</v>
      </c>
      <c r="BM248" s="101">
        <f t="shared" ca="1" si="1500"/>
        <v>14.284457962270832</v>
      </c>
      <c r="BN248" s="101">
        <f t="shared" ca="1" si="1500"/>
        <v>14.284457962270832</v>
      </c>
      <c r="BO248" s="101">
        <f t="shared" ca="1" si="1500"/>
        <v>14.284457962270832</v>
      </c>
      <c r="BP248" s="101">
        <f t="shared" ca="1" si="1500"/>
        <v>14.284457962270832</v>
      </c>
      <c r="BQ248" s="101">
        <f t="shared" ca="1" si="1500"/>
        <v>0</v>
      </c>
      <c r="BR248" s="101">
        <f t="shared" ca="1" si="1500"/>
        <v>0</v>
      </c>
      <c r="BS248" s="101">
        <f t="shared" ca="1" si="1500"/>
        <v>0</v>
      </c>
      <c r="BT248" s="101">
        <f t="shared" ref="BT248:BY248" ca="1" si="1501">BT247*$F240/unit</f>
        <v>0</v>
      </c>
      <c r="BU248" s="101">
        <f t="shared" ca="1" si="1501"/>
        <v>0</v>
      </c>
      <c r="BV248" s="101">
        <f t="shared" ca="1" si="1501"/>
        <v>0</v>
      </c>
      <c r="BW248" s="101">
        <f t="shared" ca="1" si="1501"/>
        <v>0</v>
      </c>
      <c r="BX248" s="101">
        <f t="shared" ca="1" si="1501"/>
        <v>0</v>
      </c>
      <c r="BY248" s="101">
        <f t="shared" ca="1" si="1501"/>
        <v>0</v>
      </c>
    </row>
    <row r="250" spans="4:77" ht="13.5" customHeight="1">
      <c r="D250" s="1" t="s">
        <v>165</v>
      </c>
    </row>
    <row r="251" spans="4:77" ht="13.5" customHeight="1">
      <c r="E251" s="25" t="s">
        <v>166</v>
      </c>
      <c r="F251" s="51"/>
      <c r="G251" s="51"/>
      <c r="H251" s="51">
        <f>$F241*H228*H233</f>
        <v>0</v>
      </c>
      <c r="I251" s="51">
        <f t="shared" ref="I251:BT251" si="1502">$F241*I228*I233</f>
        <v>0</v>
      </c>
      <c r="J251" s="51">
        <f t="shared" si="1502"/>
        <v>0</v>
      </c>
      <c r="K251" s="51">
        <f t="shared" si="1502"/>
        <v>0</v>
      </c>
      <c r="L251" s="51">
        <f t="shared" si="1502"/>
        <v>0</v>
      </c>
      <c r="M251" s="51">
        <f t="shared" si="1502"/>
        <v>0</v>
      </c>
      <c r="N251" s="51">
        <f t="shared" si="1502"/>
        <v>0</v>
      </c>
      <c r="O251" s="51">
        <f t="shared" si="1502"/>
        <v>2000</v>
      </c>
      <c r="P251" s="51">
        <f t="shared" si="1502"/>
        <v>2000</v>
      </c>
      <c r="Q251" s="51">
        <f t="shared" si="1502"/>
        <v>2000</v>
      </c>
      <c r="R251" s="51">
        <f t="shared" si="1502"/>
        <v>2000</v>
      </c>
      <c r="S251" s="51">
        <f t="shared" si="1502"/>
        <v>2000</v>
      </c>
      <c r="T251" s="51">
        <f t="shared" si="1502"/>
        <v>2000</v>
      </c>
      <c r="U251" s="51">
        <f t="shared" si="1502"/>
        <v>2000</v>
      </c>
      <c r="V251" s="51">
        <f t="shared" si="1502"/>
        <v>2000</v>
      </c>
      <c r="W251" s="51">
        <f t="shared" si="1502"/>
        <v>2000</v>
      </c>
      <c r="X251" s="51">
        <f t="shared" si="1502"/>
        <v>2000</v>
      </c>
      <c r="Y251" s="51">
        <f t="shared" si="1502"/>
        <v>2000</v>
      </c>
      <c r="Z251" s="51">
        <f t="shared" si="1502"/>
        <v>2000</v>
      </c>
      <c r="AA251" s="51">
        <f t="shared" si="1502"/>
        <v>2020</v>
      </c>
      <c r="AB251" s="51">
        <f t="shared" si="1502"/>
        <v>2020</v>
      </c>
      <c r="AC251" s="51">
        <f t="shared" si="1502"/>
        <v>2020</v>
      </c>
      <c r="AD251" s="51">
        <f t="shared" si="1502"/>
        <v>2020</v>
      </c>
      <c r="AE251" s="51">
        <f t="shared" si="1502"/>
        <v>2020</v>
      </c>
      <c r="AF251" s="51">
        <f t="shared" si="1502"/>
        <v>2020</v>
      </c>
      <c r="AG251" s="51">
        <f t="shared" si="1502"/>
        <v>2020</v>
      </c>
      <c r="AH251" s="51">
        <f t="shared" si="1502"/>
        <v>2020</v>
      </c>
      <c r="AI251" s="51">
        <f t="shared" si="1502"/>
        <v>2020</v>
      </c>
      <c r="AJ251" s="51">
        <f t="shared" si="1502"/>
        <v>2020</v>
      </c>
      <c r="AK251" s="51">
        <f t="shared" si="1502"/>
        <v>2020</v>
      </c>
      <c r="AL251" s="51">
        <f t="shared" si="1502"/>
        <v>2020</v>
      </c>
      <c r="AM251" s="51">
        <f t="shared" si="1502"/>
        <v>2040.2</v>
      </c>
      <c r="AN251" s="51">
        <f t="shared" si="1502"/>
        <v>2040.2</v>
      </c>
      <c r="AO251" s="51">
        <f t="shared" si="1502"/>
        <v>2040.2</v>
      </c>
      <c r="AP251" s="51">
        <f t="shared" si="1502"/>
        <v>2040.2</v>
      </c>
      <c r="AQ251" s="51">
        <f t="shared" si="1502"/>
        <v>2040.2</v>
      </c>
      <c r="AR251" s="51">
        <f t="shared" si="1502"/>
        <v>2040.2</v>
      </c>
      <c r="AS251" s="51">
        <f t="shared" si="1502"/>
        <v>2040.2</v>
      </c>
      <c r="AT251" s="51">
        <f t="shared" si="1502"/>
        <v>2040.2</v>
      </c>
      <c r="AU251" s="51">
        <f t="shared" si="1502"/>
        <v>2040.2</v>
      </c>
      <c r="AV251" s="51">
        <f t="shared" si="1502"/>
        <v>2040.2</v>
      </c>
      <c r="AW251" s="51">
        <f t="shared" si="1502"/>
        <v>2040.2</v>
      </c>
      <c r="AX251" s="51">
        <f t="shared" si="1502"/>
        <v>2040.2</v>
      </c>
      <c r="AY251" s="51">
        <f t="shared" si="1502"/>
        <v>2060.6019999999999</v>
      </c>
      <c r="AZ251" s="51">
        <f t="shared" si="1502"/>
        <v>2060.6019999999999</v>
      </c>
      <c r="BA251" s="51">
        <f t="shared" si="1502"/>
        <v>2060.6019999999999</v>
      </c>
      <c r="BB251" s="51">
        <f t="shared" si="1502"/>
        <v>2060.6019999999999</v>
      </c>
      <c r="BC251" s="51">
        <f t="shared" si="1502"/>
        <v>2060.6019999999999</v>
      </c>
      <c r="BD251" s="51">
        <f t="shared" si="1502"/>
        <v>2060.6019999999999</v>
      </c>
      <c r="BE251" s="51">
        <f t="shared" si="1502"/>
        <v>2060.6019999999999</v>
      </c>
      <c r="BF251" s="51">
        <f t="shared" si="1502"/>
        <v>2060.6019999999999</v>
      </c>
      <c r="BG251" s="51">
        <f t="shared" si="1502"/>
        <v>2060.6019999999999</v>
      </c>
      <c r="BH251" s="51">
        <f t="shared" si="1502"/>
        <v>2060.6019999999999</v>
      </c>
      <c r="BI251" s="51">
        <f t="shared" si="1502"/>
        <v>2060.6019999999999</v>
      </c>
      <c r="BJ251" s="51">
        <f t="shared" si="1502"/>
        <v>2060.6019999999999</v>
      </c>
      <c r="BK251" s="51">
        <f t="shared" si="1502"/>
        <v>2081.20802</v>
      </c>
      <c r="BL251" s="51">
        <f t="shared" si="1502"/>
        <v>2081.20802</v>
      </c>
      <c r="BM251" s="51">
        <f t="shared" si="1502"/>
        <v>2081.20802</v>
      </c>
      <c r="BN251" s="51">
        <f t="shared" si="1502"/>
        <v>2081.20802</v>
      </c>
      <c r="BO251" s="51">
        <f t="shared" si="1502"/>
        <v>2081.20802</v>
      </c>
      <c r="BP251" s="51">
        <f t="shared" si="1502"/>
        <v>2081.20802</v>
      </c>
      <c r="BQ251" s="51">
        <f t="shared" si="1502"/>
        <v>0</v>
      </c>
      <c r="BR251" s="51">
        <f t="shared" si="1502"/>
        <v>0</v>
      </c>
      <c r="BS251" s="51">
        <f t="shared" si="1502"/>
        <v>0</v>
      </c>
      <c r="BT251" s="51">
        <f t="shared" si="1502"/>
        <v>0</v>
      </c>
      <c r="BU251" s="51">
        <f t="shared" ref="BU251:BY251" si="1503">$F241*BU228*BU233</f>
        <v>0</v>
      </c>
      <c r="BV251" s="51">
        <f t="shared" si="1503"/>
        <v>0</v>
      </c>
      <c r="BW251" s="51">
        <f t="shared" si="1503"/>
        <v>0</v>
      </c>
      <c r="BX251" s="51">
        <f t="shared" si="1503"/>
        <v>0</v>
      </c>
      <c r="BY251" s="51">
        <f t="shared" si="1503"/>
        <v>0</v>
      </c>
    </row>
    <row r="252" spans="4:77" ht="13.5" customHeight="1">
      <c r="D252" s="101" t="s">
        <v>167</v>
      </c>
      <c r="E252" s="101"/>
      <c r="F252" s="101"/>
      <c r="G252" s="101"/>
      <c r="H252" s="101">
        <f t="shared" ref="H252:AM252" ca="1" si="1504">H251*$F240/unit</f>
        <v>0</v>
      </c>
      <c r="I252" s="101">
        <f t="shared" ca="1" si="1504"/>
        <v>0</v>
      </c>
      <c r="J252" s="101">
        <f t="shared" ca="1" si="1504"/>
        <v>0</v>
      </c>
      <c r="K252" s="101">
        <f t="shared" ca="1" si="1504"/>
        <v>0</v>
      </c>
      <c r="L252" s="101">
        <f t="shared" ca="1" si="1504"/>
        <v>0</v>
      </c>
      <c r="M252" s="101">
        <f t="shared" ca="1" si="1504"/>
        <v>0</v>
      </c>
      <c r="N252" s="101">
        <f t="shared" ca="1" si="1504"/>
        <v>0</v>
      </c>
      <c r="O252" s="101">
        <f t="shared" ca="1" si="1504"/>
        <v>1.198</v>
      </c>
      <c r="P252" s="101">
        <f t="shared" ca="1" si="1504"/>
        <v>1.198</v>
      </c>
      <c r="Q252" s="101">
        <f t="shared" ca="1" si="1504"/>
        <v>1.198</v>
      </c>
      <c r="R252" s="101">
        <f t="shared" ca="1" si="1504"/>
        <v>1.198</v>
      </c>
      <c r="S252" s="101">
        <f t="shared" ca="1" si="1504"/>
        <v>1.198</v>
      </c>
      <c r="T252" s="101">
        <f t="shared" ca="1" si="1504"/>
        <v>1.198</v>
      </c>
      <c r="U252" s="101">
        <f t="shared" ca="1" si="1504"/>
        <v>1.198</v>
      </c>
      <c r="V252" s="101">
        <f t="shared" ca="1" si="1504"/>
        <v>1.198</v>
      </c>
      <c r="W252" s="101">
        <f t="shared" ca="1" si="1504"/>
        <v>1.198</v>
      </c>
      <c r="X252" s="101">
        <f t="shared" ca="1" si="1504"/>
        <v>1.198</v>
      </c>
      <c r="Y252" s="101">
        <f t="shared" ca="1" si="1504"/>
        <v>1.198</v>
      </c>
      <c r="Z252" s="101">
        <f t="shared" ca="1" si="1504"/>
        <v>1.198</v>
      </c>
      <c r="AA252" s="101">
        <f t="shared" ca="1" si="1504"/>
        <v>1.2099800000000001</v>
      </c>
      <c r="AB252" s="101">
        <f t="shared" ca="1" si="1504"/>
        <v>1.2099800000000001</v>
      </c>
      <c r="AC252" s="101">
        <f t="shared" ca="1" si="1504"/>
        <v>1.2099800000000001</v>
      </c>
      <c r="AD252" s="101">
        <f t="shared" ca="1" si="1504"/>
        <v>1.2099800000000001</v>
      </c>
      <c r="AE252" s="101">
        <f t="shared" ca="1" si="1504"/>
        <v>1.2099800000000001</v>
      </c>
      <c r="AF252" s="101">
        <f t="shared" ca="1" si="1504"/>
        <v>1.2099800000000001</v>
      </c>
      <c r="AG252" s="101">
        <f t="shared" ca="1" si="1504"/>
        <v>1.2099800000000001</v>
      </c>
      <c r="AH252" s="101">
        <f t="shared" ca="1" si="1504"/>
        <v>1.2099800000000001</v>
      </c>
      <c r="AI252" s="101">
        <f t="shared" ca="1" si="1504"/>
        <v>1.2099800000000001</v>
      </c>
      <c r="AJ252" s="101">
        <f t="shared" ca="1" si="1504"/>
        <v>1.2099800000000001</v>
      </c>
      <c r="AK252" s="101">
        <f t="shared" ca="1" si="1504"/>
        <v>1.2099800000000001</v>
      </c>
      <c r="AL252" s="101">
        <f t="shared" ca="1" si="1504"/>
        <v>1.2099800000000001</v>
      </c>
      <c r="AM252" s="101">
        <f t="shared" ca="1" si="1504"/>
        <v>1.2220797999999999</v>
      </c>
      <c r="AN252" s="101">
        <f t="shared" ref="AN252:BS252" ca="1" si="1505">AN251*$F240/unit</f>
        <v>1.2220797999999999</v>
      </c>
      <c r="AO252" s="101">
        <f t="shared" ca="1" si="1505"/>
        <v>1.2220797999999999</v>
      </c>
      <c r="AP252" s="101">
        <f t="shared" ca="1" si="1505"/>
        <v>1.2220797999999999</v>
      </c>
      <c r="AQ252" s="101">
        <f t="shared" ca="1" si="1505"/>
        <v>1.2220797999999999</v>
      </c>
      <c r="AR252" s="101">
        <f t="shared" ca="1" si="1505"/>
        <v>1.2220797999999999</v>
      </c>
      <c r="AS252" s="101">
        <f t="shared" ca="1" si="1505"/>
        <v>1.2220797999999999</v>
      </c>
      <c r="AT252" s="101">
        <f t="shared" ca="1" si="1505"/>
        <v>1.2220797999999999</v>
      </c>
      <c r="AU252" s="101">
        <f t="shared" ca="1" si="1505"/>
        <v>1.2220797999999999</v>
      </c>
      <c r="AV252" s="101">
        <f t="shared" ca="1" si="1505"/>
        <v>1.2220797999999999</v>
      </c>
      <c r="AW252" s="101">
        <f t="shared" ca="1" si="1505"/>
        <v>1.2220797999999999</v>
      </c>
      <c r="AX252" s="101">
        <f t="shared" ca="1" si="1505"/>
        <v>1.2220797999999999</v>
      </c>
      <c r="AY252" s="101">
        <f t="shared" ca="1" si="1505"/>
        <v>1.2343005979999999</v>
      </c>
      <c r="AZ252" s="101">
        <f t="shared" ca="1" si="1505"/>
        <v>1.2343005979999999</v>
      </c>
      <c r="BA252" s="101">
        <f t="shared" ca="1" si="1505"/>
        <v>1.2343005979999999</v>
      </c>
      <c r="BB252" s="101">
        <f t="shared" ca="1" si="1505"/>
        <v>1.2343005979999999</v>
      </c>
      <c r="BC252" s="101">
        <f t="shared" ca="1" si="1505"/>
        <v>1.2343005979999999</v>
      </c>
      <c r="BD252" s="101">
        <f t="shared" ca="1" si="1505"/>
        <v>1.2343005979999999</v>
      </c>
      <c r="BE252" s="101">
        <f t="shared" ca="1" si="1505"/>
        <v>1.2343005979999999</v>
      </c>
      <c r="BF252" s="101">
        <f t="shared" ca="1" si="1505"/>
        <v>1.2343005979999999</v>
      </c>
      <c r="BG252" s="101">
        <f t="shared" ca="1" si="1505"/>
        <v>1.2343005979999999</v>
      </c>
      <c r="BH252" s="101">
        <f t="shared" ca="1" si="1505"/>
        <v>1.2343005979999999</v>
      </c>
      <c r="BI252" s="101">
        <f t="shared" ca="1" si="1505"/>
        <v>1.2343005979999999</v>
      </c>
      <c r="BJ252" s="101">
        <f t="shared" ca="1" si="1505"/>
        <v>1.2343005979999999</v>
      </c>
      <c r="BK252" s="101">
        <f t="shared" ca="1" si="1505"/>
        <v>1.2466436039800002</v>
      </c>
      <c r="BL252" s="101">
        <f t="shared" ca="1" si="1505"/>
        <v>1.2466436039800002</v>
      </c>
      <c r="BM252" s="101">
        <f t="shared" ca="1" si="1505"/>
        <v>1.2466436039800002</v>
      </c>
      <c r="BN252" s="101">
        <f t="shared" ca="1" si="1505"/>
        <v>1.2466436039800002</v>
      </c>
      <c r="BO252" s="101">
        <f t="shared" ca="1" si="1505"/>
        <v>1.2466436039800002</v>
      </c>
      <c r="BP252" s="101">
        <f t="shared" ca="1" si="1505"/>
        <v>1.2466436039800002</v>
      </c>
      <c r="BQ252" s="101">
        <f t="shared" ca="1" si="1505"/>
        <v>0</v>
      </c>
      <c r="BR252" s="101">
        <f t="shared" ca="1" si="1505"/>
        <v>0</v>
      </c>
      <c r="BS252" s="101">
        <f t="shared" ca="1" si="1505"/>
        <v>0</v>
      </c>
      <c r="BT252" s="101">
        <f t="shared" ref="BT252:BY252" ca="1" si="1506">BT251*$F240/unit</f>
        <v>0</v>
      </c>
      <c r="BU252" s="101">
        <f t="shared" ca="1" si="1506"/>
        <v>0</v>
      </c>
      <c r="BV252" s="101">
        <f t="shared" ca="1" si="1506"/>
        <v>0</v>
      </c>
      <c r="BW252" s="101">
        <f t="shared" ca="1" si="1506"/>
        <v>0</v>
      </c>
      <c r="BX252" s="101">
        <f t="shared" ca="1" si="1506"/>
        <v>0</v>
      </c>
      <c r="BY252" s="101">
        <f t="shared" ca="1" si="1506"/>
        <v>0</v>
      </c>
    </row>
    <row r="254" spans="4:77" ht="13.5" customHeight="1">
      <c r="D254" s="1" t="s">
        <v>168</v>
      </c>
    </row>
    <row r="255" spans="4:77" ht="13.5" customHeight="1">
      <c r="E255" s="1" t="s">
        <v>169</v>
      </c>
      <c r="H255" s="1">
        <v>0</v>
      </c>
      <c r="I255" s="1">
        <f ca="1">H258</f>
        <v>0</v>
      </c>
      <c r="J255" s="1">
        <f t="shared" ref="J255" ca="1" si="1507">I258</f>
        <v>0</v>
      </c>
      <c r="K255" s="1">
        <f t="shared" ref="K255" ca="1" si="1508">J258</f>
        <v>0</v>
      </c>
      <c r="L255" s="1">
        <f t="shared" ref="L255" ca="1" si="1509">K258</f>
        <v>0</v>
      </c>
      <c r="M255" s="1">
        <f t="shared" ref="M255" ca="1" si="1510">L258</f>
        <v>0</v>
      </c>
      <c r="N255" s="1">
        <f t="shared" ref="N255" ca="1" si="1511">M258</f>
        <v>0</v>
      </c>
      <c r="O255" s="1">
        <f t="shared" ref="O255" ca="1" si="1512">N258</f>
        <v>0</v>
      </c>
      <c r="P255" s="1">
        <f t="shared" ref="P255" ca="1" si="1513">O258</f>
        <v>89.85</v>
      </c>
      <c r="Q255" s="1">
        <f t="shared" ref="Q255" ca="1" si="1514">P258</f>
        <v>89.85</v>
      </c>
      <c r="R255" s="1">
        <f t="shared" ref="R255" ca="1" si="1515">Q258</f>
        <v>89.85</v>
      </c>
      <c r="S255" s="1">
        <f t="shared" ref="S255" ca="1" si="1516">R258</f>
        <v>89.85</v>
      </c>
      <c r="T255" s="1">
        <f t="shared" ref="T255" ca="1" si="1517">S258</f>
        <v>89.85</v>
      </c>
      <c r="U255" s="1">
        <f t="shared" ref="U255" ca="1" si="1518">T258</f>
        <v>89.85</v>
      </c>
      <c r="V255" s="1">
        <f t="shared" ref="V255" ca="1" si="1519">U258</f>
        <v>89.85</v>
      </c>
      <c r="W255" s="1">
        <f t="shared" ref="W255" ca="1" si="1520">V258</f>
        <v>89.85</v>
      </c>
      <c r="X255" s="1">
        <f t="shared" ref="X255" ca="1" si="1521">W258</f>
        <v>89.85</v>
      </c>
      <c r="Y255" s="1">
        <f t="shared" ref="Y255" ca="1" si="1522">X258</f>
        <v>89.85</v>
      </c>
      <c r="Z255" s="1">
        <f t="shared" ref="Z255" ca="1" si="1523">Y258</f>
        <v>89.85</v>
      </c>
      <c r="AA255" s="1">
        <f t="shared" ref="AA255" ca="1" si="1524">Z258</f>
        <v>89.85</v>
      </c>
      <c r="AB255" s="1">
        <f t="shared" ref="AB255" ca="1" si="1525">AA258</f>
        <v>89.85</v>
      </c>
      <c r="AC255" s="1">
        <f t="shared" ref="AC255" ca="1" si="1526">AB258</f>
        <v>89.85</v>
      </c>
      <c r="AD255" s="1">
        <f t="shared" ref="AD255" ca="1" si="1527">AC258</f>
        <v>89.85</v>
      </c>
      <c r="AE255" s="1">
        <f t="shared" ref="AE255" ca="1" si="1528">AD258</f>
        <v>89.85</v>
      </c>
      <c r="AF255" s="1">
        <f t="shared" ref="AF255" ca="1" si="1529">AE258</f>
        <v>89.85</v>
      </c>
      <c r="AG255" s="1">
        <f t="shared" ref="AG255" ca="1" si="1530">AF258</f>
        <v>89.85</v>
      </c>
      <c r="AH255" s="1">
        <f t="shared" ref="AH255" ca="1" si="1531">AG258</f>
        <v>89.85</v>
      </c>
      <c r="AI255" s="1">
        <f t="shared" ref="AI255" ca="1" si="1532">AH258</f>
        <v>89.85</v>
      </c>
      <c r="AJ255" s="1">
        <f t="shared" ref="AJ255" ca="1" si="1533">AI258</f>
        <v>89.85</v>
      </c>
      <c r="AK255" s="1">
        <f t="shared" ref="AK255" ca="1" si="1534">AJ258</f>
        <v>89.85</v>
      </c>
      <c r="AL255" s="1">
        <f t="shared" ref="AL255" ca="1" si="1535">AK258</f>
        <v>89.85</v>
      </c>
      <c r="AM255" s="1">
        <f t="shared" ref="AM255" ca="1" si="1536">AL258</f>
        <v>89.85</v>
      </c>
      <c r="AN255" s="1">
        <f t="shared" ref="AN255" ca="1" si="1537">AM258</f>
        <v>89.85</v>
      </c>
      <c r="AO255" s="1">
        <f t="shared" ref="AO255" ca="1" si="1538">AN258</f>
        <v>89.85</v>
      </c>
      <c r="AP255" s="1">
        <f t="shared" ref="AP255" ca="1" si="1539">AO258</f>
        <v>89.85</v>
      </c>
      <c r="AQ255" s="1">
        <f t="shared" ref="AQ255" ca="1" si="1540">AP258</f>
        <v>89.85</v>
      </c>
      <c r="AR255" s="1">
        <f t="shared" ref="AR255" ca="1" si="1541">AQ258</f>
        <v>89.85</v>
      </c>
      <c r="AS255" s="1">
        <f t="shared" ref="AS255" ca="1" si="1542">AR258</f>
        <v>89.85</v>
      </c>
      <c r="AT255" s="1">
        <f t="shared" ref="AT255" ca="1" si="1543">AS258</f>
        <v>89.85</v>
      </c>
      <c r="AU255" s="1">
        <f t="shared" ref="AU255" ca="1" si="1544">AT258</f>
        <v>89.85</v>
      </c>
      <c r="AV255" s="1">
        <f t="shared" ref="AV255" ca="1" si="1545">AU258</f>
        <v>89.85</v>
      </c>
      <c r="AW255" s="1">
        <f t="shared" ref="AW255" ca="1" si="1546">AV258</f>
        <v>89.85</v>
      </c>
      <c r="AX255" s="1">
        <f t="shared" ref="AX255" ca="1" si="1547">AW258</f>
        <v>89.85</v>
      </c>
      <c r="AY255" s="1">
        <f t="shared" ref="AY255" ca="1" si="1548">AX258</f>
        <v>89.85</v>
      </c>
      <c r="AZ255" s="1">
        <f t="shared" ref="AZ255" ca="1" si="1549">AY258</f>
        <v>89.85</v>
      </c>
      <c r="BA255" s="1">
        <f t="shared" ref="BA255" ca="1" si="1550">AZ258</f>
        <v>89.85</v>
      </c>
      <c r="BB255" s="1">
        <f t="shared" ref="BB255" ca="1" si="1551">BA258</f>
        <v>89.85</v>
      </c>
      <c r="BC255" s="1">
        <f t="shared" ref="BC255" ca="1" si="1552">BB258</f>
        <v>89.85</v>
      </c>
      <c r="BD255" s="1">
        <f t="shared" ref="BD255" ca="1" si="1553">BC258</f>
        <v>89.85</v>
      </c>
      <c r="BE255" s="1">
        <f t="shared" ref="BE255" ca="1" si="1554">BD258</f>
        <v>89.85</v>
      </c>
      <c r="BF255" s="1">
        <f t="shared" ref="BF255" ca="1" si="1555">BE258</f>
        <v>89.85</v>
      </c>
      <c r="BG255" s="1">
        <f t="shared" ref="BG255" ca="1" si="1556">BF258</f>
        <v>89.85</v>
      </c>
      <c r="BH255" s="1">
        <f t="shared" ref="BH255" ca="1" si="1557">BG258</f>
        <v>89.85</v>
      </c>
      <c r="BI255" s="1">
        <f t="shared" ref="BI255" ca="1" si="1558">BH258</f>
        <v>89.85</v>
      </c>
      <c r="BJ255" s="1">
        <f t="shared" ref="BJ255" ca="1" si="1559">BI258</f>
        <v>89.85</v>
      </c>
      <c r="BK255" s="1">
        <f t="shared" ref="BK255" ca="1" si="1560">BJ258</f>
        <v>89.85</v>
      </c>
      <c r="BL255" s="1">
        <f t="shared" ref="BL255" ca="1" si="1561">BK258</f>
        <v>89.85</v>
      </c>
      <c r="BM255" s="1">
        <f t="shared" ref="BM255" ca="1" si="1562">BL258</f>
        <v>89.85</v>
      </c>
      <c r="BN255" s="1">
        <f t="shared" ref="BN255" ca="1" si="1563">BM258</f>
        <v>89.85</v>
      </c>
      <c r="BO255" s="1">
        <f t="shared" ref="BO255" ca="1" si="1564">BN258</f>
        <v>89.85</v>
      </c>
      <c r="BP255" s="1">
        <f t="shared" ref="BP255" ca="1" si="1565">BO258</f>
        <v>89.85</v>
      </c>
      <c r="BQ255" s="1">
        <f t="shared" ref="BQ255" ca="1" si="1566">BP258</f>
        <v>0</v>
      </c>
      <c r="BR255" s="1">
        <f t="shared" ref="BR255" ca="1" si="1567">BQ258</f>
        <v>0</v>
      </c>
      <c r="BS255" s="1">
        <f t="shared" ref="BS255" ca="1" si="1568">BR258</f>
        <v>0</v>
      </c>
      <c r="BT255" s="1">
        <f t="shared" ref="BT255" ca="1" si="1569">BS258</f>
        <v>0</v>
      </c>
      <c r="BU255" s="1">
        <f t="shared" ref="BU255" ca="1" si="1570">BT258</f>
        <v>0</v>
      </c>
      <c r="BV255" s="1">
        <f t="shared" ref="BV255" ca="1" si="1571">BU258</f>
        <v>0</v>
      </c>
      <c r="BW255" s="1">
        <f t="shared" ref="BW255" ca="1" si="1572">BV258</f>
        <v>0</v>
      </c>
      <c r="BX255" s="1">
        <f t="shared" ref="BX255" ca="1" si="1573">BW258</f>
        <v>0</v>
      </c>
      <c r="BY255" s="1">
        <f t="shared" ref="BY255" ca="1" si="1574">BX258</f>
        <v>0</v>
      </c>
    </row>
    <row r="256" spans="4:77" ht="13.5" customHeight="1">
      <c r="E256" s="1" t="s">
        <v>170</v>
      </c>
      <c r="H256" s="1">
        <f ca="1">(H$14=$F235)*$F242</f>
        <v>0</v>
      </c>
      <c r="I256" s="1">
        <f t="shared" ref="I256:BT256" ca="1" si="1575">(I$14=$F235)*$F242</f>
        <v>0</v>
      </c>
      <c r="J256" s="1">
        <f t="shared" ca="1" si="1575"/>
        <v>0</v>
      </c>
      <c r="K256" s="1">
        <f t="shared" ca="1" si="1575"/>
        <v>0</v>
      </c>
      <c r="L256" s="1">
        <f t="shared" ca="1" si="1575"/>
        <v>0</v>
      </c>
      <c r="M256" s="1">
        <f t="shared" ca="1" si="1575"/>
        <v>0</v>
      </c>
      <c r="N256" s="1">
        <f t="shared" ca="1" si="1575"/>
        <v>0</v>
      </c>
      <c r="O256" s="1">
        <f t="shared" ca="1" si="1575"/>
        <v>89.85</v>
      </c>
      <c r="P256" s="1">
        <f t="shared" ca="1" si="1575"/>
        <v>0</v>
      </c>
      <c r="Q256" s="1">
        <f t="shared" ca="1" si="1575"/>
        <v>0</v>
      </c>
      <c r="R256" s="1">
        <f t="shared" ca="1" si="1575"/>
        <v>0</v>
      </c>
      <c r="S256" s="1">
        <f t="shared" ca="1" si="1575"/>
        <v>0</v>
      </c>
      <c r="T256" s="1">
        <f t="shared" ca="1" si="1575"/>
        <v>0</v>
      </c>
      <c r="U256" s="1">
        <f t="shared" ca="1" si="1575"/>
        <v>0</v>
      </c>
      <c r="V256" s="1">
        <f t="shared" ca="1" si="1575"/>
        <v>0</v>
      </c>
      <c r="W256" s="1">
        <f t="shared" ca="1" si="1575"/>
        <v>0</v>
      </c>
      <c r="X256" s="1">
        <f t="shared" ca="1" si="1575"/>
        <v>0</v>
      </c>
      <c r="Y256" s="1">
        <f t="shared" ca="1" si="1575"/>
        <v>0</v>
      </c>
      <c r="Z256" s="1">
        <f t="shared" ca="1" si="1575"/>
        <v>0</v>
      </c>
      <c r="AA256" s="1">
        <f t="shared" ca="1" si="1575"/>
        <v>0</v>
      </c>
      <c r="AB256" s="1">
        <f t="shared" ca="1" si="1575"/>
        <v>0</v>
      </c>
      <c r="AC256" s="1">
        <f t="shared" ca="1" si="1575"/>
        <v>0</v>
      </c>
      <c r="AD256" s="1">
        <f t="shared" ca="1" si="1575"/>
        <v>0</v>
      </c>
      <c r="AE256" s="1">
        <f t="shared" ca="1" si="1575"/>
        <v>0</v>
      </c>
      <c r="AF256" s="1">
        <f t="shared" ca="1" si="1575"/>
        <v>0</v>
      </c>
      <c r="AG256" s="1">
        <f t="shared" ca="1" si="1575"/>
        <v>0</v>
      </c>
      <c r="AH256" s="1">
        <f t="shared" ca="1" si="1575"/>
        <v>0</v>
      </c>
      <c r="AI256" s="1">
        <f t="shared" ca="1" si="1575"/>
        <v>0</v>
      </c>
      <c r="AJ256" s="1">
        <f t="shared" ca="1" si="1575"/>
        <v>0</v>
      </c>
      <c r="AK256" s="1">
        <f t="shared" ca="1" si="1575"/>
        <v>0</v>
      </c>
      <c r="AL256" s="1">
        <f t="shared" ca="1" si="1575"/>
        <v>0</v>
      </c>
      <c r="AM256" s="1">
        <f t="shared" ca="1" si="1575"/>
        <v>0</v>
      </c>
      <c r="AN256" s="1">
        <f t="shared" ca="1" si="1575"/>
        <v>0</v>
      </c>
      <c r="AO256" s="1">
        <f t="shared" ca="1" si="1575"/>
        <v>0</v>
      </c>
      <c r="AP256" s="1">
        <f t="shared" ca="1" si="1575"/>
        <v>0</v>
      </c>
      <c r="AQ256" s="1">
        <f t="shared" ca="1" si="1575"/>
        <v>0</v>
      </c>
      <c r="AR256" s="1">
        <f t="shared" ca="1" si="1575"/>
        <v>0</v>
      </c>
      <c r="AS256" s="1">
        <f t="shared" ca="1" si="1575"/>
        <v>0</v>
      </c>
      <c r="AT256" s="1">
        <f t="shared" ca="1" si="1575"/>
        <v>0</v>
      </c>
      <c r="AU256" s="1">
        <f t="shared" ca="1" si="1575"/>
        <v>0</v>
      </c>
      <c r="AV256" s="1">
        <f t="shared" ca="1" si="1575"/>
        <v>0</v>
      </c>
      <c r="AW256" s="1">
        <f t="shared" ca="1" si="1575"/>
        <v>0</v>
      </c>
      <c r="AX256" s="1">
        <f t="shared" ca="1" si="1575"/>
        <v>0</v>
      </c>
      <c r="AY256" s="1">
        <f t="shared" ca="1" si="1575"/>
        <v>0</v>
      </c>
      <c r="AZ256" s="1">
        <f t="shared" ca="1" si="1575"/>
        <v>0</v>
      </c>
      <c r="BA256" s="1">
        <f t="shared" ca="1" si="1575"/>
        <v>0</v>
      </c>
      <c r="BB256" s="1">
        <f t="shared" ca="1" si="1575"/>
        <v>0</v>
      </c>
      <c r="BC256" s="1">
        <f t="shared" ca="1" si="1575"/>
        <v>0</v>
      </c>
      <c r="BD256" s="1">
        <f t="shared" ca="1" si="1575"/>
        <v>0</v>
      </c>
      <c r="BE256" s="1">
        <f t="shared" ca="1" si="1575"/>
        <v>0</v>
      </c>
      <c r="BF256" s="1">
        <f t="shared" ca="1" si="1575"/>
        <v>0</v>
      </c>
      <c r="BG256" s="1">
        <f t="shared" ca="1" si="1575"/>
        <v>0</v>
      </c>
      <c r="BH256" s="1">
        <f t="shared" ca="1" si="1575"/>
        <v>0</v>
      </c>
      <c r="BI256" s="1">
        <f t="shared" ca="1" si="1575"/>
        <v>0</v>
      </c>
      <c r="BJ256" s="1">
        <f t="shared" ca="1" si="1575"/>
        <v>0</v>
      </c>
      <c r="BK256" s="1">
        <f t="shared" ca="1" si="1575"/>
        <v>0</v>
      </c>
      <c r="BL256" s="1">
        <f t="shared" ca="1" si="1575"/>
        <v>0</v>
      </c>
      <c r="BM256" s="1">
        <f t="shared" ca="1" si="1575"/>
        <v>0</v>
      </c>
      <c r="BN256" s="1">
        <f t="shared" ca="1" si="1575"/>
        <v>0</v>
      </c>
      <c r="BO256" s="1">
        <f t="shared" ca="1" si="1575"/>
        <v>0</v>
      </c>
      <c r="BP256" s="1">
        <f t="shared" ca="1" si="1575"/>
        <v>0</v>
      </c>
      <c r="BQ256" s="1">
        <f t="shared" ca="1" si="1575"/>
        <v>0</v>
      </c>
      <c r="BR256" s="1">
        <f t="shared" ca="1" si="1575"/>
        <v>0</v>
      </c>
      <c r="BS256" s="1">
        <f t="shared" ca="1" si="1575"/>
        <v>0</v>
      </c>
      <c r="BT256" s="1">
        <f t="shared" ca="1" si="1575"/>
        <v>0</v>
      </c>
      <c r="BU256" s="1">
        <f t="shared" ref="BU256:BY256" ca="1" si="1576">(BU$14=$F235)*$F242</f>
        <v>0</v>
      </c>
      <c r="BV256" s="1">
        <f t="shared" ca="1" si="1576"/>
        <v>0</v>
      </c>
      <c r="BW256" s="1">
        <f t="shared" ca="1" si="1576"/>
        <v>0</v>
      </c>
      <c r="BX256" s="1">
        <f t="shared" ca="1" si="1576"/>
        <v>0</v>
      </c>
      <c r="BY256" s="1">
        <f t="shared" ca="1" si="1576"/>
        <v>0</v>
      </c>
    </row>
    <row r="257" spans="2:77" ht="13.5" customHeight="1">
      <c r="E257" s="1" t="s">
        <v>171</v>
      </c>
      <c r="H257" s="1">
        <f t="shared" ref="H257:AM257" ca="1" si="1577">(H$14=exit)*$F242*-1</f>
        <v>0</v>
      </c>
      <c r="I257" s="1">
        <f t="shared" ca="1" si="1577"/>
        <v>0</v>
      </c>
      <c r="J257" s="1">
        <f t="shared" ca="1" si="1577"/>
        <v>0</v>
      </c>
      <c r="K257" s="1">
        <f t="shared" ca="1" si="1577"/>
        <v>0</v>
      </c>
      <c r="L257" s="1">
        <f t="shared" ca="1" si="1577"/>
        <v>0</v>
      </c>
      <c r="M257" s="1">
        <f t="shared" ca="1" si="1577"/>
        <v>0</v>
      </c>
      <c r="N257" s="1">
        <f t="shared" ca="1" si="1577"/>
        <v>0</v>
      </c>
      <c r="O257" s="1">
        <f t="shared" ca="1" si="1577"/>
        <v>0</v>
      </c>
      <c r="P257" s="1">
        <f t="shared" ca="1" si="1577"/>
        <v>0</v>
      </c>
      <c r="Q257" s="1">
        <f t="shared" ca="1" si="1577"/>
        <v>0</v>
      </c>
      <c r="R257" s="1">
        <f t="shared" ca="1" si="1577"/>
        <v>0</v>
      </c>
      <c r="S257" s="1">
        <f t="shared" ca="1" si="1577"/>
        <v>0</v>
      </c>
      <c r="T257" s="1">
        <f t="shared" ca="1" si="1577"/>
        <v>0</v>
      </c>
      <c r="U257" s="1">
        <f t="shared" ca="1" si="1577"/>
        <v>0</v>
      </c>
      <c r="V257" s="1">
        <f t="shared" ca="1" si="1577"/>
        <v>0</v>
      </c>
      <c r="W257" s="1">
        <f t="shared" ca="1" si="1577"/>
        <v>0</v>
      </c>
      <c r="X257" s="1">
        <f t="shared" ca="1" si="1577"/>
        <v>0</v>
      </c>
      <c r="Y257" s="1">
        <f t="shared" ca="1" si="1577"/>
        <v>0</v>
      </c>
      <c r="Z257" s="1">
        <f t="shared" ca="1" si="1577"/>
        <v>0</v>
      </c>
      <c r="AA257" s="1">
        <f t="shared" ca="1" si="1577"/>
        <v>0</v>
      </c>
      <c r="AB257" s="1">
        <f t="shared" ca="1" si="1577"/>
        <v>0</v>
      </c>
      <c r="AC257" s="1">
        <f t="shared" ca="1" si="1577"/>
        <v>0</v>
      </c>
      <c r="AD257" s="1">
        <f t="shared" ca="1" si="1577"/>
        <v>0</v>
      </c>
      <c r="AE257" s="1">
        <f t="shared" ca="1" si="1577"/>
        <v>0</v>
      </c>
      <c r="AF257" s="1">
        <f t="shared" ca="1" si="1577"/>
        <v>0</v>
      </c>
      <c r="AG257" s="1">
        <f t="shared" ca="1" si="1577"/>
        <v>0</v>
      </c>
      <c r="AH257" s="1">
        <f t="shared" ca="1" si="1577"/>
        <v>0</v>
      </c>
      <c r="AI257" s="1">
        <f t="shared" ca="1" si="1577"/>
        <v>0</v>
      </c>
      <c r="AJ257" s="1">
        <f t="shared" ca="1" si="1577"/>
        <v>0</v>
      </c>
      <c r="AK257" s="1">
        <f t="shared" ca="1" si="1577"/>
        <v>0</v>
      </c>
      <c r="AL257" s="1">
        <f t="shared" ca="1" si="1577"/>
        <v>0</v>
      </c>
      <c r="AM257" s="1">
        <f t="shared" ca="1" si="1577"/>
        <v>0</v>
      </c>
      <c r="AN257" s="1">
        <f t="shared" ref="AN257:BS257" ca="1" si="1578">(AN$14=exit)*$F242*-1</f>
        <v>0</v>
      </c>
      <c r="AO257" s="1">
        <f t="shared" ca="1" si="1578"/>
        <v>0</v>
      </c>
      <c r="AP257" s="1">
        <f t="shared" ca="1" si="1578"/>
        <v>0</v>
      </c>
      <c r="AQ257" s="1">
        <f t="shared" ca="1" si="1578"/>
        <v>0</v>
      </c>
      <c r="AR257" s="1">
        <f t="shared" ca="1" si="1578"/>
        <v>0</v>
      </c>
      <c r="AS257" s="1">
        <f t="shared" ca="1" si="1578"/>
        <v>0</v>
      </c>
      <c r="AT257" s="1">
        <f t="shared" ca="1" si="1578"/>
        <v>0</v>
      </c>
      <c r="AU257" s="1">
        <f t="shared" ca="1" si="1578"/>
        <v>0</v>
      </c>
      <c r="AV257" s="1">
        <f t="shared" ca="1" si="1578"/>
        <v>0</v>
      </c>
      <c r="AW257" s="1">
        <f t="shared" ca="1" si="1578"/>
        <v>0</v>
      </c>
      <c r="AX257" s="1">
        <f t="shared" ca="1" si="1578"/>
        <v>0</v>
      </c>
      <c r="AY257" s="1">
        <f t="shared" ca="1" si="1578"/>
        <v>0</v>
      </c>
      <c r="AZ257" s="1">
        <f t="shared" ca="1" si="1578"/>
        <v>0</v>
      </c>
      <c r="BA257" s="1">
        <f t="shared" ca="1" si="1578"/>
        <v>0</v>
      </c>
      <c r="BB257" s="1">
        <f t="shared" ca="1" si="1578"/>
        <v>0</v>
      </c>
      <c r="BC257" s="1">
        <f t="shared" ca="1" si="1578"/>
        <v>0</v>
      </c>
      <c r="BD257" s="1">
        <f t="shared" ca="1" si="1578"/>
        <v>0</v>
      </c>
      <c r="BE257" s="1">
        <f t="shared" ca="1" si="1578"/>
        <v>0</v>
      </c>
      <c r="BF257" s="1">
        <f t="shared" ca="1" si="1578"/>
        <v>0</v>
      </c>
      <c r="BG257" s="1">
        <f t="shared" ca="1" si="1578"/>
        <v>0</v>
      </c>
      <c r="BH257" s="1">
        <f t="shared" ca="1" si="1578"/>
        <v>0</v>
      </c>
      <c r="BI257" s="1">
        <f t="shared" ca="1" si="1578"/>
        <v>0</v>
      </c>
      <c r="BJ257" s="1">
        <f t="shared" ca="1" si="1578"/>
        <v>0</v>
      </c>
      <c r="BK257" s="1">
        <f t="shared" ca="1" si="1578"/>
        <v>0</v>
      </c>
      <c r="BL257" s="1">
        <f t="shared" ca="1" si="1578"/>
        <v>0</v>
      </c>
      <c r="BM257" s="1">
        <f t="shared" ca="1" si="1578"/>
        <v>0</v>
      </c>
      <c r="BN257" s="1">
        <f t="shared" ca="1" si="1578"/>
        <v>0</v>
      </c>
      <c r="BO257" s="1">
        <f t="shared" ca="1" si="1578"/>
        <v>0</v>
      </c>
      <c r="BP257" s="1">
        <f t="shared" ca="1" si="1578"/>
        <v>-89.85</v>
      </c>
      <c r="BQ257" s="1">
        <f t="shared" ca="1" si="1578"/>
        <v>0</v>
      </c>
      <c r="BR257" s="1">
        <f t="shared" ca="1" si="1578"/>
        <v>0</v>
      </c>
      <c r="BS257" s="1">
        <f t="shared" ca="1" si="1578"/>
        <v>0</v>
      </c>
      <c r="BT257" s="1">
        <f t="shared" ref="BT257:BY257" ca="1" si="1579">(BT$14=exit)*$F242*-1</f>
        <v>0</v>
      </c>
      <c r="BU257" s="1">
        <f t="shared" ca="1" si="1579"/>
        <v>0</v>
      </c>
      <c r="BV257" s="1">
        <f t="shared" ca="1" si="1579"/>
        <v>0</v>
      </c>
      <c r="BW257" s="1">
        <f t="shared" ca="1" si="1579"/>
        <v>0</v>
      </c>
      <c r="BX257" s="1">
        <f t="shared" ca="1" si="1579"/>
        <v>0</v>
      </c>
      <c r="BY257" s="1">
        <f t="shared" ca="1" si="1579"/>
        <v>0</v>
      </c>
    </row>
    <row r="258" spans="2:77" ht="13.5" customHeight="1">
      <c r="E258" s="41" t="s">
        <v>172</v>
      </c>
      <c r="F258" s="41"/>
      <c r="G258" s="41"/>
      <c r="H258" s="41">
        <f ca="1">SUM(H255:H257)</f>
        <v>0</v>
      </c>
      <c r="I258" s="41">
        <f t="shared" ref="I258:BT258" ca="1" si="1580">SUM(I255:I257)</f>
        <v>0</v>
      </c>
      <c r="J258" s="41">
        <f t="shared" ca="1" si="1580"/>
        <v>0</v>
      </c>
      <c r="K258" s="41">
        <f t="shared" ca="1" si="1580"/>
        <v>0</v>
      </c>
      <c r="L258" s="41">
        <f t="shared" ca="1" si="1580"/>
        <v>0</v>
      </c>
      <c r="M258" s="41">
        <f t="shared" ca="1" si="1580"/>
        <v>0</v>
      </c>
      <c r="N258" s="41">
        <f t="shared" ca="1" si="1580"/>
        <v>0</v>
      </c>
      <c r="O258" s="41">
        <f t="shared" ca="1" si="1580"/>
        <v>89.85</v>
      </c>
      <c r="P258" s="41">
        <f t="shared" ca="1" si="1580"/>
        <v>89.85</v>
      </c>
      <c r="Q258" s="41">
        <f t="shared" ca="1" si="1580"/>
        <v>89.85</v>
      </c>
      <c r="R258" s="41">
        <f t="shared" ca="1" si="1580"/>
        <v>89.85</v>
      </c>
      <c r="S258" s="41">
        <f t="shared" ca="1" si="1580"/>
        <v>89.85</v>
      </c>
      <c r="T258" s="41">
        <f t="shared" ca="1" si="1580"/>
        <v>89.85</v>
      </c>
      <c r="U258" s="41">
        <f t="shared" ca="1" si="1580"/>
        <v>89.85</v>
      </c>
      <c r="V258" s="41">
        <f t="shared" ca="1" si="1580"/>
        <v>89.85</v>
      </c>
      <c r="W258" s="41">
        <f t="shared" ca="1" si="1580"/>
        <v>89.85</v>
      </c>
      <c r="X258" s="41">
        <f t="shared" ca="1" si="1580"/>
        <v>89.85</v>
      </c>
      <c r="Y258" s="41">
        <f t="shared" ca="1" si="1580"/>
        <v>89.85</v>
      </c>
      <c r="Z258" s="41">
        <f t="shared" ca="1" si="1580"/>
        <v>89.85</v>
      </c>
      <c r="AA258" s="41">
        <f t="shared" ca="1" si="1580"/>
        <v>89.85</v>
      </c>
      <c r="AB258" s="41">
        <f t="shared" ca="1" si="1580"/>
        <v>89.85</v>
      </c>
      <c r="AC258" s="41">
        <f t="shared" ca="1" si="1580"/>
        <v>89.85</v>
      </c>
      <c r="AD258" s="41">
        <f t="shared" ca="1" si="1580"/>
        <v>89.85</v>
      </c>
      <c r="AE258" s="41">
        <f t="shared" ca="1" si="1580"/>
        <v>89.85</v>
      </c>
      <c r="AF258" s="41">
        <f t="shared" ca="1" si="1580"/>
        <v>89.85</v>
      </c>
      <c r="AG258" s="41">
        <f t="shared" ca="1" si="1580"/>
        <v>89.85</v>
      </c>
      <c r="AH258" s="41">
        <f t="shared" ca="1" si="1580"/>
        <v>89.85</v>
      </c>
      <c r="AI258" s="41">
        <f t="shared" ca="1" si="1580"/>
        <v>89.85</v>
      </c>
      <c r="AJ258" s="41">
        <f t="shared" ca="1" si="1580"/>
        <v>89.85</v>
      </c>
      <c r="AK258" s="41">
        <f t="shared" ca="1" si="1580"/>
        <v>89.85</v>
      </c>
      <c r="AL258" s="41">
        <f t="shared" ca="1" si="1580"/>
        <v>89.85</v>
      </c>
      <c r="AM258" s="41">
        <f t="shared" ca="1" si="1580"/>
        <v>89.85</v>
      </c>
      <c r="AN258" s="41">
        <f t="shared" ca="1" si="1580"/>
        <v>89.85</v>
      </c>
      <c r="AO258" s="41">
        <f t="shared" ca="1" si="1580"/>
        <v>89.85</v>
      </c>
      <c r="AP258" s="41">
        <f t="shared" ca="1" si="1580"/>
        <v>89.85</v>
      </c>
      <c r="AQ258" s="41">
        <f t="shared" ca="1" si="1580"/>
        <v>89.85</v>
      </c>
      <c r="AR258" s="41">
        <f t="shared" ca="1" si="1580"/>
        <v>89.85</v>
      </c>
      <c r="AS258" s="41">
        <f t="shared" ca="1" si="1580"/>
        <v>89.85</v>
      </c>
      <c r="AT258" s="41">
        <f t="shared" ca="1" si="1580"/>
        <v>89.85</v>
      </c>
      <c r="AU258" s="41">
        <f t="shared" ca="1" si="1580"/>
        <v>89.85</v>
      </c>
      <c r="AV258" s="41">
        <f t="shared" ca="1" si="1580"/>
        <v>89.85</v>
      </c>
      <c r="AW258" s="41">
        <f t="shared" ca="1" si="1580"/>
        <v>89.85</v>
      </c>
      <c r="AX258" s="41">
        <f t="shared" ca="1" si="1580"/>
        <v>89.85</v>
      </c>
      <c r="AY258" s="41">
        <f t="shared" ca="1" si="1580"/>
        <v>89.85</v>
      </c>
      <c r="AZ258" s="41">
        <f t="shared" ca="1" si="1580"/>
        <v>89.85</v>
      </c>
      <c r="BA258" s="41">
        <f t="shared" ca="1" si="1580"/>
        <v>89.85</v>
      </c>
      <c r="BB258" s="41">
        <f t="shared" ca="1" si="1580"/>
        <v>89.85</v>
      </c>
      <c r="BC258" s="41">
        <f t="shared" ca="1" si="1580"/>
        <v>89.85</v>
      </c>
      <c r="BD258" s="41">
        <f t="shared" ca="1" si="1580"/>
        <v>89.85</v>
      </c>
      <c r="BE258" s="41">
        <f t="shared" ca="1" si="1580"/>
        <v>89.85</v>
      </c>
      <c r="BF258" s="41">
        <f t="shared" ca="1" si="1580"/>
        <v>89.85</v>
      </c>
      <c r="BG258" s="41">
        <f t="shared" ca="1" si="1580"/>
        <v>89.85</v>
      </c>
      <c r="BH258" s="41">
        <f t="shared" ca="1" si="1580"/>
        <v>89.85</v>
      </c>
      <c r="BI258" s="41">
        <f t="shared" ca="1" si="1580"/>
        <v>89.85</v>
      </c>
      <c r="BJ258" s="41">
        <f t="shared" ca="1" si="1580"/>
        <v>89.85</v>
      </c>
      <c r="BK258" s="41">
        <f t="shared" ca="1" si="1580"/>
        <v>89.85</v>
      </c>
      <c r="BL258" s="41">
        <f t="shared" ca="1" si="1580"/>
        <v>89.85</v>
      </c>
      <c r="BM258" s="41">
        <f t="shared" ca="1" si="1580"/>
        <v>89.85</v>
      </c>
      <c r="BN258" s="41">
        <f t="shared" ca="1" si="1580"/>
        <v>89.85</v>
      </c>
      <c r="BO258" s="41">
        <f t="shared" ca="1" si="1580"/>
        <v>89.85</v>
      </c>
      <c r="BP258" s="41">
        <f t="shared" ca="1" si="1580"/>
        <v>0</v>
      </c>
      <c r="BQ258" s="41">
        <f t="shared" ca="1" si="1580"/>
        <v>0</v>
      </c>
      <c r="BR258" s="41">
        <f t="shared" ca="1" si="1580"/>
        <v>0</v>
      </c>
      <c r="BS258" s="41">
        <f t="shared" ca="1" si="1580"/>
        <v>0</v>
      </c>
      <c r="BT258" s="41">
        <f t="shared" ca="1" si="1580"/>
        <v>0</v>
      </c>
      <c r="BU258" s="41">
        <f t="shared" ref="BU258:BY258" ca="1" si="1581">SUM(BU255:BU257)</f>
        <v>0</v>
      </c>
      <c r="BV258" s="41">
        <f t="shared" ca="1" si="1581"/>
        <v>0</v>
      </c>
      <c r="BW258" s="41">
        <f t="shared" ca="1" si="1581"/>
        <v>0</v>
      </c>
      <c r="BX258" s="41">
        <f t="shared" ca="1" si="1581"/>
        <v>0</v>
      </c>
      <c r="BY258" s="41">
        <f t="shared" ca="1" si="1581"/>
        <v>0</v>
      </c>
    </row>
    <row r="260" spans="2:77" ht="13.5" customHeight="1">
      <c r="C260" s="13" t="s">
        <v>196</v>
      </c>
    </row>
    <row r="261" spans="2:77" ht="13.5" customHeight="1">
      <c r="D261" s="120" t="str">
        <f>CONCATENATE(B203," 임대료 수입 합계")</f>
        <v>지하1층 임대료 수입 합계</v>
      </c>
      <c r="E261" s="120"/>
      <c r="F261" s="120"/>
      <c r="G261" s="120"/>
      <c r="H261" s="120">
        <f ca="1">H215+H248</f>
        <v>13.178000000000001</v>
      </c>
      <c r="I261" s="120">
        <f t="shared" ref="I261:BT261" ca="1" si="1582">I215+I248</f>
        <v>13.178000000000001</v>
      </c>
      <c r="J261" s="120">
        <f t="shared" ca="1" si="1582"/>
        <v>13.178000000000001</v>
      </c>
      <c r="K261" s="120">
        <f t="shared" ca="1" si="1582"/>
        <v>13.178000000000001</v>
      </c>
      <c r="L261" s="120">
        <f t="shared" ca="1" si="1582"/>
        <v>13.178000000000001</v>
      </c>
      <c r="M261" s="120">
        <f t="shared" ca="1" si="1582"/>
        <v>13.178000000000001</v>
      </c>
      <c r="N261" s="120">
        <f t="shared" ca="1" si="1582"/>
        <v>0</v>
      </c>
      <c r="O261" s="120">
        <f t="shared" ca="1" si="1582"/>
        <v>0</v>
      </c>
      <c r="P261" s="120">
        <f t="shared" ca="1" si="1582"/>
        <v>13.727083333333333</v>
      </c>
      <c r="Q261" s="120">
        <f t="shared" ca="1" si="1582"/>
        <v>13.727083333333333</v>
      </c>
      <c r="R261" s="120">
        <f t="shared" ca="1" si="1582"/>
        <v>13.727083333333333</v>
      </c>
      <c r="S261" s="120">
        <f t="shared" ca="1" si="1582"/>
        <v>13.727083333333333</v>
      </c>
      <c r="T261" s="120">
        <f t="shared" ca="1" si="1582"/>
        <v>13.727083333333333</v>
      </c>
      <c r="U261" s="120">
        <f t="shared" ca="1" si="1582"/>
        <v>13.727083333333333</v>
      </c>
      <c r="V261" s="120">
        <f t="shared" ca="1" si="1582"/>
        <v>13.727083333333333</v>
      </c>
      <c r="W261" s="120">
        <f t="shared" ca="1" si="1582"/>
        <v>13.727083333333333</v>
      </c>
      <c r="X261" s="120">
        <f t="shared" ca="1" si="1582"/>
        <v>13.727083333333333</v>
      </c>
      <c r="Y261" s="120">
        <f t="shared" ca="1" si="1582"/>
        <v>13.727083333333333</v>
      </c>
      <c r="Z261" s="120">
        <f t="shared" ca="1" si="1582"/>
        <v>13.727083333333333</v>
      </c>
      <c r="AA261" s="120">
        <f t="shared" ca="1" si="1582"/>
        <v>13.864354166666667</v>
      </c>
      <c r="AB261" s="120">
        <f t="shared" ca="1" si="1582"/>
        <v>13.864354166666667</v>
      </c>
      <c r="AC261" s="120">
        <f t="shared" ca="1" si="1582"/>
        <v>13.864354166666667</v>
      </c>
      <c r="AD261" s="120">
        <f t="shared" ca="1" si="1582"/>
        <v>13.864354166666667</v>
      </c>
      <c r="AE261" s="120">
        <f t="shared" ca="1" si="1582"/>
        <v>13.864354166666667</v>
      </c>
      <c r="AF261" s="120">
        <f t="shared" ca="1" si="1582"/>
        <v>13.864354166666667</v>
      </c>
      <c r="AG261" s="120">
        <f t="shared" ca="1" si="1582"/>
        <v>13.864354166666667</v>
      </c>
      <c r="AH261" s="120">
        <f t="shared" ca="1" si="1582"/>
        <v>13.864354166666667</v>
      </c>
      <c r="AI261" s="120">
        <f t="shared" ca="1" si="1582"/>
        <v>13.864354166666667</v>
      </c>
      <c r="AJ261" s="120">
        <f t="shared" ca="1" si="1582"/>
        <v>13.864354166666667</v>
      </c>
      <c r="AK261" s="120">
        <f t="shared" ca="1" si="1582"/>
        <v>13.864354166666667</v>
      </c>
      <c r="AL261" s="120">
        <f t="shared" ca="1" si="1582"/>
        <v>13.864354166666667</v>
      </c>
      <c r="AM261" s="120">
        <f t="shared" ca="1" si="1582"/>
        <v>14.002997708333332</v>
      </c>
      <c r="AN261" s="120">
        <f t="shared" ca="1" si="1582"/>
        <v>14.002997708333332</v>
      </c>
      <c r="AO261" s="120">
        <f t="shared" ca="1" si="1582"/>
        <v>14.002997708333332</v>
      </c>
      <c r="AP261" s="120">
        <f t="shared" ca="1" si="1582"/>
        <v>14.002997708333332</v>
      </c>
      <c r="AQ261" s="120">
        <f t="shared" ca="1" si="1582"/>
        <v>14.002997708333332</v>
      </c>
      <c r="AR261" s="120">
        <f t="shared" ca="1" si="1582"/>
        <v>14.002997708333332</v>
      </c>
      <c r="AS261" s="120">
        <f t="shared" ca="1" si="1582"/>
        <v>14.002997708333332</v>
      </c>
      <c r="AT261" s="120">
        <f t="shared" ca="1" si="1582"/>
        <v>14.002997708333332</v>
      </c>
      <c r="AU261" s="120">
        <f t="shared" ca="1" si="1582"/>
        <v>14.002997708333332</v>
      </c>
      <c r="AV261" s="120">
        <f t="shared" ca="1" si="1582"/>
        <v>14.002997708333332</v>
      </c>
      <c r="AW261" s="120">
        <f t="shared" ca="1" si="1582"/>
        <v>14.002997708333332</v>
      </c>
      <c r="AX261" s="120">
        <f t="shared" ca="1" si="1582"/>
        <v>14.002997708333332</v>
      </c>
      <c r="AY261" s="120">
        <f t="shared" ca="1" si="1582"/>
        <v>14.143027685416666</v>
      </c>
      <c r="AZ261" s="120">
        <f t="shared" ca="1" si="1582"/>
        <v>14.143027685416666</v>
      </c>
      <c r="BA261" s="120">
        <f t="shared" ca="1" si="1582"/>
        <v>14.143027685416666</v>
      </c>
      <c r="BB261" s="120">
        <f t="shared" ca="1" si="1582"/>
        <v>14.143027685416666</v>
      </c>
      <c r="BC261" s="120">
        <f t="shared" ca="1" si="1582"/>
        <v>14.143027685416666</v>
      </c>
      <c r="BD261" s="120">
        <f t="shared" ca="1" si="1582"/>
        <v>14.143027685416666</v>
      </c>
      <c r="BE261" s="120">
        <f t="shared" ca="1" si="1582"/>
        <v>14.143027685416666</v>
      </c>
      <c r="BF261" s="120">
        <f t="shared" ca="1" si="1582"/>
        <v>14.143027685416666</v>
      </c>
      <c r="BG261" s="120">
        <f t="shared" ca="1" si="1582"/>
        <v>14.143027685416666</v>
      </c>
      <c r="BH261" s="120">
        <f t="shared" ca="1" si="1582"/>
        <v>14.143027685416666</v>
      </c>
      <c r="BI261" s="120">
        <f t="shared" ca="1" si="1582"/>
        <v>14.143027685416666</v>
      </c>
      <c r="BJ261" s="120">
        <f t="shared" ca="1" si="1582"/>
        <v>14.143027685416666</v>
      </c>
      <c r="BK261" s="120">
        <f t="shared" ca="1" si="1582"/>
        <v>14.284457962270832</v>
      </c>
      <c r="BL261" s="120">
        <f t="shared" ca="1" si="1582"/>
        <v>14.284457962270832</v>
      </c>
      <c r="BM261" s="120">
        <f t="shared" ca="1" si="1582"/>
        <v>14.284457962270832</v>
      </c>
      <c r="BN261" s="120">
        <f t="shared" ca="1" si="1582"/>
        <v>14.284457962270832</v>
      </c>
      <c r="BO261" s="120">
        <f t="shared" ca="1" si="1582"/>
        <v>14.284457962270832</v>
      </c>
      <c r="BP261" s="120">
        <f t="shared" ca="1" si="1582"/>
        <v>14.284457962270832</v>
      </c>
      <c r="BQ261" s="120">
        <f t="shared" ca="1" si="1582"/>
        <v>0</v>
      </c>
      <c r="BR261" s="120">
        <f t="shared" ca="1" si="1582"/>
        <v>0</v>
      </c>
      <c r="BS261" s="120">
        <f t="shared" ca="1" si="1582"/>
        <v>0</v>
      </c>
      <c r="BT261" s="120">
        <f t="shared" ca="1" si="1582"/>
        <v>0</v>
      </c>
      <c r="BU261" s="120">
        <f t="shared" ref="BU261:BY261" ca="1" si="1583">BU215+BU248</f>
        <v>0</v>
      </c>
      <c r="BV261" s="120">
        <f t="shared" ca="1" si="1583"/>
        <v>0</v>
      </c>
      <c r="BW261" s="120">
        <f t="shared" ca="1" si="1583"/>
        <v>0</v>
      </c>
      <c r="BX261" s="120">
        <f t="shared" ca="1" si="1583"/>
        <v>0</v>
      </c>
      <c r="BY261" s="120">
        <f t="shared" ca="1" si="1583"/>
        <v>0</v>
      </c>
    </row>
    <row r="262" spans="2:77" ht="13.5" customHeight="1">
      <c r="D262" s="120" t="str">
        <f>CONCATENATE(B203," 관리비 수입 합계")</f>
        <v>지하1층 관리비 수입 합계</v>
      </c>
      <c r="E262" s="120"/>
      <c r="F262" s="120"/>
      <c r="G262" s="120"/>
      <c r="H262" s="120">
        <f ca="1">H219+H252</f>
        <v>1.198</v>
      </c>
      <c r="I262" s="120">
        <f t="shared" ref="I262:BT262" ca="1" si="1584">I219+I252</f>
        <v>1.198</v>
      </c>
      <c r="J262" s="120">
        <f t="shared" ca="1" si="1584"/>
        <v>1.198</v>
      </c>
      <c r="K262" s="120">
        <f t="shared" ca="1" si="1584"/>
        <v>1.198</v>
      </c>
      <c r="L262" s="120">
        <f t="shared" ca="1" si="1584"/>
        <v>1.198</v>
      </c>
      <c r="M262" s="120">
        <f t="shared" ca="1" si="1584"/>
        <v>1.198</v>
      </c>
      <c r="N262" s="120">
        <f t="shared" ca="1" si="1584"/>
        <v>0</v>
      </c>
      <c r="O262" s="120">
        <f t="shared" ca="1" si="1584"/>
        <v>1.198</v>
      </c>
      <c r="P262" s="120">
        <f t="shared" ca="1" si="1584"/>
        <v>1.198</v>
      </c>
      <c r="Q262" s="120">
        <f t="shared" ca="1" si="1584"/>
        <v>1.198</v>
      </c>
      <c r="R262" s="120">
        <f t="shared" ca="1" si="1584"/>
        <v>1.198</v>
      </c>
      <c r="S262" s="120">
        <f t="shared" ca="1" si="1584"/>
        <v>1.198</v>
      </c>
      <c r="T262" s="120">
        <f t="shared" ca="1" si="1584"/>
        <v>1.198</v>
      </c>
      <c r="U262" s="120">
        <f t="shared" ca="1" si="1584"/>
        <v>1.198</v>
      </c>
      <c r="V262" s="120">
        <f t="shared" ca="1" si="1584"/>
        <v>1.198</v>
      </c>
      <c r="W262" s="120">
        <f t="shared" ca="1" si="1584"/>
        <v>1.198</v>
      </c>
      <c r="X262" s="120">
        <f t="shared" ca="1" si="1584"/>
        <v>1.198</v>
      </c>
      <c r="Y262" s="120">
        <f t="shared" ca="1" si="1584"/>
        <v>1.198</v>
      </c>
      <c r="Z262" s="120">
        <f t="shared" ca="1" si="1584"/>
        <v>1.198</v>
      </c>
      <c r="AA262" s="120">
        <f t="shared" ca="1" si="1584"/>
        <v>1.2099800000000001</v>
      </c>
      <c r="AB262" s="120">
        <f t="shared" ca="1" si="1584"/>
        <v>1.2099800000000001</v>
      </c>
      <c r="AC262" s="120">
        <f t="shared" ca="1" si="1584"/>
        <v>1.2099800000000001</v>
      </c>
      <c r="AD262" s="120">
        <f t="shared" ca="1" si="1584"/>
        <v>1.2099800000000001</v>
      </c>
      <c r="AE262" s="120">
        <f t="shared" ca="1" si="1584"/>
        <v>1.2099800000000001</v>
      </c>
      <c r="AF262" s="120">
        <f t="shared" ca="1" si="1584"/>
        <v>1.2099800000000001</v>
      </c>
      <c r="AG262" s="120">
        <f t="shared" ca="1" si="1584"/>
        <v>1.2099800000000001</v>
      </c>
      <c r="AH262" s="120">
        <f t="shared" ca="1" si="1584"/>
        <v>1.2099800000000001</v>
      </c>
      <c r="AI262" s="120">
        <f t="shared" ca="1" si="1584"/>
        <v>1.2099800000000001</v>
      </c>
      <c r="AJ262" s="120">
        <f t="shared" ca="1" si="1584"/>
        <v>1.2099800000000001</v>
      </c>
      <c r="AK262" s="120">
        <f t="shared" ca="1" si="1584"/>
        <v>1.2099800000000001</v>
      </c>
      <c r="AL262" s="120">
        <f t="shared" ca="1" si="1584"/>
        <v>1.2099800000000001</v>
      </c>
      <c r="AM262" s="120">
        <f t="shared" ca="1" si="1584"/>
        <v>1.2220797999999999</v>
      </c>
      <c r="AN262" s="120">
        <f t="shared" ca="1" si="1584"/>
        <v>1.2220797999999999</v>
      </c>
      <c r="AO262" s="120">
        <f t="shared" ca="1" si="1584"/>
        <v>1.2220797999999999</v>
      </c>
      <c r="AP262" s="120">
        <f t="shared" ca="1" si="1584"/>
        <v>1.2220797999999999</v>
      </c>
      <c r="AQ262" s="120">
        <f t="shared" ca="1" si="1584"/>
        <v>1.2220797999999999</v>
      </c>
      <c r="AR262" s="120">
        <f t="shared" ca="1" si="1584"/>
        <v>1.2220797999999999</v>
      </c>
      <c r="AS262" s="120">
        <f t="shared" ca="1" si="1584"/>
        <v>1.2220797999999999</v>
      </c>
      <c r="AT262" s="120">
        <f t="shared" ca="1" si="1584"/>
        <v>1.2220797999999999</v>
      </c>
      <c r="AU262" s="120">
        <f t="shared" ca="1" si="1584"/>
        <v>1.2220797999999999</v>
      </c>
      <c r="AV262" s="120">
        <f t="shared" ca="1" si="1584"/>
        <v>1.2220797999999999</v>
      </c>
      <c r="AW262" s="120">
        <f t="shared" ca="1" si="1584"/>
        <v>1.2220797999999999</v>
      </c>
      <c r="AX262" s="120">
        <f t="shared" ca="1" si="1584"/>
        <v>1.2220797999999999</v>
      </c>
      <c r="AY262" s="120">
        <f t="shared" ca="1" si="1584"/>
        <v>1.2343005979999999</v>
      </c>
      <c r="AZ262" s="120">
        <f t="shared" ca="1" si="1584"/>
        <v>1.2343005979999999</v>
      </c>
      <c r="BA262" s="120">
        <f t="shared" ca="1" si="1584"/>
        <v>1.2343005979999999</v>
      </c>
      <c r="BB262" s="120">
        <f t="shared" ca="1" si="1584"/>
        <v>1.2343005979999999</v>
      </c>
      <c r="BC262" s="120">
        <f t="shared" ca="1" si="1584"/>
        <v>1.2343005979999999</v>
      </c>
      <c r="BD262" s="120">
        <f t="shared" ca="1" si="1584"/>
        <v>1.2343005979999999</v>
      </c>
      <c r="BE262" s="120">
        <f t="shared" ca="1" si="1584"/>
        <v>1.2343005979999999</v>
      </c>
      <c r="BF262" s="120">
        <f t="shared" ca="1" si="1584"/>
        <v>1.2343005979999999</v>
      </c>
      <c r="BG262" s="120">
        <f t="shared" ca="1" si="1584"/>
        <v>1.2343005979999999</v>
      </c>
      <c r="BH262" s="120">
        <f t="shared" ca="1" si="1584"/>
        <v>1.2343005979999999</v>
      </c>
      <c r="BI262" s="120">
        <f t="shared" ca="1" si="1584"/>
        <v>1.2343005979999999</v>
      </c>
      <c r="BJ262" s="120">
        <f t="shared" ca="1" si="1584"/>
        <v>1.2343005979999999</v>
      </c>
      <c r="BK262" s="120">
        <f t="shared" ca="1" si="1584"/>
        <v>1.2466436039800002</v>
      </c>
      <c r="BL262" s="120">
        <f t="shared" ca="1" si="1584"/>
        <v>1.2466436039800002</v>
      </c>
      <c r="BM262" s="120">
        <f t="shared" ca="1" si="1584"/>
        <v>1.2466436039800002</v>
      </c>
      <c r="BN262" s="120">
        <f t="shared" ca="1" si="1584"/>
        <v>1.2466436039800002</v>
      </c>
      <c r="BO262" s="120">
        <f t="shared" ca="1" si="1584"/>
        <v>1.2466436039800002</v>
      </c>
      <c r="BP262" s="120">
        <f t="shared" ca="1" si="1584"/>
        <v>1.2466436039800002</v>
      </c>
      <c r="BQ262" s="120">
        <f t="shared" ca="1" si="1584"/>
        <v>0</v>
      </c>
      <c r="BR262" s="120">
        <f t="shared" ca="1" si="1584"/>
        <v>0</v>
      </c>
      <c r="BS262" s="120">
        <f t="shared" ca="1" si="1584"/>
        <v>0</v>
      </c>
      <c r="BT262" s="120">
        <f t="shared" ca="1" si="1584"/>
        <v>0</v>
      </c>
      <c r="BU262" s="120">
        <f t="shared" ref="BU262:BY262" ca="1" si="1585">BU219+BU252</f>
        <v>0</v>
      </c>
      <c r="BV262" s="120">
        <f t="shared" ca="1" si="1585"/>
        <v>0</v>
      </c>
      <c r="BW262" s="120">
        <f t="shared" ca="1" si="1585"/>
        <v>0</v>
      </c>
      <c r="BX262" s="120">
        <f t="shared" ca="1" si="1585"/>
        <v>0</v>
      </c>
      <c r="BY262" s="120">
        <f t="shared" ca="1" si="1585"/>
        <v>0</v>
      </c>
    </row>
    <row r="263" spans="2:77" ht="13.5" customHeight="1">
      <c r="D263" s="120" t="str">
        <f>CONCATENATE(B203," 보증금 현금흐름 합계")</f>
        <v>지하1층 보증금 현금흐름 합계</v>
      </c>
      <c r="E263" s="120"/>
      <c r="F263" s="120"/>
      <c r="G263" s="120"/>
      <c r="H263" s="120">
        <f ca="1">SUM(H223:H224,H256:H257)</f>
        <v>0</v>
      </c>
      <c r="I263" s="120">
        <f t="shared" ref="I263:BT263" ca="1" si="1586">SUM(I223:I224,I256:I257)</f>
        <v>0</v>
      </c>
      <c r="J263" s="120">
        <f t="shared" ca="1" si="1586"/>
        <v>0</v>
      </c>
      <c r="K263" s="120">
        <f t="shared" ca="1" si="1586"/>
        <v>0</v>
      </c>
      <c r="L263" s="120">
        <f t="shared" ca="1" si="1586"/>
        <v>0</v>
      </c>
      <c r="M263" s="120">
        <f t="shared" ca="1" si="1586"/>
        <v>-89.85</v>
      </c>
      <c r="N263" s="120">
        <f t="shared" ca="1" si="1586"/>
        <v>0</v>
      </c>
      <c r="O263" s="120">
        <f t="shared" ca="1" si="1586"/>
        <v>89.85</v>
      </c>
      <c r="P263" s="120">
        <f t="shared" ca="1" si="1586"/>
        <v>0</v>
      </c>
      <c r="Q263" s="120">
        <f t="shared" ca="1" si="1586"/>
        <v>0</v>
      </c>
      <c r="R263" s="120">
        <f t="shared" ca="1" si="1586"/>
        <v>0</v>
      </c>
      <c r="S263" s="120">
        <f t="shared" ca="1" si="1586"/>
        <v>0</v>
      </c>
      <c r="T263" s="120">
        <f t="shared" ca="1" si="1586"/>
        <v>0</v>
      </c>
      <c r="U263" s="120">
        <f t="shared" ca="1" si="1586"/>
        <v>0</v>
      </c>
      <c r="V263" s="120">
        <f t="shared" ca="1" si="1586"/>
        <v>0</v>
      </c>
      <c r="W263" s="120">
        <f t="shared" ca="1" si="1586"/>
        <v>0</v>
      </c>
      <c r="X263" s="120">
        <f t="shared" ca="1" si="1586"/>
        <v>0</v>
      </c>
      <c r="Y263" s="120">
        <f t="shared" ca="1" si="1586"/>
        <v>0</v>
      </c>
      <c r="Z263" s="120">
        <f t="shared" ca="1" si="1586"/>
        <v>0</v>
      </c>
      <c r="AA263" s="120">
        <f t="shared" ca="1" si="1586"/>
        <v>0</v>
      </c>
      <c r="AB263" s="120">
        <f t="shared" ca="1" si="1586"/>
        <v>0</v>
      </c>
      <c r="AC263" s="120">
        <f t="shared" ca="1" si="1586"/>
        <v>0</v>
      </c>
      <c r="AD263" s="120">
        <f t="shared" ca="1" si="1586"/>
        <v>0</v>
      </c>
      <c r="AE263" s="120">
        <f t="shared" ca="1" si="1586"/>
        <v>0</v>
      </c>
      <c r="AF263" s="120">
        <f t="shared" ca="1" si="1586"/>
        <v>0</v>
      </c>
      <c r="AG263" s="120">
        <f t="shared" ca="1" si="1586"/>
        <v>0</v>
      </c>
      <c r="AH263" s="120">
        <f t="shared" ca="1" si="1586"/>
        <v>0</v>
      </c>
      <c r="AI263" s="120">
        <f t="shared" ca="1" si="1586"/>
        <v>0</v>
      </c>
      <c r="AJ263" s="120">
        <f t="shared" ca="1" si="1586"/>
        <v>0</v>
      </c>
      <c r="AK263" s="120">
        <f t="shared" ca="1" si="1586"/>
        <v>0</v>
      </c>
      <c r="AL263" s="120">
        <f t="shared" ca="1" si="1586"/>
        <v>0</v>
      </c>
      <c r="AM263" s="120">
        <f t="shared" ca="1" si="1586"/>
        <v>0</v>
      </c>
      <c r="AN263" s="120">
        <f t="shared" ca="1" si="1586"/>
        <v>0</v>
      </c>
      <c r="AO263" s="120">
        <f t="shared" ca="1" si="1586"/>
        <v>0</v>
      </c>
      <c r="AP263" s="120">
        <f t="shared" ca="1" si="1586"/>
        <v>0</v>
      </c>
      <c r="AQ263" s="120">
        <f t="shared" ca="1" si="1586"/>
        <v>0</v>
      </c>
      <c r="AR263" s="120">
        <f t="shared" ca="1" si="1586"/>
        <v>0</v>
      </c>
      <c r="AS263" s="120">
        <f t="shared" ca="1" si="1586"/>
        <v>0</v>
      </c>
      <c r="AT263" s="120">
        <f t="shared" ca="1" si="1586"/>
        <v>0</v>
      </c>
      <c r="AU263" s="120">
        <f t="shared" ca="1" si="1586"/>
        <v>0</v>
      </c>
      <c r="AV263" s="120">
        <f t="shared" ca="1" si="1586"/>
        <v>0</v>
      </c>
      <c r="AW263" s="120">
        <f t="shared" ca="1" si="1586"/>
        <v>0</v>
      </c>
      <c r="AX263" s="120">
        <f t="shared" ca="1" si="1586"/>
        <v>0</v>
      </c>
      <c r="AY263" s="120">
        <f t="shared" ca="1" si="1586"/>
        <v>0</v>
      </c>
      <c r="AZ263" s="120">
        <f t="shared" ca="1" si="1586"/>
        <v>0</v>
      </c>
      <c r="BA263" s="120">
        <f t="shared" ca="1" si="1586"/>
        <v>0</v>
      </c>
      <c r="BB263" s="120">
        <f t="shared" ca="1" si="1586"/>
        <v>0</v>
      </c>
      <c r="BC263" s="120">
        <f t="shared" ca="1" si="1586"/>
        <v>0</v>
      </c>
      <c r="BD263" s="120">
        <f t="shared" ca="1" si="1586"/>
        <v>0</v>
      </c>
      <c r="BE263" s="120">
        <f t="shared" ca="1" si="1586"/>
        <v>0</v>
      </c>
      <c r="BF263" s="120">
        <f t="shared" ca="1" si="1586"/>
        <v>0</v>
      </c>
      <c r="BG263" s="120">
        <f t="shared" ca="1" si="1586"/>
        <v>0</v>
      </c>
      <c r="BH263" s="120">
        <f t="shared" ca="1" si="1586"/>
        <v>0</v>
      </c>
      <c r="BI263" s="120">
        <f t="shared" ca="1" si="1586"/>
        <v>0</v>
      </c>
      <c r="BJ263" s="120">
        <f t="shared" ca="1" si="1586"/>
        <v>0</v>
      </c>
      <c r="BK263" s="120">
        <f t="shared" ca="1" si="1586"/>
        <v>0</v>
      </c>
      <c r="BL263" s="120">
        <f t="shared" ca="1" si="1586"/>
        <v>0</v>
      </c>
      <c r="BM263" s="120">
        <f t="shared" ca="1" si="1586"/>
        <v>0</v>
      </c>
      <c r="BN263" s="120">
        <f t="shared" ca="1" si="1586"/>
        <v>0</v>
      </c>
      <c r="BO263" s="120">
        <f t="shared" ca="1" si="1586"/>
        <v>0</v>
      </c>
      <c r="BP263" s="120">
        <f t="shared" ca="1" si="1586"/>
        <v>-89.85</v>
      </c>
      <c r="BQ263" s="120">
        <f t="shared" ca="1" si="1586"/>
        <v>0</v>
      </c>
      <c r="BR263" s="120">
        <f t="shared" ca="1" si="1586"/>
        <v>0</v>
      </c>
      <c r="BS263" s="120">
        <f t="shared" ca="1" si="1586"/>
        <v>0</v>
      </c>
      <c r="BT263" s="120">
        <f t="shared" ca="1" si="1586"/>
        <v>0</v>
      </c>
      <c r="BU263" s="120">
        <f t="shared" ref="BU263:BY263" ca="1" si="1587">SUM(BU223:BU224,BU256:BU257)</f>
        <v>0</v>
      </c>
      <c r="BV263" s="120">
        <f t="shared" ca="1" si="1587"/>
        <v>0</v>
      </c>
      <c r="BW263" s="120">
        <f t="shared" ca="1" si="1587"/>
        <v>0</v>
      </c>
      <c r="BX263" s="120">
        <f t="shared" ca="1" si="1587"/>
        <v>0</v>
      </c>
      <c r="BY263" s="120">
        <f t="shared" ca="1" si="1587"/>
        <v>0</v>
      </c>
    </row>
    <row r="265" spans="2:77" ht="13.5" customHeight="1">
      <c r="B265" s="13" t="str">
        <f>'A&amp;R'!C40</f>
        <v>지하2층</v>
      </c>
    </row>
    <row r="266" spans="2:77" ht="13.5" customHeight="1">
      <c r="C266" s="13" t="s">
        <v>155</v>
      </c>
    </row>
    <row r="267" spans="2:77" s="11" customFormat="1" ht="13.5" customHeight="1">
      <c r="F267" s="11" t="s">
        <v>160</v>
      </c>
      <c r="H267" s="11">
        <f>(H$14&lt;=$F268)*1</f>
        <v>1</v>
      </c>
      <c r="I267" s="11">
        <f t="shared" ref="I267:BT267" si="1588">(I$14&lt;=$F268)*1</f>
        <v>1</v>
      </c>
      <c r="J267" s="11">
        <f t="shared" si="1588"/>
        <v>1</v>
      </c>
      <c r="K267" s="11">
        <f t="shared" si="1588"/>
        <v>1</v>
      </c>
      <c r="L267" s="11">
        <f t="shared" si="1588"/>
        <v>1</v>
      </c>
      <c r="M267" s="11">
        <f t="shared" si="1588"/>
        <v>1</v>
      </c>
      <c r="N267" s="11">
        <f t="shared" si="1588"/>
        <v>0</v>
      </c>
      <c r="O267" s="11">
        <f t="shared" si="1588"/>
        <v>0</v>
      </c>
      <c r="P267" s="11">
        <f t="shared" si="1588"/>
        <v>0</v>
      </c>
      <c r="Q267" s="11">
        <f t="shared" si="1588"/>
        <v>0</v>
      </c>
      <c r="R267" s="11">
        <f t="shared" si="1588"/>
        <v>0</v>
      </c>
      <c r="S267" s="11">
        <f t="shared" si="1588"/>
        <v>0</v>
      </c>
      <c r="T267" s="11">
        <f t="shared" si="1588"/>
        <v>0</v>
      </c>
      <c r="U267" s="11">
        <f t="shared" si="1588"/>
        <v>0</v>
      </c>
      <c r="V267" s="11">
        <f t="shared" si="1588"/>
        <v>0</v>
      </c>
      <c r="W267" s="11">
        <f t="shared" si="1588"/>
        <v>0</v>
      </c>
      <c r="X267" s="11">
        <f t="shared" si="1588"/>
        <v>0</v>
      </c>
      <c r="Y267" s="11">
        <f t="shared" si="1588"/>
        <v>0</v>
      </c>
      <c r="Z267" s="11">
        <f t="shared" si="1588"/>
        <v>0</v>
      </c>
      <c r="AA267" s="11">
        <f t="shared" si="1588"/>
        <v>0</v>
      </c>
      <c r="AB267" s="11">
        <f t="shared" si="1588"/>
        <v>0</v>
      </c>
      <c r="AC267" s="11">
        <f t="shared" si="1588"/>
        <v>0</v>
      </c>
      <c r="AD267" s="11">
        <f t="shared" si="1588"/>
        <v>0</v>
      </c>
      <c r="AE267" s="11">
        <f t="shared" si="1588"/>
        <v>0</v>
      </c>
      <c r="AF267" s="11">
        <f t="shared" si="1588"/>
        <v>0</v>
      </c>
      <c r="AG267" s="11">
        <f t="shared" si="1588"/>
        <v>0</v>
      </c>
      <c r="AH267" s="11">
        <f t="shared" si="1588"/>
        <v>0</v>
      </c>
      <c r="AI267" s="11">
        <f t="shared" si="1588"/>
        <v>0</v>
      </c>
      <c r="AJ267" s="11">
        <f t="shared" si="1588"/>
        <v>0</v>
      </c>
      <c r="AK267" s="11">
        <f t="shared" si="1588"/>
        <v>0</v>
      </c>
      <c r="AL267" s="11">
        <f t="shared" si="1588"/>
        <v>0</v>
      </c>
      <c r="AM267" s="11">
        <f t="shared" si="1588"/>
        <v>0</v>
      </c>
      <c r="AN267" s="11">
        <f t="shared" si="1588"/>
        <v>0</v>
      </c>
      <c r="AO267" s="11">
        <f t="shared" si="1588"/>
        <v>0</v>
      </c>
      <c r="AP267" s="11">
        <f t="shared" si="1588"/>
        <v>0</v>
      </c>
      <c r="AQ267" s="11">
        <f t="shared" si="1588"/>
        <v>0</v>
      </c>
      <c r="AR267" s="11">
        <f t="shared" si="1588"/>
        <v>0</v>
      </c>
      <c r="AS267" s="11">
        <f t="shared" si="1588"/>
        <v>0</v>
      </c>
      <c r="AT267" s="11">
        <f t="shared" si="1588"/>
        <v>0</v>
      </c>
      <c r="AU267" s="11">
        <f t="shared" si="1588"/>
        <v>0</v>
      </c>
      <c r="AV267" s="11">
        <f t="shared" si="1588"/>
        <v>0</v>
      </c>
      <c r="AW267" s="11">
        <f t="shared" si="1588"/>
        <v>0</v>
      </c>
      <c r="AX267" s="11">
        <f t="shared" si="1588"/>
        <v>0</v>
      </c>
      <c r="AY267" s="11">
        <f t="shared" si="1588"/>
        <v>0</v>
      </c>
      <c r="AZ267" s="11">
        <f t="shared" si="1588"/>
        <v>0</v>
      </c>
      <c r="BA267" s="11">
        <f t="shared" si="1588"/>
        <v>0</v>
      </c>
      <c r="BB267" s="11">
        <f t="shared" si="1588"/>
        <v>0</v>
      </c>
      <c r="BC267" s="11">
        <f t="shared" si="1588"/>
        <v>0</v>
      </c>
      <c r="BD267" s="11">
        <f t="shared" si="1588"/>
        <v>0</v>
      </c>
      <c r="BE267" s="11">
        <f t="shared" si="1588"/>
        <v>0</v>
      </c>
      <c r="BF267" s="11">
        <f t="shared" si="1588"/>
        <v>0</v>
      </c>
      <c r="BG267" s="11">
        <f t="shared" si="1588"/>
        <v>0</v>
      </c>
      <c r="BH267" s="11">
        <f t="shared" si="1588"/>
        <v>0</v>
      </c>
      <c r="BI267" s="11">
        <f t="shared" si="1588"/>
        <v>0</v>
      </c>
      <c r="BJ267" s="11">
        <f t="shared" si="1588"/>
        <v>0</v>
      </c>
      <c r="BK267" s="11">
        <f t="shared" si="1588"/>
        <v>0</v>
      </c>
      <c r="BL267" s="11">
        <f t="shared" si="1588"/>
        <v>0</v>
      </c>
      <c r="BM267" s="11">
        <f t="shared" si="1588"/>
        <v>0</v>
      </c>
      <c r="BN267" s="11">
        <f t="shared" si="1588"/>
        <v>0</v>
      </c>
      <c r="BO267" s="11">
        <f t="shared" si="1588"/>
        <v>0</v>
      </c>
      <c r="BP267" s="11">
        <f t="shared" si="1588"/>
        <v>0</v>
      </c>
      <c r="BQ267" s="11">
        <f t="shared" si="1588"/>
        <v>0</v>
      </c>
      <c r="BR267" s="11">
        <f t="shared" si="1588"/>
        <v>0</v>
      </c>
      <c r="BS267" s="11">
        <f t="shared" si="1588"/>
        <v>0</v>
      </c>
      <c r="BT267" s="11">
        <f t="shared" si="1588"/>
        <v>0</v>
      </c>
      <c r="BU267" s="11">
        <f t="shared" ref="BU267:BY267" si="1589">(BU$14&lt;=$F268)*1</f>
        <v>0</v>
      </c>
      <c r="BV267" s="11">
        <f t="shared" si="1589"/>
        <v>0</v>
      </c>
      <c r="BW267" s="11">
        <f t="shared" si="1589"/>
        <v>0</v>
      </c>
      <c r="BX267" s="11">
        <f t="shared" si="1589"/>
        <v>0</v>
      </c>
      <c r="BY267" s="11">
        <f t="shared" si="1589"/>
        <v>0</v>
      </c>
    </row>
    <row r="268" spans="2:77" ht="13.5" customHeight="1">
      <c r="E268" s="95" t="s">
        <v>156</v>
      </c>
      <c r="F268" s="100">
        <f>VLOOKUP(B265,'A&amp;R'!$C$36:$N$40,6,0)</f>
        <v>44439</v>
      </c>
    </row>
    <row r="269" spans="2:77" ht="13.5" customHeight="1">
      <c r="E269" s="96" t="s">
        <v>157</v>
      </c>
      <c r="F269" s="97">
        <f>VLOOKUP(B265,'A&amp;R'!$C$36:$N$40,8,0)</f>
        <v>24000</v>
      </c>
    </row>
    <row r="270" spans="2:77" ht="13.5" customHeight="1">
      <c r="E270" s="96" t="s">
        <v>158</v>
      </c>
      <c r="F270" s="97">
        <f>VLOOKUP(B265,'A&amp;R'!$C$36:$N$40,12,0)</f>
        <v>1</v>
      </c>
    </row>
    <row r="271" spans="2:77" ht="13.5" customHeight="1">
      <c r="E271" s="96" t="s">
        <v>72</v>
      </c>
      <c r="F271" s="97">
        <f>VLOOKUP(B265,'A&amp;R'!$C$36:$N$40,4,0)</f>
        <v>4695</v>
      </c>
    </row>
    <row r="272" spans="2:77" ht="13.5" customHeight="1">
      <c r="E272" s="96" t="s">
        <v>159</v>
      </c>
      <c r="F272" s="97">
        <f>VLOOKUP(B265,'A&amp;R'!$C$36:$N$40,10,0)</f>
        <v>2000</v>
      </c>
    </row>
    <row r="273" spans="4:77" ht="13.5" customHeight="1">
      <c r="E273" s="98" t="s">
        <v>76</v>
      </c>
      <c r="F273" s="99">
        <f>VLOOKUP(B265,'A&amp;R'!$C$36:$N$40,7,0)</f>
        <v>704.25</v>
      </c>
    </row>
    <row r="274" spans="4:77" ht="13.5" customHeight="1">
      <c r="D274" s="1" t="s">
        <v>161</v>
      </c>
    </row>
    <row r="275" spans="4:77" ht="13.5" customHeight="1">
      <c r="E275" s="30" t="s">
        <v>162</v>
      </c>
      <c r="F275" s="41"/>
      <c r="G275" s="41"/>
      <c r="H275" s="41">
        <f>$F269*H267</f>
        <v>24000</v>
      </c>
      <c r="I275" s="41">
        <f t="shared" ref="I275:BT275" si="1590">$F269*I267</f>
        <v>24000</v>
      </c>
      <c r="J275" s="41">
        <f t="shared" si="1590"/>
        <v>24000</v>
      </c>
      <c r="K275" s="41">
        <f t="shared" si="1590"/>
        <v>24000</v>
      </c>
      <c r="L275" s="41">
        <f t="shared" si="1590"/>
        <v>24000</v>
      </c>
      <c r="M275" s="41">
        <f t="shared" si="1590"/>
        <v>24000</v>
      </c>
      <c r="N275" s="41">
        <f t="shared" si="1590"/>
        <v>0</v>
      </c>
      <c r="O275" s="41">
        <f t="shared" si="1590"/>
        <v>0</v>
      </c>
      <c r="P275" s="41">
        <f t="shared" si="1590"/>
        <v>0</v>
      </c>
      <c r="Q275" s="41">
        <f t="shared" si="1590"/>
        <v>0</v>
      </c>
      <c r="R275" s="41">
        <f t="shared" si="1590"/>
        <v>0</v>
      </c>
      <c r="S275" s="41">
        <f t="shared" si="1590"/>
        <v>0</v>
      </c>
      <c r="T275" s="41">
        <f t="shared" si="1590"/>
        <v>0</v>
      </c>
      <c r="U275" s="41">
        <f t="shared" si="1590"/>
        <v>0</v>
      </c>
      <c r="V275" s="41">
        <f t="shared" si="1590"/>
        <v>0</v>
      </c>
      <c r="W275" s="41">
        <f t="shared" si="1590"/>
        <v>0</v>
      </c>
      <c r="X275" s="41">
        <f t="shared" si="1590"/>
        <v>0</v>
      </c>
      <c r="Y275" s="41">
        <f t="shared" si="1590"/>
        <v>0</v>
      </c>
      <c r="Z275" s="41">
        <f t="shared" si="1590"/>
        <v>0</v>
      </c>
      <c r="AA275" s="41">
        <f t="shared" si="1590"/>
        <v>0</v>
      </c>
      <c r="AB275" s="41">
        <f t="shared" si="1590"/>
        <v>0</v>
      </c>
      <c r="AC275" s="41">
        <f t="shared" si="1590"/>
        <v>0</v>
      </c>
      <c r="AD275" s="41">
        <f t="shared" si="1590"/>
        <v>0</v>
      </c>
      <c r="AE275" s="41">
        <f t="shared" si="1590"/>
        <v>0</v>
      </c>
      <c r="AF275" s="41">
        <f t="shared" si="1590"/>
        <v>0</v>
      </c>
      <c r="AG275" s="41">
        <f t="shared" si="1590"/>
        <v>0</v>
      </c>
      <c r="AH275" s="41">
        <f t="shared" si="1590"/>
        <v>0</v>
      </c>
      <c r="AI275" s="41">
        <f t="shared" si="1590"/>
        <v>0</v>
      </c>
      <c r="AJ275" s="41">
        <f t="shared" si="1590"/>
        <v>0</v>
      </c>
      <c r="AK275" s="41">
        <f t="shared" si="1590"/>
        <v>0</v>
      </c>
      <c r="AL275" s="41">
        <f t="shared" si="1590"/>
        <v>0</v>
      </c>
      <c r="AM275" s="41">
        <f t="shared" si="1590"/>
        <v>0</v>
      </c>
      <c r="AN275" s="41">
        <f t="shared" si="1590"/>
        <v>0</v>
      </c>
      <c r="AO275" s="41">
        <f t="shared" si="1590"/>
        <v>0</v>
      </c>
      <c r="AP275" s="41">
        <f t="shared" si="1590"/>
        <v>0</v>
      </c>
      <c r="AQ275" s="41">
        <f t="shared" si="1590"/>
        <v>0</v>
      </c>
      <c r="AR275" s="41">
        <f t="shared" si="1590"/>
        <v>0</v>
      </c>
      <c r="AS275" s="41">
        <f t="shared" si="1590"/>
        <v>0</v>
      </c>
      <c r="AT275" s="41">
        <f t="shared" si="1590"/>
        <v>0</v>
      </c>
      <c r="AU275" s="41">
        <f t="shared" si="1590"/>
        <v>0</v>
      </c>
      <c r="AV275" s="41">
        <f t="shared" si="1590"/>
        <v>0</v>
      </c>
      <c r="AW275" s="41">
        <f t="shared" si="1590"/>
        <v>0</v>
      </c>
      <c r="AX275" s="41">
        <f t="shared" si="1590"/>
        <v>0</v>
      </c>
      <c r="AY275" s="41">
        <f t="shared" si="1590"/>
        <v>0</v>
      </c>
      <c r="AZ275" s="41">
        <f t="shared" si="1590"/>
        <v>0</v>
      </c>
      <c r="BA275" s="41">
        <f t="shared" si="1590"/>
        <v>0</v>
      </c>
      <c r="BB275" s="41">
        <f t="shared" si="1590"/>
        <v>0</v>
      </c>
      <c r="BC275" s="41">
        <f t="shared" si="1590"/>
        <v>0</v>
      </c>
      <c r="BD275" s="41">
        <f t="shared" si="1590"/>
        <v>0</v>
      </c>
      <c r="BE275" s="41">
        <f t="shared" si="1590"/>
        <v>0</v>
      </c>
      <c r="BF275" s="41">
        <f t="shared" si="1590"/>
        <v>0</v>
      </c>
      <c r="BG275" s="41">
        <f t="shared" si="1590"/>
        <v>0</v>
      </c>
      <c r="BH275" s="41">
        <f t="shared" si="1590"/>
        <v>0</v>
      </c>
      <c r="BI275" s="41">
        <f t="shared" si="1590"/>
        <v>0</v>
      </c>
      <c r="BJ275" s="41">
        <f t="shared" si="1590"/>
        <v>0</v>
      </c>
      <c r="BK275" s="41">
        <f t="shared" si="1590"/>
        <v>0</v>
      </c>
      <c r="BL275" s="41">
        <f t="shared" si="1590"/>
        <v>0</v>
      </c>
      <c r="BM275" s="41">
        <f t="shared" si="1590"/>
        <v>0</v>
      </c>
      <c r="BN275" s="41">
        <f t="shared" si="1590"/>
        <v>0</v>
      </c>
      <c r="BO275" s="41">
        <f t="shared" si="1590"/>
        <v>0</v>
      </c>
      <c r="BP275" s="41">
        <f t="shared" si="1590"/>
        <v>0</v>
      </c>
      <c r="BQ275" s="41">
        <f t="shared" si="1590"/>
        <v>0</v>
      </c>
      <c r="BR275" s="41">
        <f t="shared" si="1590"/>
        <v>0</v>
      </c>
      <c r="BS275" s="41">
        <f t="shared" si="1590"/>
        <v>0</v>
      </c>
      <c r="BT275" s="41">
        <f t="shared" si="1590"/>
        <v>0</v>
      </c>
      <c r="BU275" s="41">
        <f t="shared" ref="BU275:BY275" si="1591">$F269*BU267</f>
        <v>0</v>
      </c>
      <c r="BV275" s="41">
        <f t="shared" si="1591"/>
        <v>0</v>
      </c>
      <c r="BW275" s="41">
        <f t="shared" si="1591"/>
        <v>0</v>
      </c>
      <c r="BX275" s="41">
        <f t="shared" si="1591"/>
        <v>0</v>
      </c>
      <c r="BY275" s="28">
        <f t="shared" si="1591"/>
        <v>0</v>
      </c>
    </row>
    <row r="276" spans="4:77" ht="13.5" customHeight="1">
      <c r="E276" s="36" t="s">
        <v>163</v>
      </c>
      <c r="F276" s="42"/>
      <c r="G276" s="42"/>
      <c r="H276" s="42">
        <f>H275*((12-$F270)/12)</f>
        <v>22000</v>
      </c>
      <c r="I276" s="42">
        <f t="shared" ref="I276:BT276" si="1592">I275*((12-$F270)/12)</f>
        <v>22000</v>
      </c>
      <c r="J276" s="42">
        <f t="shared" si="1592"/>
        <v>22000</v>
      </c>
      <c r="K276" s="42">
        <f t="shared" si="1592"/>
        <v>22000</v>
      </c>
      <c r="L276" s="42">
        <f t="shared" si="1592"/>
        <v>22000</v>
      </c>
      <c r="M276" s="42">
        <f t="shared" si="1592"/>
        <v>22000</v>
      </c>
      <c r="N276" s="42">
        <f t="shared" si="1592"/>
        <v>0</v>
      </c>
      <c r="O276" s="42">
        <f t="shared" si="1592"/>
        <v>0</v>
      </c>
      <c r="P276" s="42">
        <f t="shared" si="1592"/>
        <v>0</v>
      </c>
      <c r="Q276" s="42">
        <f t="shared" si="1592"/>
        <v>0</v>
      </c>
      <c r="R276" s="42">
        <f t="shared" si="1592"/>
        <v>0</v>
      </c>
      <c r="S276" s="42">
        <f t="shared" si="1592"/>
        <v>0</v>
      </c>
      <c r="T276" s="42">
        <f t="shared" si="1592"/>
        <v>0</v>
      </c>
      <c r="U276" s="42">
        <f t="shared" si="1592"/>
        <v>0</v>
      </c>
      <c r="V276" s="42">
        <f t="shared" si="1592"/>
        <v>0</v>
      </c>
      <c r="W276" s="42">
        <f t="shared" si="1592"/>
        <v>0</v>
      </c>
      <c r="X276" s="42">
        <f t="shared" si="1592"/>
        <v>0</v>
      </c>
      <c r="Y276" s="42">
        <f t="shared" si="1592"/>
        <v>0</v>
      </c>
      <c r="Z276" s="42">
        <f t="shared" si="1592"/>
        <v>0</v>
      </c>
      <c r="AA276" s="42">
        <f t="shared" si="1592"/>
        <v>0</v>
      </c>
      <c r="AB276" s="42">
        <f t="shared" si="1592"/>
        <v>0</v>
      </c>
      <c r="AC276" s="42">
        <f t="shared" si="1592"/>
        <v>0</v>
      </c>
      <c r="AD276" s="42">
        <f t="shared" si="1592"/>
        <v>0</v>
      </c>
      <c r="AE276" s="42">
        <f t="shared" si="1592"/>
        <v>0</v>
      </c>
      <c r="AF276" s="42">
        <f t="shared" si="1592"/>
        <v>0</v>
      </c>
      <c r="AG276" s="42">
        <f t="shared" si="1592"/>
        <v>0</v>
      </c>
      <c r="AH276" s="42">
        <f t="shared" si="1592"/>
        <v>0</v>
      </c>
      <c r="AI276" s="42">
        <f t="shared" si="1592"/>
        <v>0</v>
      </c>
      <c r="AJ276" s="42">
        <f t="shared" si="1592"/>
        <v>0</v>
      </c>
      <c r="AK276" s="42">
        <f t="shared" si="1592"/>
        <v>0</v>
      </c>
      <c r="AL276" s="42">
        <f t="shared" si="1592"/>
        <v>0</v>
      </c>
      <c r="AM276" s="42">
        <f t="shared" si="1592"/>
        <v>0</v>
      </c>
      <c r="AN276" s="42">
        <f t="shared" si="1592"/>
        <v>0</v>
      </c>
      <c r="AO276" s="42">
        <f t="shared" si="1592"/>
        <v>0</v>
      </c>
      <c r="AP276" s="42">
        <f t="shared" si="1592"/>
        <v>0</v>
      </c>
      <c r="AQ276" s="42">
        <f t="shared" si="1592"/>
        <v>0</v>
      </c>
      <c r="AR276" s="42">
        <f t="shared" si="1592"/>
        <v>0</v>
      </c>
      <c r="AS276" s="42">
        <f t="shared" si="1592"/>
        <v>0</v>
      </c>
      <c r="AT276" s="42">
        <f t="shared" si="1592"/>
        <v>0</v>
      </c>
      <c r="AU276" s="42">
        <f t="shared" si="1592"/>
        <v>0</v>
      </c>
      <c r="AV276" s="42">
        <f t="shared" si="1592"/>
        <v>0</v>
      </c>
      <c r="AW276" s="42">
        <f t="shared" si="1592"/>
        <v>0</v>
      </c>
      <c r="AX276" s="42">
        <f t="shared" si="1592"/>
        <v>0</v>
      </c>
      <c r="AY276" s="42">
        <f t="shared" si="1592"/>
        <v>0</v>
      </c>
      <c r="AZ276" s="42">
        <f t="shared" si="1592"/>
        <v>0</v>
      </c>
      <c r="BA276" s="42">
        <f t="shared" si="1592"/>
        <v>0</v>
      </c>
      <c r="BB276" s="42">
        <f t="shared" si="1592"/>
        <v>0</v>
      </c>
      <c r="BC276" s="42">
        <f t="shared" si="1592"/>
        <v>0</v>
      </c>
      <c r="BD276" s="42">
        <f t="shared" si="1592"/>
        <v>0</v>
      </c>
      <c r="BE276" s="42">
        <f t="shared" si="1592"/>
        <v>0</v>
      </c>
      <c r="BF276" s="42">
        <f t="shared" si="1592"/>
        <v>0</v>
      </c>
      <c r="BG276" s="42">
        <f t="shared" si="1592"/>
        <v>0</v>
      </c>
      <c r="BH276" s="42">
        <f t="shared" si="1592"/>
        <v>0</v>
      </c>
      <c r="BI276" s="42">
        <f t="shared" si="1592"/>
        <v>0</v>
      </c>
      <c r="BJ276" s="42">
        <f t="shared" si="1592"/>
        <v>0</v>
      </c>
      <c r="BK276" s="42">
        <f t="shared" si="1592"/>
        <v>0</v>
      </c>
      <c r="BL276" s="42">
        <f t="shared" si="1592"/>
        <v>0</v>
      </c>
      <c r="BM276" s="42">
        <f t="shared" si="1592"/>
        <v>0</v>
      </c>
      <c r="BN276" s="42">
        <f t="shared" si="1592"/>
        <v>0</v>
      </c>
      <c r="BO276" s="42">
        <f t="shared" si="1592"/>
        <v>0</v>
      </c>
      <c r="BP276" s="42">
        <f t="shared" si="1592"/>
        <v>0</v>
      </c>
      <c r="BQ276" s="42">
        <f t="shared" si="1592"/>
        <v>0</v>
      </c>
      <c r="BR276" s="42">
        <f t="shared" si="1592"/>
        <v>0</v>
      </c>
      <c r="BS276" s="42">
        <f t="shared" si="1592"/>
        <v>0</v>
      </c>
      <c r="BT276" s="42">
        <f t="shared" si="1592"/>
        <v>0</v>
      </c>
      <c r="BU276" s="42">
        <f t="shared" ref="BU276:BY276" si="1593">BU275*((12-$F270)/12)</f>
        <v>0</v>
      </c>
      <c r="BV276" s="42">
        <f t="shared" si="1593"/>
        <v>0</v>
      </c>
      <c r="BW276" s="42">
        <f t="shared" si="1593"/>
        <v>0</v>
      </c>
      <c r="BX276" s="42">
        <f t="shared" si="1593"/>
        <v>0</v>
      </c>
      <c r="BY276" s="34">
        <f t="shared" si="1593"/>
        <v>0</v>
      </c>
    </row>
    <row r="277" spans="4:77" ht="13.5" customHeight="1">
      <c r="D277" s="101" t="s">
        <v>164</v>
      </c>
      <c r="E277" s="101"/>
      <c r="F277" s="101"/>
      <c r="G277" s="101"/>
      <c r="H277" s="101">
        <f t="shared" ref="H277" si="1594">H276*$F271/unit</f>
        <v>103.29</v>
      </c>
      <c r="I277" s="101">
        <f t="shared" ref="I277" si="1595">I276*$F271/unit</f>
        <v>103.29</v>
      </c>
      <c r="J277" s="101">
        <f t="shared" ref="J277" si="1596">J276*$F271/unit</f>
        <v>103.29</v>
      </c>
      <c r="K277" s="101">
        <f t="shared" ref="K277" si="1597">K276*$F271/unit</f>
        <v>103.29</v>
      </c>
      <c r="L277" s="101">
        <f t="shared" ref="L277" si="1598">L276*$F271/unit</f>
        <v>103.29</v>
      </c>
      <c r="M277" s="101">
        <f t="shared" ref="M277" si="1599">M276*$F271/unit</f>
        <v>103.29</v>
      </c>
      <c r="N277" s="101">
        <f t="shared" ref="N277" si="1600">N276*$F271/unit</f>
        <v>0</v>
      </c>
      <c r="O277" s="101">
        <f t="shared" ref="O277" si="1601">O276*$F271/unit</f>
        <v>0</v>
      </c>
      <c r="P277" s="101">
        <f t="shared" ref="P277" si="1602">P276*$F271/unit</f>
        <v>0</v>
      </c>
      <c r="Q277" s="101">
        <f t="shared" ref="Q277" si="1603">Q276*$F271/unit</f>
        <v>0</v>
      </c>
      <c r="R277" s="101">
        <f t="shared" ref="R277" si="1604">R276*$F271/unit</f>
        <v>0</v>
      </c>
      <c r="S277" s="101">
        <f t="shared" ref="S277" si="1605">S276*$F271/unit</f>
        <v>0</v>
      </c>
      <c r="T277" s="101">
        <f t="shared" ref="T277" si="1606">T276*$F271/unit</f>
        <v>0</v>
      </c>
      <c r="U277" s="101">
        <f t="shared" ref="U277" si="1607">U276*$F271/unit</f>
        <v>0</v>
      </c>
      <c r="V277" s="101">
        <f t="shared" ref="V277" si="1608">V276*$F271/unit</f>
        <v>0</v>
      </c>
      <c r="W277" s="101">
        <f t="shared" ref="W277" si="1609">W276*$F271/unit</f>
        <v>0</v>
      </c>
      <c r="X277" s="101">
        <f t="shared" ref="X277" si="1610">X276*$F271/unit</f>
        <v>0</v>
      </c>
      <c r="Y277" s="101">
        <f t="shared" ref="Y277" si="1611">Y276*$F271/unit</f>
        <v>0</v>
      </c>
      <c r="Z277" s="101">
        <f t="shared" ref="Z277" si="1612">Z276*$F271/unit</f>
        <v>0</v>
      </c>
      <c r="AA277" s="101">
        <f t="shared" ref="AA277" si="1613">AA276*$F271/unit</f>
        <v>0</v>
      </c>
      <c r="AB277" s="101">
        <f t="shared" ref="AB277" si="1614">AB276*$F271/unit</f>
        <v>0</v>
      </c>
      <c r="AC277" s="101">
        <f t="shared" ref="AC277" si="1615">AC276*$F271/unit</f>
        <v>0</v>
      </c>
      <c r="AD277" s="101">
        <f t="shared" ref="AD277" si="1616">AD276*$F271/unit</f>
        <v>0</v>
      </c>
      <c r="AE277" s="101">
        <f t="shared" ref="AE277" si="1617">AE276*$F271/unit</f>
        <v>0</v>
      </c>
      <c r="AF277" s="101">
        <f t="shared" ref="AF277" si="1618">AF276*$F271/unit</f>
        <v>0</v>
      </c>
      <c r="AG277" s="101">
        <f t="shared" ref="AG277" si="1619">AG276*$F271/unit</f>
        <v>0</v>
      </c>
      <c r="AH277" s="101">
        <f t="shared" ref="AH277" si="1620">AH276*$F271/unit</f>
        <v>0</v>
      </c>
      <c r="AI277" s="101">
        <f t="shared" ref="AI277" si="1621">AI276*$F271/unit</f>
        <v>0</v>
      </c>
      <c r="AJ277" s="101">
        <f t="shared" ref="AJ277" si="1622">AJ276*$F271/unit</f>
        <v>0</v>
      </c>
      <c r="AK277" s="101">
        <f t="shared" ref="AK277" si="1623">AK276*$F271/unit</f>
        <v>0</v>
      </c>
      <c r="AL277" s="101">
        <f t="shared" ref="AL277" si="1624">AL276*$F271/unit</f>
        <v>0</v>
      </c>
      <c r="AM277" s="101">
        <f t="shared" ref="AM277" si="1625">AM276*$F271/unit</f>
        <v>0</v>
      </c>
      <c r="AN277" s="101">
        <f t="shared" ref="AN277" si="1626">AN276*$F271/unit</f>
        <v>0</v>
      </c>
      <c r="AO277" s="101">
        <f t="shared" ref="AO277" si="1627">AO276*$F271/unit</f>
        <v>0</v>
      </c>
      <c r="AP277" s="101">
        <f t="shared" ref="AP277" si="1628">AP276*$F271/unit</f>
        <v>0</v>
      </c>
      <c r="AQ277" s="101">
        <f t="shared" ref="AQ277" si="1629">AQ276*$F271/unit</f>
        <v>0</v>
      </c>
      <c r="AR277" s="101">
        <f t="shared" ref="AR277" si="1630">AR276*$F271/unit</f>
        <v>0</v>
      </c>
      <c r="AS277" s="101">
        <f t="shared" ref="AS277" si="1631">AS276*$F271/unit</f>
        <v>0</v>
      </c>
      <c r="AT277" s="101">
        <f t="shared" ref="AT277" si="1632">AT276*$F271/unit</f>
        <v>0</v>
      </c>
      <c r="AU277" s="101">
        <f t="shared" ref="AU277" si="1633">AU276*$F271/unit</f>
        <v>0</v>
      </c>
      <c r="AV277" s="101">
        <f t="shared" ref="AV277" si="1634">AV276*$F271/unit</f>
        <v>0</v>
      </c>
      <c r="AW277" s="101">
        <f t="shared" ref="AW277" si="1635">AW276*$F271/unit</f>
        <v>0</v>
      </c>
      <c r="AX277" s="101">
        <f t="shared" ref="AX277" si="1636">AX276*$F271/unit</f>
        <v>0</v>
      </c>
      <c r="AY277" s="101">
        <f t="shared" ref="AY277" si="1637">AY276*$F271/unit</f>
        <v>0</v>
      </c>
      <c r="AZ277" s="101">
        <f t="shared" ref="AZ277" si="1638">AZ276*$F271/unit</f>
        <v>0</v>
      </c>
      <c r="BA277" s="101">
        <f t="shared" ref="BA277" si="1639">BA276*$F271/unit</f>
        <v>0</v>
      </c>
      <c r="BB277" s="101">
        <f t="shared" ref="BB277" si="1640">BB276*$F271/unit</f>
        <v>0</v>
      </c>
      <c r="BC277" s="101">
        <f t="shared" ref="BC277" si="1641">BC276*$F271/unit</f>
        <v>0</v>
      </c>
      <c r="BD277" s="101">
        <f t="shared" ref="BD277" si="1642">BD276*$F271/unit</f>
        <v>0</v>
      </c>
      <c r="BE277" s="101">
        <f t="shared" ref="BE277" si="1643">BE276*$F271/unit</f>
        <v>0</v>
      </c>
      <c r="BF277" s="101">
        <f t="shared" ref="BF277" si="1644">BF276*$F271/unit</f>
        <v>0</v>
      </c>
      <c r="BG277" s="101">
        <f t="shared" ref="BG277" si="1645">BG276*$F271/unit</f>
        <v>0</v>
      </c>
      <c r="BH277" s="101">
        <f t="shared" ref="BH277" si="1646">BH276*$F271/unit</f>
        <v>0</v>
      </c>
      <c r="BI277" s="101">
        <f t="shared" ref="BI277" si="1647">BI276*$F271/unit</f>
        <v>0</v>
      </c>
      <c r="BJ277" s="101">
        <f t="shared" ref="BJ277" si="1648">BJ276*$F271/unit</f>
        <v>0</v>
      </c>
      <c r="BK277" s="101">
        <f t="shared" ref="BK277" si="1649">BK276*$F271/unit</f>
        <v>0</v>
      </c>
      <c r="BL277" s="101">
        <f t="shared" ref="BL277" si="1650">BL276*$F271/unit</f>
        <v>0</v>
      </c>
      <c r="BM277" s="101">
        <f t="shared" ref="BM277" si="1651">BM276*$F271/unit</f>
        <v>0</v>
      </c>
      <c r="BN277" s="101">
        <f t="shared" ref="BN277" si="1652">BN276*$F271/unit</f>
        <v>0</v>
      </c>
      <c r="BO277" s="101">
        <f t="shared" ref="BO277" si="1653">BO276*$F271/unit</f>
        <v>0</v>
      </c>
      <c r="BP277" s="101">
        <f t="shared" ref="BP277" si="1654">BP276*$F271/unit</f>
        <v>0</v>
      </c>
      <c r="BQ277" s="101">
        <f t="shared" ref="BQ277" si="1655">BQ276*$F271/unit</f>
        <v>0</v>
      </c>
      <c r="BR277" s="101">
        <f t="shared" ref="BR277" si="1656">BR276*$F271/unit</f>
        <v>0</v>
      </c>
      <c r="BS277" s="101">
        <f t="shared" ref="BS277" si="1657">BS276*$F271/unit</f>
        <v>0</v>
      </c>
      <c r="BT277" s="101">
        <f t="shared" ref="BT277" si="1658">BT276*$F271/unit</f>
        <v>0</v>
      </c>
      <c r="BU277" s="101">
        <f t="shared" ref="BU277" si="1659">BU276*$F271/unit</f>
        <v>0</v>
      </c>
      <c r="BV277" s="101">
        <f t="shared" ref="BV277" si="1660">BV276*$F271/unit</f>
        <v>0</v>
      </c>
      <c r="BW277" s="101">
        <f t="shared" ref="BW277" si="1661">BW276*$F271/unit</f>
        <v>0</v>
      </c>
      <c r="BX277" s="101">
        <f t="shared" ref="BX277" si="1662">BX276*$F271/unit</f>
        <v>0</v>
      </c>
      <c r="BY277" s="101">
        <f t="shared" ref="BY277" si="1663">BY276*$F271/unit</f>
        <v>0</v>
      </c>
    </row>
    <row r="279" spans="4:77" ht="13.5" customHeight="1">
      <c r="D279" s="1" t="s">
        <v>165</v>
      </c>
    </row>
    <row r="280" spans="4:77" ht="13.5" customHeight="1">
      <c r="E280" s="25" t="s">
        <v>166</v>
      </c>
      <c r="F280" s="51"/>
      <c r="G280" s="51"/>
      <c r="H280" s="51">
        <f>$F272*H267</f>
        <v>2000</v>
      </c>
      <c r="I280" s="51">
        <f t="shared" ref="I280:BT280" si="1664">$F272*I267</f>
        <v>2000</v>
      </c>
      <c r="J280" s="51">
        <f t="shared" si="1664"/>
        <v>2000</v>
      </c>
      <c r="K280" s="51">
        <f t="shared" si="1664"/>
        <v>2000</v>
      </c>
      <c r="L280" s="51">
        <f t="shared" si="1664"/>
        <v>2000</v>
      </c>
      <c r="M280" s="51">
        <f t="shared" si="1664"/>
        <v>2000</v>
      </c>
      <c r="N280" s="51">
        <f t="shared" si="1664"/>
        <v>0</v>
      </c>
      <c r="O280" s="51">
        <f t="shared" si="1664"/>
        <v>0</v>
      </c>
      <c r="P280" s="51">
        <f t="shared" si="1664"/>
        <v>0</v>
      </c>
      <c r="Q280" s="51">
        <f t="shared" si="1664"/>
        <v>0</v>
      </c>
      <c r="R280" s="51">
        <f t="shared" si="1664"/>
        <v>0</v>
      </c>
      <c r="S280" s="51">
        <f t="shared" si="1664"/>
        <v>0</v>
      </c>
      <c r="T280" s="51">
        <f t="shared" si="1664"/>
        <v>0</v>
      </c>
      <c r="U280" s="51">
        <f t="shared" si="1664"/>
        <v>0</v>
      </c>
      <c r="V280" s="51">
        <f t="shared" si="1664"/>
        <v>0</v>
      </c>
      <c r="W280" s="51">
        <f t="shared" si="1664"/>
        <v>0</v>
      </c>
      <c r="X280" s="51">
        <f t="shared" si="1664"/>
        <v>0</v>
      </c>
      <c r="Y280" s="51">
        <f t="shared" si="1664"/>
        <v>0</v>
      </c>
      <c r="Z280" s="51">
        <f t="shared" si="1664"/>
        <v>0</v>
      </c>
      <c r="AA280" s="51">
        <f t="shared" si="1664"/>
        <v>0</v>
      </c>
      <c r="AB280" s="51">
        <f t="shared" si="1664"/>
        <v>0</v>
      </c>
      <c r="AC280" s="51">
        <f t="shared" si="1664"/>
        <v>0</v>
      </c>
      <c r="AD280" s="51">
        <f t="shared" si="1664"/>
        <v>0</v>
      </c>
      <c r="AE280" s="51">
        <f t="shared" si="1664"/>
        <v>0</v>
      </c>
      <c r="AF280" s="51">
        <f t="shared" si="1664"/>
        <v>0</v>
      </c>
      <c r="AG280" s="51">
        <f t="shared" si="1664"/>
        <v>0</v>
      </c>
      <c r="AH280" s="51">
        <f t="shared" si="1664"/>
        <v>0</v>
      </c>
      <c r="AI280" s="51">
        <f t="shared" si="1664"/>
        <v>0</v>
      </c>
      <c r="AJ280" s="51">
        <f t="shared" si="1664"/>
        <v>0</v>
      </c>
      <c r="AK280" s="51">
        <f t="shared" si="1664"/>
        <v>0</v>
      </c>
      <c r="AL280" s="51">
        <f t="shared" si="1664"/>
        <v>0</v>
      </c>
      <c r="AM280" s="51">
        <f t="shared" si="1664"/>
        <v>0</v>
      </c>
      <c r="AN280" s="51">
        <f t="shared" si="1664"/>
        <v>0</v>
      </c>
      <c r="AO280" s="51">
        <f t="shared" si="1664"/>
        <v>0</v>
      </c>
      <c r="AP280" s="51">
        <f t="shared" si="1664"/>
        <v>0</v>
      </c>
      <c r="AQ280" s="51">
        <f t="shared" si="1664"/>
        <v>0</v>
      </c>
      <c r="AR280" s="51">
        <f t="shared" si="1664"/>
        <v>0</v>
      </c>
      <c r="AS280" s="51">
        <f t="shared" si="1664"/>
        <v>0</v>
      </c>
      <c r="AT280" s="51">
        <f t="shared" si="1664"/>
        <v>0</v>
      </c>
      <c r="AU280" s="51">
        <f t="shared" si="1664"/>
        <v>0</v>
      </c>
      <c r="AV280" s="51">
        <f t="shared" si="1664"/>
        <v>0</v>
      </c>
      <c r="AW280" s="51">
        <f t="shared" si="1664"/>
        <v>0</v>
      </c>
      <c r="AX280" s="51">
        <f t="shared" si="1664"/>
        <v>0</v>
      </c>
      <c r="AY280" s="51">
        <f t="shared" si="1664"/>
        <v>0</v>
      </c>
      <c r="AZ280" s="51">
        <f t="shared" si="1664"/>
        <v>0</v>
      </c>
      <c r="BA280" s="51">
        <f t="shared" si="1664"/>
        <v>0</v>
      </c>
      <c r="BB280" s="51">
        <f t="shared" si="1664"/>
        <v>0</v>
      </c>
      <c r="BC280" s="51">
        <f t="shared" si="1664"/>
        <v>0</v>
      </c>
      <c r="BD280" s="51">
        <f t="shared" si="1664"/>
        <v>0</v>
      </c>
      <c r="BE280" s="51">
        <f t="shared" si="1664"/>
        <v>0</v>
      </c>
      <c r="BF280" s="51">
        <f t="shared" si="1664"/>
        <v>0</v>
      </c>
      <c r="BG280" s="51">
        <f t="shared" si="1664"/>
        <v>0</v>
      </c>
      <c r="BH280" s="51">
        <f t="shared" si="1664"/>
        <v>0</v>
      </c>
      <c r="BI280" s="51">
        <f t="shared" si="1664"/>
        <v>0</v>
      </c>
      <c r="BJ280" s="51">
        <f t="shared" si="1664"/>
        <v>0</v>
      </c>
      <c r="BK280" s="51">
        <f t="shared" si="1664"/>
        <v>0</v>
      </c>
      <c r="BL280" s="51">
        <f t="shared" si="1664"/>
        <v>0</v>
      </c>
      <c r="BM280" s="51">
        <f t="shared" si="1664"/>
        <v>0</v>
      </c>
      <c r="BN280" s="51">
        <f t="shared" si="1664"/>
        <v>0</v>
      </c>
      <c r="BO280" s="51">
        <f t="shared" si="1664"/>
        <v>0</v>
      </c>
      <c r="BP280" s="51">
        <f t="shared" si="1664"/>
        <v>0</v>
      </c>
      <c r="BQ280" s="51">
        <f t="shared" si="1664"/>
        <v>0</v>
      </c>
      <c r="BR280" s="51">
        <f t="shared" si="1664"/>
        <v>0</v>
      </c>
      <c r="BS280" s="51">
        <f t="shared" si="1664"/>
        <v>0</v>
      </c>
      <c r="BT280" s="51">
        <f t="shared" si="1664"/>
        <v>0</v>
      </c>
      <c r="BU280" s="51">
        <f t="shared" ref="BU280:BY280" si="1665">$F272*BU267</f>
        <v>0</v>
      </c>
      <c r="BV280" s="51">
        <f t="shared" si="1665"/>
        <v>0</v>
      </c>
      <c r="BW280" s="51">
        <f t="shared" si="1665"/>
        <v>0</v>
      </c>
      <c r="BX280" s="51">
        <f t="shared" si="1665"/>
        <v>0</v>
      </c>
      <c r="BY280" s="23">
        <f t="shared" si="1665"/>
        <v>0</v>
      </c>
    </row>
    <row r="281" spans="4:77" ht="13.5" customHeight="1">
      <c r="D281" s="101" t="s">
        <v>167</v>
      </c>
      <c r="E281" s="101"/>
      <c r="F281" s="101"/>
      <c r="G281" s="101"/>
      <c r="H281" s="101">
        <f t="shared" ref="H281" si="1666">H280*$F271/unit</f>
        <v>9.39</v>
      </c>
      <c r="I281" s="101">
        <f t="shared" ref="I281" si="1667">I280*$F271/unit</f>
        <v>9.39</v>
      </c>
      <c r="J281" s="101">
        <f t="shared" ref="J281" si="1668">J280*$F271/unit</f>
        <v>9.39</v>
      </c>
      <c r="K281" s="101">
        <f t="shared" ref="K281" si="1669">K280*$F271/unit</f>
        <v>9.39</v>
      </c>
      <c r="L281" s="101">
        <f t="shared" ref="L281" si="1670">L280*$F271/unit</f>
        <v>9.39</v>
      </c>
      <c r="M281" s="101">
        <f t="shared" ref="M281" si="1671">M280*$F271/unit</f>
        <v>9.39</v>
      </c>
      <c r="N281" s="101">
        <f t="shared" ref="N281" si="1672">N280*$F271/unit</f>
        <v>0</v>
      </c>
      <c r="O281" s="101">
        <f t="shared" ref="O281" si="1673">O280*$F271/unit</f>
        <v>0</v>
      </c>
      <c r="P281" s="101">
        <f t="shared" ref="P281" si="1674">P280*$F271/unit</f>
        <v>0</v>
      </c>
      <c r="Q281" s="101">
        <f t="shared" ref="Q281" si="1675">Q280*$F271/unit</f>
        <v>0</v>
      </c>
      <c r="R281" s="101">
        <f t="shared" ref="R281" si="1676">R280*$F271/unit</f>
        <v>0</v>
      </c>
      <c r="S281" s="101">
        <f t="shared" ref="S281" si="1677">S280*$F271/unit</f>
        <v>0</v>
      </c>
      <c r="T281" s="101">
        <f t="shared" ref="T281" si="1678">T280*$F271/unit</f>
        <v>0</v>
      </c>
      <c r="U281" s="101">
        <f t="shared" ref="U281" si="1679">U280*$F271/unit</f>
        <v>0</v>
      </c>
      <c r="V281" s="101">
        <f t="shared" ref="V281" si="1680">V280*$F271/unit</f>
        <v>0</v>
      </c>
      <c r="W281" s="101">
        <f t="shared" ref="W281" si="1681">W280*$F271/unit</f>
        <v>0</v>
      </c>
      <c r="X281" s="101">
        <f t="shared" ref="X281" si="1682">X280*$F271/unit</f>
        <v>0</v>
      </c>
      <c r="Y281" s="101">
        <f t="shared" ref="Y281" si="1683">Y280*$F271/unit</f>
        <v>0</v>
      </c>
      <c r="Z281" s="101">
        <f t="shared" ref="Z281" si="1684">Z280*$F271/unit</f>
        <v>0</v>
      </c>
      <c r="AA281" s="101">
        <f t="shared" ref="AA281" si="1685">AA280*$F271/unit</f>
        <v>0</v>
      </c>
      <c r="AB281" s="101">
        <f t="shared" ref="AB281" si="1686">AB280*$F271/unit</f>
        <v>0</v>
      </c>
      <c r="AC281" s="101">
        <f t="shared" ref="AC281" si="1687">AC280*$F271/unit</f>
        <v>0</v>
      </c>
      <c r="AD281" s="101">
        <f t="shared" ref="AD281" si="1688">AD280*$F271/unit</f>
        <v>0</v>
      </c>
      <c r="AE281" s="101">
        <f t="shared" ref="AE281" si="1689">AE280*$F271/unit</f>
        <v>0</v>
      </c>
      <c r="AF281" s="101">
        <f t="shared" ref="AF281" si="1690">AF280*$F271/unit</f>
        <v>0</v>
      </c>
      <c r="AG281" s="101">
        <f t="shared" ref="AG281" si="1691">AG280*$F271/unit</f>
        <v>0</v>
      </c>
      <c r="AH281" s="101">
        <f t="shared" ref="AH281" si="1692">AH280*$F271/unit</f>
        <v>0</v>
      </c>
      <c r="AI281" s="101">
        <f t="shared" ref="AI281" si="1693">AI280*$F271/unit</f>
        <v>0</v>
      </c>
      <c r="AJ281" s="101">
        <f t="shared" ref="AJ281" si="1694">AJ280*$F271/unit</f>
        <v>0</v>
      </c>
      <c r="AK281" s="101">
        <f t="shared" ref="AK281" si="1695">AK280*$F271/unit</f>
        <v>0</v>
      </c>
      <c r="AL281" s="101">
        <f t="shared" ref="AL281" si="1696">AL280*$F271/unit</f>
        <v>0</v>
      </c>
      <c r="AM281" s="101">
        <f t="shared" ref="AM281" si="1697">AM280*$F271/unit</f>
        <v>0</v>
      </c>
      <c r="AN281" s="101">
        <f t="shared" ref="AN281" si="1698">AN280*$F271/unit</f>
        <v>0</v>
      </c>
      <c r="AO281" s="101">
        <f t="shared" ref="AO281" si="1699">AO280*$F271/unit</f>
        <v>0</v>
      </c>
      <c r="AP281" s="101">
        <f t="shared" ref="AP281" si="1700">AP280*$F271/unit</f>
        <v>0</v>
      </c>
      <c r="AQ281" s="101">
        <f t="shared" ref="AQ281" si="1701">AQ280*$F271/unit</f>
        <v>0</v>
      </c>
      <c r="AR281" s="101">
        <f t="shared" ref="AR281" si="1702">AR280*$F271/unit</f>
        <v>0</v>
      </c>
      <c r="AS281" s="101">
        <f t="shared" ref="AS281" si="1703">AS280*$F271/unit</f>
        <v>0</v>
      </c>
      <c r="AT281" s="101">
        <f t="shared" ref="AT281" si="1704">AT280*$F271/unit</f>
        <v>0</v>
      </c>
      <c r="AU281" s="101">
        <f t="shared" ref="AU281" si="1705">AU280*$F271/unit</f>
        <v>0</v>
      </c>
      <c r="AV281" s="101">
        <f t="shared" ref="AV281" si="1706">AV280*$F271/unit</f>
        <v>0</v>
      </c>
      <c r="AW281" s="101">
        <f t="shared" ref="AW281" si="1707">AW280*$F271/unit</f>
        <v>0</v>
      </c>
      <c r="AX281" s="101">
        <f t="shared" ref="AX281" si="1708">AX280*$F271/unit</f>
        <v>0</v>
      </c>
      <c r="AY281" s="101">
        <f t="shared" ref="AY281" si="1709">AY280*$F271/unit</f>
        <v>0</v>
      </c>
      <c r="AZ281" s="101">
        <f t="shared" ref="AZ281" si="1710">AZ280*$F271/unit</f>
        <v>0</v>
      </c>
      <c r="BA281" s="101">
        <f t="shared" ref="BA281" si="1711">BA280*$F271/unit</f>
        <v>0</v>
      </c>
      <c r="BB281" s="101">
        <f t="shared" ref="BB281" si="1712">BB280*$F271/unit</f>
        <v>0</v>
      </c>
      <c r="BC281" s="101">
        <f t="shared" ref="BC281" si="1713">BC280*$F271/unit</f>
        <v>0</v>
      </c>
      <c r="BD281" s="101">
        <f t="shared" ref="BD281" si="1714">BD280*$F271/unit</f>
        <v>0</v>
      </c>
      <c r="BE281" s="101">
        <f t="shared" ref="BE281" si="1715">BE280*$F271/unit</f>
        <v>0</v>
      </c>
      <c r="BF281" s="101">
        <f t="shared" ref="BF281" si="1716">BF280*$F271/unit</f>
        <v>0</v>
      </c>
      <c r="BG281" s="101">
        <f t="shared" ref="BG281" si="1717">BG280*$F271/unit</f>
        <v>0</v>
      </c>
      <c r="BH281" s="101">
        <f t="shared" ref="BH281" si="1718">BH280*$F271/unit</f>
        <v>0</v>
      </c>
      <c r="BI281" s="101">
        <f t="shared" ref="BI281" si="1719">BI280*$F271/unit</f>
        <v>0</v>
      </c>
      <c r="BJ281" s="101">
        <f t="shared" ref="BJ281" si="1720">BJ280*$F271/unit</f>
        <v>0</v>
      </c>
      <c r="BK281" s="101">
        <f t="shared" ref="BK281" si="1721">BK280*$F271/unit</f>
        <v>0</v>
      </c>
      <c r="BL281" s="101">
        <f t="shared" ref="BL281" si="1722">BL280*$F271/unit</f>
        <v>0</v>
      </c>
      <c r="BM281" s="101">
        <f t="shared" ref="BM281" si="1723">BM280*$F271/unit</f>
        <v>0</v>
      </c>
      <c r="BN281" s="101">
        <f t="shared" ref="BN281" si="1724">BN280*$F271/unit</f>
        <v>0</v>
      </c>
      <c r="BO281" s="101">
        <f t="shared" ref="BO281" si="1725">BO280*$F271/unit</f>
        <v>0</v>
      </c>
      <c r="BP281" s="101">
        <f t="shared" ref="BP281" si="1726">BP280*$F271/unit</f>
        <v>0</v>
      </c>
      <c r="BQ281" s="101">
        <f t="shared" ref="BQ281" si="1727">BQ280*$F271/unit</f>
        <v>0</v>
      </c>
      <c r="BR281" s="101">
        <f t="shared" ref="BR281" si="1728">BR280*$F271/unit</f>
        <v>0</v>
      </c>
      <c r="BS281" s="101">
        <f t="shared" ref="BS281" si="1729">BS280*$F271/unit</f>
        <v>0</v>
      </c>
      <c r="BT281" s="101">
        <f t="shared" ref="BT281" si="1730">BT280*$F271/unit</f>
        <v>0</v>
      </c>
      <c r="BU281" s="101">
        <f t="shared" ref="BU281" si="1731">BU280*$F271/unit</f>
        <v>0</v>
      </c>
      <c r="BV281" s="101">
        <f t="shared" ref="BV281" si="1732">BV280*$F271/unit</f>
        <v>0</v>
      </c>
      <c r="BW281" s="101">
        <f t="shared" ref="BW281" si="1733">BW280*$F271/unit</f>
        <v>0</v>
      </c>
      <c r="BX281" s="101">
        <f t="shared" ref="BX281" si="1734">BX280*$F271/unit</f>
        <v>0</v>
      </c>
      <c r="BY281" s="101">
        <f t="shared" ref="BY281" si="1735">BY280*$F271/unit</f>
        <v>0</v>
      </c>
    </row>
    <row r="283" spans="4:77" ht="13.5" customHeight="1">
      <c r="D283" s="1" t="s">
        <v>168</v>
      </c>
    </row>
    <row r="284" spans="4:77" ht="13.5" customHeight="1">
      <c r="E284" s="1" t="s">
        <v>169</v>
      </c>
      <c r="H284" s="1">
        <f>F273</f>
        <v>704.25</v>
      </c>
      <c r="I284" s="1">
        <f>H287</f>
        <v>704.25</v>
      </c>
      <c r="J284" s="1">
        <f t="shared" ref="J284" si="1736">I287</f>
        <v>704.25</v>
      </c>
      <c r="K284" s="1">
        <f t="shared" ref="K284" si="1737">J287</f>
        <v>704.25</v>
      </c>
      <c r="L284" s="1">
        <f t="shared" ref="L284" si="1738">K287</f>
        <v>704.25</v>
      </c>
      <c r="M284" s="1">
        <f t="shared" ref="M284" si="1739">L287</f>
        <v>704.25</v>
      </c>
      <c r="N284" s="1">
        <f t="shared" ref="N284" si="1740">M287</f>
        <v>0</v>
      </c>
      <c r="O284" s="1">
        <f t="shared" ref="O284" si="1741">N287</f>
        <v>0</v>
      </c>
      <c r="P284" s="1">
        <f t="shared" ref="P284" si="1742">O287</f>
        <v>0</v>
      </c>
      <c r="Q284" s="1">
        <f t="shared" ref="Q284" si="1743">P287</f>
        <v>0</v>
      </c>
      <c r="R284" s="1">
        <f t="shared" ref="R284" si="1744">Q287</f>
        <v>0</v>
      </c>
      <c r="S284" s="1">
        <f t="shared" ref="S284" si="1745">R287</f>
        <v>0</v>
      </c>
      <c r="T284" s="1">
        <f t="shared" ref="T284" si="1746">S287</f>
        <v>0</v>
      </c>
      <c r="U284" s="1">
        <f t="shared" ref="U284" si="1747">T287</f>
        <v>0</v>
      </c>
      <c r="V284" s="1">
        <f t="shared" ref="V284" si="1748">U287</f>
        <v>0</v>
      </c>
      <c r="W284" s="1">
        <f t="shared" ref="W284" si="1749">V287</f>
        <v>0</v>
      </c>
      <c r="X284" s="1">
        <f t="shared" ref="X284" si="1750">W287</f>
        <v>0</v>
      </c>
      <c r="Y284" s="1">
        <f t="shared" ref="Y284" si="1751">X287</f>
        <v>0</v>
      </c>
      <c r="Z284" s="1">
        <f t="shared" ref="Z284" si="1752">Y287</f>
        <v>0</v>
      </c>
      <c r="AA284" s="1">
        <f t="shared" ref="AA284" si="1753">Z287</f>
        <v>0</v>
      </c>
      <c r="AB284" s="1">
        <f t="shared" ref="AB284" si="1754">AA287</f>
        <v>0</v>
      </c>
      <c r="AC284" s="1">
        <f t="shared" ref="AC284" si="1755">AB287</f>
        <v>0</v>
      </c>
      <c r="AD284" s="1">
        <f t="shared" ref="AD284" si="1756">AC287</f>
        <v>0</v>
      </c>
      <c r="AE284" s="1">
        <f t="shared" ref="AE284" si="1757">AD287</f>
        <v>0</v>
      </c>
      <c r="AF284" s="1">
        <f t="shared" ref="AF284" si="1758">AE287</f>
        <v>0</v>
      </c>
      <c r="AG284" s="1">
        <f t="shared" ref="AG284" si="1759">AF287</f>
        <v>0</v>
      </c>
      <c r="AH284" s="1">
        <f t="shared" ref="AH284" si="1760">AG287</f>
        <v>0</v>
      </c>
      <c r="AI284" s="1">
        <f t="shared" ref="AI284" si="1761">AH287</f>
        <v>0</v>
      </c>
      <c r="AJ284" s="1">
        <f t="shared" ref="AJ284" si="1762">AI287</f>
        <v>0</v>
      </c>
      <c r="AK284" s="1">
        <f t="shared" ref="AK284" si="1763">AJ287</f>
        <v>0</v>
      </c>
      <c r="AL284" s="1">
        <f t="shared" ref="AL284" si="1764">AK287</f>
        <v>0</v>
      </c>
      <c r="AM284" s="1">
        <f t="shared" ref="AM284" si="1765">AL287</f>
        <v>0</v>
      </c>
      <c r="AN284" s="1">
        <f t="shared" ref="AN284" si="1766">AM287</f>
        <v>0</v>
      </c>
      <c r="AO284" s="1">
        <f t="shared" ref="AO284" si="1767">AN287</f>
        <v>0</v>
      </c>
      <c r="AP284" s="1">
        <f t="shared" ref="AP284" si="1768">AO287</f>
        <v>0</v>
      </c>
      <c r="AQ284" s="1">
        <f t="shared" ref="AQ284" si="1769">AP287</f>
        <v>0</v>
      </c>
      <c r="AR284" s="1">
        <f t="shared" ref="AR284" si="1770">AQ287</f>
        <v>0</v>
      </c>
      <c r="AS284" s="1">
        <f t="shared" ref="AS284" si="1771">AR287</f>
        <v>0</v>
      </c>
      <c r="AT284" s="1">
        <f t="shared" ref="AT284" si="1772">AS287</f>
        <v>0</v>
      </c>
      <c r="AU284" s="1">
        <f t="shared" ref="AU284" si="1773">AT287</f>
        <v>0</v>
      </c>
      <c r="AV284" s="1">
        <f t="shared" ref="AV284" si="1774">AU287</f>
        <v>0</v>
      </c>
      <c r="AW284" s="1">
        <f t="shared" ref="AW284" si="1775">AV287</f>
        <v>0</v>
      </c>
      <c r="AX284" s="1">
        <f t="shared" ref="AX284" si="1776">AW287</f>
        <v>0</v>
      </c>
      <c r="AY284" s="1">
        <f t="shared" ref="AY284" si="1777">AX287</f>
        <v>0</v>
      </c>
      <c r="AZ284" s="1">
        <f t="shared" ref="AZ284" si="1778">AY287</f>
        <v>0</v>
      </c>
      <c r="BA284" s="1">
        <f t="shared" ref="BA284" si="1779">AZ287</f>
        <v>0</v>
      </c>
      <c r="BB284" s="1">
        <f t="shared" ref="BB284" si="1780">BA287</f>
        <v>0</v>
      </c>
      <c r="BC284" s="1">
        <f t="shared" ref="BC284" si="1781">BB287</f>
        <v>0</v>
      </c>
      <c r="BD284" s="1">
        <f t="shared" ref="BD284" si="1782">BC287</f>
        <v>0</v>
      </c>
      <c r="BE284" s="1">
        <f t="shared" ref="BE284" si="1783">BD287</f>
        <v>0</v>
      </c>
      <c r="BF284" s="1">
        <f t="shared" ref="BF284" si="1784">BE287</f>
        <v>0</v>
      </c>
      <c r="BG284" s="1">
        <f t="shared" ref="BG284" si="1785">BF287</f>
        <v>0</v>
      </c>
      <c r="BH284" s="1">
        <f t="shared" ref="BH284" si="1786">BG287</f>
        <v>0</v>
      </c>
      <c r="BI284" s="1">
        <f t="shared" ref="BI284" si="1787">BH287</f>
        <v>0</v>
      </c>
      <c r="BJ284" s="1">
        <f t="shared" ref="BJ284" si="1788">BI287</f>
        <v>0</v>
      </c>
      <c r="BK284" s="1">
        <f t="shared" ref="BK284" si="1789">BJ287</f>
        <v>0</v>
      </c>
      <c r="BL284" s="1">
        <f t="shared" ref="BL284" si="1790">BK287</f>
        <v>0</v>
      </c>
      <c r="BM284" s="1">
        <f t="shared" ref="BM284" si="1791">BL287</f>
        <v>0</v>
      </c>
      <c r="BN284" s="1">
        <f t="shared" ref="BN284" si="1792">BM287</f>
        <v>0</v>
      </c>
      <c r="BO284" s="1">
        <f t="shared" ref="BO284" si="1793">BN287</f>
        <v>0</v>
      </c>
      <c r="BP284" s="1">
        <f t="shared" ref="BP284" si="1794">BO287</f>
        <v>0</v>
      </c>
      <c r="BQ284" s="1">
        <f t="shared" ref="BQ284" si="1795">BP287</f>
        <v>0</v>
      </c>
      <c r="BR284" s="1">
        <f t="shared" ref="BR284" si="1796">BQ287</f>
        <v>0</v>
      </c>
      <c r="BS284" s="1">
        <f t="shared" ref="BS284" si="1797">BR287</f>
        <v>0</v>
      </c>
      <c r="BT284" s="1">
        <f t="shared" ref="BT284" si="1798">BS287</f>
        <v>0</v>
      </c>
      <c r="BU284" s="1">
        <f t="shared" ref="BU284" si="1799">BT287</f>
        <v>0</v>
      </c>
      <c r="BV284" s="1">
        <f t="shared" ref="BV284" si="1800">BU287</f>
        <v>0</v>
      </c>
      <c r="BW284" s="1">
        <f t="shared" ref="BW284" si="1801">BV287</f>
        <v>0</v>
      </c>
      <c r="BX284" s="1">
        <f t="shared" ref="BX284" si="1802">BW287</f>
        <v>0</v>
      </c>
      <c r="BY284" s="1">
        <f t="shared" ref="BY284" si="1803">BX287</f>
        <v>0</v>
      </c>
    </row>
    <row r="285" spans="4:77" ht="13.5" customHeight="1">
      <c r="E285" s="1" t="s">
        <v>170</v>
      </c>
      <c r="H285" s="1">
        <v>0</v>
      </c>
      <c r="I285" s="1">
        <v>0</v>
      </c>
      <c r="J285" s="1">
        <v>0</v>
      </c>
      <c r="K285" s="1">
        <v>0</v>
      </c>
      <c r="L285" s="1">
        <v>0</v>
      </c>
      <c r="M285" s="1">
        <v>0</v>
      </c>
      <c r="N285" s="1">
        <v>0</v>
      </c>
      <c r="O285" s="1">
        <v>0</v>
      </c>
      <c r="P285" s="1">
        <v>0</v>
      </c>
      <c r="Q285" s="1">
        <v>0</v>
      </c>
      <c r="R285" s="1">
        <v>0</v>
      </c>
      <c r="S285" s="1">
        <v>0</v>
      </c>
      <c r="T285" s="1">
        <v>0</v>
      </c>
      <c r="U285" s="1">
        <v>0</v>
      </c>
      <c r="V285" s="1">
        <v>0</v>
      </c>
      <c r="W285" s="1">
        <v>0</v>
      </c>
      <c r="X285" s="1">
        <v>0</v>
      </c>
      <c r="Y285" s="1">
        <v>0</v>
      </c>
      <c r="Z285" s="1">
        <v>0</v>
      </c>
      <c r="AA285" s="1">
        <v>0</v>
      </c>
      <c r="AB285" s="1">
        <v>0</v>
      </c>
      <c r="AC285" s="1">
        <v>0</v>
      </c>
      <c r="AD285" s="1">
        <v>0</v>
      </c>
      <c r="AE285" s="1">
        <v>0</v>
      </c>
      <c r="AF285" s="1">
        <v>0</v>
      </c>
      <c r="AG285" s="1">
        <v>0</v>
      </c>
      <c r="AH285" s="1">
        <v>0</v>
      </c>
      <c r="AI285" s="1">
        <v>0</v>
      </c>
      <c r="AJ285" s="1">
        <v>0</v>
      </c>
      <c r="AK285" s="1">
        <v>0</v>
      </c>
      <c r="AL285" s="1">
        <v>0</v>
      </c>
      <c r="AM285" s="1">
        <v>0</v>
      </c>
      <c r="AN285" s="1">
        <v>0</v>
      </c>
      <c r="AO285" s="1">
        <v>0</v>
      </c>
      <c r="AP285" s="1">
        <v>0</v>
      </c>
      <c r="AQ285" s="1">
        <v>0</v>
      </c>
      <c r="AR285" s="1">
        <v>0</v>
      </c>
      <c r="AS285" s="1">
        <v>0</v>
      </c>
      <c r="AT285" s="1">
        <v>0</v>
      </c>
      <c r="AU285" s="1">
        <v>0</v>
      </c>
      <c r="AV285" s="1">
        <v>0</v>
      </c>
      <c r="AW285" s="1">
        <v>0</v>
      </c>
      <c r="AX285" s="1">
        <v>0</v>
      </c>
      <c r="AY285" s="1">
        <v>0</v>
      </c>
      <c r="AZ285" s="1">
        <v>0</v>
      </c>
      <c r="BA285" s="1">
        <v>0</v>
      </c>
      <c r="BB285" s="1">
        <v>0</v>
      </c>
      <c r="BC285" s="1">
        <v>0</v>
      </c>
      <c r="BD285" s="1">
        <v>0</v>
      </c>
      <c r="BE285" s="1">
        <v>0</v>
      </c>
      <c r="BF285" s="1">
        <v>0</v>
      </c>
      <c r="BG285" s="1">
        <v>0</v>
      </c>
      <c r="BH285" s="1">
        <v>0</v>
      </c>
      <c r="BI285" s="1">
        <v>0</v>
      </c>
      <c r="BJ285" s="1">
        <v>0</v>
      </c>
      <c r="BK285" s="1">
        <v>0</v>
      </c>
      <c r="BL285" s="1">
        <v>0</v>
      </c>
      <c r="BM285" s="1">
        <v>0</v>
      </c>
      <c r="BN285" s="1">
        <v>0</v>
      </c>
      <c r="BO285" s="1">
        <v>0</v>
      </c>
      <c r="BP285" s="1">
        <v>0</v>
      </c>
      <c r="BQ285" s="1">
        <v>0</v>
      </c>
      <c r="BR285" s="1">
        <v>0</v>
      </c>
      <c r="BS285" s="1">
        <v>0</v>
      </c>
      <c r="BT285" s="1">
        <v>0</v>
      </c>
      <c r="BU285" s="1">
        <v>0</v>
      </c>
      <c r="BV285" s="1">
        <v>0</v>
      </c>
      <c r="BW285" s="1">
        <v>0</v>
      </c>
      <c r="BX285" s="1">
        <v>0</v>
      </c>
      <c r="BY285" s="1">
        <v>0</v>
      </c>
    </row>
    <row r="286" spans="4:77" ht="13.5" customHeight="1">
      <c r="E286" s="1" t="s">
        <v>171</v>
      </c>
      <c r="H286" s="1">
        <f>(H$14=$F268)*$F273*-1</f>
        <v>0</v>
      </c>
      <c r="I286" s="1">
        <f t="shared" ref="I286:BT286" si="1804">(I$14=$F268)*$F273*-1</f>
        <v>0</v>
      </c>
      <c r="J286" s="1">
        <f t="shared" si="1804"/>
        <v>0</v>
      </c>
      <c r="K286" s="1">
        <f t="shared" si="1804"/>
        <v>0</v>
      </c>
      <c r="L286" s="1">
        <f t="shared" si="1804"/>
        <v>0</v>
      </c>
      <c r="M286" s="1">
        <f t="shared" si="1804"/>
        <v>-704.25</v>
      </c>
      <c r="N286" s="1">
        <f t="shared" si="1804"/>
        <v>0</v>
      </c>
      <c r="O286" s="1">
        <f t="shared" si="1804"/>
        <v>0</v>
      </c>
      <c r="P286" s="1">
        <f t="shared" si="1804"/>
        <v>0</v>
      </c>
      <c r="Q286" s="1">
        <f t="shared" si="1804"/>
        <v>0</v>
      </c>
      <c r="R286" s="1">
        <f t="shared" si="1804"/>
        <v>0</v>
      </c>
      <c r="S286" s="1">
        <f t="shared" si="1804"/>
        <v>0</v>
      </c>
      <c r="T286" s="1">
        <f t="shared" si="1804"/>
        <v>0</v>
      </c>
      <c r="U286" s="1">
        <f t="shared" si="1804"/>
        <v>0</v>
      </c>
      <c r="V286" s="1">
        <f t="shared" si="1804"/>
        <v>0</v>
      </c>
      <c r="W286" s="1">
        <f t="shared" si="1804"/>
        <v>0</v>
      </c>
      <c r="X286" s="1">
        <f t="shared" si="1804"/>
        <v>0</v>
      </c>
      <c r="Y286" s="1">
        <f t="shared" si="1804"/>
        <v>0</v>
      </c>
      <c r="Z286" s="1">
        <f t="shared" si="1804"/>
        <v>0</v>
      </c>
      <c r="AA286" s="1">
        <f t="shared" si="1804"/>
        <v>0</v>
      </c>
      <c r="AB286" s="1">
        <f t="shared" si="1804"/>
        <v>0</v>
      </c>
      <c r="AC286" s="1">
        <f t="shared" si="1804"/>
        <v>0</v>
      </c>
      <c r="AD286" s="1">
        <f t="shared" si="1804"/>
        <v>0</v>
      </c>
      <c r="AE286" s="1">
        <f t="shared" si="1804"/>
        <v>0</v>
      </c>
      <c r="AF286" s="1">
        <f t="shared" si="1804"/>
        <v>0</v>
      </c>
      <c r="AG286" s="1">
        <f t="shared" si="1804"/>
        <v>0</v>
      </c>
      <c r="AH286" s="1">
        <f t="shared" si="1804"/>
        <v>0</v>
      </c>
      <c r="AI286" s="1">
        <f t="shared" si="1804"/>
        <v>0</v>
      </c>
      <c r="AJ286" s="1">
        <f t="shared" si="1804"/>
        <v>0</v>
      </c>
      <c r="AK286" s="1">
        <f t="shared" si="1804"/>
        <v>0</v>
      </c>
      <c r="AL286" s="1">
        <f t="shared" si="1804"/>
        <v>0</v>
      </c>
      <c r="AM286" s="1">
        <f t="shared" si="1804"/>
        <v>0</v>
      </c>
      <c r="AN286" s="1">
        <f t="shared" si="1804"/>
        <v>0</v>
      </c>
      <c r="AO286" s="1">
        <f t="shared" si="1804"/>
        <v>0</v>
      </c>
      <c r="AP286" s="1">
        <f t="shared" si="1804"/>
        <v>0</v>
      </c>
      <c r="AQ286" s="1">
        <f t="shared" si="1804"/>
        <v>0</v>
      </c>
      <c r="AR286" s="1">
        <f t="shared" si="1804"/>
        <v>0</v>
      </c>
      <c r="AS286" s="1">
        <f t="shared" si="1804"/>
        <v>0</v>
      </c>
      <c r="AT286" s="1">
        <f t="shared" si="1804"/>
        <v>0</v>
      </c>
      <c r="AU286" s="1">
        <f t="shared" si="1804"/>
        <v>0</v>
      </c>
      <c r="AV286" s="1">
        <f t="shared" si="1804"/>
        <v>0</v>
      </c>
      <c r="AW286" s="1">
        <f t="shared" si="1804"/>
        <v>0</v>
      </c>
      <c r="AX286" s="1">
        <f t="shared" si="1804"/>
        <v>0</v>
      </c>
      <c r="AY286" s="1">
        <f t="shared" si="1804"/>
        <v>0</v>
      </c>
      <c r="AZ286" s="1">
        <f t="shared" si="1804"/>
        <v>0</v>
      </c>
      <c r="BA286" s="1">
        <f t="shared" si="1804"/>
        <v>0</v>
      </c>
      <c r="BB286" s="1">
        <f t="shared" si="1804"/>
        <v>0</v>
      </c>
      <c r="BC286" s="1">
        <f t="shared" si="1804"/>
        <v>0</v>
      </c>
      <c r="BD286" s="1">
        <f t="shared" si="1804"/>
        <v>0</v>
      </c>
      <c r="BE286" s="1">
        <f t="shared" si="1804"/>
        <v>0</v>
      </c>
      <c r="BF286" s="1">
        <f t="shared" si="1804"/>
        <v>0</v>
      </c>
      <c r="BG286" s="1">
        <f t="shared" si="1804"/>
        <v>0</v>
      </c>
      <c r="BH286" s="1">
        <f t="shared" si="1804"/>
        <v>0</v>
      </c>
      <c r="BI286" s="1">
        <f t="shared" si="1804"/>
        <v>0</v>
      </c>
      <c r="BJ286" s="1">
        <f t="shared" si="1804"/>
        <v>0</v>
      </c>
      <c r="BK286" s="1">
        <f t="shared" si="1804"/>
        <v>0</v>
      </c>
      <c r="BL286" s="1">
        <f t="shared" si="1804"/>
        <v>0</v>
      </c>
      <c r="BM286" s="1">
        <f t="shared" si="1804"/>
        <v>0</v>
      </c>
      <c r="BN286" s="1">
        <f t="shared" si="1804"/>
        <v>0</v>
      </c>
      <c r="BO286" s="1">
        <f t="shared" si="1804"/>
        <v>0</v>
      </c>
      <c r="BP286" s="1">
        <f t="shared" si="1804"/>
        <v>0</v>
      </c>
      <c r="BQ286" s="1">
        <f t="shared" si="1804"/>
        <v>0</v>
      </c>
      <c r="BR286" s="1">
        <f t="shared" si="1804"/>
        <v>0</v>
      </c>
      <c r="BS286" s="1">
        <f t="shared" si="1804"/>
        <v>0</v>
      </c>
      <c r="BT286" s="1">
        <f t="shared" si="1804"/>
        <v>0</v>
      </c>
      <c r="BU286" s="1">
        <f t="shared" ref="BU286:BY286" si="1805">(BU$14=$F268)*$F273*-1</f>
        <v>0</v>
      </c>
      <c r="BV286" s="1">
        <f t="shared" si="1805"/>
        <v>0</v>
      </c>
      <c r="BW286" s="1">
        <f t="shared" si="1805"/>
        <v>0</v>
      </c>
      <c r="BX286" s="1">
        <f t="shared" si="1805"/>
        <v>0</v>
      </c>
      <c r="BY286" s="1">
        <f t="shared" si="1805"/>
        <v>0</v>
      </c>
    </row>
    <row r="287" spans="4:77" ht="13.5" customHeight="1">
      <c r="E287" s="41" t="s">
        <v>172</v>
      </c>
      <c r="F287" s="41"/>
      <c r="G287" s="41"/>
      <c r="H287" s="41">
        <f>SUM(H284:H286)</f>
        <v>704.25</v>
      </c>
      <c r="I287" s="41">
        <f t="shared" ref="I287:BT287" si="1806">SUM(I284:I286)</f>
        <v>704.25</v>
      </c>
      <c r="J287" s="41">
        <f t="shared" si="1806"/>
        <v>704.25</v>
      </c>
      <c r="K287" s="41">
        <f t="shared" si="1806"/>
        <v>704.25</v>
      </c>
      <c r="L287" s="41">
        <f t="shared" si="1806"/>
        <v>704.25</v>
      </c>
      <c r="M287" s="41">
        <f t="shared" si="1806"/>
        <v>0</v>
      </c>
      <c r="N287" s="41">
        <f t="shared" si="1806"/>
        <v>0</v>
      </c>
      <c r="O287" s="41">
        <f t="shared" si="1806"/>
        <v>0</v>
      </c>
      <c r="P287" s="41">
        <f t="shared" si="1806"/>
        <v>0</v>
      </c>
      <c r="Q287" s="41">
        <f t="shared" si="1806"/>
        <v>0</v>
      </c>
      <c r="R287" s="41">
        <f t="shared" si="1806"/>
        <v>0</v>
      </c>
      <c r="S287" s="41">
        <f t="shared" si="1806"/>
        <v>0</v>
      </c>
      <c r="T287" s="41">
        <f t="shared" si="1806"/>
        <v>0</v>
      </c>
      <c r="U287" s="41">
        <f t="shared" si="1806"/>
        <v>0</v>
      </c>
      <c r="V287" s="41">
        <f t="shared" si="1806"/>
        <v>0</v>
      </c>
      <c r="W287" s="41">
        <f t="shared" si="1806"/>
        <v>0</v>
      </c>
      <c r="X287" s="41">
        <f t="shared" si="1806"/>
        <v>0</v>
      </c>
      <c r="Y287" s="41">
        <f t="shared" si="1806"/>
        <v>0</v>
      </c>
      <c r="Z287" s="41">
        <f t="shared" si="1806"/>
        <v>0</v>
      </c>
      <c r="AA287" s="41">
        <f t="shared" si="1806"/>
        <v>0</v>
      </c>
      <c r="AB287" s="41">
        <f t="shared" si="1806"/>
        <v>0</v>
      </c>
      <c r="AC287" s="41">
        <f t="shared" si="1806"/>
        <v>0</v>
      </c>
      <c r="AD287" s="41">
        <f t="shared" si="1806"/>
        <v>0</v>
      </c>
      <c r="AE287" s="41">
        <f t="shared" si="1806"/>
        <v>0</v>
      </c>
      <c r="AF287" s="41">
        <f t="shared" si="1806"/>
        <v>0</v>
      </c>
      <c r="AG287" s="41">
        <f t="shared" si="1806"/>
        <v>0</v>
      </c>
      <c r="AH287" s="41">
        <f t="shared" si="1806"/>
        <v>0</v>
      </c>
      <c r="AI287" s="41">
        <f t="shared" si="1806"/>
        <v>0</v>
      </c>
      <c r="AJ287" s="41">
        <f t="shared" si="1806"/>
        <v>0</v>
      </c>
      <c r="AK287" s="41">
        <f t="shared" si="1806"/>
        <v>0</v>
      </c>
      <c r="AL287" s="41">
        <f t="shared" si="1806"/>
        <v>0</v>
      </c>
      <c r="AM287" s="41">
        <f t="shared" si="1806"/>
        <v>0</v>
      </c>
      <c r="AN287" s="41">
        <f t="shared" si="1806"/>
        <v>0</v>
      </c>
      <c r="AO287" s="41">
        <f t="shared" si="1806"/>
        <v>0</v>
      </c>
      <c r="AP287" s="41">
        <f t="shared" si="1806"/>
        <v>0</v>
      </c>
      <c r="AQ287" s="41">
        <f t="shared" si="1806"/>
        <v>0</v>
      </c>
      <c r="AR287" s="41">
        <f t="shared" si="1806"/>
        <v>0</v>
      </c>
      <c r="AS287" s="41">
        <f t="shared" si="1806"/>
        <v>0</v>
      </c>
      <c r="AT287" s="41">
        <f t="shared" si="1806"/>
        <v>0</v>
      </c>
      <c r="AU287" s="41">
        <f t="shared" si="1806"/>
        <v>0</v>
      </c>
      <c r="AV287" s="41">
        <f t="shared" si="1806"/>
        <v>0</v>
      </c>
      <c r="AW287" s="41">
        <f t="shared" si="1806"/>
        <v>0</v>
      </c>
      <c r="AX287" s="41">
        <f t="shared" si="1806"/>
        <v>0</v>
      </c>
      <c r="AY287" s="41">
        <f t="shared" si="1806"/>
        <v>0</v>
      </c>
      <c r="AZ287" s="41">
        <f t="shared" si="1806"/>
        <v>0</v>
      </c>
      <c r="BA287" s="41">
        <f t="shared" si="1806"/>
        <v>0</v>
      </c>
      <c r="BB287" s="41">
        <f t="shared" si="1806"/>
        <v>0</v>
      </c>
      <c r="BC287" s="41">
        <f t="shared" si="1806"/>
        <v>0</v>
      </c>
      <c r="BD287" s="41">
        <f t="shared" si="1806"/>
        <v>0</v>
      </c>
      <c r="BE287" s="41">
        <f t="shared" si="1806"/>
        <v>0</v>
      </c>
      <c r="BF287" s="41">
        <f t="shared" si="1806"/>
        <v>0</v>
      </c>
      <c r="BG287" s="41">
        <f t="shared" si="1806"/>
        <v>0</v>
      </c>
      <c r="BH287" s="41">
        <f t="shared" si="1806"/>
        <v>0</v>
      </c>
      <c r="BI287" s="41">
        <f t="shared" si="1806"/>
        <v>0</v>
      </c>
      <c r="BJ287" s="41">
        <f t="shared" si="1806"/>
        <v>0</v>
      </c>
      <c r="BK287" s="41">
        <f t="shared" si="1806"/>
        <v>0</v>
      </c>
      <c r="BL287" s="41">
        <f t="shared" si="1806"/>
        <v>0</v>
      </c>
      <c r="BM287" s="41">
        <f t="shared" si="1806"/>
        <v>0</v>
      </c>
      <c r="BN287" s="41">
        <f t="shared" si="1806"/>
        <v>0</v>
      </c>
      <c r="BO287" s="41">
        <f t="shared" si="1806"/>
        <v>0</v>
      </c>
      <c r="BP287" s="41">
        <f t="shared" si="1806"/>
        <v>0</v>
      </c>
      <c r="BQ287" s="41">
        <f t="shared" si="1806"/>
        <v>0</v>
      </c>
      <c r="BR287" s="41">
        <f t="shared" si="1806"/>
        <v>0</v>
      </c>
      <c r="BS287" s="41">
        <f t="shared" si="1806"/>
        <v>0</v>
      </c>
      <c r="BT287" s="41">
        <f t="shared" si="1806"/>
        <v>0</v>
      </c>
      <c r="BU287" s="41">
        <f t="shared" ref="BU287:BY287" si="1807">SUM(BU284:BU286)</f>
        <v>0</v>
      </c>
      <c r="BV287" s="41">
        <f t="shared" si="1807"/>
        <v>0</v>
      </c>
      <c r="BW287" s="41">
        <f t="shared" si="1807"/>
        <v>0</v>
      </c>
      <c r="BX287" s="41">
        <f t="shared" si="1807"/>
        <v>0</v>
      </c>
      <c r="BY287" s="41">
        <f t="shared" si="1807"/>
        <v>0</v>
      </c>
    </row>
    <row r="289" spans="3:77" ht="13.5" customHeight="1">
      <c r="C289" s="13" t="s">
        <v>183</v>
      </c>
    </row>
    <row r="290" spans="3:77" s="11" customFormat="1" ht="13.5" customHeight="1">
      <c r="F290" s="11" t="s">
        <v>160</v>
      </c>
      <c r="H290" s="11">
        <f t="shared" ref="H290:AM290" si="1808">(H$14&gt;=$F297)*(H$14&lt;=exit)*1</f>
        <v>0</v>
      </c>
      <c r="I290" s="11">
        <f t="shared" si="1808"/>
        <v>0</v>
      </c>
      <c r="J290" s="11">
        <f t="shared" si="1808"/>
        <v>0</v>
      </c>
      <c r="K290" s="11">
        <f t="shared" si="1808"/>
        <v>0</v>
      </c>
      <c r="L290" s="11">
        <f t="shared" si="1808"/>
        <v>0</v>
      </c>
      <c r="M290" s="11">
        <f t="shared" si="1808"/>
        <v>0</v>
      </c>
      <c r="N290" s="11">
        <f t="shared" si="1808"/>
        <v>0</v>
      </c>
      <c r="O290" s="11">
        <f t="shared" si="1808"/>
        <v>1</v>
      </c>
      <c r="P290" s="11">
        <f t="shared" si="1808"/>
        <v>1</v>
      </c>
      <c r="Q290" s="11">
        <f t="shared" si="1808"/>
        <v>1</v>
      </c>
      <c r="R290" s="11">
        <f t="shared" si="1808"/>
        <v>1</v>
      </c>
      <c r="S290" s="11">
        <f t="shared" si="1808"/>
        <v>1</v>
      </c>
      <c r="T290" s="11">
        <f t="shared" si="1808"/>
        <v>1</v>
      </c>
      <c r="U290" s="11">
        <f t="shared" si="1808"/>
        <v>1</v>
      </c>
      <c r="V290" s="11">
        <f t="shared" si="1808"/>
        <v>1</v>
      </c>
      <c r="W290" s="11">
        <f t="shared" si="1808"/>
        <v>1</v>
      </c>
      <c r="X290" s="11">
        <f t="shared" si="1808"/>
        <v>1</v>
      </c>
      <c r="Y290" s="11">
        <f t="shared" si="1808"/>
        <v>1</v>
      </c>
      <c r="Z290" s="11">
        <f t="shared" si="1808"/>
        <v>1</v>
      </c>
      <c r="AA290" s="11">
        <f t="shared" si="1808"/>
        <v>1</v>
      </c>
      <c r="AB290" s="11">
        <f t="shared" si="1808"/>
        <v>1</v>
      </c>
      <c r="AC290" s="11">
        <f t="shared" si="1808"/>
        <v>1</v>
      </c>
      <c r="AD290" s="11">
        <f t="shared" si="1808"/>
        <v>1</v>
      </c>
      <c r="AE290" s="11">
        <f t="shared" si="1808"/>
        <v>1</v>
      </c>
      <c r="AF290" s="11">
        <f t="shared" si="1808"/>
        <v>1</v>
      </c>
      <c r="AG290" s="11">
        <f t="shared" si="1808"/>
        <v>1</v>
      </c>
      <c r="AH290" s="11">
        <f t="shared" si="1808"/>
        <v>1</v>
      </c>
      <c r="AI290" s="11">
        <f t="shared" si="1808"/>
        <v>1</v>
      </c>
      <c r="AJ290" s="11">
        <f t="shared" si="1808"/>
        <v>1</v>
      </c>
      <c r="AK290" s="11">
        <f t="shared" si="1808"/>
        <v>1</v>
      </c>
      <c r="AL290" s="11">
        <f t="shared" si="1808"/>
        <v>1</v>
      </c>
      <c r="AM290" s="11">
        <f t="shared" si="1808"/>
        <v>1</v>
      </c>
      <c r="AN290" s="11">
        <f t="shared" ref="AN290:BS290" si="1809">(AN$14&gt;=$F297)*(AN$14&lt;=exit)*1</f>
        <v>1</v>
      </c>
      <c r="AO290" s="11">
        <f t="shared" si="1809"/>
        <v>1</v>
      </c>
      <c r="AP290" s="11">
        <f t="shared" si="1809"/>
        <v>1</v>
      </c>
      <c r="AQ290" s="11">
        <f t="shared" si="1809"/>
        <v>1</v>
      </c>
      <c r="AR290" s="11">
        <f t="shared" si="1809"/>
        <v>1</v>
      </c>
      <c r="AS290" s="11">
        <f t="shared" si="1809"/>
        <v>1</v>
      </c>
      <c r="AT290" s="11">
        <f t="shared" si="1809"/>
        <v>1</v>
      </c>
      <c r="AU290" s="11">
        <f t="shared" si="1809"/>
        <v>1</v>
      </c>
      <c r="AV290" s="11">
        <f t="shared" si="1809"/>
        <v>1</v>
      </c>
      <c r="AW290" s="11">
        <f t="shared" si="1809"/>
        <v>1</v>
      </c>
      <c r="AX290" s="11">
        <f t="shared" si="1809"/>
        <v>1</v>
      </c>
      <c r="AY290" s="11">
        <f t="shared" si="1809"/>
        <v>1</v>
      </c>
      <c r="AZ290" s="11">
        <f t="shared" si="1809"/>
        <v>1</v>
      </c>
      <c r="BA290" s="11">
        <f t="shared" si="1809"/>
        <v>1</v>
      </c>
      <c r="BB290" s="11">
        <f t="shared" si="1809"/>
        <v>1</v>
      </c>
      <c r="BC290" s="11">
        <f t="shared" si="1809"/>
        <v>1</v>
      </c>
      <c r="BD290" s="11">
        <f t="shared" si="1809"/>
        <v>1</v>
      </c>
      <c r="BE290" s="11">
        <f t="shared" si="1809"/>
        <v>1</v>
      </c>
      <c r="BF290" s="11">
        <f t="shared" si="1809"/>
        <v>1</v>
      </c>
      <c r="BG290" s="11">
        <f t="shared" si="1809"/>
        <v>1</v>
      </c>
      <c r="BH290" s="11">
        <f t="shared" si="1809"/>
        <v>1</v>
      </c>
      <c r="BI290" s="11">
        <f t="shared" si="1809"/>
        <v>1</v>
      </c>
      <c r="BJ290" s="11">
        <f t="shared" si="1809"/>
        <v>1</v>
      </c>
      <c r="BK290" s="11">
        <f t="shared" si="1809"/>
        <v>1</v>
      </c>
      <c r="BL290" s="11">
        <f t="shared" si="1809"/>
        <v>1</v>
      </c>
      <c r="BM290" s="11">
        <f t="shared" si="1809"/>
        <v>1</v>
      </c>
      <c r="BN290" s="11">
        <f t="shared" si="1809"/>
        <v>1</v>
      </c>
      <c r="BO290" s="11">
        <f t="shared" si="1809"/>
        <v>1</v>
      </c>
      <c r="BP290" s="11">
        <f t="shared" si="1809"/>
        <v>1</v>
      </c>
      <c r="BQ290" s="11">
        <f t="shared" si="1809"/>
        <v>0</v>
      </c>
      <c r="BR290" s="11">
        <f t="shared" si="1809"/>
        <v>0</v>
      </c>
      <c r="BS290" s="11">
        <f t="shared" si="1809"/>
        <v>0</v>
      </c>
      <c r="BT290" s="11">
        <f t="shared" ref="BT290:BY290" si="1810">(BT$14&gt;=$F297)*(BT$14&lt;=exit)*1</f>
        <v>0</v>
      </c>
      <c r="BU290" s="11">
        <f t="shared" si="1810"/>
        <v>0</v>
      </c>
      <c r="BV290" s="11">
        <f t="shared" si="1810"/>
        <v>0</v>
      </c>
      <c r="BW290" s="11">
        <f t="shared" si="1810"/>
        <v>0</v>
      </c>
      <c r="BX290" s="11">
        <f t="shared" si="1810"/>
        <v>0</v>
      </c>
      <c r="BY290" s="11">
        <f t="shared" si="1810"/>
        <v>0</v>
      </c>
    </row>
    <row r="291" spans="3:77" s="11" customFormat="1" ht="13.5" customHeight="1">
      <c r="F291" s="11" t="s">
        <v>191</v>
      </c>
      <c r="H291" s="11">
        <f>SUM($H290:H290)*H290</f>
        <v>0</v>
      </c>
      <c r="I291" s="11">
        <f>SUM($H290:I290)*I290</f>
        <v>0</v>
      </c>
      <c r="J291" s="11">
        <f>SUM($H290:J290)*J290</f>
        <v>0</v>
      </c>
      <c r="K291" s="11">
        <f>SUM($H290:K290)*K290</f>
        <v>0</v>
      </c>
      <c r="L291" s="11">
        <f>SUM($H290:L290)*L290</f>
        <v>0</v>
      </c>
      <c r="M291" s="11">
        <f>SUM($H290:M290)*M290</f>
        <v>0</v>
      </c>
      <c r="N291" s="11">
        <f>SUM($H290:N290)*N290</f>
        <v>0</v>
      </c>
      <c r="O291" s="11">
        <f>SUM($H290:O290)*O290</f>
        <v>1</v>
      </c>
      <c r="P291" s="11">
        <f>SUM($H290:P290)*P290</f>
        <v>2</v>
      </c>
      <c r="Q291" s="11">
        <f>SUM($H290:Q290)*Q290</f>
        <v>3</v>
      </c>
      <c r="R291" s="11">
        <f>SUM($H290:R290)*R290</f>
        <v>4</v>
      </c>
      <c r="S291" s="11">
        <f>SUM($H290:S290)*S290</f>
        <v>5</v>
      </c>
      <c r="T291" s="11">
        <f>SUM($H290:T290)*T290</f>
        <v>6</v>
      </c>
      <c r="U291" s="11">
        <f>SUM($H290:U290)*U290</f>
        <v>7</v>
      </c>
      <c r="V291" s="11">
        <f>SUM($H290:V290)*V290</f>
        <v>8</v>
      </c>
      <c r="W291" s="11">
        <f>SUM($H290:W290)*W290</f>
        <v>9</v>
      </c>
      <c r="X291" s="11">
        <f>SUM($H290:X290)*X290</f>
        <v>10</v>
      </c>
      <c r="Y291" s="11">
        <f>SUM($H290:Y290)*Y290</f>
        <v>11</v>
      </c>
      <c r="Z291" s="11">
        <f>SUM($H290:Z290)*Z290</f>
        <v>12</v>
      </c>
      <c r="AA291" s="11">
        <f>SUM($H290:AA290)*AA290</f>
        <v>13</v>
      </c>
      <c r="AB291" s="11">
        <f>SUM($H290:AB290)*AB290</f>
        <v>14</v>
      </c>
      <c r="AC291" s="11">
        <f>SUM($H290:AC290)*AC290</f>
        <v>15</v>
      </c>
      <c r="AD291" s="11">
        <f>SUM($H290:AD290)*AD290</f>
        <v>16</v>
      </c>
      <c r="AE291" s="11">
        <f>SUM($H290:AE290)*AE290</f>
        <v>17</v>
      </c>
      <c r="AF291" s="11">
        <f>SUM($H290:AF290)*AF290</f>
        <v>18</v>
      </c>
      <c r="AG291" s="11">
        <f>SUM($H290:AG290)*AG290</f>
        <v>19</v>
      </c>
      <c r="AH291" s="11">
        <f>SUM($H290:AH290)*AH290</f>
        <v>20</v>
      </c>
      <c r="AI291" s="11">
        <f>SUM($H290:AI290)*AI290</f>
        <v>21</v>
      </c>
      <c r="AJ291" s="11">
        <f>SUM($H290:AJ290)*AJ290</f>
        <v>22</v>
      </c>
      <c r="AK291" s="11">
        <f>SUM($H290:AK290)*AK290</f>
        <v>23</v>
      </c>
      <c r="AL291" s="11">
        <f>SUM($H290:AL290)*AL290</f>
        <v>24</v>
      </c>
      <c r="AM291" s="11">
        <f>SUM($H290:AM290)*AM290</f>
        <v>25</v>
      </c>
      <c r="AN291" s="11">
        <f>SUM($H290:AN290)*AN290</f>
        <v>26</v>
      </c>
      <c r="AO291" s="11">
        <f>SUM($H290:AO290)*AO290</f>
        <v>27</v>
      </c>
      <c r="AP291" s="11">
        <f>SUM($H290:AP290)*AP290</f>
        <v>28</v>
      </c>
      <c r="AQ291" s="11">
        <f>SUM($H290:AQ290)*AQ290</f>
        <v>29</v>
      </c>
      <c r="AR291" s="11">
        <f>SUM($H290:AR290)*AR290</f>
        <v>30</v>
      </c>
      <c r="AS291" s="11">
        <f>SUM($H290:AS290)*AS290</f>
        <v>31</v>
      </c>
      <c r="AT291" s="11">
        <f>SUM($H290:AT290)*AT290</f>
        <v>32</v>
      </c>
      <c r="AU291" s="11">
        <f>SUM($H290:AU290)*AU290</f>
        <v>33</v>
      </c>
      <c r="AV291" s="11">
        <f>SUM($H290:AV290)*AV290</f>
        <v>34</v>
      </c>
      <c r="AW291" s="11">
        <f>SUM($H290:AW290)*AW290</f>
        <v>35</v>
      </c>
      <c r="AX291" s="11">
        <f>SUM($H290:AX290)*AX290</f>
        <v>36</v>
      </c>
      <c r="AY291" s="11">
        <f>SUM($H290:AY290)*AY290</f>
        <v>37</v>
      </c>
      <c r="AZ291" s="11">
        <f>SUM($H290:AZ290)*AZ290</f>
        <v>38</v>
      </c>
      <c r="BA291" s="11">
        <f>SUM($H290:BA290)*BA290</f>
        <v>39</v>
      </c>
      <c r="BB291" s="11">
        <f>SUM($H290:BB290)*BB290</f>
        <v>40</v>
      </c>
      <c r="BC291" s="11">
        <f>SUM($H290:BC290)*BC290</f>
        <v>41</v>
      </c>
      <c r="BD291" s="11">
        <f>SUM($H290:BD290)*BD290</f>
        <v>42</v>
      </c>
      <c r="BE291" s="11">
        <f>SUM($H290:BE290)*BE290</f>
        <v>43</v>
      </c>
      <c r="BF291" s="11">
        <f>SUM($H290:BF290)*BF290</f>
        <v>44</v>
      </c>
      <c r="BG291" s="11">
        <f>SUM($H290:BG290)*BG290</f>
        <v>45</v>
      </c>
      <c r="BH291" s="11">
        <f>SUM($H290:BH290)*BH290</f>
        <v>46</v>
      </c>
      <c r="BI291" s="11">
        <f>SUM($H290:BI290)*BI290</f>
        <v>47</v>
      </c>
      <c r="BJ291" s="11">
        <f>SUM($H290:BJ290)*BJ290</f>
        <v>48</v>
      </c>
      <c r="BK291" s="11">
        <f>SUM($H290:BK290)*BK290</f>
        <v>49</v>
      </c>
      <c r="BL291" s="11">
        <f>SUM($H290:BL290)*BL290</f>
        <v>50</v>
      </c>
      <c r="BM291" s="11">
        <f>SUM($H290:BM290)*BM290</f>
        <v>51</v>
      </c>
      <c r="BN291" s="11">
        <f>SUM($H290:BN290)*BN290</f>
        <v>52</v>
      </c>
      <c r="BO291" s="11">
        <f>SUM($H290:BO290)*BO290</f>
        <v>53</v>
      </c>
      <c r="BP291" s="11">
        <f>SUM($H290:BP290)*BP290</f>
        <v>54</v>
      </c>
      <c r="BQ291" s="11">
        <f>SUM($H290:BQ290)*BQ290</f>
        <v>0</v>
      </c>
      <c r="BR291" s="11">
        <f>SUM($H290:BR290)*BR290</f>
        <v>0</v>
      </c>
      <c r="BS291" s="11">
        <f>SUM($H290:BS290)*BS290</f>
        <v>0</v>
      </c>
      <c r="BT291" s="11">
        <f>SUM($H290:BT290)*BT290</f>
        <v>0</v>
      </c>
      <c r="BU291" s="11">
        <f>SUM($H290:BU290)*BU290</f>
        <v>0</v>
      </c>
      <c r="BV291" s="11">
        <f>SUM($H290:BV290)*BV290</f>
        <v>0</v>
      </c>
      <c r="BW291" s="11">
        <f>SUM($H290:BW290)*BW290</f>
        <v>0</v>
      </c>
      <c r="BX291" s="11">
        <f>SUM($H290:BX290)*BX290</f>
        <v>0</v>
      </c>
      <c r="BY291" s="11">
        <f>SUM($H290:BY290)*BY290</f>
        <v>0</v>
      </c>
    </row>
    <row r="292" spans="3:77" s="11" customFormat="1" ht="13.5" customHeight="1">
      <c r="F292" s="11" t="s">
        <v>154</v>
      </c>
      <c r="H292" s="11">
        <f>(MOD(H291,12)=1)*1</f>
        <v>0</v>
      </c>
      <c r="I292" s="11">
        <f t="shared" ref="I292" si="1811">(MOD(I291,12)=1)*1</f>
        <v>0</v>
      </c>
      <c r="J292" s="11">
        <f t="shared" ref="J292" si="1812">(MOD(J291,12)=1)*1</f>
        <v>0</v>
      </c>
      <c r="K292" s="11">
        <f t="shared" ref="K292" si="1813">(MOD(K291,12)=1)*1</f>
        <v>0</v>
      </c>
      <c r="L292" s="11">
        <f t="shared" ref="L292" si="1814">(MOD(L291,12)=1)*1</f>
        <v>0</v>
      </c>
      <c r="M292" s="11">
        <f t="shared" ref="M292" si="1815">(MOD(M291,12)=1)*1</f>
        <v>0</v>
      </c>
      <c r="N292" s="11">
        <f t="shared" ref="N292" si="1816">(MOD(N291,12)=1)*1</f>
        <v>0</v>
      </c>
      <c r="O292" s="11">
        <f t="shared" ref="O292" si="1817">(MOD(O291,12)=1)*1</f>
        <v>1</v>
      </c>
      <c r="P292" s="11">
        <f t="shared" ref="P292" si="1818">(MOD(P291,12)=1)*1</f>
        <v>0</v>
      </c>
      <c r="Q292" s="11">
        <f t="shared" ref="Q292" si="1819">(MOD(Q291,12)=1)*1</f>
        <v>0</v>
      </c>
      <c r="R292" s="11">
        <f t="shared" ref="R292" si="1820">(MOD(R291,12)=1)*1</f>
        <v>0</v>
      </c>
      <c r="S292" s="11">
        <f t="shared" ref="S292" si="1821">(MOD(S291,12)=1)*1</f>
        <v>0</v>
      </c>
      <c r="T292" s="11">
        <f t="shared" ref="T292" si="1822">(MOD(T291,12)=1)*1</f>
        <v>0</v>
      </c>
      <c r="U292" s="11">
        <f t="shared" ref="U292" si="1823">(MOD(U291,12)=1)*1</f>
        <v>0</v>
      </c>
      <c r="V292" s="11">
        <f t="shared" ref="V292" si="1824">(MOD(V291,12)=1)*1</f>
        <v>0</v>
      </c>
      <c r="W292" s="11">
        <f t="shared" ref="W292" si="1825">(MOD(W291,12)=1)*1</f>
        <v>0</v>
      </c>
      <c r="X292" s="11">
        <f t="shared" ref="X292" si="1826">(MOD(X291,12)=1)*1</f>
        <v>0</v>
      </c>
      <c r="Y292" s="11">
        <f t="shared" ref="Y292" si="1827">(MOD(Y291,12)=1)*1</f>
        <v>0</v>
      </c>
      <c r="Z292" s="11">
        <f t="shared" ref="Z292" si="1828">(MOD(Z291,12)=1)*1</f>
        <v>0</v>
      </c>
      <c r="AA292" s="11">
        <f t="shared" ref="AA292" si="1829">(MOD(AA291,12)=1)*1</f>
        <v>1</v>
      </c>
      <c r="AB292" s="11">
        <f t="shared" ref="AB292" si="1830">(MOD(AB291,12)=1)*1</f>
        <v>0</v>
      </c>
      <c r="AC292" s="11">
        <f t="shared" ref="AC292" si="1831">(MOD(AC291,12)=1)*1</f>
        <v>0</v>
      </c>
      <c r="AD292" s="11">
        <f t="shared" ref="AD292" si="1832">(MOD(AD291,12)=1)*1</f>
        <v>0</v>
      </c>
      <c r="AE292" s="11">
        <f t="shared" ref="AE292" si="1833">(MOD(AE291,12)=1)*1</f>
        <v>0</v>
      </c>
      <c r="AF292" s="11">
        <f t="shared" ref="AF292" si="1834">(MOD(AF291,12)=1)*1</f>
        <v>0</v>
      </c>
      <c r="AG292" s="11">
        <f t="shared" ref="AG292" si="1835">(MOD(AG291,12)=1)*1</f>
        <v>0</v>
      </c>
      <c r="AH292" s="11">
        <f t="shared" ref="AH292" si="1836">(MOD(AH291,12)=1)*1</f>
        <v>0</v>
      </c>
      <c r="AI292" s="11">
        <f t="shared" ref="AI292" si="1837">(MOD(AI291,12)=1)*1</f>
        <v>0</v>
      </c>
      <c r="AJ292" s="11">
        <f t="shared" ref="AJ292" si="1838">(MOD(AJ291,12)=1)*1</f>
        <v>0</v>
      </c>
      <c r="AK292" s="11">
        <f t="shared" ref="AK292" si="1839">(MOD(AK291,12)=1)*1</f>
        <v>0</v>
      </c>
      <c r="AL292" s="11">
        <f t="shared" ref="AL292" si="1840">(MOD(AL291,12)=1)*1</f>
        <v>0</v>
      </c>
      <c r="AM292" s="11">
        <f t="shared" ref="AM292" si="1841">(MOD(AM291,12)=1)*1</f>
        <v>1</v>
      </c>
      <c r="AN292" s="11">
        <f t="shared" ref="AN292" si="1842">(MOD(AN291,12)=1)*1</f>
        <v>0</v>
      </c>
      <c r="AO292" s="11">
        <f t="shared" ref="AO292" si="1843">(MOD(AO291,12)=1)*1</f>
        <v>0</v>
      </c>
      <c r="AP292" s="11">
        <f t="shared" ref="AP292" si="1844">(MOD(AP291,12)=1)*1</f>
        <v>0</v>
      </c>
      <c r="AQ292" s="11">
        <f t="shared" ref="AQ292" si="1845">(MOD(AQ291,12)=1)*1</f>
        <v>0</v>
      </c>
      <c r="AR292" s="11">
        <f t="shared" ref="AR292" si="1846">(MOD(AR291,12)=1)*1</f>
        <v>0</v>
      </c>
      <c r="AS292" s="11">
        <f t="shared" ref="AS292" si="1847">(MOD(AS291,12)=1)*1</f>
        <v>0</v>
      </c>
      <c r="AT292" s="11">
        <f t="shared" ref="AT292" si="1848">(MOD(AT291,12)=1)*1</f>
        <v>0</v>
      </c>
      <c r="AU292" s="11">
        <f t="shared" ref="AU292" si="1849">(MOD(AU291,12)=1)*1</f>
        <v>0</v>
      </c>
      <c r="AV292" s="11">
        <f t="shared" ref="AV292" si="1850">(MOD(AV291,12)=1)*1</f>
        <v>0</v>
      </c>
      <c r="AW292" s="11">
        <f t="shared" ref="AW292" si="1851">(MOD(AW291,12)=1)*1</f>
        <v>0</v>
      </c>
      <c r="AX292" s="11">
        <f t="shared" ref="AX292" si="1852">(MOD(AX291,12)=1)*1</f>
        <v>0</v>
      </c>
      <c r="AY292" s="11">
        <f t="shared" ref="AY292" si="1853">(MOD(AY291,12)=1)*1</f>
        <v>1</v>
      </c>
      <c r="AZ292" s="11">
        <f t="shared" ref="AZ292" si="1854">(MOD(AZ291,12)=1)*1</f>
        <v>0</v>
      </c>
      <c r="BA292" s="11">
        <f t="shared" ref="BA292" si="1855">(MOD(BA291,12)=1)*1</f>
        <v>0</v>
      </c>
      <c r="BB292" s="11">
        <f t="shared" ref="BB292" si="1856">(MOD(BB291,12)=1)*1</f>
        <v>0</v>
      </c>
      <c r="BC292" s="11">
        <f t="shared" ref="BC292" si="1857">(MOD(BC291,12)=1)*1</f>
        <v>0</v>
      </c>
      <c r="BD292" s="11">
        <f t="shared" ref="BD292" si="1858">(MOD(BD291,12)=1)*1</f>
        <v>0</v>
      </c>
      <c r="BE292" s="11">
        <f t="shared" ref="BE292" si="1859">(MOD(BE291,12)=1)*1</f>
        <v>0</v>
      </c>
      <c r="BF292" s="11">
        <f t="shared" ref="BF292" si="1860">(MOD(BF291,12)=1)*1</f>
        <v>0</v>
      </c>
      <c r="BG292" s="11">
        <f t="shared" ref="BG292" si="1861">(MOD(BG291,12)=1)*1</f>
        <v>0</v>
      </c>
      <c r="BH292" s="11">
        <f t="shared" ref="BH292" si="1862">(MOD(BH291,12)=1)*1</f>
        <v>0</v>
      </c>
      <c r="BI292" s="11">
        <f t="shared" ref="BI292" si="1863">(MOD(BI291,12)=1)*1</f>
        <v>0</v>
      </c>
      <c r="BJ292" s="11">
        <f t="shared" ref="BJ292" si="1864">(MOD(BJ291,12)=1)*1</f>
        <v>0</v>
      </c>
      <c r="BK292" s="11">
        <f t="shared" ref="BK292" si="1865">(MOD(BK291,12)=1)*1</f>
        <v>1</v>
      </c>
      <c r="BL292" s="11">
        <f t="shared" ref="BL292" si="1866">(MOD(BL291,12)=1)*1</f>
        <v>0</v>
      </c>
      <c r="BM292" s="11">
        <f t="shared" ref="BM292" si="1867">(MOD(BM291,12)=1)*1</f>
        <v>0</v>
      </c>
      <c r="BN292" s="11">
        <f t="shared" ref="BN292" si="1868">(MOD(BN291,12)=1)*1</f>
        <v>0</v>
      </c>
      <c r="BO292" s="11">
        <f t="shared" ref="BO292" si="1869">(MOD(BO291,12)=1)*1</f>
        <v>0</v>
      </c>
      <c r="BP292" s="11">
        <f t="shared" ref="BP292" si="1870">(MOD(BP291,12)=1)*1</f>
        <v>0</v>
      </c>
      <c r="BQ292" s="11">
        <f t="shared" ref="BQ292" si="1871">(MOD(BQ291,12)=1)*1</f>
        <v>0</v>
      </c>
      <c r="BR292" s="11">
        <f t="shared" ref="BR292" si="1872">(MOD(BR291,12)=1)*1</f>
        <v>0</v>
      </c>
      <c r="BS292" s="11">
        <f t="shared" ref="BS292" si="1873">(MOD(BS291,12)=1)*1</f>
        <v>0</v>
      </c>
      <c r="BT292" s="11">
        <f t="shared" ref="BT292" si="1874">(MOD(BT291,12)=1)*1</f>
        <v>0</v>
      </c>
      <c r="BU292" s="11">
        <f t="shared" ref="BU292" si="1875">(MOD(BU291,12)=1)*1</f>
        <v>0</v>
      </c>
      <c r="BV292" s="11">
        <f t="shared" ref="BV292" si="1876">(MOD(BV291,12)=1)*1</f>
        <v>0</v>
      </c>
      <c r="BW292" s="11">
        <f t="shared" ref="BW292" si="1877">(MOD(BW291,12)=1)*1</f>
        <v>0</v>
      </c>
      <c r="BX292" s="11">
        <f t="shared" ref="BX292" si="1878">(MOD(BX291,12)=1)*1</f>
        <v>0</v>
      </c>
      <c r="BY292" s="11">
        <f t="shared" ref="BY292" si="1879">(MOD(BY291,12)=1)*1</f>
        <v>0</v>
      </c>
    </row>
    <row r="293" spans="3:77" s="11" customFormat="1" ht="13.5" customHeight="1">
      <c r="F293" s="11" t="s">
        <v>192</v>
      </c>
      <c r="H293" s="118">
        <f>SUM($H292:H292)*H290</f>
        <v>0</v>
      </c>
      <c r="I293" s="118">
        <f>SUM($H292:I292)*I290</f>
        <v>0</v>
      </c>
      <c r="J293" s="118">
        <f>SUM($H292:J292)*J290</f>
        <v>0</v>
      </c>
      <c r="K293" s="118">
        <f>SUM($H292:K292)*K290</f>
        <v>0</v>
      </c>
      <c r="L293" s="118">
        <f>SUM($H292:L292)*L290</f>
        <v>0</v>
      </c>
      <c r="M293" s="118">
        <f>SUM($H292:M292)*M290</f>
        <v>0</v>
      </c>
      <c r="N293" s="118">
        <f>SUM($H292:N292)*N290</f>
        <v>0</v>
      </c>
      <c r="O293" s="118">
        <f>SUM($H292:O292)*O290</f>
        <v>1</v>
      </c>
      <c r="P293" s="118">
        <f>SUM($H292:P292)*P290</f>
        <v>1</v>
      </c>
      <c r="Q293" s="118">
        <f>SUM($H292:Q292)*Q290</f>
        <v>1</v>
      </c>
      <c r="R293" s="118">
        <f>SUM($H292:R292)*R290</f>
        <v>1</v>
      </c>
      <c r="S293" s="118">
        <f>SUM($H292:S292)*S290</f>
        <v>1</v>
      </c>
      <c r="T293" s="118">
        <f>SUM($H292:T292)*T290</f>
        <v>1</v>
      </c>
      <c r="U293" s="118">
        <f>SUM($H292:U292)*U290</f>
        <v>1</v>
      </c>
      <c r="V293" s="118">
        <f>SUM($H292:V292)*V290</f>
        <v>1</v>
      </c>
      <c r="W293" s="118">
        <f>SUM($H292:W292)*W290</f>
        <v>1</v>
      </c>
      <c r="X293" s="118">
        <f>SUM($H292:X292)*X290</f>
        <v>1</v>
      </c>
      <c r="Y293" s="118">
        <f>SUM($H292:Y292)*Y290</f>
        <v>1</v>
      </c>
      <c r="Z293" s="118">
        <f>SUM($H292:Z292)*Z290</f>
        <v>1</v>
      </c>
      <c r="AA293" s="118">
        <f>SUM($H292:AA292)*AA290</f>
        <v>2</v>
      </c>
      <c r="AB293" s="118">
        <f>SUM($H292:AB292)*AB290</f>
        <v>2</v>
      </c>
      <c r="AC293" s="118">
        <f>SUM($H292:AC292)*AC290</f>
        <v>2</v>
      </c>
      <c r="AD293" s="118">
        <f>SUM($H292:AD292)*AD290</f>
        <v>2</v>
      </c>
      <c r="AE293" s="118">
        <f>SUM($H292:AE292)*AE290</f>
        <v>2</v>
      </c>
      <c r="AF293" s="118">
        <f>SUM($H292:AF292)*AF290</f>
        <v>2</v>
      </c>
      <c r="AG293" s="118">
        <f>SUM($H292:AG292)*AG290</f>
        <v>2</v>
      </c>
      <c r="AH293" s="118">
        <f>SUM($H292:AH292)*AH290</f>
        <v>2</v>
      </c>
      <c r="AI293" s="118">
        <f>SUM($H292:AI292)*AI290</f>
        <v>2</v>
      </c>
      <c r="AJ293" s="118">
        <f>SUM($H292:AJ292)*AJ290</f>
        <v>2</v>
      </c>
      <c r="AK293" s="118">
        <f>SUM($H292:AK292)*AK290</f>
        <v>2</v>
      </c>
      <c r="AL293" s="118">
        <f>SUM($H292:AL292)*AL290</f>
        <v>2</v>
      </c>
      <c r="AM293" s="118">
        <f>SUM($H292:AM292)*AM290</f>
        <v>3</v>
      </c>
      <c r="AN293" s="118">
        <f>SUM($H292:AN292)*AN290</f>
        <v>3</v>
      </c>
      <c r="AO293" s="118">
        <f>SUM($H292:AO292)*AO290</f>
        <v>3</v>
      </c>
      <c r="AP293" s="118">
        <f>SUM($H292:AP292)*AP290</f>
        <v>3</v>
      </c>
      <c r="AQ293" s="118">
        <f>SUM($H292:AQ292)*AQ290</f>
        <v>3</v>
      </c>
      <c r="AR293" s="118">
        <f>SUM($H292:AR292)*AR290</f>
        <v>3</v>
      </c>
      <c r="AS293" s="118">
        <f>SUM($H292:AS292)*AS290</f>
        <v>3</v>
      </c>
      <c r="AT293" s="118">
        <f>SUM($H292:AT292)*AT290</f>
        <v>3</v>
      </c>
      <c r="AU293" s="118">
        <f>SUM($H292:AU292)*AU290</f>
        <v>3</v>
      </c>
      <c r="AV293" s="118">
        <f>SUM($H292:AV292)*AV290</f>
        <v>3</v>
      </c>
      <c r="AW293" s="118">
        <f>SUM($H292:AW292)*AW290</f>
        <v>3</v>
      </c>
      <c r="AX293" s="118">
        <f>SUM($H292:AX292)*AX290</f>
        <v>3</v>
      </c>
      <c r="AY293" s="118">
        <f>SUM($H292:AY292)*AY290</f>
        <v>4</v>
      </c>
      <c r="AZ293" s="118">
        <f>SUM($H292:AZ292)*AZ290</f>
        <v>4</v>
      </c>
      <c r="BA293" s="118">
        <f>SUM($H292:BA292)*BA290</f>
        <v>4</v>
      </c>
      <c r="BB293" s="118">
        <f>SUM($H292:BB292)*BB290</f>
        <v>4</v>
      </c>
      <c r="BC293" s="118">
        <f>SUM($H292:BC292)*BC290</f>
        <v>4</v>
      </c>
      <c r="BD293" s="118">
        <f>SUM($H292:BD292)*BD290</f>
        <v>4</v>
      </c>
      <c r="BE293" s="118">
        <f>SUM($H292:BE292)*BE290</f>
        <v>4</v>
      </c>
      <c r="BF293" s="118">
        <f>SUM($H292:BF292)*BF290</f>
        <v>4</v>
      </c>
      <c r="BG293" s="118">
        <f>SUM($H292:BG292)*BG290</f>
        <v>4</v>
      </c>
      <c r="BH293" s="118">
        <f>SUM($H292:BH292)*BH290</f>
        <v>4</v>
      </c>
      <c r="BI293" s="118">
        <f>SUM($H292:BI292)*BI290</f>
        <v>4</v>
      </c>
      <c r="BJ293" s="118">
        <f>SUM($H292:BJ292)*BJ290</f>
        <v>4</v>
      </c>
      <c r="BK293" s="118">
        <f>SUM($H292:BK292)*BK290</f>
        <v>5</v>
      </c>
      <c r="BL293" s="118">
        <f>SUM($H292:BL292)*BL290</f>
        <v>5</v>
      </c>
      <c r="BM293" s="118">
        <f>SUM($H292:BM292)*BM290</f>
        <v>5</v>
      </c>
      <c r="BN293" s="118">
        <f>SUM($H292:BN292)*BN290</f>
        <v>5</v>
      </c>
      <c r="BO293" s="118">
        <f>SUM($H292:BO292)*BO290</f>
        <v>5</v>
      </c>
      <c r="BP293" s="118">
        <f>SUM($H292:BP292)*BP290</f>
        <v>5</v>
      </c>
      <c r="BQ293" s="118">
        <f>SUM($H292:BQ292)*BQ290</f>
        <v>0</v>
      </c>
      <c r="BR293" s="118">
        <f>SUM($H292:BR292)*BR290</f>
        <v>0</v>
      </c>
      <c r="BS293" s="118">
        <f>SUM($H292:BS292)*BS290</f>
        <v>0</v>
      </c>
      <c r="BT293" s="118">
        <f>SUM($H292:BT292)*BT290</f>
        <v>0</v>
      </c>
      <c r="BU293" s="118">
        <f>SUM($H292:BU292)*BU290</f>
        <v>0</v>
      </c>
      <c r="BV293" s="118">
        <f>SUM($H292:BV292)*BV290</f>
        <v>0</v>
      </c>
      <c r="BW293" s="118">
        <f>SUM($H292:BW292)*BW290</f>
        <v>0</v>
      </c>
      <c r="BX293" s="118">
        <f>SUM($H292:BX292)*BX290</f>
        <v>0</v>
      </c>
      <c r="BY293" s="118">
        <f>SUM($H292:BY292)*BY290</f>
        <v>0</v>
      </c>
    </row>
    <row r="294" spans="3:77" s="11" customFormat="1" ht="13.5" customHeight="1">
      <c r="F294" s="11" t="s">
        <v>193</v>
      </c>
      <c r="H294" s="119">
        <f t="shared" ref="H294:AM294" si="1880">(1+$F305)^(H293-1)*H290</f>
        <v>0</v>
      </c>
      <c r="I294" s="119">
        <f t="shared" si="1880"/>
        <v>0</v>
      </c>
      <c r="J294" s="119">
        <f t="shared" si="1880"/>
        <v>0</v>
      </c>
      <c r="K294" s="119">
        <f t="shared" si="1880"/>
        <v>0</v>
      </c>
      <c r="L294" s="119">
        <f t="shared" si="1880"/>
        <v>0</v>
      </c>
      <c r="M294" s="119">
        <f t="shared" si="1880"/>
        <v>0</v>
      </c>
      <c r="N294" s="119">
        <f t="shared" si="1880"/>
        <v>0</v>
      </c>
      <c r="O294" s="119">
        <f t="shared" si="1880"/>
        <v>1</v>
      </c>
      <c r="P294" s="119">
        <f t="shared" si="1880"/>
        <v>1</v>
      </c>
      <c r="Q294" s="119">
        <f t="shared" si="1880"/>
        <v>1</v>
      </c>
      <c r="R294" s="119">
        <f t="shared" si="1880"/>
        <v>1</v>
      </c>
      <c r="S294" s="119">
        <f t="shared" si="1880"/>
        <v>1</v>
      </c>
      <c r="T294" s="119">
        <f t="shared" si="1880"/>
        <v>1</v>
      </c>
      <c r="U294" s="119">
        <f t="shared" si="1880"/>
        <v>1</v>
      </c>
      <c r="V294" s="119">
        <f t="shared" si="1880"/>
        <v>1</v>
      </c>
      <c r="W294" s="119">
        <f t="shared" si="1880"/>
        <v>1</v>
      </c>
      <c r="X294" s="119">
        <f t="shared" si="1880"/>
        <v>1</v>
      </c>
      <c r="Y294" s="119">
        <f t="shared" si="1880"/>
        <v>1</v>
      </c>
      <c r="Z294" s="119">
        <f t="shared" si="1880"/>
        <v>1</v>
      </c>
      <c r="AA294" s="119">
        <f t="shared" si="1880"/>
        <v>1.01</v>
      </c>
      <c r="AB294" s="119">
        <f t="shared" si="1880"/>
        <v>1.01</v>
      </c>
      <c r="AC294" s="119">
        <f t="shared" si="1880"/>
        <v>1.01</v>
      </c>
      <c r="AD294" s="119">
        <f t="shared" si="1880"/>
        <v>1.01</v>
      </c>
      <c r="AE294" s="119">
        <f t="shared" si="1880"/>
        <v>1.01</v>
      </c>
      <c r="AF294" s="119">
        <f t="shared" si="1880"/>
        <v>1.01</v>
      </c>
      <c r="AG294" s="119">
        <f t="shared" si="1880"/>
        <v>1.01</v>
      </c>
      <c r="AH294" s="119">
        <f t="shared" si="1880"/>
        <v>1.01</v>
      </c>
      <c r="AI294" s="119">
        <f t="shared" si="1880"/>
        <v>1.01</v>
      </c>
      <c r="AJ294" s="119">
        <f t="shared" si="1880"/>
        <v>1.01</v>
      </c>
      <c r="AK294" s="119">
        <f t="shared" si="1880"/>
        <v>1.01</v>
      </c>
      <c r="AL294" s="119">
        <f t="shared" si="1880"/>
        <v>1.01</v>
      </c>
      <c r="AM294" s="119">
        <f t="shared" si="1880"/>
        <v>1.0201</v>
      </c>
      <c r="AN294" s="119">
        <f t="shared" ref="AN294:BS294" si="1881">(1+$F305)^(AN293-1)*AN290</f>
        <v>1.0201</v>
      </c>
      <c r="AO294" s="119">
        <f t="shared" si="1881"/>
        <v>1.0201</v>
      </c>
      <c r="AP294" s="119">
        <f t="shared" si="1881"/>
        <v>1.0201</v>
      </c>
      <c r="AQ294" s="119">
        <f t="shared" si="1881"/>
        <v>1.0201</v>
      </c>
      <c r="AR294" s="119">
        <f t="shared" si="1881"/>
        <v>1.0201</v>
      </c>
      <c r="AS294" s="119">
        <f t="shared" si="1881"/>
        <v>1.0201</v>
      </c>
      <c r="AT294" s="119">
        <f t="shared" si="1881"/>
        <v>1.0201</v>
      </c>
      <c r="AU294" s="119">
        <f t="shared" si="1881"/>
        <v>1.0201</v>
      </c>
      <c r="AV294" s="119">
        <f t="shared" si="1881"/>
        <v>1.0201</v>
      </c>
      <c r="AW294" s="119">
        <f t="shared" si="1881"/>
        <v>1.0201</v>
      </c>
      <c r="AX294" s="119">
        <f t="shared" si="1881"/>
        <v>1.0201</v>
      </c>
      <c r="AY294" s="119">
        <f t="shared" si="1881"/>
        <v>1.0303009999999999</v>
      </c>
      <c r="AZ294" s="119">
        <f t="shared" si="1881"/>
        <v>1.0303009999999999</v>
      </c>
      <c r="BA294" s="119">
        <f t="shared" si="1881"/>
        <v>1.0303009999999999</v>
      </c>
      <c r="BB294" s="119">
        <f t="shared" si="1881"/>
        <v>1.0303009999999999</v>
      </c>
      <c r="BC294" s="119">
        <f t="shared" si="1881"/>
        <v>1.0303009999999999</v>
      </c>
      <c r="BD294" s="119">
        <f t="shared" si="1881"/>
        <v>1.0303009999999999</v>
      </c>
      <c r="BE294" s="119">
        <f t="shared" si="1881"/>
        <v>1.0303009999999999</v>
      </c>
      <c r="BF294" s="119">
        <f t="shared" si="1881"/>
        <v>1.0303009999999999</v>
      </c>
      <c r="BG294" s="119">
        <f t="shared" si="1881"/>
        <v>1.0303009999999999</v>
      </c>
      <c r="BH294" s="119">
        <f t="shared" si="1881"/>
        <v>1.0303009999999999</v>
      </c>
      <c r="BI294" s="119">
        <f t="shared" si="1881"/>
        <v>1.0303009999999999</v>
      </c>
      <c r="BJ294" s="119">
        <f t="shared" si="1881"/>
        <v>1.0303009999999999</v>
      </c>
      <c r="BK294" s="119">
        <f t="shared" si="1881"/>
        <v>1.04060401</v>
      </c>
      <c r="BL294" s="119">
        <f t="shared" si="1881"/>
        <v>1.04060401</v>
      </c>
      <c r="BM294" s="119">
        <f t="shared" si="1881"/>
        <v>1.04060401</v>
      </c>
      <c r="BN294" s="119">
        <f t="shared" si="1881"/>
        <v>1.04060401</v>
      </c>
      <c r="BO294" s="119">
        <f t="shared" si="1881"/>
        <v>1.04060401</v>
      </c>
      <c r="BP294" s="119">
        <f t="shared" si="1881"/>
        <v>1.04060401</v>
      </c>
      <c r="BQ294" s="119">
        <f t="shared" si="1881"/>
        <v>0</v>
      </c>
      <c r="BR294" s="119">
        <f t="shared" si="1881"/>
        <v>0</v>
      </c>
      <c r="BS294" s="119">
        <f t="shared" si="1881"/>
        <v>0</v>
      </c>
      <c r="BT294" s="119">
        <f t="shared" ref="BT294:BY294" si="1882">(1+$F305)^(BT293-1)*BT290</f>
        <v>0</v>
      </c>
      <c r="BU294" s="119">
        <f t="shared" si="1882"/>
        <v>0</v>
      </c>
      <c r="BV294" s="119">
        <f t="shared" si="1882"/>
        <v>0</v>
      </c>
      <c r="BW294" s="119">
        <f t="shared" si="1882"/>
        <v>0</v>
      </c>
      <c r="BX294" s="119">
        <f t="shared" si="1882"/>
        <v>0</v>
      </c>
      <c r="BY294" s="119">
        <f t="shared" si="1882"/>
        <v>0</v>
      </c>
    </row>
    <row r="295" spans="3:77" s="11" customFormat="1" ht="13.5" customHeight="1">
      <c r="F295" s="11" t="s">
        <v>194</v>
      </c>
      <c r="H295" s="119">
        <f t="shared" ref="H295:AM295" si="1883">(1+$F306)^(H293-1)*H290</f>
        <v>0</v>
      </c>
      <c r="I295" s="119">
        <f t="shared" si="1883"/>
        <v>0</v>
      </c>
      <c r="J295" s="119">
        <f t="shared" si="1883"/>
        <v>0</v>
      </c>
      <c r="K295" s="119">
        <f t="shared" si="1883"/>
        <v>0</v>
      </c>
      <c r="L295" s="119">
        <f t="shared" si="1883"/>
        <v>0</v>
      </c>
      <c r="M295" s="119">
        <f t="shared" si="1883"/>
        <v>0</v>
      </c>
      <c r="N295" s="119">
        <f t="shared" si="1883"/>
        <v>0</v>
      </c>
      <c r="O295" s="119">
        <f t="shared" si="1883"/>
        <v>1</v>
      </c>
      <c r="P295" s="119">
        <f t="shared" si="1883"/>
        <v>1</v>
      </c>
      <c r="Q295" s="119">
        <f t="shared" si="1883"/>
        <v>1</v>
      </c>
      <c r="R295" s="119">
        <f t="shared" si="1883"/>
        <v>1</v>
      </c>
      <c r="S295" s="119">
        <f t="shared" si="1883"/>
        <v>1</v>
      </c>
      <c r="T295" s="119">
        <f t="shared" si="1883"/>
        <v>1</v>
      </c>
      <c r="U295" s="119">
        <f t="shared" si="1883"/>
        <v>1</v>
      </c>
      <c r="V295" s="119">
        <f t="shared" si="1883"/>
        <v>1</v>
      </c>
      <c r="W295" s="119">
        <f t="shared" si="1883"/>
        <v>1</v>
      </c>
      <c r="X295" s="119">
        <f t="shared" si="1883"/>
        <v>1</v>
      </c>
      <c r="Y295" s="119">
        <f t="shared" si="1883"/>
        <v>1</v>
      </c>
      <c r="Z295" s="119">
        <f t="shared" si="1883"/>
        <v>1</v>
      </c>
      <c r="AA295" s="119">
        <f t="shared" si="1883"/>
        <v>1.01</v>
      </c>
      <c r="AB295" s="119">
        <f t="shared" si="1883"/>
        <v>1.01</v>
      </c>
      <c r="AC295" s="119">
        <f t="shared" si="1883"/>
        <v>1.01</v>
      </c>
      <c r="AD295" s="119">
        <f t="shared" si="1883"/>
        <v>1.01</v>
      </c>
      <c r="AE295" s="119">
        <f t="shared" si="1883"/>
        <v>1.01</v>
      </c>
      <c r="AF295" s="119">
        <f t="shared" si="1883"/>
        <v>1.01</v>
      </c>
      <c r="AG295" s="119">
        <f t="shared" si="1883"/>
        <v>1.01</v>
      </c>
      <c r="AH295" s="119">
        <f t="shared" si="1883"/>
        <v>1.01</v>
      </c>
      <c r="AI295" s="119">
        <f t="shared" si="1883"/>
        <v>1.01</v>
      </c>
      <c r="AJ295" s="119">
        <f t="shared" si="1883"/>
        <v>1.01</v>
      </c>
      <c r="AK295" s="119">
        <f t="shared" si="1883"/>
        <v>1.01</v>
      </c>
      <c r="AL295" s="119">
        <f t="shared" si="1883"/>
        <v>1.01</v>
      </c>
      <c r="AM295" s="119">
        <f t="shared" si="1883"/>
        <v>1.0201</v>
      </c>
      <c r="AN295" s="119">
        <f t="shared" ref="AN295:BS295" si="1884">(1+$F306)^(AN293-1)*AN290</f>
        <v>1.0201</v>
      </c>
      <c r="AO295" s="119">
        <f t="shared" si="1884"/>
        <v>1.0201</v>
      </c>
      <c r="AP295" s="119">
        <f t="shared" si="1884"/>
        <v>1.0201</v>
      </c>
      <c r="AQ295" s="119">
        <f t="shared" si="1884"/>
        <v>1.0201</v>
      </c>
      <c r="AR295" s="119">
        <f t="shared" si="1884"/>
        <v>1.0201</v>
      </c>
      <c r="AS295" s="119">
        <f t="shared" si="1884"/>
        <v>1.0201</v>
      </c>
      <c r="AT295" s="119">
        <f t="shared" si="1884"/>
        <v>1.0201</v>
      </c>
      <c r="AU295" s="119">
        <f t="shared" si="1884"/>
        <v>1.0201</v>
      </c>
      <c r="AV295" s="119">
        <f t="shared" si="1884"/>
        <v>1.0201</v>
      </c>
      <c r="AW295" s="119">
        <f t="shared" si="1884"/>
        <v>1.0201</v>
      </c>
      <c r="AX295" s="119">
        <f t="shared" si="1884"/>
        <v>1.0201</v>
      </c>
      <c r="AY295" s="119">
        <f t="shared" si="1884"/>
        <v>1.0303009999999999</v>
      </c>
      <c r="AZ295" s="119">
        <f t="shared" si="1884"/>
        <v>1.0303009999999999</v>
      </c>
      <c r="BA295" s="119">
        <f t="shared" si="1884"/>
        <v>1.0303009999999999</v>
      </c>
      <c r="BB295" s="119">
        <f t="shared" si="1884"/>
        <v>1.0303009999999999</v>
      </c>
      <c r="BC295" s="119">
        <f t="shared" si="1884"/>
        <v>1.0303009999999999</v>
      </c>
      <c r="BD295" s="119">
        <f t="shared" si="1884"/>
        <v>1.0303009999999999</v>
      </c>
      <c r="BE295" s="119">
        <f t="shared" si="1884"/>
        <v>1.0303009999999999</v>
      </c>
      <c r="BF295" s="119">
        <f t="shared" si="1884"/>
        <v>1.0303009999999999</v>
      </c>
      <c r="BG295" s="119">
        <f t="shared" si="1884"/>
        <v>1.0303009999999999</v>
      </c>
      <c r="BH295" s="119">
        <f t="shared" si="1884"/>
        <v>1.0303009999999999</v>
      </c>
      <c r="BI295" s="119">
        <f t="shared" si="1884"/>
        <v>1.0303009999999999</v>
      </c>
      <c r="BJ295" s="119">
        <f t="shared" si="1884"/>
        <v>1.0303009999999999</v>
      </c>
      <c r="BK295" s="119">
        <f t="shared" si="1884"/>
        <v>1.04060401</v>
      </c>
      <c r="BL295" s="119">
        <f t="shared" si="1884"/>
        <v>1.04060401</v>
      </c>
      <c r="BM295" s="119">
        <f t="shared" si="1884"/>
        <v>1.04060401</v>
      </c>
      <c r="BN295" s="119">
        <f t="shared" si="1884"/>
        <v>1.04060401</v>
      </c>
      <c r="BO295" s="119">
        <f t="shared" si="1884"/>
        <v>1.04060401</v>
      </c>
      <c r="BP295" s="119">
        <f t="shared" si="1884"/>
        <v>1.04060401</v>
      </c>
      <c r="BQ295" s="119">
        <f t="shared" si="1884"/>
        <v>0</v>
      </c>
      <c r="BR295" s="119">
        <f t="shared" si="1884"/>
        <v>0</v>
      </c>
      <c r="BS295" s="119">
        <f t="shared" si="1884"/>
        <v>0</v>
      </c>
      <c r="BT295" s="119">
        <f t="shared" ref="BT295:BY295" si="1885">(1+$F306)^(BT293-1)*BT290</f>
        <v>0</v>
      </c>
      <c r="BU295" s="119">
        <f t="shared" si="1885"/>
        <v>0</v>
      </c>
      <c r="BV295" s="119">
        <f t="shared" si="1885"/>
        <v>0</v>
      </c>
      <c r="BW295" s="119">
        <f t="shared" si="1885"/>
        <v>0</v>
      </c>
      <c r="BX295" s="119">
        <f t="shared" si="1885"/>
        <v>0</v>
      </c>
      <c r="BY295" s="119">
        <f t="shared" si="1885"/>
        <v>0</v>
      </c>
    </row>
    <row r="296" spans="3:77" s="11" customFormat="1" ht="13.5" customHeight="1">
      <c r="F296" s="11" t="s">
        <v>195</v>
      </c>
      <c r="H296" s="11">
        <f t="shared" ref="H296:AM296" si="1886">(H$14&gt;=$F297)*(H$14&lt;=$F300)*1</f>
        <v>0</v>
      </c>
      <c r="I296" s="11">
        <f t="shared" si="1886"/>
        <v>0</v>
      </c>
      <c r="J296" s="11">
        <f t="shared" si="1886"/>
        <v>0</v>
      </c>
      <c r="K296" s="11">
        <f t="shared" si="1886"/>
        <v>0</v>
      </c>
      <c r="L296" s="11">
        <f t="shared" si="1886"/>
        <v>0</v>
      </c>
      <c r="M296" s="11">
        <f t="shared" si="1886"/>
        <v>0</v>
      </c>
      <c r="N296" s="11">
        <f t="shared" si="1886"/>
        <v>0</v>
      </c>
      <c r="O296" s="11">
        <f t="shared" si="1886"/>
        <v>1</v>
      </c>
      <c r="P296" s="11">
        <f t="shared" si="1886"/>
        <v>0</v>
      </c>
      <c r="Q296" s="11">
        <f t="shared" si="1886"/>
        <v>0</v>
      </c>
      <c r="R296" s="11">
        <f t="shared" si="1886"/>
        <v>0</v>
      </c>
      <c r="S296" s="11">
        <f t="shared" si="1886"/>
        <v>0</v>
      </c>
      <c r="T296" s="11">
        <f t="shared" si="1886"/>
        <v>0</v>
      </c>
      <c r="U296" s="11">
        <f t="shared" si="1886"/>
        <v>0</v>
      </c>
      <c r="V296" s="11">
        <f t="shared" si="1886"/>
        <v>0</v>
      </c>
      <c r="W296" s="11">
        <f t="shared" si="1886"/>
        <v>0</v>
      </c>
      <c r="X296" s="11">
        <f t="shared" si="1886"/>
        <v>0</v>
      </c>
      <c r="Y296" s="11">
        <f t="shared" si="1886"/>
        <v>0</v>
      </c>
      <c r="Z296" s="11">
        <f t="shared" si="1886"/>
        <v>0</v>
      </c>
      <c r="AA296" s="11">
        <f t="shared" si="1886"/>
        <v>0</v>
      </c>
      <c r="AB296" s="11">
        <f t="shared" si="1886"/>
        <v>0</v>
      </c>
      <c r="AC296" s="11">
        <f t="shared" si="1886"/>
        <v>0</v>
      </c>
      <c r="AD296" s="11">
        <f t="shared" si="1886"/>
        <v>0</v>
      </c>
      <c r="AE296" s="11">
        <f t="shared" si="1886"/>
        <v>0</v>
      </c>
      <c r="AF296" s="11">
        <f t="shared" si="1886"/>
        <v>0</v>
      </c>
      <c r="AG296" s="11">
        <f t="shared" si="1886"/>
        <v>0</v>
      </c>
      <c r="AH296" s="11">
        <f t="shared" si="1886"/>
        <v>0</v>
      </c>
      <c r="AI296" s="11">
        <f t="shared" si="1886"/>
        <v>0</v>
      </c>
      <c r="AJ296" s="11">
        <f t="shared" si="1886"/>
        <v>0</v>
      </c>
      <c r="AK296" s="11">
        <f t="shared" si="1886"/>
        <v>0</v>
      </c>
      <c r="AL296" s="11">
        <f t="shared" si="1886"/>
        <v>0</v>
      </c>
      <c r="AM296" s="11">
        <f t="shared" si="1886"/>
        <v>0</v>
      </c>
      <c r="AN296" s="11">
        <f t="shared" ref="AN296:BS296" si="1887">(AN$14&gt;=$F297)*(AN$14&lt;=$F300)*1</f>
        <v>0</v>
      </c>
      <c r="AO296" s="11">
        <f t="shared" si="1887"/>
        <v>0</v>
      </c>
      <c r="AP296" s="11">
        <f t="shared" si="1887"/>
        <v>0</v>
      </c>
      <c r="AQ296" s="11">
        <f t="shared" si="1887"/>
        <v>0</v>
      </c>
      <c r="AR296" s="11">
        <f t="shared" si="1887"/>
        <v>0</v>
      </c>
      <c r="AS296" s="11">
        <f t="shared" si="1887"/>
        <v>0</v>
      </c>
      <c r="AT296" s="11">
        <f t="shared" si="1887"/>
        <v>0</v>
      </c>
      <c r="AU296" s="11">
        <f t="shared" si="1887"/>
        <v>0</v>
      </c>
      <c r="AV296" s="11">
        <f t="shared" si="1887"/>
        <v>0</v>
      </c>
      <c r="AW296" s="11">
        <f t="shared" si="1887"/>
        <v>0</v>
      </c>
      <c r="AX296" s="11">
        <f t="shared" si="1887"/>
        <v>0</v>
      </c>
      <c r="AY296" s="11">
        <f t="shared" si="1887"/>
        <v>0</v>
      </c>
      <c r="AZ296" s="11">
        <f t="shared" si="1887"/>
        <v>0</v>
      </c>
      <c r="BA296" s="11">
        <f t="shared" si="1887"/>
        <v>0</v>
      </c>
      <c r="BB296" s="11">
        <f t="shared" si="1887"/>
        <v>0</v>
      </c>
      <c r="BC296" s="11">
        <f t="shared" si="1887"/>
        <v>0</v>
      </c>
      <c r="BD296" s="11">
        <f t="shared" si="1887"/>
        <v>0</v>
      </c>
      <c r="BE296" s="11">
        <f t="shared" si="1887"/>
        <v>0</v>
      </c>
      <c r="BF296" s="11">
        <f t="shared" si="1887"/>
        <v>0</v>
      </c>
      <c r="BG296" s="11">
        <f t="shared" si="1887"/>
        <v>0</v>
      </c>
      <c r="BH296" s="11">
        <f t="shared" si="1887"/>
        <v>0</v>
      </c>
      <c r="BI296" s="11">
        <f t="shared" si="1887"/>
        <v>0</v>
      </c>
      <c r="BJ296" s="11">
        <f t="shared" si="1887"/>
        <v>0</v>
      </c>
      <c r="BK296" s="11">
        <f t="shared" si="1887"/>
        <v>0</v>
      </c>
      <c r="BL296" s="11">
        <f t="shared" si="1887"/>
        <v>0</v>
      </c>
      <c r="BM296" s="11">
        <f t="shared" si="1887"/>
        <v>0</v>
      </c>
      <c r="BN296" s="11">
        <f t="shared" si="1887"/>
        <v>0</v>
      </c>
      <c r="BO296" s="11">
        <f t="shared" si="1887"/>
        <v>0</v>
      </c>
      <c r="BP296" s="11">
        <f t="shared" si="1887"/>
        <v>0</v>
      </c>
      <c r="BQ296" s="11">
        <f t="shared" si="1887"/>
        <v>0</v>
      </c>
      <c r="BR296" s="11">
        <f t="shared" si="1887"/>
        <v>0</v>
      </c>
      <c r="BS296" s="11">
        <f t="shared" si="1887"/>
        <v>0</v>
      </c>
      <c r="BT296" s="11">
        <f t="shared" ref="BT296:BY296" si="1888">(BT$14&gt;=$F297)*(BT$14&lt;=$F300)*1</f>
        <v>0</v>
      </c>
      <c r="BU296" s="11">
        <f t="shared" si="1888"/>
        <v>0</v>
      </c>
      <c r="BV296" s="11">
        <f t="shared" si="1888"/>
        <v>0</v>
      </c>
      <c r="BW296" s="11">
        <f t="shared" si="1888"/>
        <v>0</v>
      </c>
      <c r="BX296" s="11">
        <f t="shared" si="1888"/>
        <v>0</v>
      </c>
      <c r="BY296" s="11">
        <f t="shared" si="1888"/>
        <v>0</v>
      </c>
    </row>
    <row r="297" spans="3:77" ht="13.5" customHeight="1">
      <c r="E297" s="95" t="s">
        <v>184</v>
      </c>
      <c r="F297" s="100">
        <f>EOMONTH(F268,VLOOKUP(B265,'A&amp;R'!$Q$12:$AC$16,4,0)+1)</f>
        <v>44500</v>
      </c>
    </row>
    <row r="298" spans="3:77" ht="13.5" customHeight="1">
      <c r="E298" s="96" t="s">
        <v>185</v>
      </c>
      <c r="F298" s="97">
        <f ca="1">VLOOKUP(B265,'A&amp;R'!$Q$12:$AC$16,7,0)</f>
        <v>25000</v>
      </c>
    </row>
    <row r="299" spans="3:77" ht="13.5" customHeight="1">
      <c r="E299" s="96" t="s">
        <v>186</v>
      </c>
      <c r="F299" s="97">
        <f>VLOOKUP(B265,'A&amp;R'!$Q$12:$AC$16,5,0)</f>
        <v>1</v>
      </c>
    </row>
    <row r="300" spans="3:77" ht="13.5" customHeight="1">
      <c r="E300" s="96" t="s">
        <v>190</v>
      </c>
      <c r="F300" s="117">
        <f>EOMONTH(F297,F299-1)</f>
        <v>44500</v>
      </c>
    </row>
    <row r="301" spans="3:77" ht="13.5" customHeight="1">
      <c r="E301" s="96" t="s">
        <v>187</v>
      </c>
      <c r="F301" s="97">
        <f>VLOOKUP(B265,'A&amp;R'!$Q$12:$AC$16,6,0)</f>
        <v>1</v>
      </c>
    </row>
    <row r="302" spans="3:77" ht="13.5" customHeight="1">
      <c r="E302" s="96" t="s">
        <v>72</v>
      </c>
      <c r="F302" s="97">
        <f ca="1">VLOOKUP(B265,'A&amp;R'!$Q$12:$AC$16,3,0)</f>
        <v>4695</v>
      </c>
    </row>
    <row r="303" spans="3:77" ht="13.5" customHeight="1">
      <c r="E303" s="96" t="s">
        <v>159</v>
      </c>
      <c r="F303" s="97">
        <f>VLOOKUP(B265,'A&amp;R'!$Q$12:$AC$16,8,0)</f>
        <v>2000</v>
      </c>
    </row>
    <row r="304" spans="3:77" ht="13.5" customHeight="1">
      <c r="E304" s="96" t="s">
        <v>76</v>
      </c>
      <c r="F304" s="97">
        <f ca="1">VLOOKUP(B265,'A&amp;R'!$Q$12:$AC$17,11,0)</f>
        <v>704.25</v>
      </c>
    </row>
    <row r="305" spans="4:77" ht="13.5" customHeight="1">
      <c r="E305" s="96" t="s">
        <v>188</v>
      </c>
      <c r="F305" s="115">
        <f>VLOOKUP(B265,'A&amp;R'!$Q$12:$AC$16,9,0)</f>
        <v>0.01</v>
      </c>
    </row>
    <row r="306" spans="4:77" ht="13.5" customHeight="1">
      <c r="E306" s="98" t="s">
        <v>189</v>
      </c>
      <c r="F306" s="116">
        <f>VLOOKUP(B265,'A&amp;R'!$Q$12:$AC$16,10,0)</f>
        <v>0.01</v>
      </c>
    </row>
    <row r="307" spans="4:77" ht="13.5" customHeight="1">
      <c r="D307" s="1" t="s">
        <v>161</v>
      </c>
    </row>
    <row r="308" spans="4:77" ht="13.5" customHeight="1">
      <c r="E308" s="30" t="s">
        <v>162</v>
      </c>
      <c r="F308" s="41"/>
      <c r="G308" s="41"/>
      <c r="H308" s="41">
        <f ca="1">IF(H296=1,0,H290*$F298*H294)</f>
        <v>0</v>
      </c>
      <c r="I308" s="41">
        <f t="shared" ref="I308:BT308" ca="1" si="1889">IF(I296=1,0,I290*$F298*I294)</f>
        <v>0</v>
      </c>
      <c r="J308" s="41">
        <f t="shared" ca="1" si="1889"/>
        <v>0</v>
      </c>
      <c r="K308" s="41">
        <f t="shared" ca="1" si="1889"/>
        <v>0</v>
      </c>
      <c r="L308" s="41">
        <f t="shared" ca="1" si="1889"/>
        <v>0</v>
      </c>
      <c r="M308" s="41">
        <f t="shared" ca="1" si="1889"/>
        <v>0</v>
      </c>
      <c r="N308" s="41">
        <f t="shared" ca="1" si="1889"/>
        <v>0</v>
      </c>
      <c r="O308" s="41">
        <f t="shared" si="1889"/>
        <v>0</v>
      </c>
      <c r="P308" s="41">
        <f t="shared" ca="1" si="1889"/>
        <v>25000</v>
      </c>
      <c r="Q308" s="41">
        <f t="shared" ca="1" si="1889"/>
        <v>25000</v>
      </c>
      <c r="R308" s="41">
        <f t="shared" ca="1" si="1889"/>
        <v>25000</v>
      </c>
      <c r="S308" s="41">
        <f t="shared" ca="1" si="1889"/>
        <v>25000</v>
      </c>
      <c r="T308" s="41">
        <f t="shared" ca="1" si="1889"/>
        <v>25000</v>
      </c>
      <c r="U308" s="41">
        <f t="shared" ca="1" si="1889"/>
        <v>25000</v>
      </c>
      <c r="V308" s="41">
        <f t="shared" ca="1" si="1889"/>
        <v>25000</v>
      </c>
      <c r="W308" s="41">
        <f t="shared" ca="1" si="1889"/>
        <v>25000</v>
      </c>
      <c r="X308" s="41">
        <f t="shared" ca="1" si="1889"/>
        <v>25000</v>
      </c>
      <c r="Y308" s="41">
        <f t="shared" ca="1" si="1889"/>
        <v>25000</v>
      </c>
      <c r="Z308" s="41">
        <f t="shared" ca="1" si="1889"/>
        <v>25000</v>
      </c>
      <c r="AA308" s="41">
        <f t="shared" ca="1" si="1889"/>
        <v>25250</v>
      </c>
      <c r="AB308" s="41">
        <f t="shared" ca="1" si="1889"/>
        <v>25250</v>
      </c>
      <c r="AC308" s="41">
        <f t="shared" ca="1" si="1889"/>
        <v>25250</v>
      </c>
      <c r="AD308" s="41">
        <f t="shared" ca="1" si="1889"/>
        <v>25250</v>
      </c>
      <c r="AE308" s="41">
        <f t="shared" ca="1" si="1889"/>
        <v>25250</v>
      </c>
      <c r="AF308" s="41">
        <f t="shared" ca="1" si="1889"/>
        <v>25250</v>
      </c>
      <c r="AG308" s="41">
        <f t="shared" ca="1" si="1889"/>
        <v>25250</v>
      </c>
      <c r="AH308" s="41">
        <f t="shared" ca="1" si="1889"/>
        <v>25250</v>
      </c>
      <c r="AI308" s="41">
        <f t="shared" ca="1" si="1889"/>
        <v>25250</v>
      </c>
      <c r="AJ308" s="41">
        <f t="shared" ca="1" si="1889"/>
        <v>25250</v>
      </c>
      <c r="AK308" s="41">
        <f t="shared" ca="1" si="1889"/>
        <v>25250</v>
      </c>
      <c r="AL308" s="41">
        <f t="shared" ca="1" si="1889"/>
        <v>25250</v>
      </c>
      <c r="AM308" s="41">
        <f t="shared" ca="1" si="1889"/>
        <v>25502.5</v>
      </c>
      <c r="AN308" s="41">
        <f t="shared" ca="1" si="1889"/>
        <v>25502.5</v>
      </c>
      <c r="AO308" s="41">
        <f t="shared" ca="1" si="1889"/>
        <v>25502.5</v>
      </c>
      <c r="AP308" s="41">
        <f t="shared" ca="1" si="1889"/>
        <v>25502.5</v>
      </c>
      <c r="AQ308" s="41">
        <f t="shared" ca="1" si="1889"/>
        <v>25502.5</v>
      </c>
      <c r="AR308" s="41">
        <f t="shared" ca="1" si="1889"/>
        <v>25502.5</v>
      </c>
      <c r="AS308" s="41">
        <f t="shared" ca="1" si="1889"/>
        <v>25502.5</v>
      </c>
      <c r="AT308" s="41">
        <f t="shared" ca="1" si="1889"/>
        <v>25502.5</v>
      </c>
      <c r="AU308" s="41">
        <f t="shared" ca="1" si="1889"/>
        <v>25502.5</v>
      </c>
      <c r="AV308" s="41">
        <f t="shared" ca="1" si="1889"/>
        <v>25502.5</v>
      </c>
      <c r="AW308" s="41">
        <f t="shared" ca="1" si="1889"/>
        <v>25502.5</v>
      </c>
      <c r="AX308" s="41">
        <f t="shared" ca="1" si="1889"/>
        <v>25502.5</v>
      </c>
      <c r="AY308" s="41">
        <f t="shared" ca="1" si="1889"/>
        <v>25757.524999999998</v>
      </c>
      <c r="AZ308" s="41">
        <f t="shared" ca="1" si="1889"/>
        <v>25757.524999999998</v>
      </c>
      <c r="BA308" s="41">
        <f t="shared" ca="1" si="1889"/>
        <v>25757.524999999998</v>
      </c>
      <c r="BB308" s="41">
        <f t="shared" ca="1" si="1889"/>
        <v>25757.524999999998</v>
      </c>
      <c r="BC308" s="41">
        <f t="shared" ca="1" si="1889"/>
        <v>25757.524999999998</v>
      </c>
      <c r="BD308" s="41">
        <f t="shared" ca="1" si="1889"/>
        <v>25757.524999999998</v>
      </c>
      <c r="BE308" s="41">
        <f t="shared" ca="1" si="1889"/>
        <v>25757.524999999998</v>
      </c>
      <c r="BF308" s="41">
        <f t="shared" ca="1" si="1889"/>
        <v>25757.524999999998</v>
      </c>
      <c r="BG308" s="41">
        <f t="shared" ca="1" si="1889"/>
        <v>25757.524999999998</v>
      </c>
      <c r="BH308" s="41">
        <f t="shared" ca="1" si="1889"/>
        <v>25757.524999999998</v>
      </c>
      <c r="BI308" s="41">
        <f t="shared" ca="1" si="1889"/>
        <v>25757.524999999998</v>
      </c>
      <c r="BJ308" s="41">
        <f t="shared" ca="1" si="1889"/>
        <v>25757.524999999998</v>
      </c>
      <c r="BK308" s="41">
        <f t="shared" ca="1" si="1889"/>
        <v>26015.10025</v>
      </c>
      <c r="BL308" s="41">
        <f t="shared" ca="1" si="1889"/>
        <v>26015.10025</v>
      </c>
      <c r="BM308" s="41">
        <f t="shared" ca="1" si="1889"/>
        <v>26015.10025</v>
      </c>
      <c r="BN308" s="41">
        <f t="shared" ca="1" si="1889"/>
        <v>26015.10025</v>
      </c>
      <c r="BO308" s="41">
        <f t="shared" ca="1" si="1889"/>
        <v>26015.10025</v>
      </c>
      <c r="BP308" s="41">
        <f t="shared" ca="1" si="1889"/>
        <v>26015.10025</v>
      </c>
      <c r="BQ308" s="41">
        <f t="shared" ca="1" si="1889"/>
        <v>0</v>
      </c>
      <c r="BR308" s="41">
        <f t="shared" ca="1" si="1889"/>
        <v>0</v>
      </c>
      <c r="BS308" s="41">
        <f t="shared" ca="1" si="1889"/>
        <v>0</v>
      </c>
      <c r="BT308" s="41">
        <f t="shared" ca="1" si="1889"/>
        <v>0</v>
      </c>
      <c r="BU308" s="41">
        <f t="shared" ref="BU308:BY308" ca="1" si="1890">IF(BU296=1,0,BU290*$F298*BU294)</f>
        <v>0</v>
      </c>
      <c r="BV308" s="41">
        <f t="shared" ca="1" si="1890"/>
        <v>0</v>
      </c>
      <c r="BW308" s="41">
        <f t="shared" ca="1" si="1890"/>
        <v>0</v>
      </c>
      <c r="BX308" s="41">
        <f t="shared" ca="1" si="1890"/>
        <v>0</v>
      </c>
      <c r="BY308" s="41">
        <f t="shared" ca="1" si="1890"/>
        <v>0</v>
      </c>
    </row>
    <row r="309" spans="4:77" ht="13.5" customHeight="1">
      <c r="E309" s="36" t="s">
        <v>163</v>
      </c>
      <c r="F309" s="42"/>
      <c r="G309" s="42"/>
      <c r="H309" s="42">
        <f ca="1">H308*((12-$F301)/12)</f>
        <v>0</v>
      </c>
      <c r="I309" s="42">
        <f t="shared" ref="I309" ca="1" si="1891">I308*((12-$F301)/12)</f>
        <v>0</v>
      </c>
      <c r="J309" s="42">
        <f t="shared" ref="J309" ca="1" si="1892">J308*((12-$F301)/12)</f>
        <v>0</v>
      </c>
      <c r="K309" s="42">
        <f t="shared" ref="K309" ca="1" si="1893">K308*((12-$F301)/12)</f>
        <v>0</v>
      </c>
      <c r="L309" s="42">
        <f t="shared" ref="L309" ca="1" si="1894">L308*((12-$F301)/12)</f>
        <v>0</v>
      </c>
      <c r="M309" s="42">
        <f t="shared" ref="M309" ca="1" si="1895">M308*((12-$F301)/12)</f>
        <v>0</v>
      </c>
      <c r="N309" s="42">
        <f t="shared" ref="N309" ca="1" si="1896">N308*((12-$F301)/12)</f>
        <v>0</v>
      </c>
      <c r="O309" s="42">
        <f t="shared" ref="O309" si="1897">O308*((12-$F301)/12)</f>
        <v>0</v>
      </c>
      <c r="P309" s="42">
        <f t="shared" ref="P309" ca="1" si="1898">P308*((12-$F301)/12)</f>
        <v>22916.666666666664</v>
      </c>
      <c r="Q309" s="42">
        <f t="shared" ref="Q309" ca="1" si="1899">Q308*((12-$F301)/12)</f>
        <v>22916.666666666664</v>
      </c>
      <c r="R309" s="42">
        <f t="shared" ref="R309" ca="1" si="1900">R308*((12-$F301)/12)</f>
        <v>22916.666666666664</v>
      </c>
      <c r="S309" s="42">
        <f t="shared" ref="S309" ca="1" si="1901">S308*((12-$F301)/12)</f>
        <v>22916.666666666664</v>
      </c>
      <c r="T309" s="42">
        <f t="shared" ref="T309" ca="1" si="1902">T308*((12-$F301)/12)</f>
        <v>22916.666666666664</v>
      </c>
      <c r="U309" s="42">
        <f t="shared" ref="U309" ca="1" si="1903">U308*((12-$F301)/12)</f>
        <v>22916.666666666664</v>
      </c>
      <c r="V309" s="42">
        <f t="shared" ref="V309" ca="1" si="1904">V308*((12-$F301)/12)</f>
        <v>22916.666666666664</v>
      </c>
      <c r="W309" s="42">
        <f t="shared" ref="W309" ca="1" si="1905">W308*((12-$F301)/12)</f>
        <v>22916.666666666664</v>
      </c>
      <c r="X309" s="42">
        <f t="shared" ref="X309" ca="1" si="1906">X308*((12-$F301)/12)</f>
        <v>22916.666666666664</v>
      </c>
      <c r="Y309" s="42">
        <f t="shared" ref="Y309" ca="1" si="1907">Y308*((12-$F301)/12)</f>
        <v>22916.666666666664</v>
      </c>
      <c r="Z309" s="42">
        <f t="shared" ref="Z309" ca="1" si="1908">Z308*((12-$F301)/12)</f>
        <v>22916.666666666664</v>
      </c>
      <c r="AA309" s="42">
        <f t="shared" ref="AA309" ca="1" si="1909">AA308*((12-$F301)/12)</f>
        <v>23145.833333333332</v>
      </c>
      <c r="AB309" s="42">
        <f t="shared" ref="AB309" ca="1" si="1910">AB308*((12-$F301)/12)</f>
        <v>23145.833333333332</v>
      </c>
      <c r="AC309" s="42">
        <f t="shared" ref="AC309" ca="1" si="1911">AC308*((12-$F301)/12)</f>
        <v>23145.833333333332</v>
      </c>
      <c r="AD309" s="42">
        <f t="shared" ref="AD309" ca="1" si="1912">AD308*((12-$F301)/12)</f>
        <v>23145.833333333332</v>
      </c>
      <c r="AE309" s="42">
        <f t="shared" ref="AE309" ca="1" si="1913">AE308*((12-$F301)/12)</f>
        <v>23145.833333333332</v>
      </c>
      <c r="AF309" s="42">
        <f t="shared" ref="AF309" ca="1" si="1914">AF308*((12-$F301)/12)</f>
        <v>23145.833333333332</v>
      </c>
      <c r="AG309" s="42">
        <f t="shared" ref="AG309" ca="1" si="1915">AG308*((12-$F301)/12)</f>
        <v>23145.833333333332</v>
      </c>
      <c r="AH309" s="42">
        <f t="shared" ref="AH309" ca="1" si="1916">AH308*((12-$F301)/12)</f>
        <v>23145.833333333332</v>
      </c>
      <c r="AI309" s="42">
        <f t="shared" ref="AI309" ca="1" si="1917">AI308*((12-$F301)/12)</f>
        <v>23145.833333333332</v>
      </c>
      <c r="AJ309" s="42">
        <f t="shared" ref="AJ309" ca="1" si="1918">AJ308*((12-$F301)/12)</f>
        <v>23145.833333333332</v>
      </c>
      <c r="AK309" s="42">
        <f t="shared" ref="AK309" ca="1" si="1919">AK308*((12-$F301)/12)</f>
        <v>23145.833333333332</v>
      </c>
      <c r="AL309" s="42">
        <f t="shared" ref="AL309" ca="1" si="1920">AL308*((12-$F301)/12)</f>
        <v>23145.833333333332</v>
      </c>
      <c r="AM309" s="42">
        <f t="shared" ref="AM309" ca="1" si="1921">AM308*((12-$F301)/12)</f>
        <v>23377.291666666664</v>
      </c>
      <c r="AN309" s="42">
        <f t="shared" ref="AN309" ca="1" si="1922">AN308*((12-$F301)/12)</f>
        <v>23377.291666666664</v>
      </c>
      <c r="AO309" s="42">
        <f t="shared" ref="AO309" ca="1" si="1923">AO308*((12-$F301)/12)</f>
        <v>23377.291666666664</v>
      </c>
      <c r="AP309" s="42">
        <f t="shared" ref="AP309" ca="1" si="1924">AP308*((12-$F301)/12)</f>
        <v>23377.291666666664</v>
      </c>
      <c r="AQ309" s="42">
        <f t="shared" ref="AQ309" ca="1" si="1925">AQ308*((12-$F301)/12)</f>
        <v>23377.291666666664</v>
      </c>
      <c r="AR309" s="42">
        <f t="shared" ref="AR309" ca="1" si="1926">AR308*((12-$F301)/12)</f>
        <v>23377.291666666664</v>
      </c>
      <c r="AS309" s="42">
        <f t="shared" ref="AS309" ca="1" si="1927">AS308*((12-$F301)/12)</f>
        <v>23377.291666666664</v>
      </c>
      <c r="AT309" s="42">
        <f t="shared" ref="AT309" ca="1" si="1928">AT308*((12-$F301)/12)</f>
        <v>23377.291666666664</v>
      </c>
      <c r="AU309" s="42">
        <f t="shared" ref="AU309" ca="1" si="1929">AU308*((12-$F301)/12)</f>
        <v>23377.291666666664</v>
      </c>
      <c r="AV309" s="42">
        <f t="shared" ref="AV309" ca="1" si="1930">AV308*((12-$F301)/12)</f>
        <v>23377.291666666664</v>
      </c>
      <c r="AW309" s="42">
        <f t="shared" ref="AW309" ca="1" si="1931">AW308*((12-$F301)/12)</f>
        <v>23377.291666666664</v>
      </c>
      <c r="AX309" s="42">
        <f t="shared" ref="AX309" ca="1" si="1932">AX308*((12-$F301)/12)</f>
        <v>23377.291666666664</v>
      </c>
      <c r="AY309" s="42">
        <f t="shared" ref="AY309" ca="1" si="1933">AY308*((12-$F301)/12)</f>
        <v>23611.064583333329</v>
      </c>
      <c r="AZ309" s="42">
        <f t="shared" ref="AZ309" ca="1" si="1934">AZ308*((12-$F301)/12)</f>
        <v>23611.064583333329</v>
      </c>
      <c r="BA309" s="42">
        <f t="shared" ref="BA309" ca="1" si="1935">BA308*((12-$F301)/12)</f>
        <v>23611.064583333329</v>
      </c>
      <c r="BB309" s="42">
        <f t="shared" ref="BB309" ca="1" si="1936">BB308*((12-$F301)/12)</f>
        <v>23611.064583333329</v>
      </c>
      <c r="BC309" s="42">
        <f t="shared" ref="BC309" ca="1" si="1937">BC308*((12-$F301)/12)</f>
        <v>23611.064583333329</v>
      </c>
      <c r="BD309" s="42">
        <f t="shared" ref="BD309" ca="1" si="1938">BD308*((12-$F301)/12)</f>
        <v>23611.064583333329</v>
      </c>
      <c r="BE309" s="42">
        <f t="shared" ref="BE309" ca="1" si="1939">BE308*((12-$F301)/12)</f>
        <v>23611.064583333329</v>
      </c>
      <c r="BF309" s="42">
        <f t="shared" ref="BF309" ca="1" si="1940">BF308*((12-$F301)/12)</f>
        <v>23611.064583333329</v>
      </c>
      <c r="BG309" s="42">
        <f t="shared" ref="BG309" ca="1" si="1941">BG308*((12-$F301)/12)</f>
        <v>23611.064583333329</v>
      </c>
      <c r="BH309" s="42">
        <f t="shared" ref="BH309" ca="1" si="1942">BH308*((12-$F301)/12)</f>
        <v>23611.064583333329</v>
      </c>
      <c r="BI309" s="42">
        <f t="shared" ref="BI309" ca="1" si="1943">BI308*((12-$F301)/12)</f>
        <v>23611.064583333329</v>
      </c>
      <c r="BJ309" s="42">
        <f t="shared" ref="BJ309" ca="1" si="1944">BJ308*((12-$F301)/12)</f>
        <v>23611.064583333329</v>
      </c>
      <c r="BK309" s="42">
        <f t="shared" ref="BK309" ca="1" si="1945">BK308*((12-$F301)/12)</f>
        <v>23847.175229166663</v>
      </c>
      <c r="BL309" s="42">
        <f t="shared" ref="BL309" ca="1" si="1946">BL308*((12-$F301)/12)</f>
        <v>23847.175229166663</v>
      </c>
      <c r="BM309" s="42">
        <f t="shared" ref="BM309" ca="1" si="1947">BM308*((12-$F301)/12)</f>
        <v>23847.175229166663</v>
      </c>
      <c r="BN309" s="42">
        <f t="shared" ref="BN309" ca="1" si="1948">BN308*((12-$F301)/12)</f>
        <v>23847.175229166663</v>
      </c>
      <c r="BO309" s="42">
        <f t="shared" ref="BO309" ca="1" si="1949">BO308*((12-$F301)/12)</f>
        <v>23847.175229166663</v>
      </c>
      <c r="BP309" s="42">
        <f t="shared" ref="BP309" ca="1" si="1950">BP308*((12-$F301)/12)</f>
        <v>23847.175229166663</v>
      </c>
      <c r="BQ309" s="42">
        <f t="shared" ref="BQ309" ca="1" si="1951">BQ308*((12-$F301)/12)</f>
        <v>0</v>
      </c>
      <c r="BR309" s="42">
        <f t="shared" ref="BR309" ca="1" si="1952">BR308*((12-$F301)/12)</f>
        <v>0</v>
      </c>
      <c r="BS309" s="42">
        <f t="shared" ref="BS309" ca="1" si="1953">BS308*((12-$F301)/12)</f>
        <v>0</v>
      </c>
      <c r="BT309" s="42">
        <f t="shared" ref="BT309" ca="1" si="1954">BT308*((12-$F301)/12)</f>
        <v>0</v>
      </c>
      <c r="BU309" s="42">
        <f t="shared" ref="BU309" ca="1" si="1955">BU308*((12-$F301)/12)</f>
        <v>0</v>
      </c>
      <c r="BV309" s="42">
        <f t="shared" ref="BV309" ca="1" si="1956">BV308*((12-$F301)/12)</f>
        <v>0</v>
      </c>
      <c r="BW309" s="42">
        <f t="shared" ref="BW309" ca="1" si="1957">BW308*((12-$F301)/12)</f>
        <v>0</v>
      </c>
      <c r="BX309" s="42">
        <f t="shared" ref="BX309" ca="1" si="1958">BX308*((12-$F301)/12)</f>
        <v>0</v>
      </c>
      <c r="BY309" s="42">
        <f t="shared" ref="BY309" ca="1" si="1959">BY308*((12-$F301)/12)</f>
        <v>0</v>
      </c>
    </row>
    <row r="310" spans="4:77" ht="13.5" customHeight="1">
      <c r="D310" s="101" t="s">
        <v>164</v>
      </c>
      <c r="E310" s="101"/>
      <c r="F310" s="101"/>
      <c r="G310" s="101"/>
      <c r="H310" s="101">
        <f t="shared" ref="H310:AM310" ca="1" si="1960">H309*$F302/unit</f>
        <v>0</v>
      </c>
      <c r="I310" s="101">
        <f t="shared" ca="1" si="1960"/>
        <v>0</v>
      </c>
      <c r="J310" s="101">
        <f t="shared" ca="1" si="1960"/>
        <v>0</v>
      </c>
      <c r="K310" s="101">
        <f t="shared" ca="1" si="1960"/>
        <v>0</v>
      </c>
      <c r="L310" s="101">
        <f t="shared" ca="1" si="1960"/>
        <v>0</v>
      </c>
      <c r="M310" s="101">
        <f t="shared" ca="1" si="1960"/>
        <v>0</v>
      </c>
      <c r="N310" s="101">
        <f t="shared" ca="1" si="1960"/>
        <v>0</v>
      </c>
      <c r="O310" s="101">
        <f t="shared" ca="1" si="1960"/>
        <v>0</v>
      </c>
      <c r="P310" s="101">
        <f t="shared" ca="1" si="1960"/>
        <v>107.59374999999999</v>
      </c>
      <c r="Q310" s="101">
        <f t="shared" ca="1" si="1960"/>
        <v>107.59374999999999</v>
      </c>
      <c r="R310" s="101">
        <f t="shared" ca="1" si="1960"/>
        <v>107.59374999999999</v>
      </c>
      <c r="S310" s="101">
        <f t="shared" ca="1" si="1960"/>
        <v>107.59374999999999</v>
      </c>
      <c r="T310" s="101">
        <f t="shared" ca="1" si="1960"/>
        <v>107.59374999999999</v>
      </c>
      <c r="U310" s="101">
        <f t="shared" ca="1" si="1960"/>
        <v>107.59374999999999</v>
      </c>
      <c r="V310" s="101">
        <f t="shared" ca="1" si="1960"/>
        <v>107.59374999999999</v>
      </c>
      <c r="W310" s="101">
        <f t="shared" ca="1" si="1960"/>
        <v>107.59374999999999</v>
      </c>
      <c r="X310" s="101">
        <f t="shared" ca="1" si="1960"/>
        <v>107.59374999999999</v>
      </c>
      <c r="Y310" s="101">
        <f t="shared" ca="1" si="1960"/>
        <v>107.59374999999999</v>
      </c>
      <c r="Z310" s="101">
        <f t="shared" ca="1" si="1960"/>
        <v>107.59374999999999</v>
      </c>
      <c r="AA310" s="101">
        <f t="shared" ca="1" si="1960"/>
        <v>108.66968749999999</v>
      </c>
      <c r="AB310" s="101">
        <f t="shared" ca="1" si="1960"/>
        <v>108.66968749999999</v>
      </c>
      <c r="AC310" s="101">
        <f t="shared" ca="1" si="1960"/>
        <v>108.66968749999999</v>
      </c>
      <c r="AD310" s="101">
        <f t="shared" ca="1" si="1960"/>
        <v>108.66968749999999</v>
      </c>
      <c r="AE310" s="101">
        <f t="shared" ca="1" si="1960"/>
        <v>108.66968749999999</v>
      </c>
      <c r="AF310" s="101">
        <f t="shared" ca="1" si="1960"/>
        <v>108.66968749999999</v>
      </c>
      <c r="AG310" s="101">
        <f t="shared" ca="1" si="1960"/>
        <v>108.66968749999999</v>
      </c>
      <c r="AH310" s="101">
        <f t="shared" ca="1" si="1960"/>
        <v>108.66968749999999</v>
      </c>
      <c r="AI310" s="101">
        <f t="shared" ca="1" si="1960"/>
        <v>108.66968749999999</v>
      </c>
      <c r="AJ310" s="101">
        <f t="shared" ca="1" si="1960"/>
        <v>108.66968749999999</v>
      </c>
      <c r="AK310" s="101">
        <f t="shared" ca="1" si="1960"/>
        <v>108.66968749999999</v>
      </c>
      <c r="AL310" s="101">
        <f t="shared" ca="1" si="1960"/>
        <v>108.66968749999999</v>
      </c>
      <c r="AM310" s="101">
        <f t="shared" ca="1" si="1960"/>
        <v>109.75638437499998</v>
      </c>
      <c r="AN310" s="101">
        <f t="shared" ref="AN310:BS310" ca="1" si="1961">AN309*$F302/unit</f>
        <v>109.75638437499998</v>
      </c>
      <c r="AO310" s="101">
        <f t="shared" ca="1" si="1961"/>
        <v>109.75638437499998</v>
      </c>
      <c r="AP310" s="101">
        <f t="shared" ca="1" si="1961"/>
        <v>109.75638437499998</v>
      </c>
      <c r="AQ310" s="101">
        <f t="shared" ca="1" si="1961"/>
        <v>109.75638437499998</v>
      </c>
      <c r="AR310" s="101">
        <f t="shared" ca="1" si="1961"/>
        <v>109.75638437499998</v>
      </c>
      <c r="AS310" s="101">
        <f t="shared" ca="1" si="1961"/>
        <v>109.75638437499998</v>
      </c>
      <c r="AT310" s="101">
        <f t="shared" ca="1" si="1961"/>
        <v>109.75638437499998</v>
      </c>
      <c r="AU310" s="101">
        <f t="shared" ca="1" si="1961"/>
        <v>109.75638437499998</v>
      </c>
      <c r="AV310" s="101">
        <f t="shared" ca="1" si="1961"/>
        <v>109.75638437499998</v>
      </c>
      <c r="AW310" s="101">
        <f t="shared" ca="1" si="1961"/>
        <v>109.75638437499998</v>
      </c>
      <c r="AX310" s="101">
        <f t="shared" ca="1" si="1961"/>
        <v>109.75638437499998</v>
      </c>
      <c r="AY310" s="101">
        <f t="shared" ca="1" si="1961"/>
        <v>110.85394821874999</v>
      </c>
      <c r="AZ310" s="101">
        <f t="shared" ca="1" si="1961"/>
        <v>110.85394821874999</v>
      </c>
      <c r="BA310" s="101">
        <f t="shared" ca="1" si="1961"/>
        <v>110.85394821874999</v>
      </c>
      <c r="BB310" s="101">
        <f t="shared" ca="1" si="1961"/>
        <v>110.85394821874999</v>
      </c>
      <c r="BC310" s="101">
        <f t="shared" ca="1" si="1961"/>
        <v>110.85394821874999</v>
      </c>
      <c r="BD310" s="101">
        <f t="shared" ca="1" si="1961"/>
        <v>110.85394821874999</v>
      </c>
      <c r="BE310" s="101">
        <f t="shared" ca="1" si="1961"/>
        <v>110.85394821874999</v>
      </c>
      <c r="BF310" s="101">
        <f t="shared" ca="1" si="1961"/>
        <v>110.85394821874999</v>
      </c>
      <c r="BG310" s="101">
        <f t="shared" ca="1" si="1961"/>
        <v>110.85394821874999</v>
      </c>
      <c r="BH310" s="101">
        <f t="shared" ca="1" si="1961"/>
        <v>110.85394821874999</v>
      </c>
      <c r="BI310" s="101">
        <f t="shared" ca="1" si="1961"/>
        <v>110.85394821874999</v>
      </c>
      <c r="BJ310" s="101">
        <f t="shared" ca="1" si="1961"/>
        <v>110.85394821874999</v>
      </c>
      <c r="BK310" s="101">
        <f t="shared" ca="1" si="1961"/>
        <v>111.96248770093747</v>
      </c>
      <c r="BL310" s="101">
        <f t="shared" ca="1" si="1961"/>
        <v>111.96248770093747</v>
      </c>
      <c r="BM310" s="101">
        <f t="shared" ca="1" si="1961"/>
        <v>111.96248770093747</v>
      </c>
      <c r="BN310" s="101">
        <f t="shared" ca="1" si="1961"/>
        <v>111.96248770093747</v>
      </c>
      <c r="BO310" s="101">
        <f t="shared" ca="1" si="1961"/>
        <v>111.96248770093747</v>
      </c>
      <c r="BP310" s="101">
        <f t="shared" ca="1" si="1961"/>
        <v>111.96248770093747</v>
      </c>
      <c r="BQ310" s="101">
        <f t="shared" ca="1" si="1961"/>
        <v>0</v>
      </c>
      <c r="BR310" s="101">
        <f t="shared" ca="1" si="1961"/>
        <v>0</v>
      </c>
      <c r="BS310" s="101">
        <f t="shared" ca="1" si="1961"/>
        <v>0</v>
      </c>
      <c r="BT310" s="101">
        <f t="shared" ref="BT310:BY310" ca="1" si="1962">BT309*$F302/unit</f>
        <v>0</v>
      </c>
      <c r="BU310" s="101">
        <f t="shared" ca="1" si="1962"/>
        <v>0</v>
      </c>
      <c r="BV310" s="101">
        <f t="shared" ca="1" si="1962"/>
        <v>0</v>
      </c>
      <c r="BW310" s="101">
        <f t="shared" ca="1" si="1962"/>
        <v>0</v>
      </c>
      <c r="BX310" s="101">
        <f t="shared" ca="1" si="1962"/>
        <v>0</v>
      </c>
      <c r="BY310" s="101">
        <f t="shared" ca="1" si="1962"/>
        <v>0</v>
      </c>
    </row>
    <row r="312" spans="4:77" ht="13.5" customHeight="1">
      <c r="D312" s="1" t="s">
        <v>165</v>
      </c>
    </row>
    <row r="313" spans="4:77" ht="13.5" customHeight="1">
      <c r="E313" s="25" t="s">
        <v>166</v>
      </c>
      <c r="F313" s="51"/>
      <c r="G313" s="51"/>
      <c r="H313" s="51">
        <f>$F303*H290*H295</f>
        <v>0</v>
      </c>
      <c r="I313" s="51">
        <f t="shared" ref="I313:BT313" si="1963">$F303*I290*I295</f>
        <v>0</v>
      </c>
      <c r="J313" s="51">
        <f t="shared" si="1963"/>
        <v>0</v>
      </c>
      <c r="K313" s="51">
        <f t="shared" si="1963"/>
        <v>0</v>
      </c>
      <c r="L313" s="51">
        <f t="shared" si="1963"/>
        <v>0</v>
      </c>
      <c r="M313" s="51">
        <f t="shared" si="1963"/>
        <v>0</v>
      </c>
      <c r="N313" s="51">
        <f t="shared" si="1963"/>
        <v>0</v>
      </c>
      <c r="O313" s="51">
        <f t="shared" si="1963"/>
        <v>2000</v>
      </c>
      <c r="P313" s="51">
        <f t="shared" si="1963"/>
        <v>2000</v>
      </c>
      <c r="Q313" s="51">
        <f t="shared" si="1963"/>
        <v>2000</v>
      </c>
      <c r="R313" s="51">
        <f t="shared" si="1963"/>
        <v>2000</v>
      </c>
      <c r="S313" s="51">
        <f t="shared" si="1963"/>
        <v>2000</v>
      </c>
      <c r="T313" s="51">
        <f t="shared" si="1963"/>
        <v>2000</v>
      </c>
      <c r="U313" s="51">
        <f t="shared" si="1963"/>
        <v>2000</v>
      </c>
      <c r="V313" s="51">
        <f t="shared" si="1963"/>
        <v>2000</v>
      </c>
      <c r="W313" s="51">
        <f t="shared" si="1963"/>
        <v>2000</v>
      </c>
      <c r="X313" s="51">
        <f t="shared" si="1963"/>
        <v>2000</v>
      </c>
      <c r="Y313" s="51">
        <f t="shared" si="1963"/>
        <v>2000</v>
      </c>
      <c r="Z313" s="51">
        <f t="shared" si="1963"/>
        <v>2000</v>
      </c>
      <c r="AA313" s="51">
        <f t="shared" si="1963"/>
        <v>2020</v>
      </c>
      <c r="AB313" s="51">
        <f t="shared" si="1963"/>
        <v>2020</v>
      </c>
      <c r="AC313" s="51">
        <f t="shared" si="1963"/>
        <v>2020</v>
      </c>
      <c r="AD313" s="51">
        <f t="shared" si="1963"/>
        <v>2020</v>
      </c>
      <c r="AE313" s="51">
        <f t="shared" si="1963"/>
        <v>2020</v>
      </c>
      <c r="AF313" s="51">
        <f t="shared" si="1963"/>
        <v>2020</v>
      </c>
      <c r="AG313" s="51">
        <f t="shared" si="1963"/>
        <v>2020</v>
      </c>
      <c r="AH313" s="51">
        <f t="shared" si="1963"/>
        <v>2020</v>
      </c>
      <c r="AI313" s="51">
        <f t="shared" si="1963"/>
        <v>2020</v>
      </c>
      <c r="AJ313" s="51">
        <f t="shared" si="1963"/>
        <v>2020</v>
      </c>
      <c r="AK313" s="51">
        <f t="shared" si="1963"/>
        <v>2020</v>
      </c>
      <c r="AL313" s="51">
        <f t="shared" si="1963"/>
        <v>2020</v>
      </c>
      <c r="AM313" s="51">
        <f t="shared" si="1963"/>
        <v>2040.2</v>
      </c>
      <c r="AN313" s="51">
        <f t="shared" si="1963"/>
        <v>2040.2</v>
      </c>
      <c r="AO313" s="51">
        <f t="shared" si="1963"/>
        <v>2040.2</v>
      </c>
      <c r="AP313" s="51">
        <f t="shared" si="1963"/>
        <v>2040.2</v>
      </c>
      <c r="AQ313" s="51">
        <f t="shared" si="1963"/>
        <v>2040.2</v>
      </c>
      <c r="AR313" s="51">
        <f t="shared" si="1963"/>
        <v>2040.2</v>
      </c>
      <c r="AS313" s="51">
        <f t="shared" si="1963"/>
        <v>2040.2</v>
      </c>
      <c r="AT313" s="51">
        <f t="shared" si="1963"/>
        <v>2040.2</v>
      </c>
      <c r="AU313" s="51">
        <f t="shared" si="1963"/>
        <v>2040.2</v>
      </c>
      <c r="AV313" s="51">
        <f t="shared" si="1963"/>
        <v>2040.2</v>
      </c>
      <c r="AW313" s="51">
        <f t="shared" si="1963"/>
        <v>2040.2</v>
      </c>
      <c r="AX313" s="51">
        <f t="shared" si="1963"/>
        <v>2040.2</v>
      </c>
      <c r="AY313" s="51">
        <f t="shared" si="1963"/>
        <v>2060.6019999999999</v>
      </c>
      <c r="AZ313" s="51">
        <f t="shared" si="1963"/>
        <v>2060.6019999999999</v>
      </c>
      <c r="BA313" s="51">
        <f t="shared" si="1963"/>
        <v>2060.6019999999999</v>
      </c>
      <c r="BB313" s="51">
        <f t="shared" si="1963"/>
        <v>2060.6019999999999</v>
      </c>
      <c r="BC313" s="51">
        <f t="shared" si="1963"/>
        <v>2060.6019999999999</v>
      </c>
      <c r="BD313" s="51">
        <f t="shared" si="1963"/>
        <v>2060.6019999999999</v>
      </c>
      <c r="BE313" s="51">
        <f t="shared" si="1963"/>
        <v>2060.6019999999999</v>
      </c>
      <c r="BF313" s="51">
        <f t="shared" si="1963"/>
        <v>2060.6019999999999</v>
      </c>
      <c r="BG313" s="51">
        <f t="shared" si="1963"/>
        <v>2060.6019999999999</v>
      </c>
      <c r="BH313" s="51">
        <f t="shared" si="1963"/>
        <v>2060.6019999999999</v>
      </c>
      <c r="BI313" s="51">
        <f t="shared" si="1963"/>
        <v>2060.6019999999999</v>
      </c>
      <c r="BJ313" s="51">
        <f t="shared" si="1963"/>
        <v>2060.6019999999999</v>
      </c>
      <c r="BK313" s="51">
        <f t="shared" si="1963"/>
        <v>2081.20802</v>
      </c>
      <c r="BL313" s="51">
        <f t="shared" si="1963"/>
        <v>2081.20802</v>
      </c>
      <c r="BM313" s="51">
        <f t="shared" si="1963"/>
        <v>2081.20802</v>
      </c>
      <c r="BN313" s="51">
        <f t="shared" si="1963"/>
        <v>2081.20802</v>
      </c>
      <c r="BO313" s="51">
        <f t="shared" si="1963"/>
        <v>2081.20802</v>
      </c>
      <c r="BP313" s="51">
        <f t="shared" si="1963"/>
        <v>2081.20802</v>
      </c>
      <c r="BQ313" s="51">
        <f t="shared" si="1963"/>
        <v>0</v>
      </c>
      <c r="BR313" s="51">
        <f t="shared" si="1963"/>
        <v>0</v>
      </c>
      <c r="BS313" s="51">
        <f t="shared" si="1963"/>
        <v>0</v>
      </c>
      <c r="BT313" s="51">
        <f t="shared" si="1963"/>
        <v>0</v>
      </c>
      <c r="BU313" s="51">
        <f t="shared" ref="BU313:BY313" si="1964">$F303*BU290*BU295</f>
        <v>0</v>
      </c>
      <c r="BV313" s="51">
        <f t="shared" si="1964"/>
        <v>0</v>
      </c>
      <c r="BW313" s="51">
        <f t="shared" si="1964"/>
        <v>0</v>
      </c>
      <c r="BX313" s="51">
        <f t="shared" si="1964"/>
        <v>0</v>
      </c>
      <c r="BY313" s="51">
        <f t="shared" si="1964"/>
        <v>0</v>
      </c>
    </row>
    <row r="314" spans="4:77" ht="13.5" customHeight="1">
      <c r="D314" s="101" t="s">
        <v>167</v>
      </c>
      <c r="E314" s="101"/>
      <c r="F314" s="101"/>
      <c r="G314" s="101"/>
      <c r="H314" s="101">
        <f t="shared" ref="H314:AM314" ca="1" si="1965">H313*$F302/unit</f>
        <v>0</v>
      </c>
      <c r="I314" s="101">
        <f t="shared" ca="1" si="1965"/>
        <v>0</v>
      </c>
      <c r="J314" s="101">
        <f t="shared" ca="1" si="1965"/>
        <v>0</v>
      </c>
      <c r="K314" s="101">
        <f t="shared" ca="1" si="1965"/>
        <v>0</v>
      </c>
      <c r="L314" s="101">
        <f t="shared" ca="1" si="1965"/>
        <v>0</v>
      </c>
      <c r="M314" s="101">
        <f t="shared" ca="1" si="1965"/>
        <v>0</v>
      </c>
      <c r="N314" s="101">
        <f t="shared" ca="1" si="1965"/>
        <v>0</v>
      </c>
      <c r="O314" s="101">
        <f t="shared" ca="1" si="1965"/>
        <v>9.39</v>
      </c>
      <c r="P314" s="101">
        <f t="shared" ca="1" si="1965"/>
        <v>9.39</v>
      </c>
      <c r="Q314" s="101">
        <f t="shared" ca="1" si="1965"/>
        <v>9.39</v>
      </c>
      <c r="R314" s="101">
        <f t="shared" ca="1" si="1965"/>
        <v>9.39</v>
      </c>
      <c r="S314" s="101">
        <f t="shared" ca="1" si="1965"/>
        <v>9.39</v>
      </c>
      <c r="T314" s="101">
        <f t="shared" ca="1" si="1965"/>
        <v>9.39</v>
      </c>
      <c r="U314" s="101">
        <f t="shared" ca="1" si="1965"/>
        <v>9.39</v>
      </c>
      <c r="V314" s="101">
        <f t="shared" ca="1" si="1965"/>
        <v>9.39</v>
      </c>
      <c r="W314" s="101">
        <f t="shared" ca="1" si="1965"/>
        <v>9.39</v>
      </c>
      <c r="X314" s="101">
        <f t="shared" ca="1" si="1965"/>
        <v>9.39</v>
      </c>
      <c r="Y314" s="101">
        <f t="shared" ca="1" si="1965"/>
        <v>9.39</v>
      </c>
      <c r="Z314" s="101">
        <f t="shared" ca="1" si="1965"/>
        <v>9.39</v>
      </c>
      <c r="AA314" s="101">
        <f t="shared" ca="1" si="1965"/>
        <v>9.4839000000000002</v>
      </c>
      <c r="AB314" s="101">
        <f t="shared" ca="1" si="1965"/>
        <v>9.4839000000000002</v>
      </c>
      <c r="AC314" s="101">
        <f t="shared" ca="1" si="1965"/>
        <v>9.4839000000000002</v>
      </c>
      <c r="AD314" s="101">
        <f t="shared" ca="1" si="1965"/>
        <v>9.4839000000000002</v>
      </c>
      <c r="AE314" s="101">
        <f t="shared" ca="1" si="1965"/>
        <v>9.4839000000000002</v>
      </c>
      <c r="AF314" s="101">
        <f t="shared" ca="1" si="1965"/>
        <v>9.4839000000000002</v>
      </c>
      <c r="AG314" s="101">
        <f t="shared" ca="1" si="1965"/>
        <v>9.4839000000000002</v>
      </c>
      <c r="AH314" s="101">
        <f t="shared" ca="1" si="1965"/>
        <v>9.4839000000000002</v>
      </c>
      <c r="AI314" s="101">
        <f t="shared" ca="1" si="1965"/>
        <v>9.4839000000000002</v>
      </c>
      <c r="AJ314" s="101">
        <f t="shared" ca="1" si="1965"/>
        <v>9.4839000000000002</v>
      </c>
      <c r="AK314" s="101">
        <f t="shared" ca="1" si="1965"/>
        <v>9.4839000000000002</v>
      </c>
      <c r="AL314" s="101">
        <f t="shared" ca="1" si="1965"/>
        <v>9.4839000000000002</v>
      </c>
      <c r="AM314" s="101">
        <f t="shared" ca="1" si="1965"/>
        <v>9.5787390000000006</v>
      </c>
      <c r="AN314" s="101">
        <f t="shared" ref="AN314:BS314" ca="1" si="1966">AN313*$F302/unit</f>
        <v>9.5787390000000006</v>
      </c>
      <c r="AO314" s="101">
        <f t="shared" ca="1" si="1966"/>
        <v>9.5787390000000006</v>
      </c>
      <c r="AP314" s="101">
        <f t="shared" ca="1" si="1966"/>
        <v>9.5787390000000006</v>
      </c>
      <c r="AQ314" s="101">
        <f t="shared" ca="1" si="1966"/>
        <v>9.5787390000000006</v>
      </c>
      <c r="AR314" s="101">
        <f t="shared" ca="1" si="1966"/>
        <v>9.5787390000000006</v>
      </c>
      <c r="AS314" s="101">
        <f t="shared" ca="1" si="1966"/>
        <v>9.5787390000000006</v>
      </c>
      <c r="AT314" s="101">
        <f t="shared" ca="1" si="1966"/>
        <v>9.5787390000000006</v>
      </c>
      <c r="AU314" s="101">
        <f t="shared" ca="1" si="1966"/>
        <v>9.5787390000000006</v>
      </c>
      <c r="AV314" s="101">
        <f t="shared" ca="1" si="1966"/>
        <v>9.5787390000000006</v>
      </c>
      <c r="AW314" s="101">
        <f t="shared" ca="1" si="1966"/>
        <v>9.5787390000000006</v>
      </c>
      <c r="AX314" s="101">
        <f t="shared" ca="1" si="1966"/>
        <v>9.5787390000000006</v>
      </c>
      <c r="AY314" s="101">
        <f t="shared" ca="1" si="1966"/>
        <v>9.6745263899999987</v>
      </c>
      <c r="AZ314" s="101">
        <f t="shared" ca="1" si="1966"/>
        <v>9.6745263899999987</v>
      </c>
      <c r="BA314" s="101">
        <f t="shared" ca="1" si="1966"/>
        <v>9.6745263899999987</v>
      </c>
      <c r="BB314" s="101">
        <f t="shared" ca="1" si="1966"/>
        <v>9.6745263899999987</v>
      </c>
      <c r="BC314" s="101">
        <f t="shared" ca="1" si="1966"/>
        <v>9.6745263899999987</v>
      </c>
      <c r="BD314" s="101">
        <f t="shared" ca="1" si="1966"/>
        <v>9.6745263899999987</v>
      </c>
      <c r="BE314" s="101">
        <f t="shared" ca="1" si="1966"/>
        <v>9.6745263899999987</v>
      </c>
      <c r="BF314" s="101">
        <f t="shared" ca="1" si="1966"/>
        <v>9.6745263899999987</v>
      </c>
      <c r="BG314" s="101">
        <f t="shared" ca="1" si="1966"/>
        <v>9.6745263899999987</v>
      </c>
      <c r="BH314" s="101">
        <f t="shared" ca="1" si="1966"/>
        <v>9.6745263899999987</v>
      </c>
      <c r="BI314" s="101">
        <f t="shared" ca="1" si="1966"/>
        <v>9.6745263899999987</v>
      </c>
      <c r="BJ314" s="101">
        <f t="shared" ca="1" si="1966"/>
        <v>9.6745263899999987</v>
      </c>
      <c r="BK314" s="101">
        <f t="shared" ca="1" si="1966"/>
        <v>9.7712716538999995</v>
      </c>
      <c r="BL314" s="101">
        <f t="shared" ca="1" si="1966"/>
        <v>9.7712716538999995</v>
      </c>
      <c r="BM314" s="101">
        <f t="shared" ca="1" si="1966"/>
        <v>9.7712716538999995</v>
      </c>
      <c r="BN314" s="101">
        <f t="shared" ca="1" si="1966"/>
        <v>9.7712716538999995</v>
      </c>
      <c r="BO314" s="101">
        <f t="shared" ca="1" si="1966"/>
        <v>9.7712716538999995</v>
      </c>
      <c r="BP314" s="101">
        <f t="shared" ca="1" si="1966"/>
        <v>9.7712716538999995</v>
      </c>
      <c r="BQ314" s="101">
        <f t="shared" ca="1" si="1966"/>
        <v>0</v>
      </c>
      <c r="BR314" s="101">
        <f t="shared" ca="1" si="1966"/>
        <v>0</v>
      </c>
      <c r="BS314" s="101">
        <f t="shared" ca="1" si="1966"/>
        <v>0</v>
      </c>
      <c r="BT314" s="101">
        <f t="shared" ref="BT314:BY314" ca="1" si="1967">BT313*$F302/unit</f>
        <v>0</v>
      </c>
      <c r="BU314" s="101">
        <f t="shared" ca="1" si="1967"/>
        <v>0</v>
      </c>
      <c r="BV314" s="101">
        <f t="shared" ca="1" si="1967"/>
        <v>0</v>
      </c>
      <c r="BW314" s="101">
        <f t="shared" ca="1" si="1967"/>
        <v>0</v>
      </c>
      <c r="BX314" s="101">
        <f t="shared" ca="1" si="1967"/>
        <v>0</v>
      </c>
      <c r="BY314" s="101">
        <f t="shared" ca="1" si="1967"/>
        <v>0</v>
      </c>
    </row>
    <row r="316" spans="4:77" ht="13.5" customHeight="1">
      <c r="D316" s="1" t="s">
        <v>168</v>
      </c>
    </row>
    <row r="317" spans="4:77" ht="13.5" customHeight="1">
      <c r="E317" s="1" t="s">
        <v>169</v>
      </c>
      <c r="H317" s="1">
        <v>0</v>
      </c>
      <c r="I317" s="1">
        <f ca="1">H320</f>
        <v>0</v>
      </c>
      <c r="J317" s="1">
        <f t="shared" ref="J317" ca="1" si="1968">I320</f>
        <v>0</v>
      </c>
      <c r="K317" s="1">
        <f t="shared" ref="K317" ca="1" si="1969">J320</f>
        <v>0</v>
      </c>
      <c r="L317" s="1">
        <f t="shared" ref="L317" ca="1" si="1970">K320</f>
        <v>0</v>
      </c>
      <c r="M317" s="1">
        <f t="shared" ref="M317" ca="1" si="1971">L320</f>
        <v>0</v>
      </c>
      <c r="N317" s="1">
        <f t="shared" ref="N317" ca="1" si="1972">M320</f>
        <v>0</v>
      </c>
      <c r="O317" s="1">
        <f t="shared" ref="O317" ca="1" si="1973">N320</f>
        <v>0</v>
      </c>
      <c r="P317" s="1">
        <f t="shared" ref="P317" ca="1" si="1974">O320</f>
        <v>704.25</v>
      </c>
      <c r="Q317" s="1">
        <f t="shared" ref="Q317" ca="1" si="1975">P320</f>
        <v>704.25</v>
      </c>
      <c r="R317" s="1">
        <f t="shared" ref="R317" ca="1" si="1976">Q320</f>
        <v>704.25</v>
      </c>
      <c r="S317" s="1">
        <f t="shared" ref="S317" ca="1" si="1977">R320</f>
        <v>704.25</v>
      </c>
      <c r="T317" s="1">
        <f t="shared" ref="T317" ca="1" si="1978">S320</f>
        <v>704.25</v>
      </c>
      <c r="U317" s="1">
        <f t="shared" ref="U317" ca="1" si="1979">T320</f>
        <v>704.25</v>
      </c>
      <c r="V317" s="1">
        <f t="shared" ref="V317" ca="1" si="1980">U320</f>
        <v>704.25</v>
      </c>
      <c r="W317" s="1">
        <f t="shared" ref="W317" ca="1" si="1981">V320</f>
        <v>704.25</v>
      </c>
      <c r="X317" s="1">
        <f t="shared" ref="X317" ca="1" si="1982">W320</f>
        <v>704.25</v>
      </c>
      <c r="Y317" s="1">
        <f t="shared" ref="Y317" ca="1" si="1983">X320</f>
        <v>704.25</v>
      </c>
      <c r="Z317" s="1">
        <f t="shared" ref="Z317" ca="1" si="1984">Y320</f>
        <v>704.25</v>
      </c>
      <c r="AA317" s="1">
        <f t="shared" ref="AA317" ca="1" si="1985">Z320</f>
        <v>704.25</v>
      </c>
      <c r="AB317" s="1">
        <f t="shared" ref="AB317" ca="1" si="1986">AA320</f>
        <v>704.25</v>
      </c>
      <c r="AC317" s="1">
        <f t="shared" ref="AC317" ca="1" si="1987">AB320</f>
        <v>704.25</v>
      </c>
      <c r="AD317" s="1">
        <f t="shared" ref="AD317" ca="1" si="1988">AC320</f>
        <v>704.25</v>
      </c>
      <c r="AE317" s="1">
        <f t="shared" ref="AE317" ca="1" si="1989">AD320</f>
        <v>704.25</v>
      </c>
      <c r="AF317" s="1">
        <f t="shared" ref="AF317" ca="1" si="1990">AE320</f>
        <v>704.25</v>
      </c>
      <c r="AG317" s="1">
        <f t="shared" ref="AG317" ca="1" si="1991">AF320</f>
        <v>704.25</v>
      </c>
      <c r="AH317" s="1">
        <f t="shared" ref="AH317" ca="1" si="1992">AG320</f>
        <v>704.25</v>
      </c>
      <c r="AI317" s="1">
        <f t="shared" ref="AI317" ca="1" si="1993">AH320</f>
        <v>704.25</v>
      </c>
      <c r="AJ317" s="1">
        <f t="shared" ref="AJ317" ca="1" si="1994">AI320</f>
        <v>704.25</v>
      </c>
      <c r="AK317" s="1">
        <f t="shared" ref="AK317" ca="1" si="1995">AJ320</f>
        <v>704.25</v>
      </c>
      <c r="AL317" s="1">
        <f t="shared" ref="AL317" ca="1" si="1996">AK320</f>
        <v>704.25</v>
      </c>
      <c r="AM317" s="1">
        <f t="shared" ref="AM317" ca="1" si="1997">AL320</f>
        <v>704.25</v>
      </c>
      <c r="AN317" s="1">
        <f t="shared" ref="AN317" ca="1" si="1998">AM320</f>
        <v>704.25</v>
      </c>
      <c r="AO317" s="1">
        <f t="shared" ref="AO317" ca="1" si="1999">AN320</f>
        <v>704.25</v>
      </c>
      <c r="AP317" s="1">
        <f t="shared" ref="AP317" ca="1" si="2000">AO320</f>
        <v>704.25</v>
      </c>
      <c r="AQ317" s="1">
        <f t="shared" ref="AQ317" ca="1" si="2001">AP320</f>
        <v>704.25</v>
      </c>
      <c r="AR317" s="1">
        <f t="shared" ref="AR317" ca="1" si="2002">AQ320</f>
        <v>704.25</v>
      </c>
      <c r="AS317" s="1">
        <f t="shared" ref="AS317" ca="1" si="2003">AR320</f>
        <v>704.25</v>
      </c>
      <c r="AT317" s="1">
        <f t="shared" ref="AT317" ca="1" si="2004">AS320</f>
        <v>704.25</v>
      </c>
      <c r="AU317" s="1">
        <f t="shared" ref="AU317" ca="1" si="2005">AT320</f>
        <v>704.25</v>
      </c>
      <c r="AV317" s="1">
        <f t="shared" ref="AV317" ca="1" si="2006">AU320</f>
        <v>704.25</v>
      </c>
      <c r="AW317" s="1">
        <f t="shared" ref="AW317" ca="1" si="2007">AV320</f>
        <v>704.25</v>
      </c>
      <c r="AX317" s="1">
        <f t="shared" ref="AX317" ca="1" si="2008">AW320</f>
        <v>704.25</v>
      </c>
      <c r="AY317" s="1">
        <f t="shared" ref="AY317" ca="1" si="2009">AX320</f>
        <v>704.25</v>
      </c>
      <c r="AZ317" s="1">
        <f t="shared" ref="AZ317" ca="1" si="2010">AY320</f>
        <v>704.25</v>
      </c>
      <c r="BA317" s="1">
        <f t="shared" ref="BA317" ca="1" si="2011">AZ320</f>
        <v>704.25</v>
      </c>
      <c r="BB317" s="1">
        <f t="shared" ref="BB317" ca="1" si="2012">BA320</f>
        <v>704.25</v>
      </c>
      <c r="BC317" s="1">
        <f t="shared" ref="BC317" ca="1" si="2013">BB320</f>
        <v>704.25</v>
      </c>
      <c r="BD317" s="1">
        <f t="shared" ref="BD317" ca="1" si="2014">BC320</f>
        <v>704.25</v>
      </c>
      <c r="BE317" s="1">
        <f t="shared" ref="BE317" ca="1" si="2015">BD320</f>
        <v>704.25</v>
      </c>
      <c r="BF317" s="1">
        <f t="shared" ref="BF317" ca="1" si="2016">BE320</f>
        <v>704.25</v>
      </c>
      <c r="BG317" s="1">
        <f t="shared" ref="BG317" ca="1" si="2017">BF320</f>
        <v>704.25</v>
      </c>
      <c r="BH317" s="1">
        <f t="shared" ref="BH317" ca="1" si="2018">BG320</f>
        <v>704.25</v>
      </c>
      <c r="BI317" s="1">
        <f t="shared" ref="BI317" ca="1" si="2019">BH320</f>
        <v>704.25</v>
      </c>
      <c r="BJ317" s="1">
        <f t="shared" ref="BJ317" ca="1" si="2020">BI320</f>
        <v>704.25</v>
      </c>
      <c r="BK317" s="1">
        <f t="shared" ref="BK317" ca="1" si="2021">BJ320</f>
        <v>704.25</v>
      </c>
      <c r="BL317" s="1">
        <f t="shared" ref="BL317" ca="1" si="2022">BK320</f>
        <v>704.25</v>
      </c>
      <c r="BM317" s="1">
        <f t="shared" ref="BM317" ca="1" si="2023">BL320</f>
        <v>704.25</v>
      </c>
      <c r="BN317" s="1">
        <f t="shared" ref="BN317" ca="1" si="2024">BM320</f>
        <v>704.25</v>
      </c>
      <c r="BO317" s="1">
        <f t="shared" ref="BO317" ca="1" si="2025">BN320</f>
        <v>704.25</v>
      </c>
      <c r="BP317" s="1">
        <f t="shared" ref="BP317" ca="1" si="2026">BO320</f>
        <v>704.25</v>
      </c>
      <c r="BQ317" s="1">
        <f t="shared" ref="BQ317" ca="1" si="2027">BP320</f>
        <v>0</v>
      </c>
      <c r="BR317" s="1">
        <f t="shared" ref="BR317" ca="1" si="2028">BQ320</f>
        <v>0</v>
      </c>
      <c r="BS317" s="1">
        <f t="shared" ref="BS317" ca="1" si="2029">BR320</f>
        <v>0</v>
      </c>
      <c r="BT317" s="1">
        <f t="shared" ref="BT317" ca="1" si="2030">BS320</f>
        <v>0</v>
      </c>
      <c r="BU317" s="1">
        <f t="shared" ref="BU317" ca="1" si="2031">BT320</f>
        <v>0</v>
      </c>
      <c r="BV317" s="1">
        <f t="shared" ref="BV317" ca="1" si="2032">BU320</f>
        <v>0</v>
      </c>
      <c r="BW317" s="1">
        <f t="shared" ref="BW317" ca="1" si="2033">BV320</f>
        <v>0</v>
      </c>
      <c r="BX317" s="1">
        <f t="shared" ref="BX317" ca="1" si="2034">BW320</f>
        <v>0</v>
      </c>
      <c r="BY317" s="1">
        <f t="shared" ref="BY317" ca="1" si="2035">BX320</f>
        <v>0</v>
      </c>
    </row>
    <row r="318" spans="4:77" ht="13.5" customHeight="1">
      <c r="E318" s="1" t="s">
        <v>170</v>
      </c>
      <c r="H318" s="1">
        <f ca="1">(H$14=$F297)*$F304</f>
        <v>0</v>
      </c>
      <c r="I318" s="1">
        <f t="shared" ref="I318:BT318" ca="1" si="2036">(I$14=$F297)*$F304</f>
        <v>0</v>
      </c>
      <c r="J318" s="1">
        <f t="shared" ca="1" si="2036"/>
        <v>0</v>
      </c>
      <c r="K318" s="1">
        <f t="shared" ca="1" si="2036"/>
        <v>0</v>
      </c>
      <c r="L318" s="1">
        <f t="shared" ca="1" si="2036"/>
        <v>0</v>
      </c>
      <c r="M318" s="1">
        <f t="shared" ca="1" si="2036"/>
        <v>0</v>
      </c>
      <c r="N318" s="1">
        <f t="shared" ca="1" si="2036"/>
        <v>0</v>
      </c>
      <c r="O318" s="1">
        <f t="shared" ca="1" si="2036"/>
        <v>704.25</v>
      </c>
      <c r="P318" s="1">
        <f t="shared" ca="1" si="2036"/>
        <v>0</v>
      </c>
      <c r="Q318" s="1">
        <f t="shared" ca="1" si="2036"/>
        <v>0</v>
      </c>
      <c r="R318" s="1">
        <f t="shared" ca="1" si="2036"/>
        <v>0</v>
      </c>
      <c r="S318" s="1">
        <f t="shared" ca="1" si="2036"/>
        <v>0</v>
      </c>
      <c r="T318" s="1">
        <f t="shared" ca="1" si="2036"/>
        <v>0</v>
      </c>
      <c r="U318" s="1">
        <f t="shared" ca="1" si="2036"/>
        <v>0</v>
      </c>
      <c r="V318" s="1">
        <f t="shared" ca="1" si="2036"/>
        <v>0</v>
      </c>
      <c r="W318" s="1">
        <f t="shared" ca="1" si="2036"/>
        <v>0</v>
      </c>
      <c r="X318" s="1">
        <f t="shared" ca="1" si="2036"/>
        <v>0</v>
      </c>
      <c r="Y318" s="1">
        <f t="shared" ca="1" si="2036"/>
        <v>0</v>
      </c>
      <c r="Z318" s="1">
        <f t="shared" ca="1" si="2036"/>
        <v>0</v>
      </c>
      <c r="AA318" s="1">
        <f t="shared" ca="1" si="2036"/>
        <v>0</v>
      </c>
      <c r="AB318" s="1">
        <f t="shared" ca="1" si="2036"/>
        <v>0</v>
      </c>
      <c r="AC318" s="1">
        <f t="shared" ca="1" si="2036"/>
        <v>0</v>
      </c>
      <c r="AD318" s="1">
        <f t="shared" ca="1" si="2036"/>
        <v>0</v>
      </c>
      <c r="AE318" s="1">
        <f t="shared" ca="1" si="2036"/>
        <v>0</v>
      </c>
      <c r="AF318" s="1">
        <f t="shared" ca="1" si="2036"/>
        <v>0</v>
      </c>
      <c r="AG318" s="1">
        <f t="shared" ca="1" si="2036"/>
        <v>0</v>
      </c>
      <c r="AH318" s="1">
        <f t="shared" ca="1" si="2036"/>
        <v>0</v>
      </c>
      <c r="AI318" s="1">
        <f t="shared" ca="1" si="2036"/>
        <v>0</v>
      </c>
      <c r="AJ318" s="1">
        <f t="shared" ca="1" si="2036"/>
        <v>0</v>
      </c>
      <c r="AK318" s="1">
        <f t="shared" ca="1" si="2036"/>
        <v>0</v>
      </c>
      <c r="AL318" s="1">
        <f t="shared" ca="1" si="2036"/>
        <v>0</v>
      </c>
      <c r="AM318" s="1">
        <f t="shared" ca="1" si="2036"/>
        <v>0</v>
      </c>
      <c r="AN318" s="1">
        <f t="shared" ca="1" si="2036"/>
        <v>0</v>
      </c>
      <c r="AO318" s="1">
        <f t="shared" ca="1" si="2036"/>
        <v>0</v>
      </c>
      <c r="AP318" s="1">
        <f t="shared" ca="1" si="2036"/>
        <v>0</v>
      </c>
      <c r="AQ318" s="1">
        <f t="shared" ca="1" si="2036"/>
        <v>0</v>
      </c>
      <c r="AR318" s="1">
        <f t="shared" ca="1" si="2036"/>
        <v>0</v>
      </c>
      <c r="AS318" s="1">
        <f t="shared" ca="1" si="2036"/>
        <v>0</v>
      </c>
      <c r="AT318" s="1">
        <f t="shared" ca="1" si="2036"/>
        <v>0</v>
      </c>
      <c r="AU318" s="1">
        <f t="shared" ca="1" si="2036"/>
        <v>0</v>
      </c>
      <c r="AV318" s="1">
        <f t="shared" ca="1" si="2036"/>
        <v>0</v>
      </c>
      <c r="AW318" s="1">
        <f t="shared" ca="1" si="2036"/>
        <v>0</v>
      </c>
      <c r="AX318" s="1">
        <f t="shared" ca="1" si="2036"/>
        <v>0</v>
      </c>
      <c r="AY318" s="1">
        <f t="shared" ca="1" si="2036"/>
        <v>0</v>
      </c>
      <c r="AZ318" s="1">
        <f t="shared" ca="1" si="2036"/>
        <v>0</v>
      </c>
      <c r="BA318" s="1">
        <f t="shared" ca="1" si="2036"/>
        <v>0</v>
      </c>
      <c r="BB318" s="1">
        <f t="shared" ca="1" si="2036"/>
        <v>0</v>
      </c>
      <c r="BC318" s="1">
        <f t="shared" ca="1" si="2036"/>
        <v>0</v>
      </c>
      <c r="BD318" s="1">
        <f t="shared" ca="1" si="2036"/>
        <v>0</v>
      </c>
      <c r="BE318" s="1">
        <f t="shared" ca="1" si="2036"/>
        <v>0</v>
      </c>
      <c r="BF318" s="1">
        <f t="shared" ca="1" si="2036"/>
        <v>0</v>
      </c>
      <c r="BG318" s="1">
        <f t="shared" ca="1" si="2036"/>
        <v>0</v>
      </c>
      <c r="BH318" s="1">
        <f t="shared" ca="1" si="2036"/>
        <v>0</v>
      </c>
      <c r="BI318" s="1">
        <f t="shared" ca="1" si="2036"/>
        <v>0</v>
      </c>
      <c r="BJ318" s="1">
        <f t="shared" ca="1" si="2036"/>
        <v>0</v>
      </c>
      <c r="BK318" s="1">
        <f t="shared" ca="1" si="2036"/>
        <v>0</v>
      </c>
      <c r="BL318" s="1">
        <f t="shared" ca="1" si="2036"/>
        <v>0</v>
      </c>
      <c r="BM318" s="1">
        <f t="shared" ca="1" si="2036"/>
        <v>0</v>
      </c>
      <c r="BN318" s="1">
        <f t="shared" ca="1" si="2036"/>
        <v>0</v>
      </c>
      <c r="BO318" s="1">
        <f t="shared" ca="1" si="2036"/>
        <v>0</v>
      </c>
      <c r="BP318" s="1">
        <f t="shared" ca="1" si="2036"/>
        <v>0</v>
      </c>
      <c r="BQ318" s="1">
        <f t="shared" ca="1" si="2036"/>
        <v>0</v>
      </c>
      <c r="BR318" s="1">
        <f t="shared" ca="1" si="2036"/>
        <v>0</v>
      </c>
      <c r="BS318" s="1">
        <f t="shared" ca="1" si="2036"/>
        <v>0</v>
      </c>
      <c r="BT318" s="1">
        <f t="shared" ca="1" si="2036"/>
        <v>0</v>
      </c>
      <c r="BU318" s="1">
        <f t="shared" ref="BU318:BY318" ca="1" si="2037">(BU$14=$F297)*$F304</f>
        <v>0</v>
      </c>
      <c r="BV318" s="1">
        <f t="shared" ca="1" si="2037"/>
        <v>0</v>
      </c>
      <c r="BW318" s="1">
        <f t="shared" ca="1" si="2037"/>
        <v>0</v>
      </c>
      <c r="BX318" s="1">
        <f t="shared" ca="1" si="2037"/>
        <v>0</v>
      </c>
      <c r="BY318" s="1">
        <f t="shared" ca="1" si="2037"/>
        <v>0</v>
      </c>
    </row>
    <row r="319" spans="4:77" ht="13.5" customHeight="1">
      <c r="E319" s="1" t="s">
        <v>171</v>
      </c>
      <c r="H319" s="1">
        <f t="shared" ref="H319:AM319" ca="1" si="2038">(H$14=exit)*$F304*-1</f>
        <v>0</v>
      </c>
      <c r="I319" s="1">
        <f t="shared" ca="1" si="2038"/>
        <v>0</v>
      </c>
      <c r="J319" s="1">
        <f t="shared" ca="1" si="2038"/>
        <v>0</v>
      </c>
      <c r="K319" s="1">
        <f t="shared" ca="1" si="2038"/>
        <v>0</v>
      </c>
      <c r="L319" s="1">
        <f t="shared" ca="1" si="2038"/>
        <v>0</v>
      </c>
      <c r="M319" s="1">
        <f t="shared" ca="1" si="2038"/>
        <v>0</v>
      </c>
      <c r="N319" s="1">
        <f t="shared" ca="1" si="2038"/>
        <v>0</v>
      </c>
      <c r="O319" s="1">
        <f t="shared" ca="1" si="2038"/>
        <v>0</v>
      </c>
      <c r="P319" s="1">
        <f t="shared" ca="1" si="2038"/>
        <v>0</v>
      </c>
      <c r="Q319" s="1">
        <f t="shared" ca="1" si="2038"/>
        <v>0</v>
      </c>
      <c r="R319" s="1">
        <f t="shared" ca="1" si="2038"/>
        <v>0</v>
      </c>
      <c r="S319" s="1">
        <f t="shared" ca="1" si="2038"/>
        <v>0</v>
      </c>
      <c r="T319" s="1">
        <f t="shared" ca="1" si="2038"/>
        <v>0</v>
      </c>
      <c r="U319" s="1">
        <f t="shared" ca="1" si="2038"/>
        <v>0</v>
      </c>
      <c r="V319" s="1">
        <f t="shared" ca="1" si="2038"/>
        <v>0</v>
      </c>
      <c r="W319" s="1">
        <f t="shared" ca="1" si="2038"/>
        <v>0</v>
      </c>
      <c r="X319" s="1">
        <f t="shared" ca="1" si="2038"/>
        <v>0</v>
      </c>
      <c r="Y319" s="1">
        <f t="shared" ca="1" si="2038"/>
        <v>0</v>
      </c>
      <c r="Z319" s="1">
        <f t="shared" ca="1" si="2038"/>
        <v>0</v>
      </c>
      <c r="AA319" s="1">
        <f t="shared" ca="1" si="2038"/>
        <v>0</v>
      </c>
      <c r="AB319" s="1">
        <f t="shared" ca="1" si="2038"/>
        <v>0</v>
      </c>
      <c r="AC319" s="1">
        <f t="shared" ca="1" si="2038"/>
        <v>0</v>
      </c>
      <c r="AD319" s="1">
        <f t="shared" ca="1" si="2038"/>
        <v>0</v>
      </c>
      <c r="AE319" s="1">
        <f t="shared" ca="1" si="2038"/>
        <v>0</v>
      </c>
      <c r="AF319" s="1">
        <f t="shared" ca="1" si="2038"/>
        <v>0</v>
      </c>
      <c r="AG319" s="1">
        <f t="shared" ca="1" si="2038"/>
        <v>0</v>
      </c>
      <c r="AH319" s="1">
        <f t="shared" ca="1" si="2038"/>
        <v>0</v>
      </c>
      <c r="AI319" s="1">
        <f t="shared" ca="1" si="2038"/>
        <v>0</v>
      </c>
      <c r="AJ319" s="1">
        <f t="shared" ca="1" si="2038"/>
        <v>0</v>
      </c>
      <c r="AK319" s="1">
        <f t="shared" ca="1" si="2038"/>
        <v>0</v>
      </c>
      <c r="AL319" s="1">
        <f t="shared" ca="1" si="2038"/>
        <v>0</v>
      </c>
      <c r="AM319" s="1">
        <f t="shared" ca="1" si="2038"/>
        <v>0</v>
      </c>
      <c r="AN319" s="1">
        <f t="shared" ref="AN319:BS319" ca="1" si="2039">(AN$14=exit)*$F304*-1</f>
        <v>0</v>
      </c>
      <c r="AO319" s="1">
        <f t="shared" ca="1" si="2039"/>
        <v>0</v>
      </c>
      <c r="AP319" s="1">
        <f t="shared" ca="1" si="2039"/>
        <v>0</v>
      </c>
      <c r="AQ319" s="1">
        <f t="shared" ca="1" si="2039"/>
        <v>0</v>
      </c>
      <c r="AR319" s="1">
        <f t="shared" ca="1" si="2039"/>
        <v>0</v>
      </c>
      <c r="AS319" s="1">
        <f t="shared" ca="1" si="2039"/>
        <v>0</v>
      </c>
      <c r="AT319" s="1">
        <f t="shared" ca="1" si="2039"/>
        <v>0</v>
      </c>
      <c r="AU319" s="1">
        <f t="shared" ca="1" si="2039"/>
        <v>0</v>
      </c>
      <c r="AV319" s="1">
        <f t="shared" ca="1" si="2039"/>
        <v>0</v>
      </c>
      <c r="AW319" s="1">
        <f t="shared" ca="1" si="2039"/>
        <v>0</v>
      </c>
      <c r="AX319" s="1">
        <f t="shared" ca="1" si="2039"/>
        <v>0</v>
      </c>
      <c r="AY319" s="1">
        <f t="shared" ca="1" si="2039"/>
        <v>0</v>
      </c>
      <c r="AZ319" s="1">
        <f t="shared" ca="1" si="2039"/>
        <v>0</v>
      </c>
      <c r="BA319" s="1">
        <f t="shared" ca="1" si="2039"/>
        <v>0</v>
      </c>
      <c r="BB319" s="1">
        <f t="shared" ca="1" si="2039"/>
        <v>0</v>
      </c>
      <c r="BC319" s="1">
        <f t="shared" ca="1" si="2039"/>
        <v>0</v>
      </c>
      <c r="BD319" s="1">
        <f t="shared" ca="1" si="2039"/>
        <v>0</v>
      </c>
      <c r="BE319" s="1">
        <f t="shared" ca="1" si="2039"/>
        <v>0</v>
      </c>
      <c r="BF319" s="1">
        <f t="shared" ca="1" si="2039"/>
        <v>0</v>
      </c>
      <c r="BG319" s="1">
        <f t="shared" ca="1" si="2039"/>
        <v>0</v>
      </c>
      <c r="BH319" s="1">
        <f t="shared" ca="1" si="2039"/>
        <v>0</v>
      </c>
      <c r="BI319" s="1">
        <f t="shared" ca="1" si="2039"/>
        <v>0</v>
      </c>
      <c r="BJ319" s="1">
        <f t="shared" ca="1" si="2039"/>
        <v>0</v>
      </c>
      <c r="BK319" s="1">
        <f t="shared" ca="1" si="2039"/>
        <v>0</v>
      </c>
      <c r="BL319" s="1">
        <f t="shared" ca="1" si="2039"/>
        <v>0</v>
      </c>
      <c r="BM319" s="1">
        <f t="shared" ca="1" si="2039"/>
        <v>0</v>
      </c>
      <c r="BN319" s="1">
        <f t="shared" ca="1" si="2039"/>
        <v>0</v>
      </c>
      <c r="BO319" s="1">
        <f t="shared" ca="1" si="2039"/>
        <v>0</v>
      </c>
      <c r="BP319" s="1">
        <f t="shared" ca="1" si="2039"/>
        <v>-704.25</v>
      </c>
      <c r="BQ319" s="1">
        <f t="shared" ca="1" si="2039"/>
        <v>0</v>
      </c>
      <c r="BR319" s="1">
        <f t="shared" ca="1" si="2039"/>
        <v>0</v>
      </c>
      <c r="BS319" s="1">
        <f t="shared" ca="1" si="2039"/>
        <v>0</v>
      </c>
      <c r="BT319" s="1">
        <f t="shared" ref="BT319:BY319" ca="1" si="2040">(BT$14=exit)*$F304*-1</f>
        <v>0</v>
      </c>
      <c r="BU319" s="1">
        <f t="shared" ca="1" si="2040"/>
        <v>0</v>
      </c>
      <c r="BV319" s="1">
        <f t="shared" ca="1" si="2040"/>
        <v>0</v>
      </c>
      <c r="BW319" s="1">
        <f t="shared" ca="1" si="2040"/>
        <v>0</v>
      </c>
      <c r="BX319" s="1">
        <f t="shared" ca="1" si="2040"/>
        <v>0</v>
      </c>
      <c r="BY319" s="1">
        <f t="shared" ca="1" si="2040"/>
        <v>0</v>
      </c>
    </row>
    <row r="320" spans="4:77" ht="13.5" customHeight="1">
      <c r="E320" s="41" t="s">
        <v>172</v>
      </c>
      <c r="F320" s="41"/>
      <c r="G320" s="41"/>
      <c r="H320" s="41">
        <f ca="1">SUM(H317:H319)</f>
        <v>0</v>
      </c>
      <c r="I320" s="41">
        <f t="shared" ref="I320:BT320" ca="1" si="2041">SUM(I317:I319)</f>
        <v>0</v>
      </c>
      <c r="J320" s="41">
        <f t="shared" ca="1" si="2041"/>
        <v>0</v>
      </c>
      <c r="K320" s="41">
        <f t="shared" ca="1" si="2041"/>
        <v>0</v>
      </c>
      <c r="L320" s="41">
        <f t="shared" ca="1" si="2041"/>
        <v>0</v>
      </c>
      <c r="M320" s="41">
        <f t="shared" ca="1" si="2041"/>
        <v>0</v>
      </c>
      <c r="N320" s="41">
        <f t="shared" ca="1" si="2041"/>
        <v>0</v>
      </c>
      <c r="O320" s="41">
        <f t="shared" ca="1" si="2041"/>
        <v>704.25</v>
      </c>
      <c r="P320" s="41">
        <f t="shared" ca="1" si="2041"/>
        <v>704.25</v>
      </c>
      <c r="Q320" s="41">
        <f t="shared" ca="1" si="2041"/>
        <v>704.25</v>
      </c>
      <c r="R320" s="41">
        <f t="shared" ca="1" si="2041"/>
        <v>704.25</v>
      </c>
      <c r="S320" s="41">
        <f t="shared" ca="1" si="2041"/>
        <v>704.25</v>
      </c>
      <c r="T320" s="41">
        <f t="shared" ca="1" si="2041"/>
        <v>704.25</v>
      </c>
      <c r="U320" s="41">
        <f t="shared" ca="1" si="2041"/>
        <v>704.25</v>
      </c>
      <c r="V320" s="41">
        <f t="shared" ca="1" si="2041"/>
        <v>704.25</v>
      </c>
      <c r="W320" s="41">
        <f t="shared" ca="1" si="2041"/>
        <v>704.25</v>
      </c>
      <c r="X320" s="41">
        <f t="shared" ca="1" si="2041"/>
        <v>704.25</v>
      </c>
      <c r="Y320" s="41">
        <f t="shared" ca="1" si="2041"/>
        <v>704.25</v>
      </c>
      <c r="Z320" s="41">
        <f t="shared" ca="1" si="2041"/>
        <v>704.25</v>
      </c>
      <c r="AA320" s="41">
        <f t="shared" ca="1" si="2041"/>
        <v>704.25</v>
      </c>
      <c r="AB320" s="41">
        <f t="shared" ca="1" si="2041"/>
        <v>704.25</v>
      </c>
      <c r="AC320" s="41">
        <f t="shared" ca="1" si="2041"/>
        <v>704.25</v>
      </c>
      <c r="AD320" s="41">
        <f t="shared" ca="1" si="2041"/>
        <v>704.25</v>
      </c>
      <c r="AE320" s="41">
        <f t="shared" ca="1" si="2041"/>
        <v>704.25</v>
      </c>
      <c r="AF320" s="41">
        <f t="shared" ca="1" si="2041"/>
        <v>704.25</v>
      </c>
      <c r="AG320" s="41">
        <f t="shared" ca="1" si="2041"/>
        <v>704.25</v>
      </c>
      <c r="AH320" s="41">
        <f t="shared" ca="1" si="2041"/>
        <v>704.25</v>
      </c>
      <c r="AI320" s="41">
        <f t="shared" ca="1" si="2041"/>
        <v>704.25</v>
      </c>
      <c r="AJ320" s="41">
        <f t="shared" ca="1" si="2041"/>
        <v>704.25</v>
      </c>
      <c r="AK320" s="41">
        <f t="shared" ca="1" si="2041"/>
        <v>704.25</v>
      </c>
      <c r="AL320" s="41">
        <f t="shared" ca="1" si="2041"/>
        <v>704.25</v>
      </c>
      <c r="AM320" s="41">
        <f t="shared" ca="1" si="2041"/>
        <v>704.25</v>
      </c>
      <c r="AN320" s="41">
        <f t="shared" ca="1" si="2041"/>
        <v>704.25</v>
      </c>
      <c r="AO320" s="41">
        <f t="shared" ca="1" si="2041"/>
        <v>704.25</v>
      </c>
      <c r="AP320" s="41">
        <f t="shared" ca="1" si="2041"/>
        <v>704.25</v>
      </c>
      <c r="AQ320" s="41">
        <f t="shared" ca="1" si="2041"/>
        <v>704.25</v>
      </c>
      <c r="AR320" s="41">
        <f t="shared" ca="1" si="2041"/>
        <v>704.25</v>
      </c>
      <c r="AS320" s="41">
        <f t="shared" ca="1" si="2041"/>
        <v>704.25</v>
      </c>
      <c r="AT320" s="41">
        <f t="shared" ca="1" si="2041"/>
        <v>704.25</v>
      </c>
      <c r="AU320" s="41">
        <f t="shared" ca="1" si="2041"/>
        <v>704.25</v>
      </c>
      <c r="AV320" s="41">
        <f t="shared" ca="1" si="2041"/>
        <v>704.25</v>
      </c>
      <c r="AW320" s="41">
        <f t="shared" ca="1" si="2041"/>
        <v>704.25</v>
      </c>
      <c r="AX320" s="41">
        <f t="shared" ca="1" si="2041"/>
        <v>704.25</v>
      </c>
      <c r="AY320" s="41">
        <f t="shared" ca="1" si="2041"/>
        <v>704.25</v>
      </c>
      <c r="AZ320" s="41">
        <f t="shared" ca="1" si="2041"/>
        <v>704.25</v>
      </c>
      <c r="BA320" s="41">
        <f t="shared" ca="1" si="2041"/>
        <v>704.25</v>
      </c>
      <c r="BB320" s="41">
        <f t="shared" ca="1" si="2041"/>
        <v>704.25</v>
      </c>
      <c r="BC320" s="41">
        <f t="shared" ca="1" si="2041"/>
        <v>704.25</v>
      </c>
      <c r="BD320" s="41">
        <f t="shared" ca="1" si="2041"/>
        <v>704.25</v>
      </c>
      <c r="BE320" s="41">
        <f t="shared" ca="1" si="2041"/>
        <v>704.25</v>
      </c>
      <c r="BF320" s="41">
        <f t="shared" ca="1" si="2041"/>
        <v>704.25</v>
      </c>
      <c r="BG320" s="41">
        <f t="shared" ca="1" si="2041"/>
        <v>704.25</v>
      </c>
      <c r="BH320" s="41">
        <f t="shared" ca="1" si="2041"/>
        <v>704.25</v>
      </c>
      <c r="BI320" s="41">
        <f t="shared" ca="1" si="2041"/>
        <v>704.25</v>
      </c>
      <c r="BJ320" s="41">
        <f t="shared" ca="1" si="2041"/>
        <v>704.25</v>
      </c>
      <c r="BK320" s="41">
        <f t="shared" ca="1" si="2041"/>
        <v>704.25</v>
      </c>
      <c r="BL320" s="41">
        <f t="shared" ca="1" si="2041"/>
        <v>704.25</v>
      </c>
      <c r="BM320" s="41">
        <f t="shared" ca="1" si="2041"/>
        <v>704.25</v>
      </c>
      <c r="BN320" s="41">
        <f t="shared" ca="1" si="2041"/>
        <v>704.25</v>
      </c>
      <c r="BO320" s="41">
        <f t="shared" ca="1" si="2041"/>
        <v>704.25</v>
      </c>
      <c r="BP320" s="41">
        <f t="shared" ca="1" si="2041"/>
        <v>0</v>
      </c>
      <c r="BQ320" s="41">
        <f t="shared" ca="1" si="2041"/>
        <v>0</v>
      </c>
      <c r="BR320" s="41">
        <f t="shared" ca="1" si="2041"/>
        <v>0</v>
      </c>
      <c r="BS320" s="41">
        <f t="shared" ca="1" si="2041"/>
        <v>0</v>
      </c>
      <c r="BT320" s="41">
        <f t="shared" ca="1" si="2041"/>
        <v>0</v>
      </c>
      <c r="BU320" s="41">
        <f t="shared" ref="BU320:BY320" ca="1" si="2042">SUM(BU317:BU319)</f>
        <v>0</v>
      </c>
      <c r="BV320" s="41">
        <f t="shared" ca="1" si="2042"/>
        <v>0</v>
      </c>
      <c r="BW320" s="41">
        <f t="shared" ca="1" si="2042"/>
        <v>0</v>
      </c>
      <c r="BX320" s="41">
        <f t="shared" ca="1" si="2042"/>
        <v>0</v>
      </c>
      <c r="BY320" s="41">
        <f t="shared" ca="1" si="2042"/>
        <v>0</v>
      </c>
    </row>
    <row r="322" spans="2:77" ht="13.5" customHeight="1">
      <c r="C322" s="13" t="s">
        <v>196</v>
      </c>
    </row>
    <row r="323" spans="2:77" ht="13.5" customHeight="1">
      <c r="D323" s="120" t="str">
        <f>CONCATENATE(B265," 임대료 수입 합계")</f>
        <v>지하2층 임대료 수입 합계</v>
      </c>
      <c r="E323" s="120"/>
      <c r="F323" s="120"/>
      <c r="G323" s="120"/>
      <c r="H323" s="120">
        <f ca="1">H277+H310</f>
        <v>103.29</v>
      </c>
      <c r="I323" s="120">
        <f t="shared" ref="I323:BT323" ca="1" si="2043">I277+I310</f>
        <v>103.29</v>
      </c>
      <c r="J323" s="120">
        <f t="shared" ca="1" si="2043"/>
        <v>103.29</v>
      </c>
      <c r="K323" s="120">
        <f t="shared" ca="1" si="2043"/>
        <v>103.29</v>
      </c>
      <c r="L323" s="120">
        <f t="shared" ca="1" si="2043"/>
        <v>103.29</v>
      </c>
      <c r="M323" s="120">
        <f t="shared" ca="1" si="2043"/>
        <v>103.29</v>
      </c>
      <c r="N323" s="120">
        <f t="shared" ca="1" si="2043"/>
        <v>0</v>
      </c>
      <c r="O323" s="120">
        <f t="shared" ca="1" si="2043"/>
        <v>0</v>
      </c>
      <c r="P323" s="120">
        <f t="shared" ca="1" si="2043"/>
        <v>107.59374999999999</v>
      </c>
      <c r="Q323" s="120">
        <f t="shared" ca="1" si="2043"/>
        <v>107.59374999999999</v>
      </c>
      <c r="R323" s="120">
        <f t="shared" ca="1" si="2043"/>
        <v>107.59374999999999</v>
      </c>
      <c r="S323" s="120">
        <f t="shared" ca="1" si="2043"/>
        <v>107.59374999999999</v>
      </c>
      <c r="T323" s="120">
        <f t="shared" ca="1" si="2043"/>
        <v>107.59374999999999</v>
      </c>
      <c r="U323" s="120">
        <f t="shared" ca="1" si="2043"/>
        <v>107.59374999999999</v>
      </c>
      <c r="V323" s="120">
        <f t="shared" ca="1" si="2043"/>
        <v>107.59374999999999</v>
      </c>
      <c r="W323" s="120">
        <f t="shared" ca="1" si="2043"/>
        <v>107.59374999999999</v>
      </c>
      <c r="X323" s="120">
        <f t="shared" ca="1" si="2043"/>
        <v>107.59374999999999</v>
      </c>
      <c r="Y323" s="120">
        <f t="shared" ca="1" si="2043"/>
        <v>107.59374999999999</v>
      </c>
      <c r="Z323" s="120">
        <f t="shared" ca="1" si="2043"/>
        <v>107.59374999999999</v>
      </c>
      <c r="AA323" s="120">
        <f t="shared" ca="1" si="2043"/>
        <v>108.66968749999999</v>
      </c>
      <c r="AB323" s="120">
        <f t="shared" ca="1" si="2043"/>
        <v>108.66968749999999</v>
      </c>
      <c r="AC323" s="120">
        <f t="shared" ca="1" si="2043"/>
        <v>108.66968749999999</v>
      </c>
      <c r="AD323" s="120">
        <f t="shared" ca="1" si="2043"/>
        <v>108.66968749999999</v>
      </c>
      <c r="AE323" s="120">
        <f t="shared" ca="1" si="2043"/>
        <v>108.66968749999999</v>
      </c>
      <c r="AF323" s="120">
        <f t="shared" ca="1" si="2043"/>
        <v>108.66968749999999</v>
      </c>
      <c r="AG323" s="120">
        <f t="shared" ca="1" si="2043"/>
        <v>108.66968749999999</v>
      </c>
      <c r="AH323" s="120">
        <f t="shared" ca="1" si="2043"/>
        <v>108.66968749999999</v>
      </c>
      <c r="AI323" s="120">
        <f t="shared" ca="1" si="2043"/>
        <v>108.66968749999999</v>
      </c>
      <c r="AJ323" s="120">
        <f t="shared" ca="1" si="2043"/>
        <v>108.66968749999999</v>
      </c>
      <c r="AK323" s="120">
        <f t="shared" ca="1" si="2043"/>
        <v>108.66968749999999</v>
      </c>
      <c r="AL323" s="120">
        <f t="shared" ca="1" si="2043"/>
        <v>108.66968749999999</v>
      </c>
      <c r="AM323" s="120">
        <f t="shared" ca="1" si="2043"/>
        <v>109.75638437499998</v>
      </c>
      <c r="AN323" s="120">
        <f t="shared" ca="1" si="2043"/>
        <v>109.75638437499998</v>
      </c>
      <c r="AO323" s="120">
        <f t="shared" ca="1" si="2043"/>
        <v>109.75638437499998</v>
      </c>
      <c r="AP323" s="120">
        <f t="shared" ca="1" si="2043"/>
        <v>109.75638437499998</v>
      </c>
      <c r="AQ323" s="120">
        <f t="shared" ca="1" si="2043"/>
        <v>109.75638437499998</v>
      </c>
      <c r="AR323" s="120">
        <f t="shared" ca="1" si="2043"/>
        <v>109.75638437499998</v>
      </c>
      <c r="AS323" s="120">
        <f t="shared" ca="1" si="2043"/>
        <v>109.75638437499998</v>
      </c>
      <c r="AT323" s="120">
        <f t="shared" ca="1" si="2043"/>
        <v>109.75638437499998</v>
      </c>
      <c r="AU323" s="120">
        <f t="shared" ca="1" si="2043"/>
        <v>109.75638437499998</v>
      </c>
      <c r="AV323" s="120">
        <f t="shared" ca="1" si="2043"/>
        <v>109.75638437499998</v>
      </c>
      <c r="AW323" s="120">
        <f t="shared" ca="1" si="2043"/>
        <v>109.75638437499998</v>
      </c>
      <c r="AX323" s="120">
        <f t="shared" ca="1" si="2043"/>
        <v>109.75638437499998</v>
      </c>
      <c r="AY323" s="120">
        <f t="shared" ca="1" si="2043"/>
        <v>110.85394821874999</v>
      </c>
      <c r="AZ323" s="120">
        <f t="shared" ca="1" si="2043"/>
        <v>110.85394821874999</v>
      </c>
      <c r="BA323" s="120">
        <f t="shared" ca="1" si="2043"/>
        <v>110.85394821874999</v>
      </c>
      <c r="BB323" s="120">
        <f t="shared" ca="1" si="2043"/>
        <v>110.85394821874999</v>
      </c>
      <c r="BC323" s="120">
        <f t="shared" ca="1" si="2043"/>
        <v>110.85394821874999</v>
      </c>
      <c r="BD323" s="120">
        <f t="shared" ca="1" si="2043"/>
        <v>110.85394821874999</v>
      </c>
      <c r="BE323" s="120">
        <f t="shared" ca="1" si="2043"/>
        <v>110.85394821874999</v>
      </c>
      <c r="BF323" s="120">
        <f t="shared" ca="1" si="2043"/>
        <v>110.85394821874999</v>
      </c>
      <c r="BG323" s="120">
        <f t="shared" ca="1" si="2043"/>
        <v>110.85394821874999</v>
      </c>
      <c r="BH323" s="120">
        <f t="shared" ca="1" si="2043"/>
        <v>110.85394821874999</v>
      </c>
      <c r="BI323" s="120">
        <f t="shared" ca="1" si="2043"/>
        <v>110.85394821874999</v>
      </c>
      <c r="BJ323" s="120">
        <f t="shared" ca="1" si="2043"/>
        <v>110.85394821874999</v>
      </c>
      <c r="BK323" s="120">
        <f t="shared" ca="1" si="2043"/>
        <v>111.96248770093747</v>
      </c>
      <c r="BL323" s="120">
        <f t="shared" ca="1" si="2043"/>
        <v>111.96248770093747</v>
      </c>
      <c r="BM323" s="120">
        <f t="shared" ca="1" si="2043"/>
        <v>111.96248770093747</v>
      </c>
      <c r="BN323" s="120">
        <f t="shared" ca="1" si="2043"/>
        <v>111.96248770093747</v>
      </c>
      <c r="BO323" s="120">
        <f t="shared" ca="1" si="2043"/>
        <v>111.96248770093747</v>
      </c>
      <c r="BP323" s="120">
        <f t="shared" ca="1" si="2043"/>
        <v>111.96248770093747</v>
      </c>
      <c r="BQ323" s="120">
        <f t="shared" ca="1" si="2043"/>
        <v>0</v>
      </c>
      <c r="BR323" s="120">
        <f t="shared" ca="1" si="2043"/>
        <v>0</v>
      </c>
      <c r="BS323" s="120">
        <f t="shared" ca="1" si="2043"/>
        <v>0</v>
      </c>
      <c r="BT323" s="120">
        <f t="shared" ca="1" si="2043"/>
        <v>0</v>
      </c>
      <c r="BU323" s="120">
        <f t="shared" ref="BU323:BY323" ca="1" si="2044">BU277+BU310</f>
        <v>0</v>
      </c>
      <c r="BV323" s="120">
        <f t="shared" ca="1" si="2044"/>
        <v>0</v>
      </c>
      <c r="BW323" s="120">
        <f t="shared" ca="1" si="2044"/>
        <v>0</v>
      </c>
      <c r="BX323" s="120">
        <f t="shared" ca="1" si="2044"/>
        <v>0</v>
      </c>
      <c r="BY323" s="120">
        <f t="shared" ca="1" si="2044"/>
        <v>0</v>
      </c>
    </row>
    <row r="324" spans="2:77" ht="13.5" customHeight="1">
      <c r="D324" s="120" t="str">
        <f>CONCATENATE(B265," 관리비 수입 합계")</f>
        <v>지하2층 관리비 수입 합계</v>
      </c>
      <c r="E324" s="120"/>
      <c r="F324" s="120"/>
      <c r="G324" s="120"/>
      <c r="H324" s="120">
        <f ca="1">H281+H314</f>
        <v>9.39</v>
      </c>
      <c r="I324" s="120">
        <f t="shared" ref="I324:BT324" ca="1" si="2045">I281+I314</f>
        <v>9.39</v>
      </c>
      <c r="J324" s="120">
        <f t="shared" ca="1" si="2045"/>
        <v>9.39</v>
      </c>
      <c r="K324" s="120">
        <f t="shared" ca="1" si="2045"/>
        <v>9.39</v>
      </c>
      <c r="L324" s="120">
        <f t="shared" ca="1" si="2045"/>
        <v>9.39</v>
      </c>
      <c r="M324" s="120">
        <f t="shared" ca="1" si="2045"/>
        <v>9.39</v>
      </c>
      <c r="N324" s="120">
        <f t="shared" ca="1" si="2045"/>
        <v>0</v>
      </c>
      <c r="O324" s="120">
        <f t="shared" ca="1" si="2045"/>
        <v>9.39</v>
      </c>
      <c r="P324" s="120">
        <f t="shared" ca="1" si="2045"/>
        <v>9.39</v>
      </c>
      <c r="Q324" s="120">
        <f t="shared" ca="1" si="2045"/>
        <v>9.39</v>
      </c>
      <c r="R324" s="120">
        <f t="shared" ca="1" si="2045"/>
        <v>9.39</v>
      </c>
      <c r="S324" s="120">
        <f t="shared" ca="1" si="2045"/>
        <v>9.39</v>
      </c>
      <c r="T324" s="120">
        <f t="shared" ca="1" si="2045"/>
        <v>9.39</v>
      </c>
      <c r="U324" s="120">
        <f t="shared" ca="1" si="2045"/>
        <v>9.39</v>
      </c>
      <c r="V324" s="120">
        <f t="shared" ca="1" si="2045"/>
        <v>9.39</v>
      </c>
      <c r="W324" s="120">
        <f t="shared" ca="1" si="2045"/>
        <v>9.39</v>
      </c>
      <c r="X324" s="120">
        <f t="shared" ca="1" si="2045"/>
        <v>9.39</v>
      </c>
      <c r="Y324" s="120">
        <f t="shared" ca="1" si="2045"/>
        <v>9.39</v>
      </c>
      <c r="Z324" s="120">
        <f t="shared" ca="1" si="2045"/>
        <v>9.39</v>
      </c>
      <c r="AA324" s="120">
        <f t="shared" ca="1" si="2045"/>
        <v>9.4839000000000002</v>
      </c>
      <c r="AB324" s="120">
        <f t="shared" ca="1" si="2045"/>
        <v>9.4839000000000002</v>
      </c>
      <c r="AC324" s="120">
        <f t="shared" ca="1" si="2045"/>
        <v>9.4839000000000002</v>
      </c>
      <c r="AD324" s="120">
        <f t="shared" ca="1" si="2045"/>
        <v>9.4839000000000002</v>
      </c>
      <c r="AE324" s="120">
        <f t="shared" ca="1" si="2045"/>
        <v>9.4839000000000002</v>
      </c>
      <c r="AF324" s="120">
        <f t="shared" ca="1" si="2045"/>
        <v>9.4839000000000002</v>
      </c>
      <c r="AG324" s="120">
        <f t="shared" ca="1" si="2045"/>
        <v>9.4839000000000002</v>
      </c>
      <c r="AH324" s="120">
        <f t="shared" ca="1" si="2045"/>
        <v>9.4839000000000002</v>
      </c>
      <c r="AI324" s="120">
        <f t="shared" ca="1" si="2045"/>
        <v>9.4839000000000002</v>
      </c>
      <c r="AJ324" s="120">
        <f t="shared" ca="1" si="2045"/>
        <v>9.4839000000000002</v>
      </c>
      <c r="AK324" s="120">
        <f t="shared" ca="1" si="2045"/>
        <v>9.4839000000000002</v>
      </c>
      <c r="AL324" s="120">
        <f t="shared" ca="1" si="2045"/>
        <v>9.4839000000000002</v>
      </c>
      <c r="AM324" s="120">
        <f t="shared" ca="1" si="2045"/>
        <v>9.5787390000000006</v>
      </c>
      <c r="AN324" s="120">
        <f t="shared" ca="1" si="2045"/>
        <v>9.5787390000000006</v>
      </c>
      <c r="AO324" s="120">
        <f t="shared" ca="1" si="2045"/>
        <v>9.5787390000000006</v>
      </c>
      <c r="AP324" s="120">
        <f t="shared" ca="1" si="2045"/>
        <v>9.5787390000000006</v>
      </c>
      <c r="AQ324" s="120">
        <f t="shared" ca="1" si="2045"/>
        <v>9.5787390000000006</v>
      </c>
      <c r="AR324" s="120">
        <f t="shared" ca="1" si="2045"/>
        <v>9.5787390000000006</v>
      </c>
      <c r="AS324" s="120">
        <f t="shared" ca="1" si="2045"/>
        <v>9.5787390000000006</v>
      </c>
      <c r="AT324" s="120">
        <f t="shared" ca="1" si="2045"/>
        <v>9.5787390000000006</v>
      </c>
      <c r="AU324" s="120">
        <f t="shared" ca="1" si="2045"/>
        <v>9.5787390000000006</v>
      </c>
      <c r="AV324" s="120">
        <f t="shared" ca="1" si="2045"/>
        <v>9.5787390000000006</v>
      </c>
      <c r="AW324" s="120">
        <f t="shared" ca="1" si="2045"/>
        <v>9.5787390000000006</v>
      </c>
      <c r="AX324" s="120">
        <f t="shared" ca="1" si="2045"/>
        <v>9.5787390000000006</v>
      </c>
      <c r="AY324" s="120">
        <f t="shared" ca="1" si="2045"/>
        <v>9.6745263899999987</v>
      </c>
      <c r="AZ324" s="120">
        <f t="shared" ca="1" si="2045"/>
        <v>9.6745263899999987</v>
      </c>
      <c r="BA324" s="120">
        <f t="shared" ca="1" si="2045"/>
        <v>9.6745263899999987</v>
      </c>
      <c r="BB324" s="120">
        <f t="shared" ca="1" si="2045"/>
        <v>9.6745263899999987</v>
      </c>
      <c r="BC324" s="120">
        <f t="shared" ca="1" si="2045"/>
        <v>9.6745263899999987</v>
      </c>
      <c r="BD324" s="120">
        <f t="shared" ca="1" si="2045"/>
        <v>9.6745263899999987</v>
      </c>
      <c r="BE324" s="120">
        <f t="shared" ca="1" si="2045"/>
        <v>9.6745263899999987</v>
      </c>
      <c r="BF324" s="120">
        <f t="shared" ca="1" si="2045"/>
        <v>9.6745263899999987</v>
      </c>
      <c r="BG324" s="120">
        <f t="shared" ca="1" si="2045"/>
        <v>9.6745263899999987</v>
      </c>
      <c r="BH324" s="120">
        <f t="shared" ca="1" si="2045"/>
        <v>9.6745263899999987</v>
      </c>
      <c r="BI324" s="120">
        <f t="shared" ca="1" si="2045"/>
        <v>9.6745263899999987</v>
      </c>
      <c r="BJ324" s="120">
        <f t="shared" ca="1" si="2045"/>
        <v>9.6745263899999987</v>
      </c>
      <c r="BK324" s="120">
        <f t="shared" ca="1" si="2045"/>
        <v>9.7712716538999995</v>
      </c>
      <c r="BL324" s="120">
        <f t="shared" ca="1" si="2045"/>
        <v>9.7712716538999995</v>
      </c>
      <c r="BM324" s="120">
        <f t="shared" ca="1" si="2045"/>
        <v>9.7712716538999995</v>
      </c>
      <c r="BN324" s="120">
        <f t="shared" ca="1" si="2045"/>
        <v>9.7712716538999995</v>
      </c>
      <c r="BO324" s="120">
        <f t="shared" ca="1" si="2045"/>
        <v>9.7712716538999995</v>
      </c>
      <c r="BP324" s="120">
        <f t="shared" ca="1" si="2045"/>
        <v>9.7712716538999995</v>
      </c>
      <c r="BQ324" s="120">
        <f t="shared" ca="1" si="2045"/>
        <v>0</v>
      </c>
      <c r="BR324" s="120">
        <f t="shared" ca="1" si="2045"/>
        <v>0</v>
      </c>
      <c r="BS324" s="120">
        <f t="shared" ca="1" si="2045"/>
        <v>0</v>
      </c>
      <c r="BT324" s="120">
        <f t="shared" ca="1" si="2045"/>
        <v>0</v>
      </c>
      <c r="BU324" s="120">
        <f t="shared" ref="BU324:BY324" ca="1" si="2046">BU281+BU314</f>
        <v>0</v>
      </c>
      <c r="BV324" s="120">
        <f t="shared" ca="1" si="2046"/>
        <v>0</v>
      </c>
      <c r="BW324" s="120">
        <f t="shared" ca="1" si="2046"/>
        <v>0</v>
      </c>
      <c r="BX324" s="120">
        <f t="shared" ca="1" si="2046"/>
        <v>0</v>
      </c>
      <c r="BY324" s="120">
        <f t="shared" ca="1" si="2046"/>
        <v>0</v>
      </c>
    </row>
    <row r="325" spans="2:77" ht="13.5" customHeight="1">
      <c r="D325" s="120" t="str">
        <f>CONCATENATE(B265," 보증금 현금흐름 합계")</f>
        <v>지하2층 보증금 현금흐름 합계</v>
      </c>
      <c r="E325" s="120"/>
      <c r="F325" s="120"/>
      <c r="G325" s="120"/>
      <c r="H325" s="120">
        <f ca="1">SUM(H285:H286,H318:H319)</f>
        <v>0</v>
      </c>
      <c r="I325" s="120">
        <f t="shared" ref="I325:BT325" ca="1" si="2047">SUM(I285:I286,I318:I319)</f>
        <v>0</v>
      </c>
      <c r="J325" s="120">
        <f t="shared" ca="1" si="2047"/>
        <v>0</v>
      </c>
      <c r="K325" s="120">
        <f t="shared" ca="1" si="2047"/>
        <v>0</v>
      </c>
      <c r="L325" s="120">
        <f t="shared" ca="1" si="2047"/>
        <v>0</v>
      </c>
      <c r="M325" s="120">
        <f t="shared" ca="1" si="2047"/>
        <v>-704.25</v>
      </c>
      <c r="N325" s="120">
        <f t="shared" ca="1" si="2047"/>
        <v>0</v>
      </c>
      <c r="O325" s="120">
        <f t="shared" ca="1" si="2047"/>
        <v>704.25</v>
      </c>
      <c r="P325" s="120">
        <f t="shared" ca="1" si="2047"/>
        <v>0</v>
      </c>
      <c r="Q325" s="120">
        <f t="shared" ca="1" si="2047"/>
        <v>0</v>
      </c>
      <c r="R325" s="120">
        <f t="shared" ca="1" si="2047"/>
        <v>0</v>
      </c>
      <c r="S325" s="120">
        <f t="shared" ca="1" si="2047"/>
        <v>0</v>
      </c>
      <c r="T325" s="120">
        <f t="shared" ca="1" si="2047"/>
        <v>0</v>
      </c>
      <c r="U325" s="120">
        <f t="shared" ca="1" si="2047"/>
        <v>0</v>
      </c>
      <c r="V325" s="120">
        <f t="shared" ca="1" si="2047"/>
        <v>0</v>
      </c>
      <c r="W325" s="120">
        <f t="shared" ca="1" si="2047"/>
        <v>0</v>
      </c>
      <c r="X325" s="120">
        <f t="shared" ca="1" si="2047"/>
        <v>0</v>
      </c>
      <c r="Y325" s="120">
        <f t="shared" ca="1" si="2047"/>
        <v>0</v>
      </c>
      <c r="Z325" s="120">
        <f t="shared" ca="1" si="2047"/>
        <v>0</v>
      </c>
      <c r="AA325" s="120">
        <f t="shared" ca="1" si="2047"/>
        <v>0</v>
      </c>
      <c r="AB325" s="120">
        <f t="shared" ca="1" si="2047"/>
        <v>0</v>
      </c>
      <c r="AC325" s="120">
        <f t="shared" ca="1" si="2047"/>
        <v>0</v>
      </c>
      <c r="AD325" s="120">
        <f t="shared" ca="1" si="2047"/>
        <v>0</v>
      </c>
      <c r="AE325" s="120">
        <f t="shared" ca="1" si="2047"/>
        <v>0</v>
      </c>
      <c r="AF325" s="120">
        <f t="shared" ca="1" si="2047"/>
        <v>0</v>
      </c>
      <c r="AG325" s="120">
        <f t="shared" ca="1" si="2047"/>
        <v>0</v>
      </c>
      <c r="AH325" s="120">
        <f t="shared" ca="1" si="2047"/>
        <v>0</v>
      </c>
      <c r="AI325" s="120">
        <f t="shared" ca="1" si="2047"/>
        <v>0</v>
      </c>
      <c r="AJ325" s="120">
        <f t="shared" ca="1" si="2047"/>
        <v>0</v>
      </c>
      <c r="AK325" s="120">
        <f t="shared" ca="1" si="2047"/>
        <v>0</v>
      </c>
      <c r="AL325" s="120">
        <f t="shared" ca="1" si="2047"/>
        <v>0</v>
      </c>
      <c r="AM325" s="120">
        <f t="shared" ca="1" si="2047"/>
        <v>0</v>
      </c>
      <c r="AN325" s="120">
        <f t="shared" ca="1" si="2047"/>
        <v>0</v>
      </c>
      <c r="AO325" s="120">
        <f t="shared" ca="1" si="2047"/>
        <v>0</v>
      </c>
      <c r="AP325" s="120">
        <f t="shared" ca="1" si="2047"/>
        <v>0</v>
      </c>
      <c r="AQ325" s="120">
        <f t="shared" ca="1" si="2047"/>
        <v>0</v>
      </c>
      <c r="AR325" s="120">
        <f t="shared" ca="1" si="2047"/>
        <v>0</v>
      </c>
      <c r="AS325" s="120">
        <f t="shared" ca="1" si="2047"/>
        <v>0</v>
      </c>
      <c r="AT325" s="120">
        <f t="shared" ca="1" si="2047"/>
        <v>0</v>
      </c>
      <c r="AU325" s="120">
        <f t="shared" ca="1" si="2047"/>
        <v>0</v>
      </c>
      <c r="AV325" s="120">
        <f t="shared" ca="1" si="2047"/>
        <v>0</v>
      </c>
      <c r="AW325" s="120">
        <f t="shared" ca="1" si="2047"/>
        <v>0</v>
      </c>
      <c r="AX325" s="120">
        <f t="shared" ca="1" si="2047"/>
        <v>0</v>
      </c>
      <c r="AY325" s="120">
        <f t="shared" ca="1" si="2047"/>
        <v>0</v>
      </c>
      <c r="AZ325" s="120">
        <f t="shared" ca="1" si="2047"/>
        <v>0</v>
      </c>
      <c r="BA325" s="120">
        <f t="shared" ca="1" si="2047"/>
        <v>0</v>
      </c>
      <c r="BB325" s="120">
        <f t="shared" ca="1" si="2047"/>
        <v>0</v>
      </c>
      <c r="BC325" s="120">
        <f t="shared" ca="1" si="2047"/>
        <v>0</v>
      </c>
      <c r="BD325" s="120">
        <f t="shared" ca="1" si="2047"/>
        <v>0</v>
      </c>
      <c r="BE325" s="120">
        <f t="shared" ca="1" si="2047"/>
        <v>0</v>
      </c>
      <c r="BF325" s="120">
        <f t="shared" ca="1" si="2047"/>
        <v>0</v>
      </c>
      <c r="BG325" s="120">
        <f t="shared" ca="1" si="2047"/>
        <v>0</v>
      </c>
      <c r="BH325" s="120">
        <f t="shared" ca="1" si="2047"/>
        <v>0</v>
      </c>
      <c r="BI325" s="120">
        <f t="shared" ca="1" si="2047"/>
        <v>0</v>
      </c>
      <c r="BJ325" s="120">
        <f t="shared" ca="1" si="2047"/>
        <v>0</v>
      </c>
      <c r="BK325" s="120">
        <f t="shared" ca="1" si="2047"/>
        <v>0</v>
      </c>
      <c r="BL325" s="120">
        <f t="shared" ca="1" si="2047"/>
        <v>0</v>
      </c>
      <c r="BM325" s="120">
        <f t="shared" ca="1" si="2047"/>
        <v>0</v>
      </c>
      <c r="BN325" s="120">
        <f t="shared" ca="1" si="2047"/>
        <v>0</v>
      </c>
      <c r="BO325" s="120">
        <f t="shared" ca="1" si="2047"/>
        <v>0</v>
      </c>
      <c r="BP325" s="120">
        <f t="shared" ca="1" si="2047"/>
        <v>-704.25</v>
      </c>
      <c r="BQ325" s="120">
        <f t="shared" ca="1" si="2047"/>
        <v>0</v>
      </c>
      <c r="BR325" s="120">
        <f t="shared" ca="1" si="2047"/>
        <v>0</v>
      </c>
      <c r="BS325" s="120">
        <f t="shared" ca="1" si="2047"/>
        <v>0</v>
      </c>
      <c r="BT325" s="120">
        <f t="shared" ca="1" si="2047"/>
        <v>0</v>
      </c>
      <c r="BU325" s="120">
        <f t="shared" ref="BU325:BY325" ca="1" si="2048">SUM(BU285:BU286,BU318:BU319)</f>
        <v>0</v>
      </c>
      <c r="BV325" s="120">
        <f t="shared" ca="1" si="2048"/>
        <v>0</v>
      </c>
      <c r="BW325" s="120">
        <f t="shared" ca="1" si="2048"/>
        <v>0</v>
      </c>
      <c r="BX325" s="120">
        <f t="shared" ca="1" si="2048"/>
        <v>0</v>
      </c>
      <c r="BY325" s="120">
        <f t="shared" ca="1" si="2048"/>
        <v>0</v>
      </c>
    </row>
    <row r="327" spans="2:77" ht="13.5" customHeight="1">
      <c r="B327" s="13" t="s">
        <v>197</v>
      </c>
    </row>
    <row r="328" spans="2:77" ht="13.5" customHeight="1">
      <c r="D328" s="121" t="s">
        <v>198</v>
      </c>
      <c r="E328" s="121"/>
      <c r="F328" s="121">
        <f ca="1">SUM(G328:XFD328)</f>
        <v>13384.765318195918</v>
      </c>
      <c r="G328" s="121"/>
      <c r="H328" s="121">
        <f ca="1">(H323+H261+H199+H137+H75)*H$11</f>
        <v>0</v>
      </c>
      <c r="I328" s="121">
        <f t="shared" ref="I328:BT329" ca="1" si="2049">(I323+I261+I199+I137+I75)*I$11</f>
        <v>222.08</v>
      </c>
      <c r="J328" s="121">
        <f t="shared" ca="1" si="2049"/>
        <v>222.08</v>
      </c>
      <c r="K328" s="121">
        <f t="shared" ca="1" si="2049"/>
        <v>222.08</v>
      </c>
      <c r="L328" s="121">
        <f t="shared" ca="1" si="2049"/>
        <v>222.08</v>
      </c>
      <c r="M328" s="121">
        <f t="shared" ca="1" si="2049"/>
        <v>222.08</v>
      </c>
      <c r="N328" s="121">
        <f t="shared" ca="1" si="2049"/>
        <v>105.61199999999999</v>
      </c>
      <c r="O328" s="121">
        <f t="shared" ca="1" si="2049"/>
        <v>105.61199999999999</v>
      </c>
      <c r="P328" s="121">
        <f t="shared" ca="1" si="2049"/>
        <v>226.93283333333332</v>
      </c>
      <c r="Q328" s="121">
        <f t="shared" ca="1" si="2049"/>
        <v>226.93283333333332</v>
      </c>
      <c r="R328" s="121">
        <f t="shared" ca="1" si="2049"/>
        <v>226.93283333333332</v>
      </c>
      <c r="S328" s="121">
        <f t="shared" ca="1" si="2049"/>
        <v>226.93283333333332</v>
      </c>
      <c r="T328" s="121">
        <f t="shared" ca="1" si="2049"/>
        <v>226.93283333333332</v>
      </c>
      <c r="U328" s="121">
        <f t="shared" ca="1" si="2049"/>
        <v>226.93283333333332</v>
      </c>
      <c r="V328" s="121">
        <f t="shared" ca="1" si="2049"/>
        <v>226.93283333333332</v>
      </c>
      <c r="W328" s="121">
        <f t="shared" ca="1" si="2049"/>
        <v>226.93283333333332</v>
      </c>
      <c r="X328" s="121">
        <f t="shared" ca="1" si="2049"/>
        <v>226.93283333333332</v>
      </c>
      <c r="Y328" s="121">
        <f t="shared" ca="1" si="2049"/>
        <v>226.93283333333332</v>
      </c>
      <c r="Z328" s="121">
        <f t="shared" ca="1" si="2049"/>
        <v>226.93283333333332</v>
      </c>
      <c r="AA328" s="121">
        <f t="shared" ca="1" si="2049"/>
        <v>228.14604166666666</v>
      </c>
      <c r="AB328" s="121">
        <f t="shared" ca="1" si="2049"/>
        <v>228.14604166666666</v>
      </c>
      <c r="AC328" s="121">
        <f t="shared" ca="1" si="2049"/>
        <v>228.14604166666666</v>
      </c>
      <c r="AD328" s="121">
        <f t="shared" ca="1" si="2049"/>
        <v>228.14604166666666</v>
      </c>
      <c r="AE328" s="121">
        <f t="shared" ca="1" si="2049"/>
        <v>228.14604166666666</v>
      </c>
      <c r="AF328" s="121">
        <f t="shared" ca="1" si="2049"/>
        <v>228.14604166666666</v>
      </c>
      <c r="AG328" s="121">
        <f t="shared" ca="1" si="2049"/>
        <v>228.14604166666666</v>
      </c>
      <c r="AH328" s="121">
        <f t="shared" ca="1" si="2049"/>
        <v>228.14604166666666</v>
      </c>
      <c r="AI328" s="121">
        <f t="shared" ca="1" si="2049"/>
        <v>228.14604166666666</v>
      </c>
      <c r="AJ328" s="121">
        <f t="shared" ca="1" si="2049"/>
        <v>228.14604166666666</v>
      </c>
      <c r="AK328" s="121">
        <f t="shared" ca="1" si="2049"/>
        <v>228.14604166666666</v>
      </c>
      <c r="AL328" s="121">
        <f t="shared" ca="1" si="2049"/>
        <v>122.53404166666667</v>
      </c>
      <c r="AM328" s="121">
        <f t="shared" ca="1" si="2049"/>
        <v>123.75938208333332</v>
      </c>
      <c r="AN328" s="121">
        <f t="shared" ca="1" si="2049"/>
        <v>232.92888208333332</v>
      </c>
      <c r="AO328" s="121">
        <f t="shared" ca="1" si="2049"/>
        <v>232.92888208333332</v>
      </c>
      <c r="AP328" s="121">
        <f t="shared" ca="1" si="2049"/>
        <v>232.92888208333332</v>
      </c>
      <c r="AQ328" s="121">
        <f t="shared" ca="1" si="2049"/>
        <v>232.92888208333332</v>
      </c>
      <c r="AR328" s="121">
        <f t="shared" ca="1" si="2049"/>
        <v>232.92888208333332</v>
      </c>
      <c r="AS328" s="121">
        <f t="shared" ca="1" si="2049"/>
        <v>232.92888208333332</v>
      </c>
      <c r="AT328" s="121">
        <f t="shared" ca="1" si="2049"/>
        <v>232.92888208333332</v>
      </c>
      <c r="AU328" s="121">
        <f t="shared" ca="1" si="2049"/>
        <v>232.92888208333332</v>
      </c>
      <c r="AV328" s="121">
        <f t="shared" ca="1" si="2049"/>
        <v>232.92888208333332</v>
      </c>
      <c r="AW328" s="121">
        <f t="shared" ca="1" si="2049"/>
        <v>232.92888208333332</v>
      </c>
      <c r="AX328" s="121">
        <f t="shared" ca="1" si="2049"/>
        <v>232.92888208333332</v>
      </c>
      <c r="AY328" s="121">
        <f t="shared" ca="1" si="2049"/>
        <v>235.25817090416666</v>
      </c>
      <c r="AZ328" s="121">
        <f t="shared" ca="1" si="2049"/>
        <v>235.25817090416666</v>
      </c>
      <c r="BA328" s="121">
        <f t="shared" ca="1" si="2049"/>
        <v>235.25817090416666</v>
      </c>
      <c r="BB328" s="121">
        <f t="shared" ca="1" si="2049"/>
        <v>235.25817090416666</v>
      </c>
      <c r="BC328" s="121">
        <f t="shared" ca="1" si="2049"/>
        <v>235.25817090416666</v>
      </c>
      <c r="BD328" s="121">
        <f t="shared" ca="1" si="2049"/>
        <v>235.25817090416666</v>
      </c>
      <c r="BE328" s="121">
        <f t="shared" ca="1" si="2049"/>
        <v>235.25817090416666</v>
      </c>
      <c r="BF328" s="121">
        <f t="shared" ca="1" si="2049"/>
        <v>235.25817090416666</v>
      </c>
      <c r="BG328" s="121">
        <f t="shared" ca="1" si="2049"/>
        <v>235.25817090416666</v>
      </c>
      <c r="BH328" s="121">
        <f t="shared" ca="1" si="2049"/>
        <v>235.25817090416666</v>
      </c>
      <c r="BI328" s="121">
        <f t="shared" ca="1" si="2049"/>
        <v>235.25817090416666</v>
      </c>
      <c r="BJ328" s="121">
        <f t="shared" ca="1" si="2049"/>
        <v>235.25817090416666</v>
      </c>
      <c r="BK328" s="121">
        <f t="shared" ca="1" si="2049"/>
        <v>237.61075261320832</v>
      </c>
      <c r="BL328" s="121">
        <f t="shared" ca="1" si="2049"/>
        <v>237.61075261320832</v>
      </c>
      <c r="BM328" s="121">
        <f t="shared" ca="1" si="2049"/>
        <v>237.61075261320832</v>
      </c>
      <c r="BN328" s="121">
        <f t="shared" ca="1" si="2049"/>
        <v>237.61075261320832</v>
      </c>
      <c r="BO328" s="121">
        <f t="shared" ca="1" si="2049"/>
        <v>237.61075261320832</v>
      </c>
      <c r="BP328" s="121">
        <f t="shared" ca="1" si="2049"/>
        <v>237.61075261320832</v>
      </c>
      <c r="BQ328" s="121">
        <f t="shared" ca="1" si="2049"/>
        <v>0</v>
      </c>
      <c r="BR328" s="121">
        <f t="shared" ca="1" si="2049"/>
        <v>0</v>
      </c>
      <c r="BS328" s="121">
        <f t="shared" ca="1" si="2049"/>
        <v>0</v>
      </c>
      <c r="BT328" s="121">
        <f t="shared" ca="1" si="2049"/>
        <v>0</v>
      </c>
      <c r="BU328" s="121">
        <f t="shared" ref="BU328:BY330" ca="1" si="2050">(BU323+BU261+BU199+BU137+BU75)*BU$11</f>
        <v>0</v>
      </c>
      <c r="BV328" s="121">
        <f t="shared" ca="1" si="2050"/>
        <v>0</v>
      </c>
      <c r="BW328" s="121">
        <f t="shared" ca="1" si="2050"/>
        <v>0</v>
      </c>
      <c r="BX328" s="121">
        <f t="shared" ca="1" si="2050"/>
        <v>0</v>
      </c>
      <c r="BY328" s="121">
        <f t="shared" ca="1" si="2050"/>
        <v>0</v>
      </c>
    </row>
    <row r="329" spans="2:77" ht="13.5" customHeight="1">
      <c r="D329" s="121" t="s">
        <v>199</v>
      </c>
      <c r="E329" s="121"/>
      <c r="F329" s="121">
        <f t="shared" ref="F329" ca="1" si="2051">SUM(G329:XFD329)</f>
        <v>1201.3907482032794</v>
      </c>
      <c r="G329" s="121"/>
      <c r="H329" s="121">
        <f t="shared" ref="H329:W330" ca="1" si="2052">(H324+H262+H200+H138+H76)*H$11</f>
        <v>0</v>
      </c>
      <c r="I329" s="121">
        <f t="shared" ca="1" si="2052"/>
        <v>19.576000000000001</v>
      </c>
      <c r="J329" s="121">
        <f t="shared" ca="1" si="2052"/>
        <v>19.576000000000001</v>
      </c>
      <c r="K329" s="121">
        <f t="shared" ca="1" si="2052"/>
        <v>19.576000000000001</v>
      </c>
      <c r="L329" s="121">
        <f t="shared" ca="1" si="2052"/>
        <v>19.576000000000001</v>
      </c>
      <c r="M329" s="121">
        <f t="shared" ca="1" si="2052"/>
        <v>19.576000000000001</v>
      </c>
      <c r="N329" s="121">
        <f t="shared" ca="1" si="2052"/>
        <v>8.9879999999999995</v>
      </c>
      <c r="O329" s="121">
        <f t="shared" ca="1" si="2052"/>
        <v>19.576000000000001</v>
      </c>
      <c r="P329" s="121">
        <f t="shared" ca="1" si="2052"/>
        <v>19.576000000000001</v>
      </c>
      <c r="Q329" s="121">
        <f t="shared" ca="1" si="2052"/>
        <v>19.576000000000001</v>
      </c>
      <c r="R329" s="121">
        <f t="shared" ca="1" si="2052"/>
        <v>19.576000000000001</v>
      </c>
      <c r="S329" s="121">
        <f t="shared" ca="1" si="2052"/>
        <v>19.576000000000001</v>
      </c>
      <c r="T329" s="121">
        <f t="shared" ca="1" si="2052"/>
        <v>19.576000000000001</v>
      </c>
      <c r="U329" s="121">
        <f t="shared" ca="1" si="2052"/>
        <v>19.576000000000001</v>
      </c>
      <c r="V329" s="121">
        <f t="shared" ca="1" si="2052"/>
        <v>19.576000000000001</v>
      </c>
      <c r="W329" s="121">
        <f t="shared" ca="1" si="2052"/>
        <v>19.576000000000001</v>
      </c>
      <c r="X329" s="121">
        <f t="shared" ca="1" si="2049"/>
        <v>19.576000000000001</v>
      </c>
      <c r="Y329" s="121">
        <f t="shared" ca="1" si="2049"/>
        <v>19.576000000000001</v>
      </c>
      <c r="Z329" s="121">
        <f t="shared" ca="1" si="2049"/>
        <v>19.576000000000001</v>
      </c>
      <c r="AA329" s="121">
        <f t="shared" ca="1" si="2049"/>
        <v>19.68188</v>
      </c>
      <c r="AB329" s="121">
        <f t="shared" ca="1" si="2049"/>
        <v>19.68188</v>
      </c>
      <c r="AC329" s="121">
        <f t="shared" ca="1" si="2049"/>
        <v>19.68188</v>
      </c>
      <c r="AD329" s="121">
        <f t="shared" ca="1" si="2049"/>
        <v>19.68188</v>
      </c>
      <c r="AE329" s="121">
        <f t="shared" ca="1" si="2049"/>
        <v>19.68188</v>
      </c>
      <c r="AF329" s="121">
        <f t="shared" ca="1" si="2049"/>
        <v>19.68188</v>
      </c>
      <c r="AG329" s="121">
        <f t="shared" ca="1" si="2049"/>
        <v>19.68188</v>
      </c>
      <c r="AH329" s="121">
        <f t="shared" ca="1" si="2049"/>
        <v>19.68188</v>
      </c>
      <c r="AI329" s="121">
        <f t="shared" ca="1" si="2049"/>
        <v>19.68188</v>
      </c>
      <c r="AJ329" s="121">
        <f t="shared" ca="1" si="2049"/>
        <v>19.68188</v>
      </c>
      <c r="AK329" s="121">
        <f t="shared" ca="1" si="2049"/>
        <v>19.68188</v>
      </c>
      <c r="AL329" s="121">
        <f t="shared" ca="1" si="2049"/>
        <v>10.69388</v>
      </c>
      <c r="AM329" s="121">
        <f t="shared" ca="1" si="2049"/>
        <v>20.912818799999997</v>
      </c>
      <c r="AN329" s="121">
        <f t="shared" ca="1" si="2049"/>
        <v>20.912818799999997</v>
      </c>
      <c r="AO329" s="121">
        <f t="shared" ca="1" si="2049"/>
        <v>20.912818799999997</v>
      </c>
      <c r="AP329" s="121">
        <f t="shared" ca="1" si="2049"/>
        <v>20.912818799999997</v>
      </c>
      <c r="AQ329" s="121">
        <f t="shared" ca="1" si="2049"/>
        <v>20.912818799999997</v>
      </c>
      <c r="AR329" s="121">
        <f t="shared" ca="1" si="2049"/>
        <v>20.912818799999997</v>
      </c>
      <c r="AS329" s="121">
        <f t="shared" ca="1" si="2049"/>
        <v>20.912818799999997</v>
      </c>
      <c r="AT329" s="121">
        <f t="shared" ca="1" si="2049"/>
        <v>20.912818799999997</v>
      </c>
      <c r="AU329" s="121">
        <f t="shared" ca="1" si="2049"/>
        <v>20.912818799999997</v>
      </c>
      <c r="AV329" s="121">
        <f t="shared" ca="1" si="2049"/>
        <v>20.912818799999997</v>
      </c>
      <c r="AW329" s="121">
        <f t="shared" ca="1" si="2049"/>
        <v>20.912818799999997</v>
      </c>
      <c r="AX329" s="121">
        <f t="shared" ca="1" si="2049"/>
        <v>20.912818799999997</v>
      </c>
      <c r="AY329" s="121">
        <f t="shared" ca="1" si="2049"/>
        <v>21.121946987999998</v>
      </c>
      <c r="AZ329" s="121">
        <f t="shared" ca="1" si="2049"/>
        <v>21.121946987999998</v>
      </c>
      <c r="BA329" s="121">
        <f t="shared" ca="1" si="2049"/>
        <v>21.121946987999998</v>
      </c>
      <c r="BB329" s="121">
        <f t="shared" ca="1" si="2049"/>
        <v>21.121946987999998</v>
      </c>
      <c r="BC329" s="121">
        <f t="shared" ca="1" si="2049"/>
        <v>21.121946987999998</v>
      </c>
      <c r="BD329" s="121">
        <f t="shared" ca="1" si="2049"/>
        <v>21.121946987999998</v>
      </c>
      <c r="BE329" s="121">
        <f t="shared" ca="1" si="2049"/>
        <v>21.121946987999998</v>
      </c>
      <c r="BF329" s="121">
        <f t="shared" ca="1" si="2049"/>
        <v>21.121946987999998</v>
      </c>
      <c r="BG329" s="121">
        <f t="shared" ca="1" si="2049"/>
        <v>21.121946987999998</v>
      </c>
      <c r="BH329" s="121">
        <f t="shared" ca="1" si="2049"/>
        <v>21.121946987999998</v>
      </c>
      <c r="BI329" s="121">
        <f t="shared" ca="1" si="2049"/>
        <v>21.121946987999998</v>
      </c>
      <c r="BJ329" s="121">
        <f t="shared" ca="1" si="2049"/>
        <v>21.121946987999998</v>
      </c>
      <c r="BK329" s="121">
        <f t="shared" ca="1" si="2049"/>
        <v>21.333166457879997</v>
      </c>
      <c r="BL329" s="121">
        <f t="shared" ca="1" si="2049"/>
        <v>21.333166457879997</v>
      </c>
      <c r="BM329" s="121">
        <f t="shared" ca="1" si="2049"/>
        <v>21.333166457879997</v>
      </c>
      <c r="BN329" s="121">
        <f t="shared" ca="1" si="2049"/>
        <v>21.333166457879997</v>
      </c>
      <c r="BO329" s="121">
        <f t="shared" ca="1" si="2049"/>
        <v>21.333166457879997</v>
      </c>
      <c r="BP329" s="121">
        <f t="shared" ca="1" si="2049"/>
        <v>21.333166457879997</v>
      </c>
      <c r="BQ329" s="121">
        <f t="shared" ca="1" si="2049"/>
        <v>0</v>
      </c>
      <c r="BR329" s="121">
        <f t="shared" ca="1" si="2049"/>
        <v>0</v>
      </c>
      <c r="BS329" s="121">
        <f t="shared" ca="1" si="2049"/>
        <v>0</v>
      </c>
      <c r="BT329" s="121">
        <f t="shared" ca="1" si="2049"/>
        <v>0</v>
      </c>
      <c r="BU329" s="121">
        <f t="shared" ca="1" si="2050"/>
        <v>0</v>
      </c>
      <c r="BV329" s="121">
        <f t="shared" ca="1" si="2050"/>
        <v>0</v>
      </c>
      <c r="BW329" s="121">
        <f t="shared" ca="1" si="2050"/>
        <v>0</v>
      </c>
      <c r="BX329" s="121">
        <f t="shared" ca="1" si="2050"/>
        <v>0</v>
      </c>
      <c r="BY329" s="121">
        <f t="shared" ca="1" si="2050"/>
        <v>0</v>
      </c>
    </row>
    <row r="330" spans="2:77" ht="13.5" customHeight="1">
      <c r="D330" s="121" t="s">
        <v>200</v>
      </c>
      <c r="E330" s="121"/>
      <c r="F330" s="121"/>
      <c r="G330" s="121"/>
      <c r="H330" s="121">
        <f t="shared" ca="1" si="2052"/>
        <v>0</v>
      </c>
      <c r="I330" s="121">
        <f t="shared" ref="I330:BT330" ca="1" si="2053">(I325+I263+I201+I139+I77)*I$11</f>
        <v>0</v>
      </c>
      <c r="J330" s="121">
        <f t="shared" ca="1" si="2053"/>
        <v>0</v>
      </c>
      <c r="K330" s="121">
        <f t="shared" ca="1" si="2053"/>
        <v>0</v>
      </c>
      <c r="L330" s="121">
        <f t="shared" ca="1" si="2053"/>
        <v>0</v>
      </c>
      <c r="M330" s="121">
        <f t="shared" ca="1" si="2053"/>
        <v>-794.1</v>
      </c>
      <c r="N330" s="121">
        <f t="shared" ca="1" si="2053"/>
        <v>0</v>
      </c>
      <c r="O330" s="121">
        <f t="shared" ca="1" si="2053"/>
        <v>794.1</v>
      </c>
      <c r="P330" s="121">
        <f t="shared" ca="1" si="2053"/>
        <v>0</v>
      </c>
      <c r="Q330" s="121">
        <f t="shared" ca="1" si="2053"/>
        <v>0</v>
      </c>
      <c r="R330" s="121">
        <f t="shared" ca="1" si="2053"/>
        <v>0</v>
      </c>
      <c r="S330" s="121">
        <f t="shared" ca="1" si="2053"/>
        <v>0</v>
      </c>
      <c r="T330" s="121">
        <f t="shared" ca="1" si="2053"/>
        <v>0</v>
      </c>
      <c r="U330" s="121">
        <f t="shared" ca="1" si="2053"/>
        <v>0</v>
      </c>
      <c r="V330" s="121">
        <f t="shared" ca="1" si="2053"/>
        <v>0</v>
      </c>
      <c r="W330" s="121">
        <f t="shared" ca="1" si="2053"/>
        <v>0</v>
      </c>
      <c r="X330" s="121">
        <f t="shared" ca="1" si="2053"/>
        <v>0</v>
      </c>
      <c r="Y330" s="121">
        <f t="shared" ca="1" si="2053"/>
        <v>0</v>
      </c>
      <c r="Z330" s="121">
        <f t="shared" ca="1" si="2053"/>
        <v>0</v>
      </c>
      <c r="AA330" s="121">
        <f t="shared" ca="1" si="2053"/>
        <v>0</v>
      </c>
      <c r="AB330" s="121">
        <f t="shared" ca="1" si="2053"/>
        <v>0</v>
      </c>
      <c r="AC330" s="121">
        <f t="shared" ca="1" si="2053"/>
        <v>0</v>
      </c>
      <c r="AD330" s="121">
        <f t="shared" ca="1" si="2053"/>
        <v>0</v>
      </c>
      <c r="AE330" s="121">
        <f t="shared" ca="1" si="2053"/>
        <v>0</v>
      </c>
      <c r="AF330" s="121">
        <f t="shared" ca="1" si="2053"/>
        <v>0</v>
      </c>
      <c r="AG330" s="121">
        <f t="shared" ca="1" si="2053"/>
        <v>0</v>
      </c>
      <c r="AH330" s="121">
        <f t="shared" ca="1" si="2053"/>
        <v>0</v>
      </c>
      <c r="AI330" s="121">
        <f t="shared" ca="1" si="2053"/>
        <v>0</v>
      </c>
      <c r="AJ330" s="121">
        <f t="shared" ca="1" si="2053"/>
        <v>0</v>
      </c>
      <c r="AK330" s="121">
        <f t="shared" ca="1" si="2053"/>
        <v>-687.6</v>
      </c>
      <c r="AL330" s="121">
        <f t="shared" ca="1" si="2053"/>
        <v>0</v>
      </c>
      <c r="AM330" s="121">
        <f t="shared" ca="1" si="2053"/>
        <v>714.56399999999996</v>
      </c>
      <c r="AN330" s="121">
        <f t="shared" ca="1" si="2053"/>
        <v>0</v>
      </c>
      <c r="AO330" s="121">
        <f t="shared" ca="1" si="2053"/>
        <v>0</v>
      </c>
      <c r="AP330" s="121">
        <f t="shared" ca="1" si="2053"/>
        <v>0</v>
      </c>
      <c r="AQ330" s="121">
        <f t="shared" ca="1" si="2053"/>
        <v>0</v>
      </c>
      <c r="AR330" s="121">
        <f t="shared" ca="1" si="2053"/>
        <v>0</v>
      </c>
      <c r="AS330" s="121">
        <f t="shared" ca="1" si="2053"/>
        <v>0</v>
      </c>
      <c r="AT330" s="121">
        <f t="shared" ca="1" si="2053"/>
        <v>0</v>
      </c>
      <c r="AU330" s="121">
        <f t="shared" ca="1" si="2053"/>
        <v>0</v>
      </c>
      <c r="AV330" s="121">
        <f t="shared" ca="1" si="2053"/>
        <v>0</v>
      </c>
      <c r="AW330" s="121">
        <f t="shared" ca="1" si="2053"/>
        <v>0</v>
      </c>
      <c r="AX330" s="121">
        <f t="shared" ca="1" si="2053"/>
        <v>0</v>
      </c>
      <c r="AY330" s="121">
        <f t="shared" ca="1" si="2053"/>
        <v>0</v>
      </c>
      <c r="AZ330" s="121">
        <f t="shared" ca="1" si="2053"/>
        <v>0</v>
      </c>
      <c r="BA330" s="121">
        <f t="shared" ca="1" si="2053"/>
        <v>0</v>
      </c>
      <c r="BB330" s="121">
        <f t="shared" ca="1" si="2053"/>
        <v>0</v>
      </c>
      <c r="BC330" s="121">
        <f t="shared" ca="1" si="2053"/>
        <v>0</v>
      </c>
      <c r="BD330" s="121">
        <f t="shared" ca="1" si="2053"/>
        <v>0</v>
      </c>
      <c r="BE330" s="121">
        <f t="shared" ca="1" si="2053"/>
        <v>0</v>
      </c>
      <c r="BF330" s="121">
        <f t="shared" ca="1" si="2053"/>
        <v>0</v>
      </c>
      <c r="BG330" s="121">
        <f t="shared" ca="1" si="2053"/>
        <v>0</v>
      </c>
      <c r="BH330" s="121">
        <f t="shared" ca="1" si="2053"/>
        <v>0</v>
      </c>
      <c r="BI330" s="121">
        <f t="shared" ca="1" si="2053"/>
        <v>0</v>
      </c>
      <c r="BJ330" s="121">
        <f t="shared" ca="1" si="2053"/>
        <v>0</v>
      </c>
      <c r="BK330" s="121">
        <f t="shared" ca="1" si="2053"/>
        <v>0</v>
      </c>
      <c r="BL330" s="121">
        <f t="shared" ca="1" si="2053"/>
        <v>0</v>
      </c>
      <c r="BM330" s="121">
        <f t="shared" ca="1" si="2053"/>
        <v>0</v>
      </c>
      <c r="BN330" s="121">
        <f t="shared" ca="1" si="2053"/>
        <v>0</v>
      </c>
      <c r="BO330" s="121">
        <f t="shared" ca="1" si="2053"/>
        <v>0</v>
      </c>
      <c r="BP330" s="121">
        <f t="shared" ca="1" si="2053"/>
        <v>-1508.664</v>
      </c>
      <c r="BQ330" s="121">
        <f t="shared" ca="1" si="2053"/>
        <v>0</v>
      </c>
      <c r="BR330" s="121">
        <f t="shared" ca="1" si="2053"/>
        <v>0</v>
      </c>
      <c r="BS330" s="121">
        <f t="shared" ca="1" si="2053"/>
        <v>0</v>
      </c>
      <c r="BT330" s="121">
        <f t="shared" ca="1" si="2053"/>
        <v>0</v>
      </c>
      <c r="BU330" s="121">
        <f t="shared" ca="1" si="2050"/>
        <v>0</v>
      </c>
      <c r="BV330" s="121">
        <f t="shared" ca="1" si="2050"/>
        <v>0</v>
      </c>
      <c r="BW330" s="121">
        <f t="shared" ca="1" si="2050"/>
        <v>0</v>
      </c>
      <c r="BX330" s="121">
        <f t="shared" ca="1" si="2050"/>
        <v>0</v>
      </c>
      <c r="BY330" s="121">
        <f t="shared" ca="1" si="2050"/>
        <v>0</v>
      </c>
    </row>
    <row r="331" spans="2:77" ht="13.5" customHeight="1">
      <c r="E331" s="33" t="s">
        <v>201</v>
      </c>
      <c r="F331" s="43"/>
      <c r="G331" s="43"/>
      <c r="H331" s="43">
        <f>'A&amp;R'!I41</f>
        <v>1481.7</v>
      </c>
      <c r="I331" s="43">
        <f ca="1">H332</f>
        <v>1481.7</v>
      </c>
      <c r="J331" s="43">
        <f t="shared" ref="J331:BU331" ca="1" si="2054">I332</f>
        <v>1481.7</v>
      </c>
      <c r="K331" s="43">
        <f t="shared" ca="1" si="2054"/>
        <v>1481.7</v>
      </c>
      <c r="L331" s="43">
        <f t="shared" ca="1" si="2054"/>
        <v>1481.7</v>
      </c>
      <c r="M331" s="43">
        <f t="shared" ca="1" si="2054"/>
        <v>1481.7</v>
      </c>
      <c r="N331" s="43">
        <f t="shared" ca="1" si="2054"/>
        <v>687.6</v>
      </c>
      <c r="O331" s="43">
        <f t="shared" ca="1" si="2054"/>
        <v>687.6</v>
      </c>
      <c r="P331" s="43">
        <f t="shared" ca="1" si="2054"/>
        <v>1481.7</v>
      </c>
      <c r="Q331" s="43">
        <f t="shared" ca="1" si="2054"/>
        <v>1481.7</v>
      </c>
      <c r="R331" s="43">
        <f t="shared" ca="1" si="2054"/>
        <v>1481.7</v>
      </c>
      <c r="S331" s="43">
        <f t="shared" ca="1" si="2054"/>
        <v>1481.7</v>
      </c>
      <c r="T331" s="43">
        <f t="shared" ca="1" si="2054"/>
        <v>1481.7</v>
      </c>
      <c r="U331" s="43">
        <f t="shared" ca="1" si="2054"/>
        <v>1481.7</v>
      </c>
      <c r="V331" s="43">
        <f t="shared" ca="1" si="2054"/>
        <v>1481.7</v>
      </c>
      <c r="W331" s="43">
        <f t="shared" ca="1" si="2054"/>
        <v>1481.7</v>
      </c>
      <c r="X331" s="43">
        <f t="shared" ca="1" si="2054"/>
        <v>1481.7</v>
      </c>
      <c r="Y331" s="43">
        <f t="shared" ca="1" si="2054"/>
        <v>1481.7</v>
      </c>
      <c r="Z331" s="43">
        <f t="shared" ca="1" si="2054"/>
        <v>1481.7</v>
      </c>
      <c r="AA331" s="43">
        <f t="shared" ca="1" si="2054"/>
        <v>1481.7</v>
      </c>
      <c r="AB331" s="43">
        <f t="shared" ca="1" si="2054"/>
        <v>1481.7</v>
      </c>
      <c r="AC331" s="43">
        <f t="shared" ca="1" si="2054"/>
        <v>1481.7</v>
      </c>
      <c r="AD331" s="43">
        <f t="shared" ca="1" si="2054"/>
        <v>1481.7</v>
      </c>
      <c r="AE331" s="43">
        <f t="shared" ca="1" si="2054"/>
        <v>1481.7</v>
      </c>
      <c r="AF331" s="43">
        <f t="shared" ca="1" si="2054"/>
        <v>1481.7</v>
      </c>
      <c r="AG331" s="43">
        <f t="shared" ca="1" si="2054"/>
        <v>1481.7</v>
      </c>
      <c r="AH331" s="43">
        <f t="shared" ca="1" si="2054"/>
        <v>1481.7</v>
      </c>
      <c r="AI331" s="43">
        <f t="shared" ca="1" si="2054"/>
        <v>1481.7</v>
      </c>
      <c r="AJ331" s="43">
        <f t="shared" ca="1" si="2054"/>
        <v>1481.7</v>
      </c>
      <c r="AK331" s="43">
        <f t="shared" ca="1" si="2054"/>
        <v>1481.7</v>
      </c>
      <c r="AL331" s="43">
        <f t="shared" ca="1" si="2054"/>
        <v>794.1</v>
      </c>
      <c r="AM331" s="43">
        <f t="shared" ca="1" si="2054"/>
        <v>794.1</v>
      </c>
      <c r="AN331" s="43">
        <f t="shared" ca="1" si="2054"/>
        <v>1508.664</v>
      </c>
      <c r="AO331" s="43">
        <f t="shared" ca="1" si="2054"/>
        <v>1508.664</v>
      </c>
      <c r="AP331" s="43">
        <f t="shared" ca="1" si="2054"/>
        <v>1508.664</v>
      </c>
      <c r="AQ331" s="43">
        <f t="shared" ca="1" si="2054"/>
        <v>1508.664</v>
      </c>
      <c r="AR331" s="43">
        <f t="shared" ca="1" si="2054"/>
        <v>1508.664</v>
      </c>
      <c r="AS331" s="43">
        <f t="shared" ca="1" si="2054"/>
        <v>1508.664</v>
      </c>
      <c r="AT331" s="43">
        <f t="shared" ca="1" si="2054"/>
        <v>1508.664</v>
      </c>
      <c r="AU331" s="43">
        <f t="shared" ca="1" si="2054"/>
        <v>1508.664</v>
      </c>
      <c r="AV331" s="43">
        <f t="shared" ca="1" si="2054"/>
        <v>1508.664</v>
      </c>
      <c r="AW331" s="43">
        <f t="shared" ca="1" si="2054"/>
        <v>1508.664</v>
      </c>
      <c r="AX331" s="43">
        <f t="shared" ca="1" si="2054"/>
        <v>1508.664</v>
      </c>
      <c r="AY331" s="43">
        <f t="shared" ca="1" si="2054"/>
        <v>1508.664</v>
      </c>
      <c r="AZ331" s="43">
        <f t="shared" ca="1" si="2054"/>
        <v>1508.664</v>
      </c>
      <c r="BA331" s="43">
        <f t="shared" ca="1" si="2054"/>
        <v>1508.664</v>
      </c>
      <c r="BB331" s="43">
        <f t="shared" ca="1" si="2054"/>
        <v>1508.664</v>
      </c>
      <c r="BC331" s="43">
        <f t="shared" ca="1" si="2054"/>
        <v>1508.664</v>
      </c>
      <c r="BD331" s="43">
        <f t="shared" ca="1" si="2054"/>
        <v>1508.664</v>
      </c>
      <c r="BE331" s="43">
        <f t="shared" ca="1" si="2054"/>
        <v>1508.664</v>
      </c>
      <c r="BF331" s="43">
        <f t="shared" ca="1" si="2054"/>
        <v>1508.664</v>
      </c>
      <c r="BG331" s="43">
        <f t="shared" ca="1" si="2054"/>
        <v>1508.664</v>
      </c>
      <c r="BH331" s="43">
        <f t="shared" ca="1" si="2054"/>
        <v>1508.664</v>
      </c>
      <c r="BI331" s="43">
        <f t="shared" ca="1" si="2054"/>
        <v>1508.664</v>
      </c>
      <c r="BJ331" s="43">
        <f t="shared" ca="1" si="2054"/>
        <v>1508.664</v>
      </c>
      <c r="BK331" s="43">
        <f t="shared" ca="1" si="2054"/>
        <v>1508.664</v>
      </c>
      <c r="BL331" s="43">
        <f t="shared" ca="1" si="2054"/>
        <v>1508.664</v>
      </c>
      <c r="BM331" s="43">
        <f t="shared" ca="1" si="2054"/>
        <v>1508.664</v>
      </c>
      <c r="BN331" s="43">
        <f t="shared" ca="1" si="2054"/>
        <v>1508.664</v>
      </c>
      <c r="BO331" s="43">
        <f t="shared" ca="1" si="2054"/>
        <v>1508.664</v>
      </c>
      <c r="BP331" s="43">
        <f t="shared" ca="1" si="2054"/>
        <v>1508.664</v>
      </c>
      <c r="BQ331" s="43">
        <f t="shared" ca="1" si="2054"/>
        <v>0</v>
      </c>
      <c r="BR331" s="43">
        <f t="shared" ca="1" si="2054"/>
        <v>0</v>
      </c>
      <c r="BS331" s="43">
        <f t="shared" ca="1" si="2054"/>
        <v>0</v>
      </c>
      <c r="BT331" s="43">
        <f t="shared" ca="1" si="2054"/>
        <v>0</v>
      </c>
      <c r="BU331" s="43">
        <f t="shared" ca="1" si="2054"/>
        <v>0</v>
      </c>
      <c r="BV331" s="43">
        <f t="shared" ref="BV331:BY331" ca="1" si="2055">BU332</f>
        <v>0</v>
      </c>
      <c r="BW331" s="43">
        <f t="shared" ca="1" si="2055"/>
        <v>0</v>
      </c>
      <c r="BX331" s="43">
        <f t="shared" ca="1" si="2055"/>
        <v>0</v>
      </c>
      <c r="BY331" s="43">
        <f t="shared" ca="1" si="2055"/>
        <v>0</v>
      </c>
    </row>
    <row r="332" spans="2:77" ht="13.5" customHeight="1">
      <c r="D332" s="34"/>
      <c r="E332" s="36" t="s">
        <v>202</v>
      </c>
      <c r="F332" s="42"/>
      <c r="G332" s="42"/>
      <c r="H332" s="42">
        <f ca="1">H330+H331</f>
        <v>1481.7</v>
      </c>
      <c r="I332" s="42">
        <f t="shared" ref="I332" ca="1" si="2056">I330+I331</f>
        <v>1481.7</v>
      </c>
      <c r="J332" s="42">
        <f t="shared" ref="J332" ca="1" si="2057">J330+J331</f>
        <v>1481.7</v>
      </c>
      <c r="K332" s="42">
        <f t="shared" ref="K332" ca="1" si="2058">K330+K331</f>
        <v>1481.7</v>
      </c>
      <c r="L332" s="42">
        <f t="shared" ref="L332" ca="1" si="2059">L330+L331</f>
        <v>1481.7</v>
      </c>
      <c r="M332" s="42">
        <f t="shared" ref="M332" ca="1" si="2060">M330+M331</f>
        <v>687.6</v>
      </c>
      <c r="N332" s="42">
        <f t="shared" ref="N332" ca="1" si="2061">N330+N331</f>
        <v>687.6</v>
      </c>
      <c r="O332" s="42">
        <f t="shared" ref="O332" ca="1" si="2062">O330+O331</f>
        <v>1481.7</v>
      </c>
      <c r="P332" s="42">
        <f t="shared" ref="P332" ca="1" si="2063">P330+P331</f>
        <v>1481.7</v>
      </c>
      <c r="Q332" s="42">
        <f t="shared" ref="Q332" ca="1" si="2064">Q330+Q331</f>
        <v>1481.7</v>
      </c>
      <c r="R332" s="42">
        <f t="shared" ref="R332" ca="1" si="2065">R330+R331</f>
        <v>1481.7</v>
      </c>
      <c r="S332" s="42">
        <f t="shared" ref="S332" ca="1" si="2066">S330+S331</f>
        <v>1481.7</v>
      </c>
      <c r="T332" s="42">
        <f t="shared" ref="T332" ca="1" si="2067">T330+T331</f>
        <v>1481.7</v>
      </c>
      <c r="U332" s="42">
        <f t="shared" ref="U332" ca="1" si="2068">U330+U331</f>
        <v>1481.7</v>
      </c>
      <c r="V332" s="42">
        <f t="shared" ref="V332" ca="1" si="2069">V330+V331</f>
        <v>1481.7</v>
      </c>
      <c r="W332" s="42">
        <f t="shared" ref="W332" ca="1" si="2070">W330+W331</f>
        <v>1481.7</v>
      </c>
      <c r="X332" s="42">
        <f t="shared" ref="X332" ca="1" si="2071">X330+X331</f>
        <v>1481.7</v>
      </c>
      <c r="Y332" s="42">
        <f t="shared" ref="Y332" ca="1" si="2072">Y330+Y331</f>
        <v>1481.7</v>
      </c>
      <c r="Z332" s="42">
        <f t="shared" ref="Z332" ca="1" si="2073">Z330+Z331</f>
        <v>1481.7</v>
      </c>
      <c r="AA332" s="42">
        <f t="shared" ref="AA332" ca="1" si="2074">AA330+AA331</f>
        <v>1481.7</v>
      </c>
      <c r="AB332" s="42">
        <f t="shared" ref="AB332" ca="1" si="2075">AB330+AB331</f>
        <v>1481.7</v>
      </c>
      <c r="AC332" s="42">
        <f t="shared" ref="AC332" ca="1" si="2076">AC330+AC331</f>
        <v>1481.7</v>
      </c>
      <c r="AD332" s="42">
        <f t="shared" ref="AD332" ca="1" si="2077">AD330+AD331</f>
        <v>1481.7</v>
      </c>
      <c r="AE332" s="42">
        <f t="shared" ref="AE332" ca="1" si="2078">AE330+AE331</f>
        <v>1481.7</v>
      </c>
      <c r="AF332" s="42">
        <f t="shared" ref="AF332" ca="1" si="2079">AF330+AF331</f>
        <v>1481.7</v>
      </c>
      <c r="AG332" s="42">
        <f t="shared" ref="AG332" ca="1" si="2080">AG330+AG331</f>
        <v>1481.7</v>
      </c>
      <c r="AH332" s="42">
        <f t="shared" ref="AH332" ca="1" si="2081">AH330+AH331</f>
        <v>1481.7</v>
      </c>
      <c r="AI332" s="42">
        <f t="shared" ref="AI332" ca="1" si="2082">AI330+AI331</f>
        <v>1481.7</v>
      </c>
      <c r="AJ332" s="42">
        <f t="shared" ref="AJ332" ca="1" si="2083">AJ330+AJ331</f>
        <v>1481.7</v>
      </c>
      <c r="AK332" s="42">
        <f t="shared" ref="AK332" ca="1" si="2084">AK330+AK331</f>
        <v>794.1</v>
      </c>
      <c r="AL332" s="42">
        <f t="shared" ref="AL332" ca="1" si="2085">AL330+AL331</f>
        <v>794.1</v>
      </c>
      <c r="AM332" s="42">
        <f t="shared" ref="AM332" ca="1" si="2086">AM330+AM331</f>
        <v>1508.664</v>
      </c>
      <c r="AN332" s="42">
        <f t="shared" ref="AN332" ca="1" si="2087">AN330+AN331</f>
        <v>1508.664</v>
      </c>
      <c r="AO332" s="42">
        <f t="shared" ref="AO332" ca="1" si="2088">AO330+AO331</f>
        <v>1508.664</v>
      </c>
      <c r="AP332" s="42">
        <f t="shared" ref="AP332" ca="1" si="2089">AP330+AP331</f>
        <v>1508.664</v>
      </c>
      <c r="AQ332" s="42">
        <f t="shared" ref="AQ332" ca="1" si="2090">AQ330+AQ331</f>
        <v>1508.664</v>
      </c>
      <c r="AR332" s="42">
        <f t="shared" ref="AR332" ca="1" si="2091">AR330+AR331</f>
        <v>1508.664</v>
      </c>
      <c r="AS332" s="42">
        <f t="shared" ref="AS332" ca="1" si="2092">AS330+AS331</f>
        <v>1508.664</v>
      </c>
      <c r="AT332" s="42">
        <f t="shared" ref="AT332" ca="1" si="2093">AT330+AT331</f>
        <v>1508.664</v>
      </c>
      <c r="AU332" s="42">
        <f t="shared" ref="AU332" ca="1" si="2094">AU330+AU331</f>
        <v>1508.664</v>
      </c>
      <c r="AV332" s="42">
        <f t="shared" ref="AV332" ca="1" si="2095">AV330+AV331</f>
        <v>1508.664</v>
      </c>
      <c r="AW332" s="42">
        <f t="shared" ref="AW332" ca="1" si="2096">AW330+AW331</f>
        <v>1508.664</v>
      </c>
      <c r="AX332" s="42">
        <f t="shared" ref="AX332" ca="1" si="2097">AX330+AX331</f>
        <v>1508.664</v>
      </c>
      <c r="AY332" s="42">
        <f t="shared" ref="AY332" ca="1" si="2098">AY330+AY331</f>
        <v>1508.664</v>
      </c>
      <c r="AZ332" s="42">
        <f t="shared" ref="AZ332" ca="1" si="2099">AZ330+AZ331</f>
        <v>1508.664</v>
      </c>
      <c r="BA332" s="42">
        <f t="shared" ref="BA332" ca="1" si="2100">BA330+BA331</f>
        <v>1508.664</v>
      </c>
      <c r="BB332" s="42">
        <f t="shared" ref="BB332" ca="1" si="2101">BB330+BB331</f>
        <v>1508.664</v>
      </c>
      <c r="BC332" s="42">
        <f t="shared" ref="BC332" ca="1" si="2102">BC330+BC331</f>
        <v>1508.664</v>
      </c>
      <c r="BD332" s="42">
        <f t="shared" ref="BD332" ca="1" si="2103">BD330+BD331</f>
        <v>1508.664</v>
      </c>
      <c r="BE332" s="42">
        <f t="shared" ref="BE332" ca="1" si="2104">BE330+BE331</f>
        <v>1508.664</v>
      </c>
      <c r="BF332" s="42">
        <f t="shared" ref="BF332" ca="1" si="2105">BF330+BF331</f>
        <v>1508.664</v>
      </c>
      <c r="BG332" s="42">
        <f t="shared" ref="BG332" ca="1" si="2106">BG330+BG331</f>
        <v>1508.664</v>
      </c>
      <c r="BH332" s="42">
        <f t="shared" ref="BH332" ca="1" si="2107">BH330+BH331</f>
        <v>1508.664</v>
      </c>
      <c r="BI332" s="42">
        <f t="shared" ref="BI332" ca="1" si="2108">BI330+BI331</f>
        <v>1508.664</v>
      </c>
      <c r="BJ332" s="42">
        <f t="shared" ref="BJ332" ca="1" si="2109">BJ330+BJ331</f>
        <v>1508.664</v>
      </c>
      <c r="BK332" s="42">
        <f t="shared" ref="BK332" ca="1" si="2110">BK330+BK331</f>
        <v>1508.664</v>
      </c>
      <c r="BL332" s="42">
        <f t="shared" ref="BL332" ca="1" si="2111">BL330+BL331</f>
        <v>1508.664</v>
      </c>
      <c r="BM332" s="42">
        <f t="shared" ref="BM332" ca="1" si="2112">BM330+BM331</f>
        <v>1508.664</v>
      </c>
      <c r="BN332" s="42">
        <f t="shared" ref="BN332" ca="1" si="2113">BN330+BN331</f>
        <v>1508.664</v>
      </c>
      <c r="BO332" s="42">
        <f t="shared" ref="BO332" ca="1" si="2114">BO330+BO331</f>
        <v>1508.664</v>
      </c>
      <c r="BP332" s="42">
        <f t="shared" ref="BP332" ca="1" si="2115">BP330+BP331</f>
        <v>0</v>
      </c>
      <c r="BQ332" s="42">
        <f t="shared" ref="BQ332" ca="1" si="2116">BQ330+BQ331</f>
        <v>0</v>
      </c>
      <c r="BR332" s="42">
        <f t="shared" ref="BR332" ca="1" si="2117">BR330+BR331</f>
        <v>0</v>
      </c>
      <c r="BS332" s="42">
        <f t="shared" ref="BS332" ca="1" si="2118">BS330+BS331</f>
        <v>0</v>
      </c>
      <c r="BT332" s="42">
        <f t="shared" ref="BT332" ca="1" si="2119">BT330+BT331</f>
        <v>0</v>
      </c>
      <c r="BU332" s="42">
        <f t="shared" ref="BU332" ca="1" si="2120">BU330+BU331</f>
        <v>0</v>
      </c>
      <c r="BV332" s="42">
        <f t="shared" ref="BV332" ca="1" si="2121">BV330+BV331</f>
        <v>0</v>
      </c>
      <c r="BW332" s="42">
        <f t="shared" ref="BW332" ca="1" si="2122">BW330+BW331</f>
        <v>0</v>
      </c>
      <c r="BX332" s="42">
        <f t="shared" ref="BX332" ca="1" si="2123">BX330+BX331</f>
        <v>0</v>
      </c>
      <c r="BY332" s="42">
        <f t="shared" ref="BY332" ca="1" si="2124">BY330+BY331</f>
        <v>0</v>
      </c>
    </row>
    <row r="333" spans="2:77" s="11" customFormat="1" ht="13.5" customHeight="1">
      <c r="E333" s="11" t="s">
        <v>347</v>
      </c>
      <c r="H333" s="11">
        <f ca="1">AVERAGE(H331,H332)</f>
        <v>1481.7</v>
      </c>
      <c r="I333" s="11">
        <f t="shared" ref="I333:BT333" ca="1" si="2125">AVERAGE(I331,I332)</f>
        <v>1481.7</v>
      </c>
      <c r="J333" s="11">
        <f t="shared" ca="1" si="2125"/>
        <v>1481.7</v>
      </c>
      <c r="K333" s="11">
        <f t="shared" ca="1" si="2125"/>
        <v>1481.7</v>
      </c>
      <c r="L333" s="11">
        <f t="shared" ca="1" si="2125"/>
        <v>1481.7</v>
      </c>
      <c r="M333" s="11">
        <f t="shared" ca="1" si="2125"/>
        <v>1084.6500000000001</v>
      </c>
      <c r="N333" s="11">
        <f t="shared" ca="1" si="2125"/>
        <v>687.6</v>
      </c>
      <c r="O333" s="11">
        <f t="shared" ca="1" si="2125"/>
        <v>1084.6500000000001</v>
      </c>
      <c r="P333" s="11">
        <f t="shared" ca="1" si="2125"/>
        <v>1481.7</v>
      </c>
      <c r="Q333" s="11">
        <f t="shared" ca="1" si="2125"/>
        <v>1481.7</v>
      </c>
      <c r="R333" s="11">
        <f t="shared" ca="1" si="2125"/>
        <v>1481.7</v>
      </c>
      <c r="S333" s="11">
        <f t="shared" ca="1" si="2125"/>
        <v>1481.7</v>
      </c>
      <c r="T333" s="11">
        <f t="shared" ca="1" si="2125"/>
        <v>1481.7</v>
      </c>
      <c r="U333" s="11">
        <f t="shared" ca="1" si="2125"/>
        <v>1481.7</v>
      </c>
      <c r="V333" s="11">
        <f t="shared" ca="1" si="2125"/>
        <v>1481.7</v>
      </c>
      <c r="W333" s="11">
        <f t="shared" ca="1" si="2125"/>
        <v>1481.7</v>
      </c>
      <c r="X333" s="11">
        <f t="shared" ca="1" si="2125"/>
        <v>1481.7</v>
      </c>
      <c r="Y333" s="11">
        <f t="shared" ca="1" si="2125"/>
        <v>1481.7</v>
      </c>
      <c r="Z333" s="11">
        <f t="shared" ca="1" si="2125"/>
        <v>1481.7</v>
      </c>
      <c r="AA333" s="11">
        <f t="shared" ca="1" si="2125"/>
        <v>1481.7</v>
      </c>
      <c r="AB333" s="11">
        <f t="shared" ca="1" si="2125"/>
        <v>1481.7</v>
      </c>
      <c r="AC333" s="11">
        <f t="shared" ca="1" si="2125"/>
        <v>1481.7</v>
      </c>
      <c r="AD333" s="11">
        <f t="shared" ca="1" si="2125"/>
        <v>1481.7</v>
      </c>
      <c r="AE333" s="11">
        <f t="shared" ca="1" si="2125"/>
        <v>1481.7</v>
      </c>
      <c r="AF333" s="11">
        <f t="shared" ca="1" si="2125"/>
        <v>1481.7</v>
      </c>
      <c r="AG333" s="11">
        <f t="shared" ca="1" si="2125"/>
        <v>1481.7</v>
      </c>
      <c r="AH333" s="11">
        <f t="shared" ca="1" si="2125"/>
        <v>1481.7</v>
      </c>
      <c r="AI333" s="11">
        <f t="shared" ca="1" si="2125"/>
        <v>1481.7</v>
      </c>
      <c r="AJ333" s="11">
        <f t="shared" ca="1" si="2125"/>
        <v>1481.7</v>
      </c>
      <c r="AK333" s="11">
        <f t="shared" ca="1" si="2125"/>
        <v>1137.9000000000001</v>
      </c>
      <c r="AL333" s="11">
        <f t="shared" ca="1" si="2125"/>
        <v>794.1</v>
      </c>
      <c r="AM333" s="11">
        <f t="shared" ca="1" si="2125"/>
        <v>1151.3820000000001</v>
      </c>
      <c r="AN333" s="11">
        <f t="shared" ca="1" si="2125"/>
        <v>1508.664</v>
      </c>
      <c r="AO333" s="11">
        <f t="shared" ca="1" si="2125"/>
        <v>1508.664</v>
      </c>
      <c r="AP333" s="11">
        <f t="shared" ca="1" si="2125"/>
        <v>1508.664</v>
      </c>
      <c r="AQ333" s="11">
        <f t="shared" ca="1" si="2125"/>
        <v>1508.664</v>
      </c>
      <c r="AR333" s="11">
        <f t="shared" ca="1" si="2125"/>
        <v>1508.664</v>
      </c>
      <c r="AS333" s="11">
        <f t="shared" ca="1" si="2125"/>
        <v>1508.664</v>
      </c>
      <c r="AT333" s="11">
        <f t="shared" ca="1" si="2125"/>
        <v>1508.664</v>
      </c>
      <c r="AU333" s="11">
        <f t="shared" ca="1" si="2125"/>
        <v>1508.664</v>
      </c>
      <c r="AV333" s="11">
        <f t="shared" ca="1" si="2125"/>
        <v>1508.664</v>
      </c>
      <c r="AW333" s="11">
        <f t="shared" ca="1" si="2125"/>
        <v>1508.664</v>
      </c>
      <c r="AX333" s="11">
        <f t="shared" ca="1" si="2125"/>
        <v>1508.664</v>
      </c>
      <c r="AY333" s="11">
        <f t="shared" ca="1" si="2125"/>
        <v>1508.664</v>
      </c>
      <c r="AZ333" s="11">
        <f t="shared" ca="1" si="2125"/>
        <v>1508.664</v>
      </c>
      <c r="BA333" s="11">
        <f t="shared" ca="1" si="2125"/>
        <v>1508.664</v>
      </c>
      <c r="BB333" s="11">
        <f t="shared" ca="1" si="2125"/>
        <v>1508.664</v>
      </c>
      <c r="BC333" s="11">
        <f t="shared" ca="1" si="2125"/>
        <v>1508.664</v>
      </c>
      <c r="BD333" s="11">
        <f t="shared" ca="1" si="2125"/>
        <v>1508.664</v>
      </c>
      <c r="BE333" s="11">
        <f t="shared" ca="1" si="2125"/>
        <v>1508.664</v>
      </c>
      <c r="BF333" s="11">
        <f t="shared" ca="1" si="2125"/>
        <v>1508.664</v>
      </c>
      <c r="BG333" s="11">
        <f t="shared" ca="1" si="2125"/>
        <v>1508.664</v>
      </c>
      <c r="BH333" s="11">
        <f t="shared" ca="1" si="2125"/>
        <v>1508.664</v>
      </c>
      <c r="BI333" s="11">
        <f t="shared" ca="1" si="2125"/>
        <v>1508.664</v>
      </c>
      <c r="BJ333" s="11">
        <f t="shared" ca="1" si="2125"/>
        <v>1508.664</v>
      </c>
      <c r="BK333" s="11">
        <f t="shared" ca="1" si="2125"/>
        <v>1508.664</v>
      </c>
      <c r="BL333" s="11">
        <f t="shared" ca="1" si="2125"/>
        <v>1508.664</v>
      </c>
      <c r="BM333" s="11">
        <f t="shared" ca="1" si="2125"/>
        <v>1508.664</v>
      </c>
      <c r="BN333" s="11">
        <f t="shared" ca="1" si="2125"/>
        <v>1508.664</v>
      </c>
      <c r="BO333" s="11">
        <f t="shared" ca="1" si="2125"/>
        <v>1508.664</v>
      </c>
      <c r="BP333" s="11">
        <f t="shared" ca="1" si="2125"/>
        <v>754.33199999999999</v>
      </c>
      <c r="BQ333" s="11">
        <f t="shared" ca="1" si="2125"/>
        <v>0</v>
      </c>
      <c r="BR333" s="11">
        <f t="shared" ca="1" si="2125"/>
        <v>0</v>
      </c>
      <c r="BS333" s="11">
        <f t="shared" ca="1" si="2125"/>
        <v>0</v>
      </c>
      <c r="BT333" s="11">
        <f t="shared" ca="1" si="2125"/>
        <v>0</v>
      </c>
      <c r="BU333" s="11">
        <f t="shared" ref="BU333:BY333" ca="1" si="2126">AVERAGE(BU331,BU332)</f>
        <v>0</v>
      </c>
      <c r="BV333" s="11">
        <f t="shared" ca="1" si="2126"/>
        <v>0</v>
      </c>
      <c r="BW333" s="11">
        <f t="shared" ca="1" si="2126"/>
        <v>0</v>
      </c>
      <c r="BX333" s="11">
        <f t="shared" ca="1" si="2126"/>
        <v>0</v>
      </c>
      <c r="BY333" s="11">
        <f t="shared" ca="1" si="2126"/>
        <v>0</v>
      </c>
    </row>
  </sheetData>
  <phoneticPr fontId="2" type="noConversion"/>
  <printOptions horizontalCentered="1"/>
  <pageMargins left="0.31496062992125984" right="0.31496062992125984" top="0.55118110236220474" bottom="0.55118110236220474" header="0.31496062992125984" footer="0.31496062992125984"/>
  <pageSetup paperSize="8" scale="70" orientation="landscape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E134A4-FB11-4990-87C5-861088FB36E2}">
  <sheetPr codeName="Sheet3"/>
  <dimension ref="A2:BZ83"/>
  <sheetViews>
    <sheetView showGridLines="0" workbookViewId="0">
      <pane xSplit="7" ySplit="16" topLeftCell="BO47" activePane="bottomRight" state="frozen"/>
      <selection pane="topRight" activeCell="H1" sqref="H1"/>
      <selection pane="bottomLeft" activeCell="A17" sqref="A17"/>
      <selection pane="bottomRight" activeCell="BP65" sqref="BP65"/>
    </sheetView>
  </sheetViews>
  <sheetFormatPr defaultRowHeight="13.5" customHeight="1" outlineLevelRow="1"/>
  <cols>
    <col min="1" max="1" width="2.5" style="1" customWidth="1"/>
    <col min="2" max="2" width="3.5" style="1" customWidth="1"/>
    <col min="3" max="6" width="9" style="1"/>
    <col min="7" max="7" width="3.375" style="1" customWidth="1"/>
    <col min="8" max="29" width="9" style="1"/>
    <col min="30" max="30" width="9.75" style="1" bestFit="1" customWidth="1"/>
    <col min="31" max="16384" width="9" style="1"/>
  </cols>
  <sheetData>
    <row r="2" spans="1:78" ht="13.5" customHeight="1">
      <c r="A2" s="14" t="s">
        <v>0</v>
      </c>
      <c r="AB2" s="3" t="s">
        <v>1</v>
      </c>
      <c r="AC2" s="6" t="s">
        <v>4</v>
      </c>
      <c r="AD2" s="9" t="s">
        <v>7</v>
      </c>
    </row>
    <row r="3" spans="1:78" ht="13.5" customHeight="1">
      <c r="AB3" s="4" t="s">
        <v>2</v>
      </c>
      <c r="AC3" s="7" t="s">
        <v>5</v>
      </c>
      <c r="AD3" s="10" t="s">
        <v>8</v>
      </c>
    </row>
    <row r="4" spans="1:78" ht="13.5" customHeight="1">
      <c r="AB4" s="5" t="s">
        <v>3</v>
      </c>
      <c r="AC4" s="8" t="s">
        <v>6</v>
      </c>
      <c r="AD4" s="11" t="s">
        <v>9</v>
      </c>
    </row>
    <row r="5" spans="1:78" s="2" customFormat="1" ht="13.5" customHeight="1" thickBot="1"/>
    <row r="6" spans="1:78" ht="13.5" customHeight="1" thickTop="1">
      <c r="A6" s="1" t="s">
        <v>10</v>
      </c>
      <c r="AD6" s="12">
        <v>44381</v>
      </c>
    </row>
    <row r="7" spans="1:78" ht="13.5" customHeight="1">
      <c r="A7" s="13" t="s">
        <v>13</v>
      </c>
    </row>
    <row r="8" spans="1:78" ht="13.5" customHeight="1" outlineLevel="1">
      <c r="H8" s="87" t="s">
        <v>54</v>
      </c>
      <c r="I8" s="88">
        <v>1</v>
      </c>
      <c r="J8" s="88">
        <v>2</v>
      </c>
      <c r="K8" s="88">
        <v>3</v>
      </c>
      <c r="L8" s="88">
        <v>4</v>
      </c>
      <c r="M8" s="88">
        <v>5</v>
      </c>
      <c r="N8" s="88">
        <v>6</v>
      </c>
      <c r="O8" s="88">
        <v>7</v>
      </c>
      <c r="P8" s="88">
        <v>8</v>
      </c>
      <c r="Q8" s="88">
        <v>9</v>
      </c>
      <c r="R8" s="88">
        <v>10</v>
      </c>
    </row>
    <row r="9" spans="1:78" ht="13.5" customHeight="1" outlineLevel="1">
      <c r="H9" s="87" t="s">
        <v>74</v>
      </c>
      <c r="I9" s="89">
        <f>start</f>
        <v>44316</v>
      </c>
      <c r="J9" s="89">
        <f>EOMONTH(I10,1)</f>
        <v>44500</v>
      </c>
      <c r="K9" s="89">
        <f t="shared" ref="K9:R9" si="0">EOMONTH(J10,1)</f>
        <v>44681</v>
      </c>
      <c r="L9" s="89">
        <f t="shared" si="0"/>
        <v>44865</v>
      </c>
      <c r="M9" s="89">
        <f t="shared" si="0"/>
        <v>45046</v>
      </c>
      <c r="N9" s="89">
        <f t="shared" si="0"/>
        <v>45230</v>
      </c>
      <c r="O9" s="89">
        <f t="shared" si="0"/>
        <v>45412</v>
      </c>
      <c r="P9" s="89">
        <f t="shared" si="0"/>
        <v>45596</v>
      </c>
      <c r="Q9" s="89">
        <f t="shared" si="0"/>
        <v>45777</v>
      </c>
      <c r="R9" s="89">
        <f t="shared" si="0"/>
        <v>45961</v>
      </c>
    </row>
    <row r="10" spans="1:78" ht="13.5" customHeight="1" outlineLevel="1">
      <c r="H10" s="87" t="s">
        <v>75</v>
      </c>
      <c r="I10" s="89">
        <f t="shared" ref="I10:R10" si="1">EOMONTH(I9,period-1)</f>
        <v>44469</v>
      </c>
      <c r="J10" s="89">
        <f t="shared" si="1"/>
        <v>44651</v>
      </c>
      <c r="K10" s="89">
        <f t="shared" si="1"/>
        <v>44834</v>
      </c>
      <c r="L10" s="89">
        <f t="shared" si="1"/>
        <v>45016</v>
      </c>
      <c r="M10" s="89">
        <f t="shared" si="1"/>
        <v>45199</v>
      </c>
      <c r="N10" s="89">
        <f t="shared" si="1"/>
        <v>45382</v>
      </c>
      <c r="O10" s="89">
        <f t="shared" si="1"/>
        <v>45565</v>
      </c>
      <c r="P10" s="89">
        <f t="shared" si="1"/>
        <v>45747</v>
      </c>
      <c r="Q10" s="89">
        <f t="shared" si="1"/>
        <v>45930</v>
      </c>
      <c r="R10" s="89">
        <f t="shared" si="1"/>
        <v>46112</v>
      </c>
    </row>
    <row r="11" spans="1:78" s="11" customFormat="1" ht="13.5" customHeight="1" outlineLevel="1">
      <c r="F11" s="11" t="s">
        <v>152</v>
      </c>
      <c r="H11" s="11">
        <f t="shared" ref="H11:BS11" si="2">(H14&gt;=start)*(H14&lt;=exit)*1</f>
        <v>0</v>
      </c>
      <c r="I11" s="11">
        <f t="shared" si="2"/>
        <v>1</v>
      </c>
      <c r="J11" s="11">
        <f t="shared" si="2"/>
        <v>1</v>
      </c>
      <c r="K11" s="11">
        <f t="shared" si="2"/>
        <v>1</v>
      </c>
      <c r="L11" s="11">
        <f t="shared" si="2"/>
        <v>1</v>
      </c>
      <c r="M11" s="11">
        <f t="shared" si="2"/>
        <v>1</v>
      </c>
      <c r="N11" s="11">
        <f t="shared" si="2"/>
        <v>1</v>
      </c>
      <c r="O11" s="11">
        <f t="shared" si="2"/>
        <v>1</v>
      </c>
      <c r="P11" s="11">
        <f t="shared" si="2"/>
        <v>1</v>
      </c>
      <c r="Q11" s="11">
        <f t="shared" si="2"/>
        <v>1</v>
      </c>
      <c r="R11" s="11">
        <f t="shared" si="2"/>
        <v>1</v>
      </c>
      <c r="S11" s="11">
        <f t="shared" si="2"/>
        <v>1</v>
      </c>
      <c r="T11" s="11">
        <f t="shared" si="2"/>
        <v>1</v>
      </c>
      <c r="U11" s="11">
        <f t="shared" si="2"/>
        <v>1</v>
      </c>
      <c r="V11" s="11">
        <f t="shared" si="2"/>
        <v>1</v>
      </c>
      <c r="W11" s="11">
        <f t="shared" si="2"/>
        <v>1</v>
      </c>
      <c r="X11" s="11">
        <f t="shared" si="2"/>
        <v>1</v>
      </c>
      <c r="Y11" s="11">
        <f t="shared" si="2"/>
        <v>1</v>
      </c>
      <c r="Z11" s="11">
        <f t="shared" si="2"/>
        <v>1</v>
      </c>
      <c r="AA11" s="11">
        <f t="shared" si="2"/>
        <v>1</v>
      </c>
      <c r="AB11" s="11">
        <f t="shared" si="2"/>
        <v>1</v>
      </c>
      <c r="AC11" s="11">
        <f t="shared" si="2"/>
        <v>1</v>
      </c>
      <c r="AD11" s="11">
        <f t="shared" si="2"/>
        <v>1</v>
      </c>
      <c r="AE11" s="11">
        <f t="shared" si="2"/>
        <v>1</v>
      </c>
      <c r="AF11" s="11">
        <f t="shared" si="2"/>
        <v>1</v>
      </c>
      <c r="AG11" s="11">
        <f t="shared" si="2"/>
        <v>1</v>
      </c>
      <c r="AH11" s="11">
        <f t="shared" si="2"/>
        <v>1</v>
      </c>
      <c r="AI11" s="11">
        <f t="shared" si="2"/>
        <v>1</v>
      </c>
      <c r="AJ11" s="11">
        <f t="shared" si="2"/>
        <v>1</v>
      </c>
      <c r="AK11" s="11">
        <f t="shared" si="2"/>
        <v>1</v>
      </c>
      <c r="AL11" s="11">
        <f t="shared" si="2"/>
        <v>1</v>
      </c>
      <c r="AM11" s="11">
        <f t="shared" si="2"/>
        <v>1</v>
      </c>
      <c r="AN11" s="11">
        <f t="shared" si="2"/>
        <v>1</v>
      </c>
      <c r="AO11" s="11">
        <f t="shared" si="2"/>
        <v>1</v>
      </c>
      <c r="AP11" s="11">
        <f t="shared" si="2"/>
        <v>1</v>
      </c>
      <c r="AQ11" s="11">
        <f t="shared" si="2"/>
        <v>1</v>
      </c>
      <c r="AR11" s="11">
        <f t="shared" si="2"/>
        <v>1</v>
      </c>
      <c r="AS11" s="11">
        <f t="shared" si="2"/>
        <v>1</v>
      </c>
      <c r="AT11" s="11">
        <f t="shared" si="2"/>
        <v>1</v>
      </c>
      <c r="AU11" s="11">
        <f t="shared" si="2"/>
        <v>1</v>
      </c>
      <c r="AV11" s="11">
        <f t="shared" si="2"/>
        <v>1</v>
      </c>
      <c r="AW11" s="11">
        <f t="shared" si="2"/>
        <v>1</v>
      </c>
      <c r="AX11" s="11">
        <f t="shared" si="2"/>
        <v>1</v>
      </c>
      <c r="AY11" s="11">
        <f t="shared" si="2"/>
        <v>1</v>
      </c>
      <c r="AZ11" s="11">
        <f t="shared" si="2"/>
        <v>1</v>
      </c>
      <c r="BA11" s="11">
        <f t="shared" si="2"/>
        <v>1</v>
      </c>
      <c r="BB11" s="11">
        <f t="shared" si="2"/>
        <v>1</v>
      </c>
      <c r="BC11" s="11">
        <f t="shared" si="2"/>
        <v>1</v>
      </c>
      <c r="BD11" s="11">
        <f t="shared" si="2"/>
        <v>1</v>
      </c>
      <c r="BE11" s="11">
        <f t="shared" si="2"/>
        <v>1</v>
      </c>
      <c r="BF11" s="11">
        <f t="shared" si="2"/>
        <v>1</v>
      </c>
      <c r="BG11" s="11">
        <f t="shared" si="2"/>
        <v>1</v>
      </c>
      <c r="BH11" s="11">
        <f t="shared" si="2"/>
        <v>1</v>
      </c>
      <c r="BI11" s="11">
        <f t="shared" si="2"/>
        <v>1</v>
      </c>
      <c r="BJ11" s="11">
        <f t="shared" si="2"/>
        <v>1</v>
      </c>
      <c r="BK11" s="11">
        <f t="shared" si="2"/>
        <v>1</v>
      </c>
      <c r="BL11" s="11">
        <f t="shared" si="2"/>
        <v>1</v>
      </c>
      <c r="BM11" s="11">
        <f t="shared" si="2"/>
        <v>1</v>
      </c>
      <c r="BN11" s="11">
        <f t="shared" si="2"/>
        <v>1</v>
      </c>
      <c r="BO11" s="11">
        <f t="shared" si="2"/>
        <v>1</v>
      </c>
      <c r="BP11" s="11">
        <f t="shared" si="2"/>
        <v>1</v>
      </c>
      <c r="BQ11" s="11">
        <f t="shared" si="2"/>
        <v>0</v>
      </c>
      <c r="BR11" s="11">
        <f t="shared" si="2"/>
        <v>0</v>
      </c>
      <c r="BS11" s="11">
        <f t="shared" si="2"/>
        <v>0</v>
      </c>
      <c r="BT11" s="11">
        <f t="shared" ref="BT11:BY11" si="3">(BT14&gt;=start)*(BT14&lt;=exit)*1</f>
        <v>0</v>
      </c>
      <c r="BU11" s="11">
        <f t="shared" si="3"/>
        <v>0</v>
      </c>
      <c r="BV11" s="11">
        <f t="shared" si="3"/>
        <v>0</v>
      </c>
      <c r="BW11" s="11">
        <f t="shared" si="3"/>
        <v>0</v>
      </c>
      <c r="BX11" s="11">
        <f t="shared" si="3"/>
        <v>0</v>
      </c>
      <c r="BY11" s="11">
        <f t="shared" si="3"/>
        <v>0</v>
      </c>
      <c r="BZ11" s="11">
        <f t="shared" ref="BZ11" si="4">(BZ14&gt;=start)*(BZ14&lt;=exit)*1</f>
        <v>0</v>
      </c>
    </row>
    <row r="12" spans="1:78" s="11" customFormat="1" ht="13.5" customHeight="1" outlineLevel="1">
      <c r="F12" s="11" t="s">
        <v>153</v>
      </c>
      <c r="H12" s="11">
        <f>SUM($H$11:H11)*H11</f>
        <v>0</v>
      </c>
      <c r="I12" s="11">
        <f>SUM($H$11:I11)*I11</f>
        <v>1</v>
      </c>
      <c r="J12" s="11">
        <f>SUM($H$11:J11)*J11</f>
        <v>2</v>
      </c>
      <c r="K12" s="11">
        <f>SUM($H$11:K11)*K11</f>
        <v>3</v>
      </c>
      <c r="L12" s="11">
        <f>SUM($H$11:L11)*L11</f>
        <v>4</v>
      </c>
      <c r="M12" s="11">
        <f>SUM($H$11:M11)*M11</f>
        <v>5</v>
      </c>
      <c r="N12" s="11">
        <f>SUM($H$11:N11)*N11</f>
        <v>6</v>
      </c>
      <c r="O12" s="11">
        <f>SUM($H$11:O11)*O11</f>
        <v>7</v>
      </c>
      <c r="P12" s="11">
        <f>SUM($H$11:P11)*P11</f>
        <v>8</v>
      </c>
      <c r="Q12" s="11">
        <f>SUM($H$11:Q11)*Q11</f>
        <v>9</v>
      </c>
      <c r="R12" s="11">
        <f>SUM($H$11:R11)*R11</f>
        <v>10</v>
      </c>
      <c r="S12" s="11">
        <f>SUM($H$11:S11)*S11</f>
        <v>11</v>
      </c>
      <c r="T12" s="11">
        <f>SUM($H$11:T11)*T11</f>
        <v>12</v>
      </c>
      <c r="U12" s="11">
        <f>SUM($H$11:U11)*U11</f>
        <v>13</v>
      </c>
      <c r="V12" s="11">
        <f>SUM($H$11:V11)*V11</f>
        <v>14</v>
      </c>
      <c r="W12" s="11">
        <f>SUM($H$11:W11)*W11</f>
        <v>15</v>
      </c>
      <c r="X12" s="11">
        <f>SUM($H$11:X11)*X11</f>
        <v>16</v>
      </c>
      <c r="Y12" s="11">
        <f>SUM($H$11:Y11)*Y11</f>
        <v>17</v>
      </c>
      <c r="Z12" s="11">
        <f>SUM($H$11:Z11)*Z11</f>
        <v>18</v>
      </c>
      <c r="AA12" s="11">
        <f>SUM($H$11:AA11)*AA11</f>
        <v>19</v>
      </c>
      <c r="AB12" s="11">
        <f>SUM($H$11:AB11)*AB11</f>
        <v>20</v>
      </c>
      <c r="AC12" s="11">
        <f>SUM($H$11:AC11)*AC11</f>
        <v>21</v>
      </c>
      <c r="AD12" s="11">
        <f>SUM($H$11:AD11)*AD11</f>
        <v>22</v>
      </c>
      <c r="AE12" s="11">
        <f>SUM($H$11:AE11)*AE11</f>
        <v>23</v>
      </c>
      <c r="AF12" s="11">
        <f>SUM($H$11:AF11)*AF11</f>
        <v>24</v>
      </c>
      <c r="AG12" s="11">
        <f>SUM($H$11:AG11)*AG11</f>
        <v>25</v>
      </c>
      <c r="AH12" s="11">
        <f>SUM($H$11:AH11)*AH11</f>
        <v>26</v>
      </c>
      <c r="AI12" s="11">
        <f>SUM($H$11:AI11)*AI11</f>
        <v>27</v>
      </c>
      <c r="AJ12" s="11">
        <f>SUM($H$11:AJ11)*AJ11</f>
        <v>28</v>
      </c>
      <c r="AK12" s="11">
        <f>SUM($H$11:AK11)*AK11</f>
        <v>29</v>
      </c>
      <c r="AL12" s="11">
        <f>SUM($H$11:AL11)*AL11</f>
        <v>30</v>
      </c>
      <c r="AM12" s="11">
        <f>SUM($H$11:AM11)*AM11</f>
        <v>31</v>
      </c>
      <c r="AN12" s="11">
        <f>SUM($H$11:AN11)*AN11</f>
        <v>32</v>
      </c>
      <c r="AO12" s="11">
        <f>SUM($H$11:AO11)*AO11</f>
        <v>33</v>
      </c>
      <c r="AP12" s="11">
        <f>SUM($H$11:AP11)*AP11</f>
        <v>34</v>
      </c>
      <c r="AQ12" s="11">
        <f>SUM($H$11:AQ11)*AQ11</f>
        <v>35</v>
      </c>
      <c r="AR12" s="11">
        <f>SUM($H$11:AR11)*AR11</f>
        <v>36</v>
      </c>
      <c r="AS12" s="11">
        <f>SUM($H$11:AS11)*AS11</f>
        <v>37</v>
      </c>
      <c r="AT12" s="11">
        <f>SUM($H$11:AT11)*AT11</f>
        <v>38</v>
      </c>
      <c r="AU12" s="11">
        <f>SUM($H$11:AU11)*AU11</f>
        <v>39</v>
      </c>
      <c r="AV12" s="11">
        <f>SUM($H$11:AV11)*AV11</f>
        <v>40</v>
      </c>
      <c r="AW12" s="11">
        <f>SUM($H$11:AW11)*AW11</f>
        <v>41</v>
      </c>
      <c r="AX12" s="11">
        <f>SUM($H$11:AX11)*AX11</f>
        <v>42</v>
      </c>
      <c r="AY12" s="11">
        <f>SUM($H$11:AY11)*AY11</f>
        <v>43</v>
      </c>
      <c r="AZ12" s="11">
        <f>SUM($H$11:AZ11)*AZ11</f>
        <v>44</v>
      </c>
      <c r="BA12" s="11">
        <f>SUM($H$11:BA11)*BA11</f>
        <v>45</v>
      </c>
      <c r="BB12" s="11">
        <f>SUM($H$11:BB11)*BB11</f>
        <v>46</v>
      </c>
      <c r="BC12" s="11">
        <f>SUM($H$11:BC11)*BC11</f>
        <v>47</v>
      </c>
      <c r="BD12" s="11">
        <f>SUM($H$11:BD11)*BD11</f>
        <v>48</v>
      </c>
      <c r="BE12" s="11">
        <f>SUM($H$11:BE11)*BE11</f>
        <v>49</v>
      </c>
      <c r="BF12" s="11">
        <f>SUM($H$11:BF11)*BF11</f>
        <v>50</v>
      </c>
      <c r="BG12" s="11">
        <f>SUM($H$11:BG11)*BG11</f>
        <v>51</v>
      </c>
      <c r="BH12" s="11">
        <f>SUM($H$11:BH11)*BH11</f>
        <v>52</v>
      </c>
      <c r="BI12" s="11">
        <f>SUM($H$11:BI11)*BI11</f>
        <v>53</v>
      </c>
      <c r="BJ12" s="11">
        <f>SUM($H$11:BJ11)*BJ11</f>
        <v>54</v>
      </c>
      <c r="BK12" s="11">
        <f>SUM($H$11:BK11)*BK11</f>
        <v>55</v>
      </c>
      <c r="BL12" s="11">
        <f>SUM($H$11:BL11)*BL11</f>
        <v>56</v>
      </c>
      <c r="BM12" s="11">
        <f>SUM($H$11:BM11)*BM11</f>
        <v>57</v>
      </c>
      <c r="BN12" s="11">
        <f>SUM($H$11:BN11)*BN11</f>
        <v>58</v>
      </c>
      <c r="BO12" s="11">
        <f>SUM($H$11:BO11)*BO11</f>
        <v>59</v>
      </c>
      <c r="BP12" s="11">
        <f>SUM($H$11:BP11)*BP11</f>
        <v>60</v>
      </c>
      <c r="BQ12" s="11">
        <f>SUM($H$11:BQ11)*BQ11</f>
        <v>0</v>
      </c>
      <c r="BR12" s="11">
        <f>SUM($H$11:BR11)*BR11</f>
        <v>0</v>
      </c>
      <c r="BS12" s="11">
        <f>SUM($H$11:BS11)*BS11</f>
        <v>0</v>
      </c>
      <c r="BT12" s="11">
        <f>SUM($H$11:BT11)*BT11</f>
        <v>0</v>
      </c>
      <c r="BU12" s="11">
        <f>SUM($H$11:BU11)*BU11</f>
        <v>0</v>
      </c>
      <c r="BV12" s="11">
        <f>SUM($H$11:BV11)*BV11</f>
        <v>0</v>
      </c>
      <c r="BW12" s="11">
        <f>SUM($H$11:BW11)*BW11</f>
        <v>0</v>
      </c>
      <c r="BX12" s="11">
        <f>SUM($H$11:BX11)*BX11</f>
        <v>0</v>
      </c>
      <c r="BY12" s="11">
        <f>SUM($H$11:BY11)*BY11</f>
        <v>0</v>
      </c>
      <c r="BZ12" s="11">
        <f>SUM($H$11:BZ11)*BZ11</f>
        <v>0</v>
      </c>
    </row>
    <row r="13" spans="1:78" s="11" customFormat="1" ht="13.5" customHeight="1" outlineLevel="1">
      <c r="F13" s="11" t="s">
        <v>154</v>
      </c>
      <c r="H13" s="11">
        <f>(MOD(H12,12)=1)*1</f>
        <v>0</v>
      </c>
      <c r="I13" s="11">
        <f t="shared" ref="I13:BT13" si="5">(MOD(I12,12)=1)*1</f>
        <v>1</v>
      </c>
      <c r="J13" s="11">
        <f t="shared" si="5"/>
        <v>0</v>
      </c>
      <c r="K13" s="11">
        <f t="shared" si="5"/>
        <v>0</v>
      </c>
      <c r="L13" s="11">
        <f t="shared" si="5"/>
        <v>0</v>
      </c>
      <c r="M13" s="11">
        <f t="shared" si="5"/>
        <v>0</v>
      </c>
      <c r="N13" s="11">
        <f t="shared" si="5"/>
        <v>0</v>
      </c>
      <c r="O13" s="11">
        <f t="shared" si="5"/>
        <v>0</v>
      </c>
      <c r="P13" s="11">
        <f t="shared" si="5"/>
        <v>0</v>
      </c>
      <c r="Q13" s="11">
        <f t="shared" si="5"/>
        <v>0</v>
      </c>
      <c r="R13" s="11">
        <f t="shared" si="5"/>
        <v>0</v>
      </c>
      <c r="S13" s="11">
        <f t="shared" si="5"/>
        <v>0</v>
      </c>
      <c r="T13" s="11">
        <f t="shared" si="5"/>
        <v>0</v>
      </c>
      <c r="U13" s="11">
        <f t="shared" si="5"/>
        <v>1</v>
      </c>
      <c r="V13" s="11">
        <f t="shared" si="5"/>
        <v>0</v>
      </c>
      <c r="W13" s="11">
        <f t="shared" si="5"/>
        <v>0</v>
      </c>
      <c r="X13" s="11">
        <f t="shared" si="5"/>
        <v>0</v>
      </c>
      <c r="Y13" s="11">
        <f t="shared" si="5"/>
        <v>0</v>
      </c>
      <c r="Z13" s="11">
        <f t="shared" si="5"/>
        <v>0</v>
      </c>
      <c r="AA13" s="11">
        <f t="shared" si="5"/>
        <v>0</v>
      </c>
      <c r="AB13" s="11">
        <f t="shared" si="5"/>
        <v>0</v>
      </c>
      <c r="AC13" s="11">
        <f t="shared" si="5"/>
        <v>0</v>
      </c>
      <c r="AD13" s="11">
        <f t="shared" si="5"/>
        <v>0</v>
      </c>
      <c r="AE13" s="11">
        <f t="shared" si="5"/>
        <v>0</v>
      </c>
      <c r="AF13" s="11">
        <f t="shared" si="5"/>
        <v>0</v>
      </c>
      <c r="AG13" s="11">
        <f t="shared" si="5"/>
        <v>1</v>
      </c>
      <c r="AH13" s="11">
        <f t="shared" si="5"/>
        <v>0</v>
      </c>
      <c r="AI13" s="11">
        <f t="shared" si="5"/>
        <v>0</v>
      </c>
      <c r="AJ13" s="11">
        <f t="shared" si="5"/>
        <v>0</v>
      </c>
      <c r="AK13" s="11">
        <f t="shared" si="5"/>
        <v>0</v>
      </c>
      <c r="AL13" s="11">
        <f t="shared" si="5"/>
        <v>0</v>
      </c>
      <c r="AM13" s="11">
        <f t="shared" si="5"/>
        <v>0</v>
      </c>
      <c r="AN13" s="11">
        <f t="shared" si="5"/>
        <v>0</v>
      </c>
      <c r="AO13" s="11">
        <f t="shared" si="5"/>
        <v>0</v>
      </c>
      <c r="AP13" s="11">
        <f t="shared" si="5"/>
        <v>0</v>
      </c>
      <c r="AQ13" s="11">
        <f t="shared" si="5"/>
        <v>0</v>
      </c>
      <c r="AR13" s="11">
        <f t="shared" si="5"/>
        <v>0</v>
      </c>
      <c r="AS13" s="11">
        <f t="shared" si="5"/>
        <v>1</v>
      </c>
      <c r="AT13" s="11">
        <f t="shared" si="5"/>
        <v>0</v>
      </c>
      <c r="AU13" s="11">
        <f t="shared" si="5"/>
        <v>0</v>
      </c>
      <c r="AV13" s="11">
        <f t="shared" si="5"/>
        <v>0</v>
      </c>
      <c r="AW13" s="11">
        <f t="shared" si="5"/>
        <v>0</v>
      </c>
      <c r="AX13" s="11">
        <f t="shared" si="5"/>
        <v>0</v>
      </c>
      <c r="AY13" s="11">
        <f t="shared" si="5"/>
        <v>0</v>
      </c>
      <c r="AZ13" s="11">
        <f t="shared" si="5"/>
        <v>0</v>
      </c>
      <c r="BA13" s="11">
        <f t="shared" si="5"/>
        <v>0</v>
      </c>
      <c r="BB13" s="11">
        <f t="shared" si="5"/>
        <v>0</v>
      </c>
      <c r="BC13" s="11">
        <f t="shared" si="5"/>
        <v>0</v>
      </c>
      <c r="BD13" s="11">
        <f t="shared" si="5"/>
        <v>0</v>
      </c>
      <c r="BE13" s="11">
        <f t="shared" si="5"/>
        <v>1</v>
      </c>
      <c r="BF13" s="11">
        <f t="shared" si="5"/>
        <v>0</v>
      </c>
      <c r="BG13" s="11">
        <f t="shared" si="5"/>
        <v>0</v>
      </c>
      <c r="BH13" s="11">
        <f t="shared" si="5"/>
        <v>0</v>
      </c>
      <c r="BI13" s="11">
        <f t="shared" si="5"/>
        <v>0</v>
      </c>
      <c r="BJ13" s="11">
        <f t="shared" si="5"/>
        <v>0</v>
      </c>
      <c r="BK13" s="11">
        <f t="shared" si="5"/>
        <v>0</v>
      </c>
      <c r="BL13" s="11">
        <f t="shared" si="5"/>
        <v>0</v>
      </c>
      <c r="BM13" s="11">
        <f t="shared" si="5"/>
        <v>0</v>
      </c>
      <c r="BN13" s="11">
        <f t="shared" si="5"/>
        <v>0</v>
      </c>
      <c r="BO13" s="11">
        <f t="shared" si="5"/>
        <v>0</v>
      </c>
      <c r="BP13" s="11">
        <f t="shared" si="5"/>
        <v>0</v>
      </c>
      <c r="BQ13" s="11">
        <f t="shared" si="5"/>
        <v>0</v>
      </c>
      <c r="BR13" s="11">
        <f t="shared" si="5"/>
        <v>0</v>
      </c>
      <c r="BS13" s="11">
        <f t="shared" si="5"/>
        <v>0</v>
      </c>
      <c r="BT13" s="11">
        <f t="shared" si="5"/>
        <v>0</v>
      </c>
      <c r="BU13" s="11">
        <f t="shared" ref="BU13:BY13" si="6">(MOD(BU12,12)=1)*1</f>
        <v>0</v>
      </c>
      <c r="BV13" s="11">
        <f t="shared" si="6"/>
        <v>0</v>
      </c>
      <c r="BW13" s="11">
        <f t="shared" si="6"/>
        <v>0</v>
      </c>
      <c r="BX13" s="11">
        <f t="shared" si="6"/>
        <v>0</v>
      </c>
      <c r="BY13" s="11">
        <f t="shared" si="6"/>
        <v>0</v>
      </c>
      <c r="BZ13" s="11">
        <f t="shared" ref="BZ13" si="7">(MOD(BZ12,12)=1)*1</f>
        <v>0</v>
      </c>
    </row>
    <row r="14" spans="1:78" ht="13.5" customHeight="1">
      <c r="B14" s="90"/>
      <c r="C14" s="90"/>
      <c r="D14" s="90"/>
      <c r="E14" s="90"/>
      <c r="F14" s="90" t="s">
        <v>149</v>
      </c>
      <c r="G14" s="90"/>
      <c r="H14" s="91">
        <f>acq</f>
        <v>44286</v>
      </c>
      <c r="I14" s="91">
        <f>EOMONTH(H14,1)</f>
        <v>44316</v>
      </c>
      <c r="J14" s="91">
        <f t="shared" ref="J14:BU14" si="8">EOMONTH(I14,1)</f>
        <v>44347</v>
      </c>
      <c r="K14" s="91">
        <f t="shared" si="8"/>
        <v>44377</v>
      </c>
      <c r="L14" s="91">
        <f t="shared" si="8"/>
        <v>44408</v>
      </c>
      <c r="M14" s="91">
        <f t="shared" si="8"/>
        <v>44439</v>
      </c>
      <c r="N14" s="91">
        <f t="shared" si="8"/>
        <v>44469</v>
      </c>
      <c r="O14" s="91">
        <f t="shared" si="8"/>
        <v>44500</v>
      </c>
      <c r="P14" s="91">
        <f t="shared" si="8"/>
        <v>44530</v>
      </c>
      <c r="Q14" s="91">
        <f t="shared" si="8"/>
        <v>44561</v>
      </c>
      <c r="R14" s="91">
        <f t="shared" si="8"/>
        <v>44592</v>
      </c>
      <c r="S14" s="91">
        <f t="shared" si="8"/>
        <v>44620</v>
      </c>
      <c r="T14" s="91">
        <f t="shared" si="8"/>
        <v>44651</v>
      </c>
      <c r="U14" s="91">
        <f t="shared" si="8"/>
        <v>44681</v>
      </c>
      <c r="V14" s="91">
        <f t="shared" si="8"/>
        <v>44712</v>
      </c>
      <c r="W14" s="91">
        <f t="shared" si="8"/>
        <v>44742</v>
      </c>
      <c r="X14" s="91">
        <f t="shared" si="8"/>
        <v>44773</v>
      </c>
      <c r="Y14" s="91">
        <f t="shared" si="8"/>
        <v>44804</v>
      </c>
      <c r="Z14" s="91">
        <f t="shared" si="8"/>
        <v>44834</v>
      </c>
      <c r="AA14" s="91">
        <f t="shared" si="8"/>
        <v>44865</v>
      </c>
      <c r="AB14" s="91">
        <f t="shared" si="8"/>
        <v>44895</v>
      </c>
      <c r="AC14" s="91">
        <f t="shared" si="8"/>
        <v>44926</v>
      </c>
      <c r="AD14" s="91">
        <f t="shared" si="8"/>
        <v>44957</v>
      </c>
      <c r="AE14" s="91">
        <f t="shared" si="8"/>
        <v>44985</v>
      </c>
      <c r="AF14" s="91">
        <f t="shared" si="8"/>
        <v>45016</v>
      </c>
      <c r="AG14" s="91">
        <f t="shared" si="8"/>
        <v>45046</v>
      </c>
      <c r="AH14" s="91">
        <f t="shared" si="8"/>
        <v>45077</v>
      </c>
      <c r="AI14" s="91">
        <f t="shared" si="8"/>
        <v>45107</v>
      </c>
      <c r="AJ14" s="91">
        <f t="shared" si="8"/>
        <v>45138</v>
      </c>
      <c r="AK14" s="91">
        <f t="shared" si="8"/>
        <v>45169</v>
      </c>
      <c r="AL14" s="91">
        <f t="shared" si="8"/>
        <v>45199</v>
      </c>
      <c r="AM14" s="91">
        <f t="shared" si="8"/>
        <v>45230</v>
      </c>
      <c r="AN14" s="91">
        <f t="shared" si="8"/>
        <v>45260</v>
      </c>
      <c r="AO14" s="91">
        <f t="shared" si="8"/>
        <v>45291</v>
      </c>
      <c r="AP14" s="91">
        <f t="shared" si="8"/>
        <v>45322</v>
      </c>
      <c r="AQ14" s="91">
        <f t="shared" si="8"/>
        <v>45351</v>
      </c>
      <c r="AR14" s="91">
        <f t="shared" si="8"/>
        <v>45382</v>
      </c>
      <c r="AS14" s="91">
        <f t="shared" si="8"/>
        <v>45412</v>
      </c>
      <c r="AT14" s="91">
        <f t="shared" si="8"/>
        <v>45443</v>
      </c>
      <c r="AU14" s="91">
        <f t="shared" si="8"/>
        <v>45473</v>
      </c>
      <c r="AV14" s="91">
        <f t="shared" si="8"/>
        <v>45504</v>
      </c>
      <c r="AW14" s="91">
        <f t="shared" si="8"/>
        <v>45535</v>
      </c>
      <c r="AX14" s="91">
        <f t="shared" si="8"/>
        <v>45565</v>
      </c>
      <c r="AY14" s="91">
        <f t="shared" si="8"/>
        <v>45596</v>
      </c>
      <c r="AZ14" s="91">
        <f t="shared" si="8"/>
        <v>45626</v>
      </c>
      <c r="BA14" s="91">
        <f t="shared" si="8"/>
        <v>45657</v>
      </c>
      <c r="BB14" s="91">
        <f t="shared" si="8"/>
        <v>45688</v>
      </c>
      <c r="BC14" s="91">
        <f t="shared" si="8"/>
        <v>45716</v>
      </c>
      <c r="BD14" s="91">
        <f t="shared" si="8"/>
        <v>45747</v>
      </c>
      <c r="BE14" s="91">
        <f t="shared" si="8"/>
        <v>45777</v>
      </c>
      <c r="BF14" s="91">
        <f t="shared" si="8"/>
        <v>45808</v>
      </c>
      <c r="BG14" s="91">
        <f t="shared" si="8"/>
        <v>45838</v>
      </c>
      <c r="BH14" s="91">
        <f t="shared" si="8"/>
        <v>45869</v>
      </c>
      <c r="BI14" s="91">
        <f t="shared" si="8"/>
        <v>45900</v>
      </c>
      <c r="BJ14" s="91">
        <f t="shared" si="8"/>
        <v>45930</v>
      </c>
      <c r="BK14" s="91">
        <f t="shared" si="8"/>
        <v>45961</v>
      </c>
      <c r="BL14" s="91">
        <f t="shared" si="8"/>
        <v>45991</v>
      </c>
      <c r="BM14" s="91">
        <f t="shared" si="8"/>
        <v>46022</v>
      </c>
      <c r="BN14" s="91">
        <f t="shared" si="8"/>
        <v>46053</v>
      </c>
      <c r="BO14" s="91">
        <f t="shared" si="8"/>
        <v>46081</v>
      </c>
      <c r="BP14" s="91">
        <f t="shared" si="8"/>
        <v>46112</v>
      </c>
      <c r="BQ14" s="91">
        <f t="shared" si="8"/>
        <v>46142</v>
      </c>
      <c r="BR14" s="91">
        <f t="shared" si="8"/>
        <v>46173</v>
      </c>
      <c r="BS14" s="91">
        <f t="shared" si="8"/>
        <v>46203</v>
      </c>
      <c r="BT14" s="91">
        <f t="shared" si="8"/>
        <v>46234</v>
      </c>
      <c r="BU14" s="91">
        <f t="shared" si="8"/>
        <v>46265</v>
      </c>
      <c r="BV14" s="91">
        <f t="shared" ref="BV14:BZ14" si="9">EOMONTH(BU14,1)</f>
        <v>46295</v>
      </c>
      <c r="BW14" s="91">
        <f t="shared" si="9"/>
        <v>46326</v>
      </c>
      <c r="BX14" s="91">
        <f t="shared" si="9"/>
        <v>46356</v>
      </c>
      <c r="BY14" s="91">
        <f t="shared" si="9"/>
        <v>46387</v>
      </c>
      <c r="BZ14" s="91">
        <f t="shared" si="9"/>
        <v>46418</v>
      </c>
    </row>
    <row r="15" spans="1:78" ht="13.5" customHeight="1">
      <c r="B15" s="90"/>
      <c r="C15" s="90"/>
      <c r="D15" s="90"/>
      <c r="E15" s="90"/>
      <c r="F15" s="90" t="s">
        <v>150</v>
      </c>
      <c r="G15" s="90"/>
      <c r="H15" s="92">
        <f>SUMIFS($I$8:$R$8,$I$9:$R$9,"&lt;="&amp;H$14,$I$10:$R$10,"&gt;="&amp;H$14)</f>
        <v>0</v>
      </c>
      <c r="I15" s="92">
        <f t="shared" ref="I15:BT15" si="10">SUMIFS($I$8:$R$8,$I$9:$R$9,"&lt;="&amp;I$14,$I$10:$R$10,"&gt;="&amp;I$14)</f>
        <v>1</v>
      </c>
      <c r="J15" s="92">
        <f t="shared" si="10"/>
        <v>1</v>
      </c>
      <c r="K15" s="92">
        <f t="shared" si="10"/>
        <v>1</v>
      </c>
      <c r="L15" s="92">
        <f t="shared" si="10"/>
        <v>1</v>
      </c>
      <c r="M15" s="92">
        <f t="shared" si="10"/>
        <v>1</v>
      </c>
      <c r="N15" s="92">
        <f t="shared" si="10"/>
        <v>1</v>
      </c>
      <c r="O15" s="92">
        <f t="shared" si="10"/>
        <v>2</v>
      </c>
      <c r="P15" s="92">
        <f t="shared" si="10"/>
        <v>2</v>
      </c>
      <c r="Q15" s="92">
        <f t="shared" si="10"/>
        <v>2</v>
      </c>
      <c r="R15" s="92">
        <f t="shared" si="10"/>
        <v>2</v>
      </c>
      <c r="S15" s="92">
        <f t="shared" si="10"/>
        <v>2</v>
      </c>
      <c r="T15" s="92">
        <f t="shared" si="10"/>
        <v>2</v>
      </c>
      <c r="U15" s="92">
        <f t="shared" si="10"/>
        <v>3</v>
      </c>
      <c r="V15" s="92">
        <f t="shared" si="10"/>
        <v>3</v>
      </c>
      <c r="W15" s="92">
        <f t="shared" si="10"/>
        <v>3</v>
      </c>
      <c r="X15" s="92">
        <f t="shared" si="10"/>
        <v>3</v>
      </c>
      <c r="Y15" s="92">
        <f t="shared" si="10"/>
        <v>3</v>
      </c>
      <c r="Z15" s="92">
        <f t="shared" si="10"/>
        <v>3</v>
      </c>
      <c r="AA15" s="92">
        <f t="shared" si="10"/>
        <v>4</v>
      </c>
      <c r="AB15" s="92">
        <f t="shared" si="10"/>
        <v>4</v>
      </c>
      <c r="AC15" s="92">
        <f t="shared" si="10"/>
        <v>4</v>
      </c>
      <c r="AD15" s="92">
        <f t="shared" si="10"/>
        <v>4</v>
      </c>
      <c r="AE15" s="92">
        <f t="shared" si="10"/>
        <v>4</v>
      </c>
      <c r="AF15" s="92">
        <f t="shared" si="10"/>
        <v>4</v>
      </c>
      <c r="AG15" s="92">
        <f t="shared" si="10"/>
        <v>5</v>
      </c>
      <c r="AH15" s="92">
        <f t="shared" si="10"/>
        <v>5</v>
      </c>
      <c r="AI15" s="92">
        <f t="shared" si="10"/>
        <v>5</v>
      </c>
      <c r="AJ15" s="92">
        <f t="shared" si="10"/>
        <v>5</v>
      </c>
      <c r="AK15" s="92">
        <f t="shared" si="10"/>
        <v>5</v>
      </c>
      <c r="AL15" s="92">
        <f t="shared" si="10"/>
        <v>5</v>
      </c>
      <c r="AM15" s="92">
        <f t="shared" si="10"/>
        <v>6</v>
      </c>
      <c r="AN15" s="92">
        <f t="shared" si="10"/>
        <v>6</v>
      </c>
      <c r="AO15" s="92">
        <f t="shared" si="10"/>
        <v>6</v>
      </c>
      <c r="AP15" s="92">
        <f t="shared" si="10"/>
        <v>6</v>
      </c>
      <c r="AQ15" s="92">
        <f t="shared" si="10"/>
        <v>6</v>
      </c>
      <c r="AR15" s="92">
        <f t="shared" si="10"/>
        <v>6</v>
      </c>
      <c r="AS15" s="92">
        <f t="shared" si="10"/>
        <v>7</v>
      </c>
      <c r="AT15" s="92">
        <f t="shared" si="10"/>
        <v>7</v>
      </c>
      <c r="AU15" s="92">
        <f t="shared" si="10"/>
        <v>7</v>
      </c>
      <c r="AV15" s="92">
        <f t="shared" si="10"/>
        <v>7</v>
      </c>
      <c r="AW15" s="92">
        <f t="shared" si="10"/>
        <v>7</v>
      </c>
      <c r="AX15" s="92">
        <f t="shared" si="10"/>
        <v>7</v>
      </c>
      <c r="AY15" s="92">
        <f t="shared" si="10"/>
        <v>8</v>
      </c>
      <c r="AZ15" s="92">
        <f t="shared" si="10"/>
        <v>8</v>
      </c>
      <c r="BA15" s="92">
        <f t="shared" si="10"/>
        <v>8</v>
      </c>
      <c r="BB15" s="92">
        <f t="shared" si="10"/>
        <v>8</v>
      </c>
      <c r="BC15" s="92">
        <f t="shared" si="10"/>
        <v>8</v>
      </c>
      <c r="BD15" s="92">
        <f t="shared" si="10"/>
        <v>8</v>
      </c>
      <c r="BE15" s="92">
        <f t="shared" si="10"/>
        <v>9</v>
      </c>
      <c r="BF15" s="92">
        <f t="shared" si="10"/>
        <v>9</v>
      </c>
      <c r="BG15" s="92">
        <f t="shared" si="10"/>
        <v>9</v>
      </c>
      <c r="BH15" s="92">
        <f t="shared" si="10"/>
        <v>9</v>
      </c>
      <c r="BI15" s="92">
        <f t="shared" si="10"/>
        <v>9</v>
      </c>
      <c r="BJ15" s="92">
        <f t="shared" si="10"/>
        <v>9</v>
      </c>
      <c r="BK15" s="92">
        <f t="shared" si="10"/>
        <v>10</v>
      </c>
      <c r="BL15" s="92">
        <f t="shared" si="10"/>
        <v>10</v>
      </c>
      <c r="BM15" s="92">
        <f t="shared" si="10"/>
        <v>10</v>
      </c>
      <c r="BN15" s="92">
        <f t="shared" si="10"/>
        <v>10</v>
      </c>
      <c r="BO15" s="92">
        <f t="shared" si="10"/>
        <v>10</v>
      </c>
      <c r="BP15" s="92">
        <f t="shared" si="10"/>
        <v>10</v>
      </c>
      <c r="BQ15" s="92">
        <f t="shared" si="10"/>
        <v>0</v>
      </c>
      <c r="BR15" s="92">
        <f t="shared" si="10"/>
        <v>0</v>
      </c>
      <c r="BS15" s="92">
        <f t="shared" si="10"/>
        <v>0</v>
      </c>
      <c r="BT15" s="92">
        <f t="shared" si="10"/>
        <v>0</v>
      </c>
      <c r="BU15" s="92">
        <f t="shared" ref="BU15:BZ15" si="11">SUMIFS($I$8:$R$8,$I$9:$R$9,"&lt;="&amp;BU$14,$I$10:$R$10,"&gt;="&amp;BU$14)</f>
        <v>0</v>
      </c>
      <c r="BV15" s="92">
        <f t="shared" si="11"/>
        <v>0</v>
      </c>
      <c r="BW15" s="92">
        <f t="shared" si="11"/>
        <v>0</v>
      </c>
      <c r="BX15" s="92">
        <f t="shared" si="11"/>
        <v>0</v>
      </c>
      <c r="BY15" s="92">
        <f t="shared" si="11"/>
        <v>0</v>
      </c>
      <c r="BZ15" s="92">
        <f t="shared" si="11"/>
        <v>0</v>
      </c>
    </row>
    <row r="16" spans="1:78" ht="13.5" customHeight="1">
      <c r="B16" s="93"/>
      <c r="C16" s="93"/>
      <c r="D16" s="93"/>
      <c r="E16" s="93"/>
      <c r="F16" s="93" t="s">
        <v>151</v>
      </c>
      <c r="G16" s="93"/>
      <c r="H16" s="94">
        <f>SUM($H$13:H13)*H11</f>
        <v>0</v>
      </c>
      <c r="I16" s="94">
        <f>SUM($H$13:I13)*I11</f>
        <v>1</v>
      </c>
      <c r="J16" s="94">
        <f>SUM($H$13:J13)*J11</f>
        <v>1</v>
      </c>
      <c r="K16" s="94">
        <f>SUM($H$13:K13)*K11</f>
        <v>1</v>
      </c>
      <c r="L16" s="94">
        <f>SUM($H$13:L13)*L11</f>
        <v>1</v>
      </c>
      <c r="M16" s="94">
        <f>SUM($H$13:M13)*M11</f>
        <v>1</v>
      </c>
      <c r="N16" s="94">
        <f>SUM($H$13:N13)*N11</f>
        <v>1</v>
      </c>
      <c r="O16" s="94">
        <f>SUM($H$13:O13)*O11</f>
        <v>1</v>
      </c>
      <c r="P16" s="94">
        <f>SUM($H$13:P13)*P11</f>
        <v>1</v>
      </c>
      <c r="Q16" s="94">
        <f>SUM($H$13:Q13)*Q11</f>
        <v>1</v>
      </c>
      <c r="R16" s="94">
        <f>SUM($H$13:R13)*R11</f>
        <v>1</v>
      </c>
      <c r="S16" s="94">
        <f>SUM($H$13:S13)*S11</f>
        <v>1</v>
      </c>
      <c r="T16" s="94">
        <f>SUM($H$13:T13)*T11</f>
        <v>1</v>
      </c>
      <c r="U16" s="94">
        <f>SUM($H$13:U13)*U11</f>
        <v>2</v>
      </c>
      <c r="V16" s="94">
        <f>SUM($H$13:V13)*V11</f>
        <v>2</v>
      </c>
      <c r="W16" s="94">
        <f>SUM($H$13:W13)*W11</f>
        <v>2</v>
      </c>
      <c r="X16" s="94">
        <f>SUM($H$13:X13)*X11</f>
        <v>2</v>
      </c>
      <c r="Y16" s="94">
        <f>SUM($H$13:Y13)*Y11</f>
        <v>2</v>
      </c>
      <c r="Z16" s="94">
        <f>SUM($H$13:Z13)*Z11</f>
        <v>2</v>
      </c>
      <c r="AA16" s="94">
        <f>SUM($H$13:AA13)*AA11</f>
        <v>2</v>
      </c>
      <c r="AB16" s="94">
        <f>SUM($H$13:AB13)*AB11</f>
        <v>2</v>
      </c>
      <c r="AC16" s="94">
        <f>SUM($H$13:AC13)*AC11</f>
        <v>2</v>
      </c>
      <c r="AD16" s="94">
        <f>SUM($H$13:AD13)*AD11</f>
        <v>2</v>
      </c>
      <c r="AE16" s="94">
        <f>SUM($H$13:AE13)*AE11</f>
        <v>2</v>
      </c>
      <c r="AF16" s="94">
        <f>SUM($H$13:AF13)*AF11</f>
        <v>2</v>
      </c>
      <c r="AG16" s="94">
        <f>SUM($H$13:AG13)*AG11</f>
        <v>3</v>
      </c>
      <c r="AH16" s="94">
        <f>SUM($H$13:AH13)*AH11</f>
        <v>3</v>
      </c>
      <c r="AI16" s="94">
        <f>SUM($H$13:AI13)*AI11</f>
        <v>3</v>
      </c>
      <c r="AJ16" s="94">
        <f>SUM($H$13:AJ13)*AJ11</f>
        <v>3</v>
      </c>
      <c r="AK16" s="94">
        <f>SUM($H$13:AK13)*AK11</f>
        <v>3</v>
      </c>
      <c r="AL16" s="94">
        <f>SUM($H$13:AL13)*AL11</f>
        <v>3</v>
      </c>
      <c r="AM16" s="94">
        <f>SUM($H$13:AM13)*AM11</f>
        <v>3</v>
      </c>
      <c r="AN16" s="94">
        <f>SUM($H$13:AN13)*AN11</f>
        <v>3</v>
      </c>
      <c r="AO16" s="94">
        <f>SUM($H$13:AO13)*AO11</f>
        <v>3</v>
      </c>
      <c r="AP16" s="94">
        <f>SUM($H$13:AP13)*AP11</f>
        <v>3</v>
      </c>
      <c r="AQ16" s="94">
        <f>SUM($H$13:AQ13)*AQ11</f>
        <v>3</v>
      </c>
      <c r="AR16" s="94">
        <f>SUM($H$13:AR13)*AR11</f>
        <v>3</v>
      </c>
      <c r="AS16" s="94">
        <f>SUM($H$13:AS13)*AS11</f>
        <v>4</v>
      </c>
      <c r="AT16" s="94">
        <f>SUM($H$13:AT13)*AT11</f>
        <v>4</v>
      </c>
      <c r="AU16" s="94">
        <f>SUM($H$13:AU13)*AU11</f>
        <v>4</v>
      </c>
      <c r="AV16" s="94">
        <f>SUM($H$13:AV13)*AV11</f>
        <v>4</v>
      </c>
      <c r="AW16" s="94">
        <f>SUM($H$13:AW13)*AW11</f>
        <v>4</v>
      </c>
      <c r="AX16" s="94">
        <f>SUM($H$13:AX13)*AX11</f>
        <v>4</v>
      </c>
      <c r="AY16" s="94">
        <f>SUM($H$13:AY13)*AY11</f>
        <v>4</v>
      </c>
      <c r="AZ16" s="94">
        <f>SUM($H$13:AZ13)*AZ11</f>
        <v>4</v>
      </c>
      <c r="BA16" s="94">
        <f>SUM($H$13:BA13)*BA11</f>
        <v>4</v>
      </c>
      <c r="BB16" s="94">
        <f>SUM($H$13:BB13)*BB11</f>
        <v>4</v>
      </c>
      <c r="BC16" s="94">
        <f>SUM($H$13:BC13)*BC11</f>
        <v>4</v>
      </c>
      <c r="BD16" s="94">
        <f>SUM($H$13:BD13)*BD11</f>
        <v>4</v>
      </c>
      <c r="BE16" s="94">
        <f>SUM($H$13:BE13)*BE11</f>
        <v>5</v>
      </c>
      <c r="BF16" s="94">
        <f>SUM($H$13:BF13)*BF11</f>
        <v>5</v>
      </c>
      <c r="BG16" s="94">
        <f>SUM($H$13:BG13)*BG11</f>
        <v>5</v>
      </c>
      <c r="BH16" s="94">
        <f>SUM($H$13:BH13)*BH11</f>
        <v>5</v>
      </c>
      <c r="BI16" s="94">
        <f>SUM($H$13:BI13)*BI11</f>
        <v>5</v>
      </c>
      <c r="BJ16" s="94">
        <f>SUM($H$13:BJ13)*BJ11</f>
        <v>5</v>
      </c>
      <c r="BK16" s="94">
        <f>SUM($H$13:BK13)*BK11</f>
        <v>5</v>
      </c>
      <c r="BL16" s="94">
        <f>SUM($H$13:BL13)*BL11</f>
        <v>5</v>
      </c>
      <c r="BM16" s="94">
        <f>SUM($H$13:BM13)*BM11</f>
        <v>5</v>
      </c>
      <c r="BN16" s="94">
        <f>SUM($H$13:BN13)*BN11</f>
        <v>5</v>
      </c>
      <c r="BO16" s="94">
        <f>SUM($H$13:BO13)*BO11</f>
        <v>5</v>
      </c>
      <c r="BP16" s="94">
        <f>SUM($H$13:BP13)*BP11</f>
        <v>5</v>
      </c>
      <c r="BQ16" s="94">
        <f>SUM($H$13:BQ13)*BQ11</f>
        <v>0</v>
      </c>
      <c r="BR16" s="94">
        <f>SUM($H$13:BR13)*BR11</f>
        <v>0</v>
      </c>
      <c r="BS16" s="94">
        <f>SUM($H$13:BS13)*BS11</f>
        <v>0</v>
      </c>
      <c r="BT16" s="94">
        <f>SUM($H$13:BT13)*BT11</f>
        <v>0</v>
      </c>
      <c r="BU16" s="94">
        <f>SUM($H$13:BU13)*BU11</f>
        <v>0</v>
      </c>
      <c r="BV16" s="94">
        <f>SUM($H$13:BV13)*BV11</f>
        <v>0</v>
      </c>
      <c r="BW16" s="94">
        <f>SUM($H$13:BW13)*BW11</f>
        <v>0</v>
      </c>
      <c r="BX16" s="94">
        <f>SUM($H$13:BX13)*BX11</f>
        <v>0</v>
      </c>
      <c r="BY16" s="94">
        <f>SUM($H$13:BY13)*BY11</f>
        <v>0</v>
      </c>
      <c r="BZ16" s="94">
        <f>SUM($H$13:BZ13)*BZ11</f>
        <v>0</v>
      </c>
    </row>
    <row r="17" spans="2:78" ht="13.5" customHeight="1">
      <c r="B17" s="13" t="str">
        <f>'A&amp;R'!Q21</f>
        <v>PM용역비</v>
      </c>
    </row>
    <row r="18" spans="2:78" ht="13.5" customHeight="1">
      <c r="C18" s="1" t="s">
        <v>226</v>
      </c>
      <c r="E18" s="129">
        <f>'A&amp;R'!M20</f>
        <v>10350.34</v>
      </c>
      <c r="H18" s="1">
        <f t="shared" ref="H18:AM18" si="12">$E$18*H11</f>
        <v>0</v>
      </c>
      <c r="I18" s="1">
        <f t="shared" si="12"/>
        <v>10350.34</v>
      </c>
      <c r="J18" s="1">
        <f t="shared" si="12"/>
        <v>10350.34</v>
      </c>
      <c r="K18" s="1">
        <f t="shared" si="12"/>
        <v>10350.34</v>
      </c>
      <c r="L18" s="1">
        <f t="shared" si="12"/>
        <v>10350.34</v>
      </c>
      <c r="M18" s="1">
        <f t="shared" si="12"/>
        <v>10350.34</v>
      </c>
      <c r="N18" s="1">
        <f t="shared" si="12"/>
        <v>10350.34</v>
      </c>
      <c r="O18" s="1">
        <f t="shared" si="12"/>
        <v>10350.34</v>
      </c>
      <c r="P18" s="1">
        <f t="shared" si="12"/>
        <v>10350.34</v>
      </c>
      <c r="Q18" s="1">
        <f t="shared" si="12"/>
        <v>10350.34</v>
      </c>
      <c r="R18" s="1">
        <f t="shared" si="12"/>
        <v>10350.34</v>
      </c>
      <c r="S18" s="1">
        <f t="shared" si="12"/>
        <v>10350.34</v>
      </c>
      <c r="T18" s="1">
        <f t="shared" si="12"/>
        <v>10350.34</v>
      </c>
      <c r="U18" s="1">
        <f t="shared" si="12"/>
        <v>10350.34</v>
      </c>
      <c r="V18" s="1">
        <f t="shared" si="12"/>
        <v>10350.34</v>
      </c>
      <c r="W18" s="1">
        <f t="shared" si="12"/>
        <v>10350.34</v>
      </c>
      <c r="X18" s="1">
        <f t="shared" si="12"/>
        <v>10350.34</v>
      </c>
      <c r="Y18" s="1">
        <f t="shared" si="12"/>
        <v>10350.34</v>
      </c>
      <c r="Z18" s="1">
        <f t="shared" si="12"/>
        <v>10350.34</v>
      </c>
      <c r="AA18" s="1">
        <f t="shared" si="12"/>
        <v>10350.34</v>
      </c>
      <c r="AB18" s="1">
        <f t="shared" si="12"/>
        <v>10350.34</v>
      </c>
      <c r="AC18" s="1">
        <f t="shared" si="12"/>
        <v>10350.34</v>
      </c>
      <c r="AD18" s="1">
        <f t="shared" si="12"/>
        <v>10350.34</v>
      </c>
      <c r="AE18" s="1">
        <f t="shared" si="12"/>
        <v>10350.34</v>
      </c>
      <c r="AF18" s="1">
        <f t="shared" si="12"/>
        <v>10350.34</v>
      </c>
      <c r="AG18" s="1">
        <f t="shared" si="12"/>
        <v>10350.34</v>
      </c>
      <c r="AH18" s="1">
        <f t="shared" si="12"/>
        <v>10350.34</v>
      </c>
      <c r="AI18" s="1">
        <f t="shared" si="12"/>
        <v>10350.34</v>
      </c>
      <c r="AJ18" s="1">
        <f t="shared" si="12"/>
        <v>10350.34</v>
      </c>
      <c r="AK18" s="1">
        <f t="shared" si="12"/>
        <v>10350.34</v>
      </c>
      <c r="AL18" s="1">
        <f t="shared" si="12"/>
        <v>10350.34</v>
      </c>
      <c r="AM18" s="1">
        <f t="shared" si="12"/>
        <v>10350.34</v>
      </c>
      <c r="AN18" s="1">
        <f t="shared" ref="AN18:BS18" si="13">$E$18*AN11</f>
        <v>10350.34</v>
      </c>
      <c r="AO18" s="1">
        <f t="shared" si="13"/>
        <v>10350.34</v>
      </c>
      <c r="AP18" s="1">
        <f t="shared" si="13"/>
        <v>10350.34</v>
      </c>
      <c r="AQ18" s="1">
        <f t="shared" si="13"/>
        <v>10350.34</v>
      </c>
      <c r="AR18" s="1">
        <f t="shared" si="13"/>
        <v>10350.34</v>
      </c>
      <c r="AS18" s="1">
        <f t="shared" si="13"/>
        <v>10350.34</v>
      </c>
      <c r="AT18" s="1">
        <f t="shared" si="13"/>
        <v>10350.34</v>
      </c>
      <c r="AU18" s="1">
        <f t="shared" si="13"/>
        <v>10350.34</v>
      </c>
      <c r="AV18" s="1">
        <f t="shared" si="13"/>
        <v>10350.34</v>
      </c>
      <c r="AW18" s="1">
        <f t="shared" si="13"/>
        <v>10350.34</v>
      </c>
      <c r="AX18" s="1">
        <f t="shared" si="13"/>
        <v>10350.34</v>
      </c>
      <c r="AY18" s="1">
        <f t="shared" si="13"/>
        <v>10350.34</v>
      </c>
      <c r="AZ18" s="1">
        <f t="shared" si="13"/>
        <v>10350.34</v>
      </c>
      <c r="BA18" s="1">
        <f t="shared" si="13"/>
        <v>10350.34</v>
      </c>
      <c r="BB18" s="1">
        <f t="shared" si="13"/>
        <v>10350.34</v>
      </c>
      <c r="BC18" s="1">
        <f t="shared" si="13"/>
        <v>10350.34</v>
      </c>
      <c r="BD18" s="1">
        <f t="shared" si="13"/>
        <v>10350.34</v>
      </c>
      <c r="BE18" s="1">
        <f t="shared" si="13"/>
        <v>10350.34</v>
      </c>
      <c r="BF18" s="1">
        <f t="shared" si="13"/>
        <v>10350.34</v>
      </c>
      <c r="BG18" s="1">
        <f t="shared" si="13"/>
        <v>10350.34</v>
      </c>
      <c r="BH18" s="1">
        <f t="shared" si="13"/>
        <v>10350.34</v>
      </c>
      <c r="BI18" s="1">
        <f t="shared" si="13"/>
        <v>10350.34</v>
      </c>
      <c r="BJ18" s="1">
        <f t="shared" si="13"/>
        <v>10350.34</v>
      </c>
      <c r="BK18" s="1">
        <f t="shared" si="13"/>
        <v>10350.34</v>
      </c>
      <c r="BL18" s="1">
        <f t="shared" si="13"/>
        <v>10350.34</v>
      </c>
      <c r="BM18" s="1">
        <f t="shared" si="13"/>
        <v>10350.34</v>
      </c>
      <c r="BN18" s="1">
        <f t="shared" si="13"/>
        <v>10350.34</v>
      </c>
      <c r="BO18" s="1">
        <f t="shared" si="13"/>
        <v>10350.34</v>
      </c>
      <c r="BP18" s="1">
        <f t="shared" si="13"/>
        <v>10350.34</v>
      </c>
      <c r="BQ18" s="1">
        <f t="shared" si="13"/>
        <v>0</v>
      </c>
      <c r="BR18" s="1">
        <f t="shared" si="13"/>
        <v>0</v>
      </c>
      <c r="BS18" s="1">
        <f t="shared" si="13"/>
        <v>0</v>
      </c>
      <c r="BT18" s="1">
        <f t="shared" ref="BT18:BZ18" si="14">$E$18*BT11</f>
        <v>0</v>
      </c>
      <c r="BU18" s="1">
        <f t="shared" si="14"/>
        <v>0</v>
      </c>
      <c r="BV18" s="1">
        <f t="shared" si="14"/>
        <v>0</v>
      </c>
      <c r="BW18" s="1">
        <f t="shared" si="14"/>
        <v>0</v>
      </c>
      <c r="BX18" s="1">
        <f t="shared" si="14"/>
        <v>0</v>
      </c>
      <c r="BY18" s="1">
        <f t="shared" si="14"/>
        <v>0</v>
      </c>
      <c r="BZ18" s="1">
        <f t="shared" si="14"/>
        <v>0</v>
      </c>
    </row>
    <row r="19" spans="2:78" ht="13.5" customHeight="1">
      <c r="C19" s="42" t="s">
        <v>227</v>
      </c>
      <c r="D19" s="42"/>
      <c r="E19" s="130">
        <f>'A&amp;R'!U21</f>
        <v>350</v>
      </c>
      <c r="F19" s="42"/>
      <c r="G19" s="42"/>
      <c r="H19" s="42">
        <f>$E$19*(1+'A&amp;R'!$W$21)^(H$16-1)*H$11</f>
        <v>0</v>
      </c>
      <c r="I19" s="42">
        <f>$E$19*(1+'A&amp;R'!$W$21)^(I$16-1)*I$11</f>
        <v>350</v>
      </c>
      <c r="J19" s="42">
        <f>$E$19*(1+'A&amp;R'!$W$21)^(J$16-1)*J$11</f>
        <v>350</v>
      </c>
      <c r="K19" s="42">
        <f>$E$19*(1+'A&amp;R'!$W$21)^(K$16-1)*K$11</f>
        <v>350</v>
      </c>
      <c r="L19" s="42">
        <f>$E$19*(1+'A&amp;R'!$W$21)^(L$16-1)*L$11</f>
        <v>350</v>
      </c>
      <c r="M19" s="42">
        <f>$E$19*(1+'A&amp;R'!$W$21)^(M$16-1)*M$11</f>
        <v>350</v>
      </c>
      <c r="N19" s="42">
        <f>$E$19*(1+'A&amp;R'!$W$21)^(N$16-1)*N$11</f>
        <v>350</v>
      </c>
      <c r="O19" s="42">
        <f>$E$19*(1+'A&amp;R'!$W$21)^(O$16-1)*O$11</f>
        <v>350</v>
      </c>
      <c r="P19" s="42">
        <f>$E$19*(1+'A&amp;R'!$W$21)^(P$16-1)*P$11</f>
        <v>350</v>
      </c>
      <c r="Q19" s="42">
        <f>$E$19*(1+'A&amp;R'!$W$21)^(Q$16-1)*Q$11</f>
        <v>350</v>
      </c>
      <c r="R19" s="42">
        <f>$E$19*(1+'A&amp;R'!$W$21)^(R$16-1)*R$11</f>
        <v>350</v>
      </c>
      <c r="S19" s="42">
        <f>$E$19*(1+'A&amp;R'!$W$21)^(S$16-1)*S$11</f>
        <v>350</v>
      </c>
      <c r="T19" s="42">
        <f>$E$19*(1+'A&amp;R'!$W$21)^(T$16-1)*T$11</f>
        <v>350</v>
      </c>
      <c r="U19" s="42">
        <f>$E$19*(1+'A&amp;R'!$W$21)^(U$16-1)*U$11</f>
        <v>355.24999999999994</v>
      </c>
      <c r="V19" s="42">
        <f>$E$19*(1+'A&amp;R'!$W$21)^(V$16-1)*V$11</f>
        <v>355.24999999999994</v>
      </c>
      <c r="W19" s="42">
        <f>$E$19*(1+'A&amp;R'!$W$21)^(W$16-1)*W$11</f>
        <v>355.24999999999994</v>
      </c>
      <c r="X19" s="42">
        <f>$E$19*(1+'A&amp;R'!$W$21)^(X$16-1)*X$11</f>
        <v>355.24999999999994</v>
      </c>
      <c r="Y19" s="42">
        <f>$E$19*(1+'A&amp;R'!$W$21)^(Y$16-1)*Y$11</f>
        <v>355.24999999999994</v>
      </c>
      <c r="Z19" s="42">
        <f>$E$19*(1+'A&amp;R'!$W$21)^(Z$16-1)*Z$11</f>
        <v>355.24999999999994</v>
      </c>
      <c r="AA19" s="42">
        <f>$E$19*(1+'A&amp;R'!$W$21)^(AA$16-1)*AA$11</f>
        <v>355.24999999999994</v>
      </c>
      <c r="AB19" s="42">
        <f>$E$19*(1+'A&amp;R'!$W$21)^(AB$16-1)*AB$11</f>
        <v>355.24999999999994</v>
      </c>
      <c r="AC19" s="42">
        <f>$E$19*(1+'A&amp;R'!$W$21)^(AC$16-1)*AC$11</f>
        <v>355.24999999999994</v>
      </c>
      <c r="AD19" s="42">
        <f>$E$19*(1+'A&amp;R'!$W$21)^(AD$16-1)*AD$11</f>
        <v>355.24999999999994</v>
      </c>
      <c r="AE19" s="42">
        <f>$E$19*(1+'A&amp;R'!$W$21)^(AE$16-1)*AE$11</f>
        <v>355.24999999999994</v>
      </c>
      <c r="AF19" s="42">
        <f>$E$19*(1+'A&amp;R'!$W$21)^(AF$16-1)*AF$11</f>
        <v>355.24999999999994</v>
      </c>
      <c r="AG19" s="42">
        <f>$E$19*(1+'A&amp;R'!$W$21)^(AG$16-1)*AG$11</f>
        <v>360.5787499999999</v>
      </c>
      <c r="AH19" s="42">
        <f>$E$19*(1+'A&amp;R'!$W$21)^(AH$16-1)*AH$11</f>
        <v>360.5787499999999</v>
      </c>
      <c r="AI19" s="42">
        <f>$E$19*(1+'A&amp;R'!$W$21)^(AI$16-1)*AI$11</f>
        <v>360.5787499999999</v>
      </c>
      <c r="AJ19" s="42">
        <f>$E$19*(1+'A&amp;R'!$W$21)^(AJ$16-1)*AJ$11</f>
        <v>360.5787499999999</v>
      </c>
      <c r="AK19" s="42">
        <f>$E$19*(1+'A&amp;R'!$W$21)^(AK$16-1)*AK$11</f>
        <v>360.5787499999999</v>
      </c>
      <c r="AL19" s="42">
        <f>$E$19*(1+'A&amp;R'!$W$21)^(AL$16-1)*AL$11</f>
        <v>360.5787499999999</v>
      </c>
      <c r="AM19" s="42">
        <f>$E$19*(1+'A&amp;R'!$W$21)^(AM$16-1)*AM$11</f>
        <v>360.5787499999999</v>
      </c>
      <c r="AN19" s="42">
        <f>$E$19*(1+'A&amp;R'!$W$21)^(AN$16-1)*AN$11</f>
        <v>360.5787499999999</v>
      </c>
      <c r="AO19" s="42">
        <f>$E$19*(1+'A&amp;R'!$W$21)^(AO$16-1)*AO$11</f>
        <v>360.5787499999999</v>
      </c>
      <c r="AP19" s="42">
        <f>$E$19*(1+'A&amp;R'!$W$21)^(AP$16-1)*AP$11</f>
        <v>360.5787499999999</v>
      </c>
      <c r="AQ19" s="42">
        <f>$E$19*(1+'A&amp;R'!$W$21)^(AQ$16-1)*AQ$11</f>
        <v>360.5787499999999</v>
      </c>
      <c r="AR19" s="42">
        <f>$E$19*(1+'A&amp;R'!$W$21)^(AR$16-1)*AR$11</f>
        <v>360.5787499999999</v>
      </c>
      <c r="AS19" s="42">
        <f>$E$19*(1+'A&amp;R'!$W$21)^(AS$16-1)*AS$11</f>
        <v>365.98743124999987</v>
      </c>
      <c r="AT19" s="42">
        <f>$E$19*(1+'A&amp;R'!$W$21)^(AT$16-1)*AT$11</f>
        <v>365.98743124999987</v>
      </c>
      <c r="AU19" s="42">
        <f>$E$19*(1+'A&amp;R'!$W$21)^(AU$16-1)*AU$11</f>
        <v>365.98743124999987</v>
      </c>
      <c r="AV19" s="42">
        <f>$E$19*(1+'A&amp;R'!$W$21)^(AV$16-1)*AV$11</f>
        <v>365.98743124999987</v>
      </c>
      <c r="AW19" s="42">
        <f>$E$19*(1+'A&amp;R'!$W$21)^(AW$16-1)*AW$11</f>
        <v>365.98743124999987</v>
      </c>
      <c r="AX19" s="42">
        <f>$E$19*(1+'A&amp;R'!$W$21)^(AX$16-1)*AX$11</f>
        <v>365.98743124999987</v>
      </c>
      <c r="AY19" s="42">
        <f>$E$19*(1+'A&amp;R'!$W$21)^(AY$16-1)*AY$11</f>
        <v>365.98743124999987</v>
      </c>
      <c r="AZ19" s="42">
        <f>$E$19*(1+'A&amp;R'!$W$21)^(AZ$16-1)*AZ$11</f>
        <v>365.98743124999987</v>
      </c>
      <c r="BA19" s="42">
        <f>$E$19*(1+'A&amp;R'!$W$21)^(BA$16-1)*BA$11</f>
        <v>365.98743124999987</v>
      </c>
      <c r="BB19" s="42">
        <f>$E$19*(1+'A&amp;R'!$W$21)^(BB$16-1)*BB$11</f>
        <v>365.98743124999987</v>
      </c>
      <c r="BC19" s="42">
        <f>$E$19*(1+'A&amp;R'!$W$21)^(BC$16-1)*BC$11</f>
        <v>365.98743124999987</v>
      </c>
      <c r="BD19" s="42">
        <f>$E$19*(1+'A&amp;R'!$W$21)^(BD$16-1)*BD$11</f>
        <v>365.98743124999987</v>
      </c>
      <c r="BE19" s="42">
        <f>$E$19*(1+'A&amp;R'!$W$21)^(BE$16-1)*BE$11</f>
        <v>371.47724271874978</v>
      </c>
      <c r="BF19" s="42">
        <f>$E$19*(1+'A&amp;R'!$W$21)^(BF$16-1)*BF$11</f>
        <v>371.47724271874978</v>
      </c>
      <c r="BG19" s="42">
        <f>$E$19*(1+'A&amp;R'!$W$21)^(BG$16-1)*BG$11</f>
        <v>371.47724271874978</v>
      </c>
      <c r="BH19" s="42">
        <f>$E$19*(1+'A&amp;R'!$W$21)^(BH$16-1)*BH$11</f>
        <v>371.47724271874978</v>
      </c>
      <c r="BI19" s="42">
        <f>$E$19*(1+'A&amp;R'!$W$21)^(BI$16-1)*BI$11</f>
        <v>371.47724271874978</v>
      </c>
      <c r="BJ19" s="42">
        <f>$E$19*(1+'A&amp;R'!$W$21)^(BJ$16-1)*BJ$11</f>
        <v>371.47724271874978</v>
      </c>
      <c r="BK19" s="42">
        <f>$E$19*(1+'A&amp;R'!$W$21)^(BK$16-1)*BK$11</f>
        <v>371.47724271874978</v>
      </c>
      <c r="BL19" s="42">
        <f>$E$19*(1+'A&amp;R'!$W$21)^(BL$16-1)*BL$11</f>
        <v>371.47724271874978</v>
      </c>
      <c r="BM19" s="42">
        <f>$E$19*(1+'A&amp;R'!$W$21)^(BM$16-1)*BM$11</f>
        <v>371.47724271874978</v>
      </c>
      <c r="BN19" s="42">
        <f>$E$19*(1+'A&amp;R'!$W$21)^(BN$16-1)*BN$11</f>
        <v>371.47724271874978</v>
      </c>
      <c r="BO19" s="42">
        <f>$E$19*(1+'A&amp;R'!$W$21)^(BO$16-1)*BO$11</f>
        <v>371.47724271874978</v>
      </c>
      <c r="BP19" s="42">
        <f>$E$19*(1+'A&amp;R'!$W$21)^(BP$16-1)*BP$11</f>
        <v>371.47724271874978</v>
      </c>
      <c r="BQ19" s="42">
        <f>$E$19*(1+'A&amp;R'!$W$21)^(BQ$16-1)*BQ$11</f>
        <v>0</v>
      </c>
      <c r="BR19" s="42">
        <f>$E$19*(1+'A&amp;R'!$W$21)^(BR$16-1)*BR$11</f>
        <v>0</v>
      </c>
      <c r="BS19" s="42">
        <f>$E$19*(1+'A&amp;R'!$W$21)^(BS$16-1)*BS$11</f>
        <v>0</v>
      </c>
      <c r="BT19" s="42">
        <f>$E$19*(1+'A&amp;R'!$W$21)^(BT$16-1)*BT$11</f>
        <v>0</v>
      </c>
      <c r="BU19" s="42">
        <f>$E$19*(1+'A&amp;R'!$W$21)^(BU$16-1)*BU$11</f>
        <v>0</v>
      </c>
      <c r="BV19" s="42">
        <f>$E$19*(1+'A&amp;R'!$W$21)^(BV$16-1)*BV$11</f>
        <v>0</v>
      </c>
      <c r="BW19" s="42">
        <f>$E$19*(1+'A&amp;R'!$W$21)^(BW$16-1)*BW$11</f>
        <v>0</v>
      </c>
      <c r="BX19" s="42">
        <f>$E$19*(1+'A&amp;R'!$W$21)^(BX$16-1)*BX$11</f>
        <v>0</v>
      </c>
      <c r="BY19" s="42">
        <f>$E$19*(1+'A&amp;R'!$W$21)^(BY$16-1)*BY$11</f>
        <v>0</v>
      </c>
      <c r="BZ19" s="42">
        <f>$E$19*(1+'A&amp;R'!$W$21)^(BZ$16-1)*BZ$11</f>
        <v>0</v>
      </c>
    </row>
    <row r="20" spans="2:78" ht="13.5" customHeight="1">
      <c r="C20" s="44" t="s">
        <v>228</v>
      </c>
      <c r="D20" s="44"/>
      <c r="E20" s="44"/>
      <c r="F20" s="44">
        <f>SUM(G20:XFD20)</f>
        <v>223.97640069408828</v>
      </c>
      <c r="G20" s="44"/>
      <c r="H20" s="44">
        <f t="shared" ref="H20:AM20" si="15">H18*H19/unit</f>
        <v>0</v>
      </c>
      <c r="I20" s="44">
        <f t="shared" si="15"/>
        <v>3.6226189999999998</v>
      </c>
      <c r="J20" s="44">
        <f t="shared" si="15"/>
        <v>3.6226189999999998</v>
      </c>
      <c r="K20" s="44">
        <f t="shared" si="15"/>
        <v>3.6226189999999998</v>
      </c>
      <c r="L20" s="44">
        <f t="shared" si="15"/>
        <v>3.6226189999999998</v>
      </c>
      <c r="M20" s="44">
        <f t="shared" si="15"/>
        <v>3.6226189999999998</v>
      </c>
      <c r="N20" s="44">
        <f t="shared" si="15"/>
        <v>3.6226189999999998</v>
      </c>
      <c r="O20" s="44">
        <f t="shared" si="15"/>
        <v>3.6226189999999998</v>
      </c>
      <c r="P20" s="44">
        <f t="shared" si="15"/>
        <v>3.6226189999999998</v>
      </c>
      <c r="Q20" s="44">
        <f t="shared" si="15"/>
        <v>3.6226189999999998</v>
      </c>
      <c r="R20" s="44">
        <f t="shared" si="15"/>
        <v>3.6226189999999998</v>
      </c>
      <c r="S20" s="44">
        <f t="shared" si="15"/>
        <v>3.6226189999999998</v>
      </c>
      <c r="T20" s="44">
        <f t="shared" si="15"/>
        <v>3.6226189999999998</v>
      </c>
      <c r="U20" s="44">
        <f t="shared" si="15"/>
        <v>3.6769582849999995</v>
      </c>
      <c r="V20" s="44">
        <f t="shared" si="15"/>
        <v>3.6769582849999995</v>
      </c>
      <c r="W20" s="44">
        <f t="shared" si="15"/>
        <v>3.6769582849999995</v>
      </c>
      <c r="X20" s="44">
        <f t="shared" si="15"/>
        <v>3.6769582849999995</v>
      </c>
      <c r="Y20" s="44">
        <f t="shared" si="15"/>
        <v>3.6769582849999995</v>
      </c>
      <c r="Z20" s="44">
        <f t="shared" si="15"/>
        <v>3.6769582849999995</v>
      </c>
      <c r="AA20" s="44">
        <f t="shared" si="15"/>
        <v>3.6769582849999995</v>
      </c>
      <c r="AB20" s="44">
        <f t="shared" si="15"/>
        <v>3.6769582849999995</v>
      </c>
      <c r="AC20" s="44">
        <f t="shared" si="15"/>
        <v>3.6769582849999995</v>
      </c>
      <c r="AD20" s="44">
        <f t="shared" si="15"/>
        <v>3.6769582849999995</v>
      </c>
      <c r="AE20" s="44">
        <f t="shared" si="15"/>
        <v>3.6769582849999995</v>
      </c>
      <c r="AF20" s="44">
        <f t="shared" si="15"/>
        <v>3.6769582849999995</v>
      </c>
      <c r="AG20" s="44">
        <f t="shared" si="15"/>
        <v>3.7321126592749989</v>
      </c>
      <c r="AH20" s="44">
        <f t="shared" si="15"/>
        <v>3.7321126592749989</v>
      </c>
      <c r="AI20" s="44">
        <f t="shared" si="15"/>
        <v>3.7321126592749989</v>
      </c>
      <c r="AJ20" s="44">
        <f t="shared" si="15"/>
        <v>3.7321126592749989</v>
      </c>
      <c r="AK20" s="44">
        <f t="shared" si="15"/>
        <v>3.7321126592749989</v>
      </c>
      <c r="AL20" s="44">
        <f t="shared" si="15"/>
        <v>3.7321126592749989</v>
      </c>
      <c r="AM20" s="44">
        <f t="shared" si="15"/>
        <v>3.7321126592749989</v>
      </c>
      <c r="AN20" s="44">
        <f t="shared" ref="AN20:BS20" si="16">AN18*AN19/unit</f>
        <v>3.7321126592749989</v>
      </c>
      <c r="AO20" s="44">
        <f t="shared" si="16"/>
        <v>3.7321126592749989</v>
      </c>
      <c r="AP20" s="44">
        <f t="shared" si="16"/>
        <v>3.7321126592749989</v>
      </c>
      <c r="AQ20" s="44">
        <f t="shared" si="16"/>
        <v>3.7321126592749989</v>
      </c>
      <c r="AR20" s="44">
        <f t="shared" si="16"/>
        <v>3.7321126592749989</v>
      </c>
      <c r="AS20" s="44">
        <f t="shared" si="16"/>
        <v>3.7880943491641235</v>
      </c>
      <c r="AT20" s="44">
        <f t="shared" si="16"/>
        <v>3.7880943491641235</v>
      </c>
      <c r="AU20" s="44">
        <f t="shared" si="16"/>
        <v>3.7880943491641235</v>
      </c>
      <c r="AV20" s="44">
        <f t="shared" si="16"/>
        <v>3.7880943491641235</v>
      </c>
      <c r="AW20" s="44">
        <f t="shared" si="16"/>
        <v>3.7880943491641235</v>
      </c>
      <c r="AX20" s="44">
        <f t="shared" si="16"/>
        <v>3.7880943491641235</v>
      </c>
      <c r="AY20" s="44">
        <f t="shared" si="16"/>
        <v>3.7880943491641235</v>
      </c>
      <c r="AZ20" s="44">
        <f t="shared" si="16"/>
        <v>3.7880943491641235</v>
      </c>
      <c r="BA20" s="44">
        <f t="shared" si="16"/>
        <v>3.7880943491641235</v>
      </c>
      <c r="BB20" s="44">
        <f t="shared" si="16"/>
        <v>3.7880943491641235</v>
      </c>
      <c r="BC20" s="44">
        <f t="shared" si="16"/>
        <v>3.7880943491641235</v>
      </c>
      <c r="BD20" s="44">
        <f t="shared" si="16"/>
        <v>3.7880943491641235</v>
      </c>
      <c r="BE20" s="44">
        <f t="shared" si="16"/>
        <v>3.844915764401585</v>
      </c>
      <c r="BF20" s="44">
        <f t="shared" si="16"/>
        <v>3.844915764401585</v>
      </c>
      <c r="BG20" s="44">
        <f t="shared" si="16"/>
        <v>3.844915764401585</v>
      </c>
      <c r="BH20" s="44">
        <f t="shared" si="16"/>
        <v>3.844915764401585</v>
      </c>
      <c r="BI20" s="44">
        <f t="shared" si="16"/>
        <v>3.844915764401585</v>
      </c>
      <c r="BJ20" s="44">
        <f t="shared" si="16"/>
        <v>3.844915764401585</v>
      </c>
      <c r="BK20" s="44">
        <f t="shared" si="16"/>
        <v>3.844915764401585</v>
      </c>
      <c r="BL20" s="44">
        <f t="shared" si="16"/>
        <v>3.844915764401585</v>
      </c>
      <c r="BM20" s="44">
        <f t="shared" si="16"/>
        <v>3.844915764401585</v>
      </c>
      <c r="BN20" s="44">
        <f t="shared" si="16"/>
        <v>3.844915764401585</v>
      </c>
      <c r="BO20" s="44">
        <f t="shared" si="16"/>
        <v>3.844915764401585</v>
      </c>
      <c r="BP20" s="44">
        <f t="shared" si="16"/>
        <v>3.844915764401585</v>
      </c>
      <c r="BQ20" s="44">
        <f t="shared" si="16"/>
        <v>0</v>
      </c>
      <c r="BR20" s="44">
        <f t="shared" si="16"/>
        <v>0</v>
      </c>
      <c r="BS20" s="44">
        <f t="shared" si="16"/>
        <v>0</v>
      </c>
      <c r="BT20" s="44">
        <f t="shared" ref="BT20:BY20" si="17">BT18*BT19/unit</f>
        <v>0</v>
      </c>
      <c r="BU20" s="44">
        <f t="shared" si="17"/>
        <v>0</v>
      </c>
      <c r="BV20" s="44">
        <f t="shared" si="17"/>
        <v>0</v>
      </c>
      <c r="BW20" s="44">
        <f t="shared" si="17"/>
        <v>0</v>
      </c>
      <c r="BX20" s="44">
        <f t="shared" si="17"/>
        <v>0</v>
      </c>
      <c r="BY20" s="44">
        <f t="shared" si="17"/>
        <v>0</v>
      </c>
      <c r="BZ20" s="44">
        <f t="shared" ref="BZ20" si="18">BZ18*BZ19/unit</f>
        <v>0</v>
      </c>
    </row>
    <row r="22" spans="2:78" ht="13.5" customHeight="1">
      <c r="B22" s="13" t="str">
        <f>'A&amp;R'!Q22</f>
        <v>FM용역비</v>
      </c>
    </row>
    <row r="23" spans="2:78" ht="13.5" customHeight="1">
      <c r="C23" s="1" t="s">
        <v>226</v>
      </c>
      <c r="E23" s="129">
        <f>E18</f>
        <v>10350.34</v>
      </c>
      <c r="H23" s="1">
        <f t="shared" ref="H23:AM23" si="19">$E$23*H$11</f>
        <v>0</v>
      </c>
      <c r="I23" s="1">
        <f t="shared" si="19"/>
        <v>10350.34</v>
      </c>
      <c r="J23" s="1">
        <f t="shared" si="19"/>
        <v>10350.34</v>
      </c>
      <c r="K23" s="1">
        <f t="shared" si="19"/>
        <v>10350.34</v>
      </c>
      <c r="L23" s="1">
        <f t="shared" si="19"/>
        <v>10350.34</v>
      </c>
      <c r="M23" s="1">
        <f t="shared" si="19"/>
        <v>10350.34</v>
      </c>
      <c r="N23" s="1">
        <f t="shared" si="19"/>
        <v>10350.34</v>
      </c>
      <c r="O23" s="1">
        <f t="shared" si="19"/>
        <v>10350.34</v>
      </c>
      <c r="P23" s="1">
        <f t="shared" si="19"/>
        <v>10350.34</v>
      </c>
      <c r="Q23" s="1">
        <f t="shared" si="19"/>
        <v>10350.34</v>
      </c>
      <c r="R23" s="1">
        <f t="shared" si="19"/>
        <v>10350.34</v>
      </c>
      <c r="S23" s="1">
        <f t="shared" si="19"/>
        <v>10350.34</v>
      </c>
      <c r="T23" s="1">
        <f t="shared" si="19"/>
        <v>10350.34</v>
      </c>
      <c r="U23" s="1">
        <f t="shared" si="19"/>
        <v>10350.34</v>
      </c>
      <c r="V23" s="1">
        <f t="shared" si="19"/>
        <v>10350.34</v>
      </c>
      <c r="W23" s="1">
        <f t="shared" si="19"/>
        <v>10350.34</v>
      </c>
      <c r="X23" s="1">
        <f t="shared" si="19"/>
        <v>10350.34</v>
      </c>
      <c r="Y23" s="1">
        <f t="shared" si="19"/>
        <v>10350.34</v>
      </c>
      <c r="Z23" s="1">
        <f t="shared" si="19"/>
        <v>10350.34</v>
      </c>
      <c r="AA23" s="1">
        <f t="shared" si="19"/>
        <v>10350.34</v>
      </c>
      <c r="AB23" s="1">
        <f t="shared" si="19"/>
        <v>10350.34</v>
      </c>
      <c r="AC23" s="1">
        <f t="shared" si="19"/>
        <v>10350.34</v>
      </c>
      <c r="AD23" s="1">
        <f t="shared" si="19"/>
        <v>10350.34</v>
      </c>
      <c r="AE23" s="1">
        <f t="shared" si="19"/>
        <v>10350.34</v>
      </c>
      <c r="AF23" s="1">
        <f t="shared" si="19"/>
        <v>10350.34</v>
      </c>
      <c r="AG23" s="1">
        <f t="shared" si="19"/>
        <v>10350.34</v>
      </c>
      <c r="AH23" s="1">
        <f t="shared" si="19"/>
        <v>10350.34</v>
      </c>
      <c r="AI23" s="1">
        <f t="shared" si="19"/>
        <v>10350.34</v>
      </c>
      <c r="AJ23" s="1">
        <f t="shared" si="19"/>
        <v>10350.34</v>
      </c>
      <c r="AK23" s="1">
        <f t="shared" si="19"/>
        <v>10350.34</v>
      </c>
      <c r="AL23" s="1">
        <f t="shared" si="19"/>
        <v>10350.34</v>
      </c>
      <c r="AM23" s="1">
        <f t="shared" si="19"/>
        <v>10350.34</v>
      </c>
      <c r="AN23" s="1">
        <f t="shared" ref="AN23:BS23" si="20">$E$23*AN$11</f>
        <v>10350.34</v>
      </c>
      <c r="AO23" s="1">
        <f t="shared" si="20"/>
        <v>10350.34</v>
      </c>
      <c r="AP23" s="1">
        <f t="shared" si="20"/>
        <v>10350.34</v>
      </c>
      <c r="AQ23" s="1">
        <f t="shared" si="20"/>
        <v>10350.34</v>
      </c>
      <c r="AR23" s="1">
        <f t="shared" si="20"/>
        <v>10350.34</v>
      </c>
      <c r="AS23" s="1">
        <f t="shared" si="20"/>
        <v>10350.34</v>
      </c>
      <c r="AT23" s="1">
        <f t="shared" si="20"/>
        <v>10350.34</v>
      </c>
      <c r="AU23" s="1">
        <f t="shared" si="20"/>
        <v>10350.34</v>
      </c>
      <c r="AV23" s="1">
        <f t="shared" si="20"/>
        <v>10350.34</v>
      </c>
      <c r="AW23" s="1">
        <f t="shared" si="20"/>
        <v>10350.34</v>
      </c>
      <c r="AX23" s="1">
        <f t="shared" si="20"/>
        <v>10350.34</v>
      </c>
      <c r="AY23" s="1">
        <f t="shared" si="20"/>
        <v>10350.34</v>
      </c>
      <c r="AZ23" s="1">
        <f t="shared" si="20"/>
        <v>10350.34</v>
      </c>
      <c r="BA23" s="1">
        <f t="shared" si="20"/>
        <v>10350.34</v>
      </c>
      <c r="BB23" s="1">
        <f t="shared" si="20"/>
        <v>10350.34</v>
      </c>
      <c r="BC23" s="1">
        <f t="shared" si="20"/>
        <v>10350.34</v>
      </c>
      <c r="BD23" s="1">
        <f t="shared" si="20"/>
        <v>10350.34</v>
      </c>
      <c r="BE23" s="1">
        <f t="shared" si="20"/>
        <v>10350.34</v>
      </c>
      <c r="BF23" s="1">
        <f t="shared" si="20"/>
        <v>10350.34</v>
      </c>
      <c r="BG23" s="1">
        <f t="shared" si="20"/>
        <v>10350.34</v>
      </c>
      <c r="BH23" s="1">
        <f t="shared" si="20"/>
        <v>10350.34</v>
      </c>
      <c r="BI23" s="1">
        <f t="shared" si="20"/>
        <v>10350.34</v>
      </c>
      <c r="BJ23" s="1">
        <f t="shared" si="20"/>
        <v>10350.34</v>
      </c>
      <c r="BK23" s="1">
        <f t="shared" si="20"/>
        <v>10350.34</v>
      </c>
      <c r="BL23" s="1">
        <f t="shared" si="20"/>
        <v>10350.34</v>
      </c>
      <c r="BM23" s="1">
        <f t="shared" si="20"/>
        <v>10350.34</v>
      </c>
      <c r="BN23" s="1">
        <f t="shared" si="20"/>
        <v>10350.34</v>
      </c>
      <c r="BO23" s="1">
        <f t="shared" si="20"/>
        <v>10350.34</v>
      </c>
      <c r="BP23" s="1">
        <f t="shared" si="20"/>
        <v>10350.34</v>
      </c>
      <c r="BQ23" s="1">
        <f t="shared" si="20"/>
        <v>0</v>
      </c>
      <c r="BR23" s="1">
        <f t="shared" si="20"/>
        <v>0</v>
      </c>
      <c r="BS23" s="1">
        <f t="shared" si="20"/>
        <v>0</v>
      </c>
      <c r="BT23" s="1">
        <f t="shared" ref="BT23:BZ23" si="21">$E$23*BT$11</f>
        <v>0</v>
      </c>
      <c r="BU23" s="1">
        <f t="shared" si="21"/>
        <v>0</v>
      </c>
      <c r="BV23" s="1">
        <f t="shared" si="21"/>
        <v>0</v>
      </c>
      <c r="BW23" s="1">
        <f t="shared" si="21"/>
        <v>0</v>
      </c>
      <c r="BX23" s="1">
        <f t="shared" si="21"/>
        <v>0</v>
      </c>
      <c r="BY23" s="1">
        <f t="shared" si="21"/>
        <v>0</v>
      </c>
      <c r="BZ23" s="1">
        <f t="shared" si="21"/>
        <v>0</v>
      </c>
    </row>
    <row r="24" spans="2:78" ht="13.5" customHeight="1">
      <c r="C24" s="42" t="s">
        <v>227</v>
      </c>
      <c r="D24" s="42"/>
      <c r="E24" s="130">
        <f>'A&amp;R'!U22</f>
        <v>1800</v>
      </c>
      <c r="F24" s="42"/>
      <c r="G24" s="42"/>
      <c r="H24" s="42">
        <f>$E$24*(1+'A&amp;R'!$W$22)^(H$16-1)*H$11</f>
        <v>0</v>
      </c>
      <c r="I24" s="42">
        <f>$E$24*(1+'A&amp;R'!$W$22)^(I$16-1)*I$11</f>
        <v>1800</v>
      </c>
      <c r="J24" s="42">
        <f>$E$24*(1+'A&amp;R'!$W$22)^(J$16-1)*J$11</f>
        <v>1800</v>
      </c>
      <c r="K24" s="42">
        <f>$E$24*(1+'A&amp;R'!$W$22)^(K$16-1)*K$11</f>
        <v>1800</v>
      </c>
      <c r="L24" s="42">
        <f>$E$24*(1+'A&amp;R'!$W$22)^(L$16-1)*L$11</f>
        <v>1800</v>
      </c>
      <c r="M24" s="42">
        <f>$E$24*(1+'A&amp;R'!$W$22)^(M$16-1)*M$11</f>
        <v>1800</v>
      </c>
      <c r="N24" s="42">
        <f>$E$24*(1+'A&amp;R'!$W$22)^(N$16-1)*N$11</f>
        <v>1800</v>
      </c>
      <c r="O24" s="42">
        <f>$E$24*(1+'A&amp;R'!$W$22)^(O$16-1)*O$11</f>
        <v>1800</v>
      </c>
      <c r="P24" s="42">
        <f>$E$24*(1+'A&amp;R'!$W$22)^(P$16-1)*P$11</f>
        <v>1800</v>
      </c>
      <c r="Q24" s="42">
        <f>$E$24*(1+'A&amp;R'!$W$22)^(Q$16-1)*Q$11</f>
        <v>1800</v>
      </c>
      <c r="R24" s="42">
        <f>$E$24*(1+'A&amp;R'!$W$22)^(R$16-1)*R$11</f>
        <v>1800</v>
      </c>
      <c r="S24" s="42">
        <f>$E$24*(1+'A&amp;R'!$W$22)^(S$16-1)*S$11</f>
        <v>1800</v>
      </c>
      <c r="T24" s="42">
        <f>$E$24*(1+'A&amp;R'!$W$22)^(T$16-1)*T$11</f>
        <v>1800</v>
      </c>
      <c r="U24" s="42">
        <f>$E$24*(1+'A&amp;R'!$W$22)^(U$16-1)*U$11</f>
        <v>1826.9999999999998</v>
      </c>
      <c r="V24" s="42">
        <f>$E$24*(1+'A&amp;R'!$W$22)^(V$16-1)*V$11</f>
        <v>1826.9999999999998</v>
      </c>
      <c r="W24" s="42">
        <f>$E$24*(1+'A&amp;R'!$W$22)^(W$16-1)*W$11</f>
        <v>1826.9999999999998</v>
      </c>
      <c r="X24" s="42">
        <f>$E$24*(1+'A&amp;R'!$W$22)^(X$16-1)*X$11</f>
        <v>1826.9999999999998</v>
      </c>
      <c r="Y24" s="42">
        <f>$E$24*(1+'A&amp;R'!$W$22)^(Y$16-1)*Y$11</f>
        <v>1826.9999999999998</v>
      </c>
      <c r="Z24" s="42">
        <f>$E$24*(1+'A&amp;R'!$W$22)^(Z$16-1)*Z$11</f>
        <v>1826.9999999999998</v>
      </c>
      <c r="AA24" s="42">
        <f>$E$24*(1+'A&amp;R'!$W$22)^(AA$16-1)*AA$11</f>
        <v>1826.9999999999998</v>
      </c>
      <c r="AB24" s="42">
        <f>$E$24*(1+'A&amp;R'!$W$22)^(AB$16-1)*AB$11</f>
        <v>1826.9999999999998</v>
      </c>
      <c r="AC24" s="42">
        <f>$E$24*(1+'A&amp;R'!$W$22)^(AC$16-1)*AC$11</f>
        <v>1826.9999999999998</v>
      </c>
      <c r="AD24" s="42">
        <f>$E$24*(1+'A&amp;R'!$W$22)^(AD$16-1)*AD$11</f>
        <v>1826.9999999999998</v>
      </c>
      <c r="AE24" s="42">
        <f>$E$24*(1+'A&amp;R'!$W$22)^(AE$16-1)*AE$11</f>
        <v>1826.9999999999998</v>
      </c>
      <c r="AF24" s="42">
        <f>$E$24*(1+'A&amp;R'!$W$22)^(AF$16-1)*AF$11</f>
        <v>1826.9999999999998</v>
      </c>
      <c r="AG24" s="42">
        <f>$E$24*(1+'A&amp;R'!$W$22)^(AG$16-1)*AG$11</f>
        <v>1854.4049999999995</v>
      </c>
      <c r="AH24" s="42">
        <f>$E$24*(1+'A&amp;R'!$W$22)^(AH$16-1)*AH$11</f>
        <v>1854.4049999999995</v>
      </c>
      <c r="AI24" s="42">
        <f>$E$24*(1+'A&amp;R'!$W$22)^(AI$16-1)*AI$11</f>
        <v>1854.4049999999995</v>
      </c>
      <c r="AJ24" s="42">
        <f>$E$24*(1+'A&amp;R'!$W$22)^(AJ$16-1)*AJ$11</f>
        <v>1854.4049999999995</v>
      </c>
      <c r="AK24" s="42">
        <f>$E$24*(1+'A&amp;R'!$W$22)^(AK$16-1)*AK$11</f>
        <v>1854.4049999999995</v>
      </c>
      <c r="AL24" s="42">
        <f>$E$24*(1+'A&amp;R'!$W$22)^(AL$16-1)*AL$11</f>
        <v>1854.4049999999995</v>
      </c>
      <c r="AM24" s="42">
        <f>$E$24*(1+'A&amp;R'!$W$22)^(AM$16-1)*AM$11</f>
        <v>1854.4049999999995</v>
      </c>
      <c r="AN24" s="42">
        <f>$E$24*(1+'A&amp;R'!$W$22)^(AN$16-1)*AN$11</f>
        <v>1854.4049999999995</v>
      </c>
      <c r="AO24" s="42">
        <f>$E$24*(1+'A&amp;R'!$W$22)^(AO$16-1)*AO$11</f>
        <v>1854.4049999999995</v>
      </c>
      <c r="AP24" s="42">
        <f>$E$24*(1+'A&amp;R'!$W$22)^(AP$16-1)*AP$11</f>
        <v>1854.4049999999995</v>
      </c>
      <c r="AQ24" s="42">
        <f>$E$24*(1+'A&amp;R'!$W$22)^(AQ$16-1)*AQ$11</f>
        <v>1854.4049999999995</v>
      </c>
      <c r="AR24" s="42">
        <f>$E$24*(1+'A&amp;R'!$W$22)^(AR$16-1)*AR$11</f>
        <v>1854.4049999999995</v>
      </c>
      <c r="AS24" s="42">
        <f>$E$24*(1+'A&amp;R'!$W$22)^(AS$16-1)*AS$11</f>
        <v>1882.2210749999992</v>
      </c>
      <c r="AT24" s="42">
        <f>$E$24*(1+'A&amp;R'!$W$22)^(AT$16-1)*AT$11</f>
        <v>1882.2210749999992</v>
      </c>
      <c r="AU24" s="42">
        <f>$E$24*(1+'A&amp;R'!$W$22)^(AU$16-1)*AU$11</f>
        <v>1882.2210749999992</v>
      </c>
      <c r="AV24" s="42">
        <f>$E$24*(1+'A&amp;R'!$W$22)^(AV$16-1)*AV$11</f>
        <v>1882.2210749999992</v>
      </c>
      <c r="AW24" s="42">
        <f>$E$24*(1+'A&amp;R'!$W$22)^(AW$16-1)*AW$11</f>
        <v>1882.2210749999992</v>
      </c>
      <c r="AX24" s="42">
        <f>$E$24*(1+'A&amp;R'!$W$22)^(AX$16-1)*AX$11</f>
        <v>1882.2210749999992</v>
      </c>
      <c r="AY24" s="42">
        <f>$E$24*(1+'A&amp;R'!$W$22)^(AY$16-1)*AY$11</f>
        <v>1882.2210749999992</v>
      </c>
      <c r="AZ24" s="42">
        <f>$E$24*(1+'A&amp;R'!$W$22)^(AZ$16-1)*AZ$11</f>
        <v>1882.2210749999992</v>
      </c>
      <c r="BA24" s="42">
        <f>$E$24*(1+'A&amp;R'!$W$22)^(BA$16-1)*BA$11</f>
        <v>1882.2210749999992</v>
      </c>
      <c r="BB24" s="42">
        <f>$E$24*(1+'A&amp;R'!$W$22)^(BB$16-1)*BB$11</f>
        <v>1882.2210749999992</v>
      </c>
      <c r="BC24" s="42">
        <f>$E$24*(1+'A&amp;R'!$W$22)^(BC$16-1)*BC$11</f>
        <v>1882.2210749999992</v>
      </c>
      <c r="BD24" s="42">
        <f>$E$24*(1+'A&amp;R'!$W$22)^(BD$16-1)*BD$11</f>
        <v>1882.2210749999992</v>
      </c>
      <c r="BE24" s="42">
        <f>$E$24*(1+'A&amp;R'!$W$22)^(BE$16-1)*BE$11</f>
        <v>1910.4543911249989</v>
      </c>
      <c r="BF24" s="42">
        <f>$E$24*(1+'A&amp;R'!$W$22)^(BF$16-1)*BF$11</f>
        <v>1910.4543911249989</v>
      </c>
      <c r="BG24" s="42">
        <f>$E$24*(1+'A&amp;R'!$W$22)^(BG$16-1)*BG$11</f>
        <v>1910.4543911249989</v>
      </c>
      <c r="BH24" s="42">
        <f>$E$24*(1+'A&amp;R'!$W$22)^(BH$16-1)*BH$11</f>
        <v>1910.4543911249989</v>
      </c>
      <c r="BI24" s="42">
        <f>$E$24*(1+'A&amp;R'!$W$22)^(BI$16-1)*BI$11</f>
        <v>1910.4543911249989</v>
      </c>
      <c r="BJ24" s="42">
        <f>$E$24*(1+'A&amp;R'!$W$22)^(BJ$16-1)*BJ$11</f>
        <v>1910.4543911249989</v>
      </c>
      <c r="BK24" s="42">
        <f>$E$24*(1+'A&amp;R'!$W$22)^(BK$16-1)*BK$11</f>
        <v>1910.4543911249989</v>
      </c>
      <c r="BL24" s="42">
        <f>$E$24*(1+'A&amp;R'!$W$22)^(BL$16-1)*BL$11</f>
        <v>1910.4543911249989</v>
      </c>
      <c r="BM24" s="42">
        <f>$E$24*(1+'A&amp;R'!$W$22)^(BM$16-1)*BM$11</f>
        <v>1910.4543911249989</v>
      </c>
      <c r="BN24" s="42">
        <f>$E$24*(1+'A&amp;R'!$W$22)^(BN$16-1)*BN$11</f>
        <v>1910.4543911249989</v>
      </c>
      <c r="BO24" s="42">
        <f>$E$24*(1+'A&amp;R'!$W$22)^(BO$16-1)*BO$11</f>
        <v>1910.4543911249989</v>
      </c>
      <c r="BP24" s="42">
        <f>$E$24*(1+'A&amp;R'!$W$22)^(BP$16-1)*BP$11</f>
        <v>1910.4543911249989</v>
      </c>
      <c r="BQ24" s="42">
        <f>$E$24*(1+'A&amp;R'!$W$22)^(BQ$16-1)*BQ$11</f>
        <v>0</v>
      </c>
      <c r="BR24" s="42">
        <f>$E$24*(1+'A&amp;R'!$W$22)^(BR$16-1)*BR$11</f>
        <v>0</v>
      </c>
      <c r="BS24" s="42">
        <f>$E$24*(1+'A&amp;R'!$W$22)^(BS$16-1)*BS$11</f>
        <v>0</v>
      </c>
      <c r="BT24" s="42">
        <f>$E$24*(1+'A&amp;R'!$W$22)^(BT$16-1)*BT$11</f>
        <v>0</v>
      </c>
      <c r="BU24" s="42">
        <f>$E$24*(1+'A&amp;R'!$W$22)^(BU$16-1)*BU$11</f>
        <v>0</v>
      </c>
      <c r="BV24" s="42">
        <f>$E$24*(1+'A&amp;R'!$W$22)^(BV$16-1)*BV$11</f>
        <v>0</v>
      </c>
      <c r="BW24" s="42">
        <f>$E$24*(1+'A&amp;R'!$W$22)^(BW$16-1)*BW$11</f>
        <v>0</v>
      </c>
      <c r="BX24" s="42">
        <f>$E$24*(1+'A&amp;R'!$W$22)^(BX$16-1)*BX$11</f>
        <v>0</v>
      </c>
      <c r="BY24" s="42">
        <f>$E$24*(1+'A&amp;R'!$W$22)^(BY$16-1)*BY$11</f>
        <v>0</v>
      </c>
      <c r="BZ24" s="42">
        <f>$E$24*(1+'A&amp;R'!$W$22)^(BZ$16-1)*BZ$11</f>
        <v>0</v>
      </c>
    </row>
    <row r="25" spans="2:78" ht="13.5" customHeight="1">
      <c r="C25" s="44" t="s">
        <v>231</v>
      </c>
      <c r="D25" s="44"/>
      <c r="E25" s="44"/>
      <c r="F25" s="44">
        <f>SUM(G25:XFD25)</f>
        <v>1151.8786321410264</v>
      </c>
      <c r="G25" s="44"/>
      <c r="H25" s="44">
        <f t="shared" ref="H25:AM25" si="22">H23*H24/unit</f>
        <v>0</v>
      </c>
      <c r="I25" s="44">
        <f t="shared" si="22"/>
        <v>18.630611999999999</v>
      </c>
      <c r="J25" s="44">
        <f t="shared" si="22"/>
        <v>18.630611999999999</v>
      </c>
      <c r="K25" s="44">
        <f t="shared" si="22"/>
        <v>18.630611999999999</v>
      </c>
      <c r="L25" s="44">
        <f t="shared" si="22"/>
        <v>18.630611999999999</v>
      </c>
      <c r="M25" s="44">
        <f t="shared" si="22"/>
        <v>18.630611999999999</v>
      </c>
      <c r="N25" s="44">
        <f t="shared" si="22"/>
        <v>18.630611999999999</v>
      </c>
      <c r="O25" s="44">
        <f t="shared" si="22"/>
        <v>18.630611999999999</v>
      </c>
      <c r="P25" s="44">
        <f t="shared" si="22"/>
        <v>18.630611999999999</v>
      </c>
      <c r="Q25" s="44">
        <f t="shared" si="22"/>
        <v>18.630611999999999</v>
      </c>
      <c r="R25" s="44">
        <f t="shared" si="22"/>
        <v>18.630611999999999</v>
      </c>
      <c r="S25" s="44">
        <f t="shared" si="22"/>
        <v>18.630611999999999</v>
      </c>
      <c r="T25" s="44">
        <f t="shared" si="22"/>
        <v>18.630611999999999</v>
      </c>
      <c r="U25" s="44">
        <f t="shared" si="22"/>
        <v>18.910071179999999</v>
      </c>
      <c r="V25" s="44">
        <f t="shared" si="22"/>
        <v>18.910071179999999</v>
      </c>
      <c r="W25" s="44">
        <f t="shared" si="22"/>
        <v>18.910071179999999</v>
      </c>
      <c r="X25" s="44">
        <f t="shared" si="22"/>
        <v>18.910071179999999</v>
      </c>
      <c r="Y25" s="44">
        <f t="shared" si="22"/>
        <v>18.910071179999999</v>
      </c>
      <c r="Z25" s="44">
        <f t="shared" si="22"/>
        <v>18.910071179999999</v>
      </c>
      <c r="AA25" s="44">
        <f t="shared" si="22"/>
        <v>18.910071179999999</v>
      </c>
      <c r="AB25" s="44">
        <f t="shared" si="22"/>
        <v>18.910071179999999</v>
      </c>
      <c r="AC25" s="44">
        <f t="shared" si="22"/>
        <v>18.910071179999999</v>
      </c>
      <c r="AD25" s="44">
        <f t="shared" si="22"/>
        <v>18.910071179999999</v>
      </c>
      <c r="AE25" s="44">
        <f t="shared" si="22"/>
        <v>18.910071179999999</v>
      </c>
      <c r="AF25" s="44">
        <f t="shared" si="22"/>
        <v>18.910071179999999</v>
      </c>
      <c r="AG25" s="44">
        <f t="shared" si="22"/>
        <v>19.193722247699995</v>
      </c>
      <c r="AH25" s="44">
        <f t="shared" si="22"/>
        <v>19.193722247699995</v>
      </c>
      <c r="AI25" s="44">
        <f t="shared" si="22"/>
        <v>19.193722247699995</v>
      </c>
      <c r="AJ25" s="44">
        <f t="shared" si="22"/>
        <v>19.193722247699995</v>
      </c>
      <c r="AK25" s="44">
        <f t="shared" si="22"/>
        <v>19.193722247699995</v>
      </c>
      <c r="AL25" s="44">
        <f t="shared" si="22"/>
        <v>19.193722247699995</v>
      </c>
      <c r="AM25" s="44">
        <f t="shared" si="22"/>
        <v>19.193722247699995</v>
      </c>
      <c r="AN25" s="44">
        <f t="shared" ref="AN25:BS25" si="23">AN23*AN24/unit</f>
        <v>19.193722247699995</v>
      </c>
      <c r="AO25" s="44">
        <f t="shared" si="23"/>
        <v>19.193722247699995</v>
      </c>
      <c r="AP25" s="44">
        <f t="shared" si="23"/>
        <v>19.193722247699995</v>
      </c>
      <c r="AQ25" s="44">
        <f t="shared" si="23"/>
        <v>19.193722247699995</v>
      </c>
      <c r="AR25" s="44">
        <f t="shared" si="23"/>
        <v>19.193722247699995</v>
      </c>
      <c r="AS25" s="44">
        <f t="shared" si="23"/>
        <v>19.481628081415494</v>
      </c>
      <c r="AT25" s="44">
        <f t="shared" si="23"/>
        <v>19.481628081415494</v>
      </c>
      <c r="AU25" s="44">
        <f t="shared" si="23"/>
        <v>19.481628081415494</v>
      </c>
      <c r="AV25" s="44">
        <f t="shared" si="23"/>
        <v>19.481628081415494</v>
      </c>
      <c r="AW25" s="44">
        <f t="shared" si="23"/>
        <v>19.481628081415494</v>
      </c>
      <c r="AX25" s="44">
        <f t="shared" si="23"/>
        <v>19.481628081415494</v>
      </c>
      <c r="AY25" s="44">
        <f t="shared" si="23"/>
        <v>19.481628081415494</v>
      </c>
      <c r="AZ25" s="44">
        <f t="shared" si="23"/>
        <v>19.481628081415494</v>
      </c>
      <c r="BA25" s="44">
        <f t="shared" si="23"/>
        <v>19.481628081415494</v>
      </c>
      <c r="BB25" s="44">
        <f t="shared" si="23"/>
        <v>19.481628081415494</v>
      </c>
      <c r="BC25" s="44">
        <f t="shared" si="23"/>
        <v>19.481628081415494</v>
      </c>
      <c r="BD25" s="44">
        <f t="shared" si="23"/>
        <v>19.481628081415494</v>
      </c>
      <c r="BE25" s="44">
        <f t="shared" si="23"/>
        <v>19.773852502636718</v>
      </c>
      <c r="BF25" s="44">
        <f t="shared" si="23"/>
        <v>19.773852502636718</v>
      </c>
      <c r="BG25" s="44">
        <f t="shared" si="23"/>
        <v>19.773852502636718</v>
      </c>
      <c r="BH25" s="44">
        <f t="shared" si="23"/>
        <v>19.773852502636718</v>
      </c>
      <c r="BI25" s="44">
        <f t="shared" si="23"/>
        <v>19.773852502636718</v>
      </c>
      <c r="BJ25" s="44">
        <f t="shared" si="23"/>
        <v>19.773852502636718</v>
      </c>
      <c r="BK25" s="44">
        <f t="shared" si="23"/>
        <v>19.773852502636718</v>
      </c>
      <c r="BL25" s="44">
        <f t="shared" si="23"/>
        <v>19.773852502636718</v>
      </c>
      <c r="BM25" s="44">
        <f t="shared" si="23"/>
        <v>19.773852502636718</v>
      </c>
      <c r="BN25" s="44">
        <f t="shared" si="23"/>
        <v>19.773852502636718</v>
      </c>
      <c r="BO25" s="44">
        <f t="shared" si="23"/>
        <v>19.773852502636718</v>
      </c>
      <c r="BP25" s="44">
        <f t="shared" si="23"/>
        <v>19.773852502636718</v>
      </c>
      <c r="BQ25" s="44">
        <f t="shared" si="23"/>
        <v>0</v>
      </c>
      <c r="BR25" s="44">
        <f t="shared" si="23"/>
        <v>0</v>
      </c>
      <c r="BS25" s="44">
        <f t="shared" si="23"/>
        <v>0</v>
      </c>
      <c r="BT25" s="44">
        <f t="shared" ref="BT25:BY25" si="24">BT23*BT24/unit</f>
        <v>0</v>
      </c>
      <c r="BU25" s="44">
        <f t="shared" si="24"/>
        <v>0</v>
      </c>
      <c r="BV25" s="44">
        <f t="shared" si="24"/>
        <v>0</v>
      </c>
      <c r="BW25" s="44">
        <f t="shared" si="24"/>
        <v>0</v>
      </c>
      <c r="BX25" s="44">
        <f t="shared" si="24"/>
        <v>0</v>
      </c>
      <c r="BY25" s="44">
        <f t="shared" si="24"/>
        <v>0</v>
      </c>
      <c r="BZ25" s="44">
        <f t="shared" ref="BZ25" si="25">BZ23*BZ24/unit</f>
        <v>0</v>
      </c>
    </row>
    <row r="27" spans="2:78" ht="13.5" customHeight="1">
      <c r="B27" s="13" t="str">
        <f>'A&amp;R'!Q23</f>
        <v>LM수수료</v>
      </c>
    </row>
    <row r="28" spans="2:78" ht="13.5" customHeight="1">
      <c r="C28" s="131" t="s">
        <v>54</v>
      </c>
      <c r="D28" s="26" t="s">
        <v>77</v>
      </c>
      <c r="E28" s="26" t="s">
        <v>206</v>
      </c>
      <c r="F28" s="27" t="s">
        <v>229</v>
      </c>
    </row>
    <row r="29" spans="2:78" ht="13.5" customHeight="1">
      <c r="C29" s="28" t="str">
        <f>'A&amp;R'!Q12</f>
        <v>지상3층</v>
      </c>
      <c r="D29" s="29">
        <f ca="1">'A&amp;R'!AB12</f>
        <v>42.174999999999997</v>
      </c>
      <c r="E29" s="29">
        <f ca="1">IF(F29&lt;exit,D29*'A&amp;R'!$V$23,0)</f>
        <v>63.262499999999996</v>
      </c>
      <c r="F29" s="132">
        <f>EOMONTH('A&amp;R'!H36,'A&amp;R'!T12+1)</f>
        <v>45230</v>
      </c>
      <c r="H29" s="1">
        <f ca="1">(H$14=$F29)*$E29</f>
        <v>0</v>
      </c>
      <c r="I29" s="1">
        <f t="shared" ref="I29:BT30" ca="1" si="26">(I$14=$F29)*$E29</f>
        <v>0</v>
      </c>
      <c r="J29" s="1">
        <f t="shared" ca="1" si="26"/>
        <v>0</v>
      </c>
      <c r="K29" s="1">
        <f t="shared" ca="1" si="26"/>
        <v>0</v>
      </c>
      <c r="L29" s="1">
        <f t="shared" ca="1" si="26"/>
        <v>0</v>
      </c>
      <c r="M29" s="1">
        <f t="shared" ca="1" si="26"/>
        <v>0</v>
      </c>
      <c r="N29" s="1">
        <f t="shared" ca="1" si="26"/>
        <v>0</v>
      </c>
      <c r="O29" s="1">
        <f t="shared" ca="1" si="26"/>
        <v>0</v>
      </c>
      <c r="P29" s="1">
        <f t="shared" ca="1" si="26"/>
        <v>0</v>
      </c>
      <c r="Q29" s="1">
        <f t="shared" ca="1" si="26"/>
        <v>0</v>
      </c>
      <c r="R29" s="1">
        <f t="shared" ca="1" si="26"/>
        <v>0</v>
      </c>
      <c r="S29" s="1">
        <f t="shared" ca="1" si="26"/>
        <v>0</v>
      </c>
      <c r="T29" s="1">
        <f t="shared" ca="1" si="26"/>
        <v>0</v>
      </c>
      <c r="U29" s="1">
        <f t="shared" ca="1" si="26"/>
        <v>0</v>
      </c>
      <c r="V29" s="1">
        <f t="shared" ca="1" si="26"/>
        <v>0</v>
      </c>
      <c r="W29" s="1">
        <f t="shared" ca="1" si="26"/>
        <v>0</v>
      </c>
      <c r="X29" s="1">
        <f t="shared" ca="1" si="26"/>
        <v>0</v>
      </c>
      <c r="Y29" s="1">
        <f t="shared" ca="1" si="26"/>
        <v>0</v>
      </c>
      <c r="Z29" s="1">
        <f t="shared" ca="1" si="26"/>
        <v>0</v>
      </c>
      <c r="AA29" s="1">
        <f t="shared" ca="1" si="26"/>
        <v>0</v>
      </c>
      <c r="AB29" s="1">
        <f t="shared" ca="1" si="26"/>
        <v>0</v>
      </c>
      <c r="AC29" s="1">
        <f t="shared" ca="1" si="26"/>
        <v>0</v>
      </c>
      <c r="AD29" s="1">
        <f t="shared" ca="1" si="26"/>
        <v>0</v>
      </c>
      <c r="AE29" s="1">
        <f t="shared" ca="1" si="26"/>
        <v>0</v>
      </c>
      <c r="AF29" s="1">
        <f t="shared" ca="1" si="26"/>
        <v>0</v>
      </c>
      <c r="AG29" s="1">
        <f t="shared" ca="1" si="26"/>
        <v>0</v>
      </c>
      <c r="AH29" s="1">
        <f t="shared" ca="1" si="26"/>
        <v>0</v>
      </c>
      <c r="AI29" s="1">
        <f t="shared" ca="1" si="26"/>
        <v>0</v>
      </c>
      <c r="AJ29" s="1">
        <f t="shared" ca="1" si="26"/>
        <v>0</v>
      </c>
      <c r="AK29" s="1">
        <f t="shared" ca="1" si="26"/>
        <v>0</v>
      </c>
      <c r="AL29" s="1">
        <f t="shared" ca="1" si="26"/>
        <v>0</v>
      </c>
      <c r="AM29" s="1">
        <f t="shared" ca="1" si="26"/>
        <v>63.262499999999996</v>
      </c>
      <c r="AN29" s="1">
        <f t="shared" ca="1" si="26"/>
        <v>0</v>
      </c>
      <c r="AO29" s="1">
        <f t="shared" ca="1" si="26"/>
        <v>0</v>
      </c>
      <c r="AP29" s="1">
        <f t="shared" ca="1" si="26"/>
        <v>0</v>
      </c>
      <c r="AQ29" s="1">
        <f t="shared" ca="1" si="26"/>
        <v>0</v>
      </c>
      <c r="AR29" s="1">
        <f t="shared" ca="1" si="26"/>
        <v>0</v>
      </c>
      <c r="AS29" s="1">
        <f t="shared" ca="1" si="26"/>
        <v>0</v>
      </c>
      <c r="AT29" s="1">
        <f t="shared" ca="1" si="26"/>
        <v>0</v>
      </c>
      <c r="AU29" s="1">
        <f t="shared" ca="1" si="26"/>
        <v>0</v>
      </c>
      <c r="AV29" s="1">
        <f t="shared" ca="1" si="26"/>
        <v>0</v>
      </c>
      <c r="AW29" s="1">
        <f t="shared" ca="1" si="26"/>
        <v>0</v>
      </c>
      <c r="AX29" s="1">
        <f t="shared" ca="1" si="26"/>
        <v>0</v>
      </c>
      <c r="AY29" s="1">
        <f t="shared" ca="1" si="26"/>
        <v>0</v>
      </c>
      <c r="AZ29" s="1">
        <f t="shared" ca="1" si="26"/>
        <v>0</v>
      </c>
      <c r="BA29" s="1">
        <f t="shared" ca="1" si="26"/>
        <v>0</v>
      </c>
      <c r="BB29" s="1">
        <f t="shared" ca="1" si="26"/>
        <v>0</v>
      </c>
      <c r="BC29" s="1">
        <f t="shared" ca="1" si="26"/>
        <v>0</v>
      </c>
      <c r="BD29" s="1">
        <f t="shared" ca="1" si="26"/>
        <v>0</v>
      </c>
      <c r="BE29" s="1">
        <f t="shared" ca="1" si="26"/>
        <v>0</v>
      </c>
      <c r="BF29" s="1">
        <f t="shared" ca="1" si="26"/>
        <v>0</v>
      </c>
      <c r="BG29" s="1">
        <f t="shared" ca="1" si="26"/>
        <v>0</v>
      </c>
      <c r="BH29" s="1">
        <f t="shared" ca="1" si="26"/>
        <v>0</v>
      </c>
      <c r="BI29" s="1">
        <f t="shared" ca="1" si="26"/>
        <v>0</v>
      </c>
      <c r="BJ29" s="1">
        <f t="shared" ca="1" si="26"/>
        <v>0</v>
      </c>
      <c r="BK29" s="1">
        <f t="shared" ca="1" si="26"/>
        <v>0</v>
      </c>
      <c r="BL29" s="1">
        <f t="shared" ca="1" si="26"/>
        <v>0</v>
      </c>
      <c r="BM29" s="1">
        <f t="shared" ca="1" si="26"/>
        <v>0</v>
      </c>
      <c r="BN29" s="1">
        <f t="shared" ca="1" si="26"/>
        <v>0</v>
      </c>
      <c r="BO29" s="1">
        <f t="shared" ca="1" si="26"/>
        <v>0</v>
      </c>
      <c r="BP29" s="1">
        <f t="shared" ca="1" si="26"/>
        <v>0</v>
      </c>
      <c r="BQ29" s="1">
        <f t="shared" ca="1" si="26"/>
        <v>0</v>
      </c>
      <c r="BR29" s="1">
        <f t="shared" ca="1" si="26"/>
        <v>0</v>
      </c>
      <c r="BS29" s="1">
        <f t="shared" ca="1" si="26"/>
        <v>0</v>
      </c>
      <c r="BT29" s="1">
        <f t="shared" ca="1" si="26"/>
        <v>0</v>
      </c>
      <c r="BU29" s="1">
        <f t="shared" ref="BU29:BZ33" ca="1" si="27">(BU$14=$F29)*$E29</f>
        <v>0</v>
      </c>
      <c r="BV29" s="1">
        <f t="shared" ca="1" si="27"/>
        <v>0</v>
      </c>
      <c r="BW29" s="1">
        <f t="shared" ca="1" si="27"/>
        <v>0</v>
      </c>
      <c r="BX29" s="1">
        <f t="shared" ca="1" si="27"/>
        <v>0</v>
      </c>
      <c r="BY29" s="1">
        <f t="shared" ca="1" si="27"/>
        <v>0</v>
      </c>
      <c r="BZ29" s="1">
        <f t="shared" ca="1" si="27"/>
        <v>0</v>
      </c>
    </row>
    <row r="30" spans="2:78" ht="13.5" customHeight="1">
      <c r="C30" s="31" t="str">
        <f>'A&amp;R'!Q13</f>
        <v>지상2층</v>
      </c>
      <c r="D30" s="32">
        <f ca="1">'A&amp;R'!AB13</f>
        <v>6.7439999999999998</v>
      </c>
      <c r="E30" s="32">
        <f ca="1">IF(F30&lt;exit,D30*'A&amp;R'!$V$23,0)</f>
        <v>10.116</v>
      </c>
      <c r="F30" s="133">
        <f>EOMONTH('A&amp;R'!H37,'A&amp;R'!T13+1)</f>
        <v>45230</v>
      </c>
      <c r="H30" s="1">
        <f t="shared" ref="H30:W33" ca="1" si="28">(H$14=$F30)*$E30</f>
        <v>0</v>
      </c>
      <c r="I30" s="1">
        <f t="shared" ca="1" si="28"/>
        <v>0</v>
      </c>
      <c r="J30" s="1">
        <f t="shared" ca="1" si="28"/>
        <v>0</v>
      </c>
      <c r="K30" s="1">
        <f t="shared" ca="1" si="28"/>
        <v>0</v>
      </c>
      <c r="L30" s="1">
        <f t="shared" ca="1" si="28"/>
        <v>0</v>
      </c>
      <c r="M30" s="1">
        <f t="shared" ca="1" si="28"/>
        <v>0</v>
      </c>
      <c r="N30" s="1">
        <f t="shared" ca="1" si="28"/>
        <v>0</v>
      </c>
      <c r="O30" s="1">
        <f t="shared" ca="1" si="28"/>
        <v>0</v>
      </c>
      <c r="P30" s="1">
        <f t="shared" ca="1" si="28"/>
        <v>0</v>
      </c>
      <c r="Q30" s="1">
        <f t="shared" ca="1" si="28"/>
        <v>0</v>
      </c>
      <c r="R30" s="1">
        <f t="shared" ca="1" si="28"/>
        <v>0</v>
      </c>
      <c r="S30" s="1">
        <f t="shared" ca="1" si="28"/>
        <v>0</v>
      </c>
      <c r="T30" s="1">
        <f t="shared" ca="1" si="28"/>
        <v>0</v>
      </c>
      <c r="U30" s="1">
        <f t="shared" ca="1" si="28"/>
        <v>0</v>
      </c>
      <c r="V30" s="1">
        <f t="shared" ca="1" si="28"/>
        <v>0</v>
      </c>
      <c r="W30" s="1">
        <f t="shared" ca="1" si="28"/>
        <v>0</v>
      </c>
      <c r="X30" s="1">
        <f t="shared" ca="1" si="26"/>
        <v>0</v>
      </c>
      <c r="Y30" s="1">
        <f t="shared" ca="1" si="26"/>
        <v>0</v>
      </c>
      <c r="Z30" s="1">
        <f t="shared" ca="1" si="26"/>
        <v>0</v>
      </c>
      <c r="AA30" s="1">
        <f t="shared" ca="1" si="26"/>
        <v>0</v>
      </c>
      <c r="AB30" s="1">
        <f t="shared" ca="1" si="26"/>
        <v>0</v>
      </c>
      <c r="AC30" s="1">
        <f t="shared" ca="1" si="26"/>
        <v>0</v>
      </c>
      <c r="AD30" s="1">
        <f t="shared" ca="1" si="26"/>
        <v>0</v>
      </c>
      <c r="AE30" s="1">
        <f t="shared" ca="1" si="26"/>
        <v>0</v>
      </c>
      <c r="AF30" s="1">
        <f t="shared" ca="1" si="26"/>
        <v>0</v>
      </c>
      <c r="AG30" s="1">
        <f t="shared" ca="1" si="26"/>
        <v>0</v>
      </c>
      <c r="AH30" s="1">
        <f t="shared" ca="1" si="26"/>
        <v>0</v>
      </c>
      <c r="AI30" s="1">
        <f t="shared" ca="1" si="26"/>
        <v>0</v>
      </c>
      <c r="AJ30" s="1">
        <f t="shared" ca="1" si="26"/>
        <v>0</v>
      </c>
      <c r="AK30" s="1">
        <f t="shared" ca="1" si="26"/>
        <v>0</v>
      </c>
      <c r="AL30" s="1">
        <f t="shared" ca="1" si="26"/>
        <v>0</v>
      </c>
      <c r="AM30" s="1">
        <f t="shared" ca="1" si="26"/>
        <v>10.116</v>
      </c>
      <c r="AN30" s="1">
        <f t="shared" ca="1" si="26"/>
        <v>0</v>
      </c>
      <c r="AO30" s="1">
        <f t="shared" ca="1" si="26"/>
        <v>0</v>
      </c>
      <c r="AP30" s="1">
        <f t="shared" ca="1" si="26"/>
        <v>0</v>
      </c>
      <c r="AQ30" s="1">
        <f t="shared" ca="1" si="26"/>
        <v>0</v>
      </c>
      <c r="AR30" s="1">
        <f t="shared" ca="1" si="26"/>
        <v>0</v>
      </c>
      <c r="AS30" s="1">
        <f t="shared" ca="1" si="26"/>
        <v>0</v>
      </c>
      <c r="AT30" s="1">
        <f t="shared" ca="1" si="26"/>
        <v>0</v>
      </c>
      <c r="AU30" s="1">
        <f t="shared" ca="1" si="26"/>
        <v>0</v>
      </c>
      <c r="AV30" s="1">
        <f t="shared" ca="1" si="26"/>
        <v>0</v>
      </c>
      <c r="AW30" s="1">
        <f t="shared" ca="1" si="26"/>
        <v>0</v>
      </c>
      <c r="AX30" s="1">
        <f t="shared" ca="1" si="26"/>
        <v>0</v>
      </c>
      <c r="AY30" s="1">
        <f t="shared" ca="1" si="26"/>
        <v>0</v>
      </c>
      <c r="AZ30" s="1">
        <f t="shared" ca="1" si="26"/>
        <v>0</v>
      </c>
      <c r="BA30" s="1">
        <f t="shared" ca="1" si="26"/>
        <v>0</v>
      </c>
      <c r="BB30" s="1">
        <f t="shared" ca="1" si="26"/>
        <v>0</v>
      </c>
      <c r="BC30" s="1">
        <f t="shared" ca="1" si="26"/>
        <v>0</v>
      </c>
      <c r="BD30" s="1">
        <f t="shared" ca="1" si="26"/>
        <v>0</v>
      </c>
      <c r="BE30" s="1">
        <f t="shared" ca="1" si="26"/>
        <v>0</v>
      </c>
      <c r="BF30" s="1">
        <f t="shared" ca="1" si="26"/>
        <v>0</v>
      </c>
      <c r="BG30" s="1">
        <f t="shared" ca="1" si="26"/>
        <v>0</v>
      </c>
      <c r="BH30" s="1">
        <f t="shared" ca="1" si="26"/>
        <v>0</v>
      </c>
      <c r="BI30" s="1">
        <f t="shared" ca="1" si="26"/>
        <v>0</v>
      </c>
      <c r="BJ30" s="1">
        <f t="shared" ca="1" si="26"/>
        <v>0</v>
      </c>
      <c r="BK30" s="1">
        <f t="shared" ca="1" si="26"/>
        <v>0</v>
      </c>
      <c r="BL30" s="1">
        <f t="shared" ca="1" si="26"/>
        <v>0</v>
      </c>
      <c r="BM30" s="1">
        <f t="shared" ca="1" si="26"/>
        <v>0</v>
      </c>
      <c r="BN30" s="1">
        <f t="shared" ca="1" si="26"/>
        <v>0</v>
      </c>
      <c r="BO30" s="1">
        <f t="shared" ca="1" si="26"/>
        <v>0</v>
      </c>
      <c r="BP30" s="1">
        <f t="shared" ca="1" si="26"/>
        <v>0</v>
      </c>
      <c r="BQ30" s="1">
        <f t="shared" ca="1" si="26"/>
        <v>0</v>
      </c>
      <c r="BR30" s="1">
        <f t="shared" ca="1" si="26"/>
        <v>0</v>
      </c>
      <c r="BS30" s="1">
        <f t="shared" ca="1" si="26"/>
        <v>0</v>
      </c>
      <c r="BT30" s="1">
        <f t="shared" ca="1" si="26"/>
        <v>0</v>
      </c>
      <c r="BU30" s="1">
        <f t="shared" ca="1" si="27"/>
        <v>0</v>
      </c>
      <c r="BV30" s="1">
        <f t="shared" ca="1" si="27"/>
        <v>0</v>
      </c>
      <c r="BW30" s="1">
        <f t="shared" ca="1" si="27"/>
        <v>0</v>
      </c>
      <c r="BX30" s="1">
        <f t="shared" ca="1" si="27"/>
        <v>0</v>
      </c>
      <c r="BY30" s="1">
        <f t="shared" ca="1" si="27"/>
        <v>0</v>
      </c>
      <c r="BZ30" s="1">
        <f t="shared" ca="1" si="27"/>
        <v>0</v>
      </c>
    </row>
    <row r="31" spans="2:78" ht="13.5" customHeight="1">
      <c r="C31" s="31" t="str">
        <f>'A&amp;R'!Q14</f>
        <v>지상1층</v>
      </c>
      <c r="D31" s="32">
        <f ca="1">'A&amp;R'!AB14</f>
        <v>70.174999999999997</v>
      </c>
      <c r="E31" s="32">
        <f ca="1">IF(F31&lt;exit,D31*'A&amp;R'!$V$23,0)</f>
        <v>105.26249999999999</v>
      </c>
      <c r="F31" s="133">
        <f>EOMONTH('A&amp;R'!H38,'A&amp;R'!T14+1)</f>
        <v>45230</v>
      </c>
      <c r="H31" s="1">
        <f t="shared" ca="1" si="28"/>
        <v>0</v>
      </c>
      <c r="I31" s="1">
        <f t="shared" ref="I31:BT33" ca="1" si="29">(I$14=$F31)*$E31</f>
        <v>0</v>
      </c>
      <c r="J31" s="1">
        <f t="shared" ca="1" si="29"/>
        <v>0</v>
      </c>
      <c r="K31" s="1">
        <f t="shared" ca="1" si="29"/>
        <v>0</v>
      </c>
      <c r="L31" s="1">
        <f t="shared" ca="1" si="29"/>
        <v>0</v>
      </c>
      <c r="M31" s="1">
        <f t="shared" ca="1" si="29"/>
        <v>0</v>
      </c>
      <c r="N31" s="1">
        <f t="shared" ca="1" si="29"/>
        <v>0</v>
      </c>
      <c r="O31" s="1">
        <f t="shared" ca="1" si="29"/>
        <v>0</v>
      </c>
      <c r="P31" s="1">
        <f t="shared" ca="1" si="29"/>
        <v>0</v>
      </c>
      <c r="Q31" s="1">
        <f t="shared" ca="1" si="29"/>
        <v>0</v>
      </c>
      <c r="R31" s="1">
        <f t="shared" ca="1" si="29"/>
        <v>0</v>
      </c>
      <c r="S31" s="1">
        <f t="shared" ca="1" si="29"/>
        <v>0</v>
      </c>
      <c r="T31" s="1">
        <f t="shared" ca="1" si="29"/>
        <v>0</v>
      </c>
      <c r="U31" s="1">
        <f t="shared" ca="1" si="29"/>
        <v>0</v>
      </c>
      <c r="V31" s="1">
        <f t="shared" ca="1" si="29"/>
        <v>0</v>
      </c>
      <c r="W31" s="1">
        <f t="shared" ca="1" si="29"/>
        <v>0</v>
      </c>
      <c r="X31" s="1">
        <f t="shared" ca="1" si="29"/>
        <v>0</v>
      </c>
      <c r="Y31" s="1">
        <f t="shared" ca="1" si="29"/>
        <v>0</v>
      </c>
      <c r="Z31" s="1">
        <f t="shared" ca="1" si="29"/>
        <v>0</v>
      </c>
      <c r="AA31" s="1">
        <f t="shared" ca="1" si="29"/>
        <v>0</v>
      </c>
      <c r="AB31" s="1">
        <f t="shared" ca="1" si="29"/>
        <v>0</v>
      </c>
      <c r="AC31" s="1">
        <f t="shared" ca="1" si="29"/>
        <v>0</v>
      </c>
      <c r="AD31" s="1">
        <f t="shared" ca="1" si="29"/>
        <v>0</v>
      </c>
      <c r="AE31" s="1">
        <f t="shared" ca="1" si="29"/>
        <v>0</v>
      </c>
      <c r="AF31" s="1">
        <f t="shared" ca="1" si="29"/>
        <v>0</v>
      </c>
      <c r="AG31" s="1">
        <f t="shared" ca="1" si="29"/>
        <v>0</v>
      </c>
      <c r="AH31" s="1">
        <f t="shared" ca="1" si="29"/>
        <v>0</v>
      </c>
      <c r="AI31" s="1">
        <f t="shared" ca="1" si="29"/>
        <v>0</v>
      </c>
      <c r="AJ31" s="1">
        <f t="shared" ca="1" si="29"/>
        <v>0</v>
      </c>
      <c r="AK31" s="1">
        <f t="shared" ca="1" si="29"/>
        <v>0</v>
      </c>
      <c r="AL31" s="1">
        <f t="shared" ca="1" si="29"/>
        <v>0</v>
      </c>
      <c r="AM31" s="1">
        <f t="shared" ca="1" si="29"/>
        <v>105.26249999999999</v>
      </c>
      <c r="AN31" s="1">
        <f t="shared" ca="1" si="29"/>
        <v>0</v>
      </c>
      <c r="AO31" s="1">
        <f t="shared" ca="1" si="29"/>
        <v>0</v>
      </c>
      <c r="AP31" s="1">
        <f t="shared" ca="1" si="29"/>
        <v>0</v>
      </c>
      <c r="AQ31" s="1">
        <f t="shared" ca="1" si="29"/>
        <v>0</v>
      </c>
      <c r="AR31" s="1">
        <f t="shared" ca="1" si="29"/>
        <v>0</v>
      </c>
      <c r="AS31" s="1">
        <f t="shared" ca="1" si="29"/>
        <v>0</v>
      </c>
      <c r="AT31" s="1">
        <f t="shared" ca="1" si="29"/>
        <v>0</v>
      </c>
      <c r="AU31" s="1">
        <f t="shared" ca="1" si="29"/>
        <v>0</v>
      </c>
      <c r="AV31" s="1">
        <f t="shared" ca="1" si="29"/>
        <v>0</v>
      </c>
      <c r="AW31" s="1">
        <f t="shared" ca="1" si="29"/>
        <v>0</v>
      </c>
      <c r="AX31" s="1">
        <f t="shared" ca="1" si="29"/>
        <v>0</v>
      </c>
      <c r="AY31" s="1">
        <f t="shared" ca="1" si="29"/>
        <v>0</v>
      </c>
      <c r="AZ31" s="1">
        <f t="shared" ca="1" si="29"/>
        <v>0</v>
      </c>
      <c r="BA31" s="1">
        <f t="shared" ca="1" si="29"/>
        <v>0</v>
      </c>
      <c r="BB31" s="1">
        <f t="shared" ca="1" si="29"/>
        <v>0</v>
      </c>
      <c r="BC31" s="1">
        <f t="shared" ca="1" si="29"/>
        <v>0</v>
      </c>
      <c r="BD31" s="1">
        <f t="shared" ca="1" si="29"/>
        <v>0</v>
      </c>
      <c r="BE31" s="1">
        <f t="shared" ca="1" si="29"/>
        <v>0</v>
      </c>
      <c r="BF31" s="1">
        <f t="shared" ca="1" si="29"/>
        <v>0</v>
      </c>
      <c r="BG31" s="1">
        <f t="shared" ca="1" si="29"/>
        <v>0</v>
      </c>
      <c r="BH31" s="1">
        <f t="shared" ca="1" si="29"/>
        <v>0</v>
      </c>
      <c r="BI31" s="1">
        <f t="shared" ca="1" si="29"/>
        <v>0</v>
      </c>
      <c r="BJ31" s="1">
        <f t="shared" ca="1" si="29"/>
        <v>0</v>
      </c>
      <c r="BK31" s="1">
        <f t="shared" ca="1" si="29"/>
        <v>0</v>
      </c>
      <c r="BL31" s="1">
        <f t="shared" ca="1" si="29"/>
        <v>0</v>
      </c>
      <c r="BM31" s="1">
        <f t="shared" ca="1" si="29"/>
        <v>0</v>
      </c>
      <c r="BN31" s="1">
        <f t="shared" ca="1" si="29"/>
        <v>0</v>
      </c>
      <c r="BO31" s="1">
        <f t="shared" ca="1" si="29"/>
        <v>0</v>
      </c>
      <c r="BP31" s="1">
        <f t="shared" ca="1" si="29"/>
        <v>0</v>
      </c>
      <c r="BQ31" s="1">
        <f t="shared" ca="1" si="29"/>
        <v>0</v>
      </c>
      <c r="BR31" s="1">
        <f t="shared" ca="1" si="29"/>
        <v>0</v>
      </c>
      <c r="BS31" s="1">
        <f t="shared" ca="1" si="29"/>
        <v>0</v>
      </c>
      <c r="BT31" s="1">
        <f t="shared" ca="1" si="29"/>
        <v>0</v>
      </c>
      <c r="BU31" s="1">
        <f t="shared" ca="1" si="27"/>
        <v>0</v>
      </c>
      <c r="BV31" s="1">
        <f t="shared" ca="1" si="27"/>
        <v>0</v>
      </c>
      <c r="BW31" s="1">
        <f t="shared" ca="1" si="27"/>
        <v>0</v>
      </c>
      <c r="BX31" s="1">
        <f t="shared" ca="1" si="27"/>
        <v>0</v>
      </c>
      <c r="BY31" s="1">
        <f t="shared" ca="1" si="27"/>
        <v>0</v>
      </c>
      <c r="BZ31" s="1">
        <f t="shared" ca="1" si="27"/>
        <v>0</v>
      </c>
    </row>
    <row r="32" spans="2:78" ht="13.5" customHeight="1">
      <c r="C32" s="31" t="str">
        <f>'A&amp;R'!Q15</f>
        <v>지하1층</v>
      </c>
      <c r="D32" s="32">
        <f ca="1">'A&amp;R'!AB15</f>
        <v>14.975</v>
      </c>
      <c r="E32" s="32">
        <f ca="1">IF(F32&lt;exit,D32*'A&amp;R'!$V$23,0)</f>
        <v>22.462499999999999</v>
      </c>
      <c r="F32" s="133">
        <f>EOMONTH('A&amp;R'!H39,'A&amp;R'!T15+1)</f>
        <v>44500</v>
      </c>
      <c r="H32" s="1">
        <f t="shared" ca="1" si="28"/>
        <v>0</v>
      </c>
      <c r="I32" s="1">
        <f t="shared" ca="1" si="29"/>
        <v>0</v>
      </c>
      <c r="J32" s="1">
        <f t="shared" ca="1" si="29"/>
        <v>0</v>
      </c>
      <c r="K32" s="1">
        <f t="shared" ca="1" si="29"/>
        <v>0</v>
      </c>
      <c r="L32" s="1">
        <f t="shared" ca="1" si="29"/>
        <v>0</v>
      </c>
      <c r="M32" s="1">
        <f t="shared" ca="1" si="29"/>
        <v>0</v>
      </c>
      <c r="N32" s="1">
        <f t="shared" ca="1" si="29"/>
        <v>0</v>
      </c>
      <c r="O32" s="1">
        <f t="shared" ca="1" si="29"/>
        <v>22.462499999999999</v>
      </c>
      <c r="P32" s="1">
        <f t="shared" ca="1" si="29"/>
        <v>0</v>
      </c>
      <c r="Q32" s="1">
        <f t="shared" ca="1" si="29"/>
        <v>0</v>
      </c>
      <c r="R32" s="1">
        <f t="shared" ca="1" si="29"/>
        <v>0</v>
      </c>
      <c r="S32" s="1">
        <f t="shared" ca="1" si="29"/>
        <v>0</v>
      </c>
      <c r="T32" s="1">
        <f t="shared" ca="1" si="29"/>
        <v>0</v>
      </c>
      <c r="U32" s="1">
        <f t="shared" ca="1" si="29"/>
        <v>0</v>
      </c>
      <c r="V32" s="1">
        <f t="shared" ca="1" si="29"/>
        <v>0</v>
      </c>
      <c r="W32" s="1">
        <f t="shared" ca="1" si="29"/>
        <v>0</v>
      </c>
      <c r="X32" s="1">
        <f t="shared" ca="1" si="29"/>
        <v>0</v>
      </c>
      <c r="Y32" s="1">
        <f t="shared" ca="1" si="29"/>
        <v>0</v>
      </c>
      <c r="Z32" s="1">
        <f t="shared" ca="1" si="29"/>
        <v>0</v>
      </c>
      <c r="AA32" s="1">
        <f t="shared" ca="1" si="29"/>
        <v>0</v>
      </c>
      <c r="AB32" s="1">
        <f t="shared" ca="1" si="29"/>
        <v>0</v>
      </c>
      <c r="AC32" s="1">
        <f t="shared" ca="1" si="29"/>
        <v>0</v>
      </c>
      <c r="AD32" s="1">
        <f t="shared" ca="1" si="29"/>
        <v>0</v>
      </c>
      <c r="AE32" s="1">
        <f t="shared" ca="1" si="29"/>
        <v>0</v>
      </c>
      <c r="AF32" s="1">
        <f t="shared" ca="1" si="29"/>
        <v>0</v>
      </c>
      <c r="AG32" s="1">
        <f t="shared" ca="1" si="29"/>
        <v>0</v>
      </c>
      <c r="AH32" s="1">
        <f t="shared" ca="1" si="29"/>
        <v>0</v>
      </c>
      <c r="AI32" s="1">
        <f t="shared" ca="1" si="29"/>
        <v>0</v>
      </c>
      <c r="AJ32" s="1">
        <f t="shared" ca="1" si="29"/>
        <v>0</v>
      </c>
      <c r="AK32" s="1">
        <f t="shared" ca="1" si="29"/>
        <v>0</v>
      </c>
      <c r="AL32" s="1">
        <f t="shared" ca="1" si="29"/>
        <v>0</v>
      </c>
      <c r="AM32" s="1">
        <f t="shared" ca="1" si="29"/>
        <v>0</v>
      </c>
      <c r="AN32" s="1">
        <f t="shared" ca="1" si="29"/>
        <v>0</v>
      </c>
      <c r="AO32" s="1">
        <f t="shared" ca="1" si="29"/>
        <v>0</v>
      </c>
      <c r="AP32" s="1">
        <f t="shared" ca="1" si="29"/>
        <v>0</v>
      </c>
      <c r="AQ32" s="1">
        <f t="shared" ca="1" si="29"/>
        <v>0</v>
      </c>
      <c r="AR32" s="1">
        <f t="shared" ca="1" si="29"/>
        <v>0</v>
      </c>
      <c r="AS32" s="1">
        <f t="shared" ca="1" si="29"/>
        <v>0</v>
      </c>
      <c r="AT32" s="1">
        <f t="shared" ca="1" si="29"/>
        <v>0</v>
      </c>
      <c r="AU32" s="1">
        <f t="shared" ca="1" si="29"/>
        <v>0</v>
      </c>
      <c r="AV32" s="1">
        <f t="shared" ca="1" si="29"/>
        <v>0</v>
      </c>
      <c r="AW32" s="1">
        <f t="shared" ca="1" si="29"/>
        <v>0</v>
      </c>
      <c r="AX32" s="1">
        <f t="shared" ca="1" si="29"/>
        <v>0</v>
      </c>
      <c r="AY32" s="1">
        <f t="shared" ca="1" si="29"/>
        <v>0</v>
      </c>
      <c r="AZ32" s="1">
        <f t="shared" ca="1" si="29"/>
        <v>0</v>
      </c>
      <c r="BA32" s="1">
        <f t="shared" ca="1" si="29"/>
        <v>0</v>
      </c>
      <c r="BB32" s="1">
        <f t="shared" ca="1" si="29"/>
        <v>0</v>
      </c>
      <c r="BC32" s="1">
        <f t="shared" ca="1" si="29"/>
        <v>0</v>
      </c>
      <c r="BD32" s="1">
        <f t="shared" ca="1" si="29"/>
        <v>0</v>
      </c>
      <c r="BE32" s="1">
        <f t="shared" ca="1" si="29"/>
        <v>0</v>
      </c>
      <c r="BF32" s="1">
        <f t="shared" ca="1" si="29"/>
        <v>0</v>
      </c>
      <c r="BG32" s="1">
        <f t="shared" ca="1" si="29"/>
        <v>0</v>
      </c>
      <c r="BH32" s="1">
        <f t="shared" ca="1" si="29"/>
        <v>0</v>
      </c>
      <c r="BI32" s="1">
        <f t="shared" ca="1" si="29"/>
        <v>0</v>
      </c>
      <c r="BJ32" s="1">
        <f t="shared" ca="1" si="29"/>
        <v>0</v>
      </c>
      <c r="BK32" s="1">
        <f t="shared" ca="1" si="29"/>
        <v>0</v>
      </c>
      <c r="BL32" s="1">
        <f t="shared" ca="1" si="29"/>
        <v>0</v>
      </c>
      <c r="BM32" s="1">
        <f t="shared" ca="1" si="29"/>
        <v>0</v>
      </c>
      <c r="BN32" s="1">
        <f t="shared" ca="1" si="29"/>
        <v>0</v>
      </c>
      <c r="BO32" s="1">
        <f t="shared" ca="1" si="29"/>
        <v>0</v>
      </c>
      <c r="BP32" s="1">
        <f t="shared" ca="1" si="29"/>
        <v>0</v>
      </c>
      <c r="BQ32" s="1">
        <f t="shared" ca="1" si="29"/>
        <v>0</v>
      </c>
      <c r="BR32" s="1">
        <f t="shared" ca="1" si="29"/>
        <v>0</v>
      </c>
      <c r="BS32" s="1">
        <f t="shared" ca="1" si="29"/>
        <v>0</v>
      </c>
      <c r="BT32" s="1">
        <f t="shared" ca="1" si="29"/>
        <v>0</v>
      </c>
      <c r="BU32" s="1">
        <f t="shared" ca="1" si="27"/>
        <v>0</v>
      </c>
      <c r="BV32" s="1">
        <f t="shared" ca="1" si="27"/>
        <v>0</v>
      </c>
      <c r="BW32" s="1">
        <f t="shared" ca="1" si="27"/>
        <v>0</v>
      </c>
      <c r="BX32" s="1">
        <f t="shared" ca="1" si="27"/>
        <v>0</v>
      </c>
      <c r="BY32" s="1">
        <f t="shared" ca="1" si="27"/>
        <v>0</v>
      </c>
      <c r="BZ32" s="1">
        <f t="shared" ca="1" si="27"/>
        <v>0</v>
      </c>
    </row>
    <row r="33" spans="2:78" ht="13.5" customHeight="1">
      <c r="C33" s="34" t="str">
        <f>'A&amp;R'!Q16</f>
        <v>지하2층</v>
      </c>
      <c r="D33" s="35">
        <f ca="1">'A&amp;R'!AB16</f>
        <v>117.375</v>
      </c>
      <c r="E33" s="35">
        <f ca="1">IF(F33&lt;exit,D33*'A&amp;R'!$V$23,0)</f>
        <v>176.0625</v>
      </c>
      <c r="F33" s="134">
        <f>EOMONTH('A&amp;R'!H40,'A&amp;R'!T16+1)</f>
        <v>44500</v>
      </c>
      <c r="G33" s="42"/>
      <c r="H33" s="42">
        <f t="shared" ca="1" si="28"/>
        <v>0</v>
      </c>
      <c r="I33" s="42">
        <f t="shared" ca="1" si="29"/>
        <v>0</v>
      </c>
      <c r="J33" s="42">
        <f t="shared" ca="1" si="29"/>
        <v>0</v>
      </c>
      <c r="K33" s="42">
        <f t="shared" ca="1" si="29"/>
        <v>0</v>
      </c>
      <c r="L33" s="42">
        <f t="shared" ca="1" si="29"/>
        <v>0</v>
      </c>
      <c r="M33" s="42">
        <f t="shared" ca="1" si="29"/>
        <v>0</v>
      </c>
      <c r="N33" s="42">
        <f t="shared" ca="1" si="29"/>
        <v>0</v>
      </c>
      <c r="O33" s="42">
        <f t="shared" ca="1" si="29"/>
        <v>176.0625</v>
      </c>
      <c r="P33" s="42">
        <f t="shared" ca="1" si="29"/>
        <v>0</v>
      </c>
      <c r="Q33" s="42">
        <f t="shared" ca="1" si="29"/>
        <v>0</v>
      </c>
      <c r="R33" s="42">
        <f t="shared" ca="1" si="29"/>
        <v>0</v>
      </c>
      <c r="S33" s="42">
        <f t="shared" ca="1" si="29"/>
        <v>0</v>
      </c>
      <c r="T33" s="42">
        <f t="shared" ca="1" si="29"/>
        <v>0</v>
      </c>
      <c r="U33" s="42">
        <f t="shared" ca="1" si="29"/>
        <v>0</v>
      </c>
      <c r="V33" s="42">
        <f t="shared" ca="1" si="29"/>
        <v>0</v>
      </c>
      <c r="W33" s="42">
        <f t="shared" ca="1" si="29"/>
        <v>0</v>
      </c>
      <c r="X33" s="42">
        <f t="shared" ca="1" si="29"/>
        <v>0</v>
      </c>
      <c r="Y33" s="42">
        <f t="shared" ca="1" si="29"/>
        <v>0</v>
      </c>
      <c r="Z33" s="42">
        <f t="shared" ca="1" si="29"/>
        <v>0</v>
      </c>
      <c r="AA33" s="42">
        <f t="shared" ca="1" si="29"/>
        <v>0</v>
      </c>
      <c r="AB33" s="42">
        <f t="shared" ca="1" si="29"/>
        <v>0</v>
      </c>
      <c r="AC33" s="42">
        <f t="shared" ca="1" si="29"/>
        <v>0</v>
      </c>
      <c r="AD33" s="42">
        <f t="shared" ca="1" si="29"/>
        <v>0</v>
      </c>
      <c r="AE33" s="42">
        <f t="shared" ca="1" si="29"/>
        <v>0</v>
      </c>
      <c r="AF33" s="42">
        <f t="shared" ca="1" si="29"/>
        <v>0</v>
      </c>
      <c r="AG33" s="42">
        <f t="shared" ca="1" si="29"/>
        <v>0</v>
      </c>
      <c r="AH33" s="42">
        <f t="shared" ca="1" si="29"/>
        <v>0</v>
      </c>
      <c r="AI33" s="42">
        <f t="shared" ca="1" si="29"/>
        <v>0</v>
      </c>
      <c r="AJ33" s="42">
        <f t="shared" ca="1" si="29"/>
        <v>0</v>
      </c>
      <c r="AK33" s="42">
        <f t="shared" ca="1" si="29"/>
        <v>0</v>
      </c>
      <c r="AL33" s="42">
        <f t="shared" ca="1" si="29"/>
        <v>0</v>
      </c>
      <c r="AM33" s="42">
        <f t="shared" ca="1" si="29"/>
        <v>0</v>
      </c>
      <c r="AN33" s="42">
        <f t="shared" ca="1" si="29"/>
        <v>0</v>
      </c>
      <c r="AO33" s="42">
        <f t="shared" ca="1" si="29"/>
        <v>0</v>
      </c>
      <c r="AP33" s="42">
        <f t="shared" ca="1" si="29"/>
        <v>0</v>
      </c>
      <c r="AQ33" s="42">
        <f t="shared" ca="1" si="29"/>
        <v>0</v>
      </c>
      <c r="AR33" s="42">
        <f t="shared" ca="1" si="29"/>
        <v>0</v>
      </c>
      <c r="AS33" s="42">
        <f t="shared" ca="1" si="29"/>
        <v>0</v>
      </c>
      <c r="AT33" s="42">
        <f t="shared" ca="1" si="29"/>
        <v>0</v>
      </c>
      <c r="AU33" s="42">
        <f t="shared" ca="1" si="29"/>
        <v>0</v>
      </c>
      <c r="AV33" s="42">
        <f t="shared" ca="1" si="29"/>
        <v>0</v>
      </c>
      <c r="AW33" s="42">
        <f t="shared" ca="1" si="29"/>
        <v>0</v>
      </c>
      <c r="AX33" s="42">
        <f t="shared" ca="1" si="29"/>
        <v>0</v>
      </c>
      <c r="AY33" s="42">
        <f t="shared" ca="1" si="29"/>
        <v>0</v>
      </c>
      <c r="AZ33" s="42">
        <f t="shared" ca="1" si="29"/>
        <v>0</v>
      </c>
      <c r="BA33" s="42">
        <f t="shared" ca="1" si="29"/>
        <v>0</v>
      </c>
      <c r="BB33" s="42">
        <f t="shared" ca="1" si="29"/>
        <v>0</v>
      </c>
      <c r="BC33" s="42">
        <f t="shared" ca="1" si="29"/>
        <v>0</v>
      </c>
      <c r="BD33" s="42">
        <f t="shared" ca="1" si="29"/>
        <v>0</v>
      </c>
      <c r="BE33" s="42">
        <f t="shared" ca="1" si="29"/>
        <v>0</v>
      </c>
      <c r="BF33" s="42">
        <f t="shared" ca="1" si="29"/>
        <v>0</v>
      </c>
      <c r="BG33" s="42">
        <f t="shared" ca="1" si="29"/>
        <v>0</v>
      </c>
      <c r="BH33" s="42">
        <f t="shared" ca="1" si="29"/>
        <v>0</v>
      </c>
      <c r="BI33" s="42">
        <f t="shared" ca="1" si="29"/>
        <v>0</v>
      </c>
      <c r="BJ33" s="42">
        <f t="shared" ca="1" si="29"/>
        <v>0</v>
      </c>
      <c r="BK33" s="42">
        <f t="shared" ca="1" si="29"/>
        <v>0</v>
      </c>
      <c r="BL33" s="42">
        <f t="shared" ca="1" si="29"/>
        <v>0</v>
      </c>
      <c r="BM33" s="42">
        <f t="shared" ca="1" si="29"/>
        <v>0</v>
      </c>
      <c r="BN33" s="42">
        <f t="shared" ca="1" si="29"/>
        <v>0</v>
      </c>
      <c r="BO33" s="42">
        <f t="shared" ca="1" si="29"/>
        <v>0</v>
      </c>
      <c r="BP33" s="42">
        <f t="shared" ca="1" si="29"/>
        <v>0</v>
      </c>
      <c r="BQ33" s="42">
        <f t="shared" ca="1" si="29"/>
        <v>0</v>
      </c>
      <c r="BR33" s="42">
        <f t="shared" ca="1" si="29"/>
        <v>0</v>
      </c>
      <c r="BS33" s="42">
        <f t="shared" ca="1" si="29"/>
        <v>0</v>
      </c>
      <c r="BT33" s="42">
        <f t="shared" ca="1" si="29"/>
        <v>0</v>
      </c>
      <c r="BU33" s="42">
        <f t="shared" ca="1" si="27"/>
        <v>0</v>
      </c>
      <c r="BV33" s="42">
        <f t="shared" ca="1" si="27"/>
        <v>0</v>
      </c>
      <c r="BW33" s="42">
        <f t="shared" ca="1" si="27"/>
        <v>0</v>
      </c>
      <c r="BX33" s="42">
        <f t="shared" ca="1" si="27"/>
        <v>0</v>
      </c>
      <c r="BY33" s="42">
        <f t="shared" ca="1" si="27"/>
        <v>0</v>
      </c>
      <c r="BZ33" s="42">
        <f t="shared" ca="1" si="27"/>
        <v>0</v>
      </c>
    </row>
    <row r="34" spans="2:78" ht="13.5" customHeight="1">
      <c r="C34" s="44" t="s">
        <v>230</v>
      </c>
      <c r="D34" s="44"/>
      <c r="E34" s="135" t="b">
        <f ca="1">ABS(SUM(E29:E33)-F34)&lt;0.001</f>
        <v>1</v>
      </c>
      <c r="F34" s="44">
        <f ca="1">SUM(G34:XFD34)</f>
        <v>377.166</v>
      </c>
      <c r="G34" s="44"/>
      <c r="H34" s="44">
        <f ca="1">SUM(H29:H33)</f>
        <v>0</v>
      </c>
      <c r="I34" s="44">
        <f t="shared" ref="I34:BT34" ca="1" si="30">SUM(I29:I33)</f>
        <v>0</v>
      </c>
      <c r="J34" s="44">
        <f t="shared" ca="1" si="30"/>
        <v>0</v>
      </c>
      <c r="K34" s="44">
        <f t="shared" ca="1" si="30"/>
        <v>0</v>
      </c>
      <c r="L34" s="44">
        <f t="shared" ca="1" si="30"/>
        <v>0</v>
      </c>
      <c r="M34" s="44">
        <f t="shared" ca="1" si="30"/>
        <v>0</v>
      </c>
      <c r="N34" s="44">
        <f t="shared" ca="1" si="30"/>
        <v>0</v>
      </c>
      <c r="O34" s="44">
        <f t="shared" ca="1" si="30"/>
        <v>198.52500000000001</v>
      </c>
      <c r="P34" s="44">
        <f t="shared" ca="1" si="30"/>
        <v>0</v>
      </c>
      <c r="Q34" s="44">
        <f t="shared" ca="1" si="30"/>
        <v>0</v>
      </c>
      <c r="R34" s="44">
        <f t="shared" ca="1" si="30"/>
        <v>0</v>
      </c>
      <c r="S34" s="44">
        <f t="shared" ca="1" si="30"/>
        <v>0</v>
      </c>
      <c r="T34" s="44">
        <f t="shared" ca="1" si="30"/>
        <v>0</v>
      </c>
      <c r="U34" s="44">
        <f t="shared" ca="1" si="30"/>
        <v>0</v>
      </c>
      <c r="V34" s="44">
        <f t="shared" ca="1" si="30"/>
        <v>0</v>
      </c>
      <c r="W34" s="44">
        <f t="shared" ca="1" si="30"/>
        <v>0</v>
      </c>
      <c r="X34" s="44">
        <f t="shared" ca="1" si="30"/>
        <v>0</v>
      </c>
      <c r="Y34" s="44">
        <f t="shared" ca="1" si="30"/>
        <v>0</v>
      </c>
      <c r="Z34" s="44">
        <f t="shared" ca="1" si="30"/>
        <v>0</v>
      </c>
      <c r="AA34" s="44">
        <f t="shared" ca="1" si="30"/>
        <v>0</v>
      </c>
      <c r="AB34" s="44">
        <f t="shared" ca="1" si="30"/>
        <v>0</v>
      </c>
      <c r="AC34" s="44">
        <f t="shared" ca="1" si="30"/>
        <v>0</v>
      </c>
      <c r="AD34" s="44">
        <f t="shared" ca="1" si="30"/>
        <v>0</v>
      </c>
      <c r="AE34" s="44">
        <f t="shared" ca="1" si="30"/>
        <v>0</v>
      </c>
      <c r="AF34" s="44">
        <f t="shared" ca="1" si="30"/>
        <v>0</v>
      </c>
      <c r="AG34" s="44">
        <f t="shared" ca="1" si="30"/>
        <v>0</v>
      </c>
      <c r="AH34" s="44">
        <f t="shared" ca="1" si="30"/>
        <v>0</v>
      </c>
      <c r="AI34" s="44">
        <f t="shared" ca="1" si="30"/>
        <v>0</v>
      </c>
      <c r="AJ34" s="44">
        <f t="shared" ca="1" si="30"/>
        <v>0</v>
      </c>
      <c r="AK34" s="44">
        <f t="shared" ca="1" si="30"/>
        <v>0</v>
      </c>
      <c r="AL34" s="44">
        <f t="shared" ca="1" si="30"/>
        <v>0</v>
      </c>
      <c r="AM34" s="44">
        <f t="shared" ca="1" si="30"/>
        <v>178.64099999999999</v>
      </c>
      <c r="AN34" s="44">
        <f t="shared" ca="1" si="30"/>
        <v>0</v>
      </c>
      <c r="AO34" s="44">
        <f t="shared" ca="1" si="30"/>
        <v>0</v>
      </c>
      <c r="AP34" s="44">
        <f t="shared" ca="1" si="30"/>
        <v>0</v>
      </c>
      <c r="AQ34" s="44">
        <f t="shared" ca="1" si="30"/>
        <v>0</v>
      </c>
      <c r="AR34" s="44">
        <f t="shared" ca="1" si="30"/>
        <v>0</v>
      </c>
      <c r="AS34" s="44">
        <f t="shared" ca="1" si="30"/>
        <v>0</v>
      </c>
      <c r="AT34" s="44">
        <f t="shared" ca="1" si="30"/>
        <v>0</v>
      </c>
      <c r="AU34" s="44">
        <f t="shared" ca="1" si="30"/>
        <v>0</v>
      </c>
      <c r="AV34" s="44">
        <f t="shared" ca="1" si="30"/>
        <v>0</v>
      </c>
      <c r="AW34" s="44">
        <f t="shared" ca="1" si="30"/>
        <v>0</v>
      </c>
      <c r="AX34" s="44">
        <f t="shared" ca="1" si="30"/>
        <v>0</v>
      </c>
      <c r="AY34" s="44">
        <f t="shared" ca="1" si="30"/>
        <v>0</v>
      </c>
      <c r="AZ34" s="44">
        <f t="shared" ca="1" si="30"/>
        <v>0</v>
      </c>
      <c r="BA34" s="44">
        <f t="shared" ca="1" si="30"/>
        <v>0</v>
      </c>
      <c r="BB34" s="44">
        <f t="shared" ca="1" si="30"/>
        <v>0</v>
      </c>
      <c r="BC34" s="44">
        <f t="shared" ca="1" si="30"/>
        <v>0</v>
      </c>
      <c r="BD34" s="44">
        <f t="shared" ca="1" si="30"/>
        <v>0</v>
      </c>
      <c r="BE34" s="44">
        <f t="shared" ca="1" si="30"/>
        <v>0</v>
      </c>
      <c r="BF34" s="44">
        <f t="shared" ca="1" si="30"/>
        <v>0</v>
      </c>
      <c r="BG34" s="44">
        <f t="shared" ca="1" si="30"/>
        <v>0</v>
      </c>
      <c r="BH34" s="44">
        <f t="shared" ca="1" si="30"/>
        <v>0</v>
      </c>
      <c r="BI34" s="44">
        <f t="shared" ca="1" si="30"/>
        <v>0</v>
      </c>
      <c r="BJ34" s="44">
        <f t="shared" ca="1" si="30"/>
        <v>0</v>
      </c>
      <c r="BK34" s="44">
        <f t="shared" ca="1" si="30"/>
        <v>0</v>
      </c>
      <c r="BL34" s="44">
        <f t="shared" ca="1" si="30"/>
        <v>0</v>
      </c>
      <c r="BM34" s="44">
        <f t="shared" ca="1" si="30"/>
        <v>0</v>
      </c>
      <c r="BN34" s="44">
        <f t="shared" ca="1" si="30"/>
        <v>0</v>
      </c>
      <c r="BO34" s="44">
        <f t="shared" ca="1" si="30"/>
        <v>0</v>
      </c>
      <c r="BP34" s="44">
        <f t="shared" ca="1" si="30"/>
        <v>0</v>
      </c>
      <c r="BQ34" s="44">
        <f t="shared" ca="1" si="30"/>
        <v>0</v>
      </c>
      <c r="BR34" s="44">
        <f t="shared" ca="1" si="30"/>
        <v>0</v>
      </c>
      <c r="BS34" s="44">
        <f t="shared" ca="1" si="30"/>
        <v>0</v>
      </c>
      <c r="BT34" s="44">
        <f t="shared" ca="1" si="30"/>
        <v>0</v>
      </c>
      <c r="BU34" s="44">
        <f t="shared" ref="BU34:BY34" ca="1" si="31">SUM(BU29:BU33)</f>
        <v>0</v>
      </c>
      <c r="BV34" s="44">
        <f t="shared" ca="1" si="31"/>
        <v>0</v>
      </c>
      <c r="BW34" s="44">
        <f t="shared" ca="1" si="31"/>
        <v>0</v>
      </c>
      <c r="BX34" s="44">
        <f t="shared" ca="1" si="31"/>
        <v>0</v>
      </c>
      <c r="BY34" s="44">
        <f t="shared" ca="1" si="31"/>
        <v>0</v>
      </c>
      <c r="BZ34" s="44">
        <f t="shared" ref="BZ34" ca="1" si="32">SUM(BZ29:BZ33)</f>
        <v>0</v>
      </c>
    </row>
    <row r="36" spans="2:78" ht="13.5" customHeight="1">
      <c r="B36" s="13" t="str">
        <f>'A&amp;R'!Q24</f>
        <v>유지보수비</v>
      </c>
    </row>
    <row r="37" spans="2:78" ht="13.5" customHeight="1">
      <c r="C37" s="1" t="str">
        <f>'A&amp;R'!R24</f>
        <v>수선비</v>
      </c>
    </row>
    <row r="38" spans="2:78" ht="13.5" customHeight="1">
      <c r="C38" s="1" t="s">
        <v>226</v>
      </c>
      <c r="E38" s="129">
        <f>E18</f>
        <v>10350.34</v>
      </c>
      <c r="H38" s="1">
        <f t="shared" ref="H38:AM38" si="33">$E$38*H11</f>
        <v>0</v>
      </c>
      <c r="I38" s="1">
        <f t="shared" si="33"/>
        <v>10350.34</v>
      </c>
      <c r="J38" s="1">
        <f t="shared" si="33"/>
        <v>10350.34</v>
      </c>
      <c r="K38" s="1">
        <f t="shared" si="33"/>
        <v>10350.34</v>
      </c>
      <c r="L38" s="1">
        <f t="shared" si="33"/>
        <v>10350.34</v>
      </c>
      <c r="M38" s="1">
        <f t="shared" si="33"/>
        <v>10350.34</v>
      </c>
      <c r="N38" s="1">
        <f t="shared" si="33"/>
        <v>10350.34</v>
      </c>
      <c r="O38" s="1">
        <f t="shared" si="33"/>
        <v>10350.34</v>
      </c>
      <c r="P38" s="1">
        <f t="shared" si="33"/>
        <v>10350.34</v>
      </c>
      <c r="Q38" s="1">
        <f t="shared" si="33"/>
        <v>10350.34</v>
      </c>
      <c r="R38" s="1">
        <f t="shared" si="33"/>
        <v>10350.34</v>
      </c>
      <c r="S38" s="1">
        <f t="shared" si="33"/>
        <v>10350.34</v>
      </c>
      <c r="T38" s="1">
        <f t="shared" si="33"/>
        <v>10350.34</v>
      </c>
      <c r="U38" s="1">
        <f t="shared" si="33"/>
        <v>10350.34</v>
      </c>
      <c r="V38" s="1">
        <f t="shared" si="33"/>
        <v>10350.34</v>
      </c>
      <c r="W38" s="1">
        <f t="shared" si="33"/>
        <v>10350.34</v>
      </c>
      <c r="X38" s="1">
        <f t="shared" si="33"/>
        <v>10350.34</v>
      </c>
      <c r="Y38" s="1">
        <f t="shared" si="33"/>
        <v>10350.34</v>
      </c>
      <c r="Z38" s="1">
        <f t="shared" si="33"/>
        <v>10350.34</v>
      </c>
      <c r="AA38" s="1">
        <f t="shared" si="33"/>
        <v>10350.34</v>
      </c>
      <c r="AB38" s="1">
        <f t="shared" si="33"/>
        <v>10350.34</v>
      </c>
      <c r="AC38" s="1">
        <f t="shared" si="33"/>
        <v>10350.34</v>
      </c>
      <c r="AD38" s="1">
        <f t="shared" si="33"/>
        <v>10350.34</v>
      </c>
      <c r="AE38" s="1">
        <f t="shared" si="33"/>
        <v>10350.34</v>
      </c>
      <c r="AF38" s="1">
        <f t="shared" si="33"/>
        <v>10350.34</v>
      </c>
      <c r="AG38" s="1">
        <f t="shared" si="33"/>
        <v>10350.34</v>
      </c>
      <c r="AH38" s="1">
        <f t="shared" si="33"/>
        <v>10350.34</v>
      </c>
      <c r="AI38" s="1">
        <f t="shared" si="33"/>
        <v>10350.34</v>
      </c>
      <c r="AJ38" s="1">
        <f t="shared" si="33"/>
        <v>10350.34</v>
      </c>
      <c r="AK38" s="1">
        <f t="shared" si="33"/>
        <v>10350.34</v>
      </c>
      <c r="AL38" s="1">
        <f t="shared" si="33"/>
        <v>10350.34</v>
      </c>
      <c r="AM38" s="1">
        <f t="shared" si="33"/>
        <v>10350.34</v>
      </c>
      <c r="AN38" s="1">
        <f t="shared" ref="AN38:BS38" si="34">$E$38*AN11</f>
        <v>10350.34</v>
      </c>
      <c r="AO38" s="1">
        <f t="shared" si="34"/>
        <v>10350.34</v>
      </c>
      <c r="AP38" s="1">
        <f t="shared" si="34"/>
        <v>10350.34</v>
      </c>
      <c r="AQ38" s="1">
        <f t="shared" si="34"/>
        <v>10350.34</v>
      </c>
      <c r="AR38" s="1">
        <f t="shared" si="34"/>
        <v>10350.34</v>
      </c>
      <c r="AS38" s="1">
        <f t="shared" si="34"/>
        <v>10350.34</v>
      </c>
      <c r="AT38" s="1">
        <f t="shared" si="34"/>
        <v>10350.34</v>
      </c>
      <c r="AU38" s="1">
        <f t="shared" si="34"/>
        <v>10350.34</v>
      </c>
      <c r="AV38" s="1">
        <f t="shared" si="34"/>
        <v>10350.34</v>
      </c>
      <c r="AW38" s="1">
        <f t="shared" si="34"/>
        <v>10350.34</v>
      </c>
      <c r="AX38" s="1">
        <f t="shared" si="34"/>
        <v>10350.34</v>
      </c>
      <c r="AY38" s="1">
        <f t="shared" si="34"/>
        <v>10350.34</v>
      </c>
      <c r="AZ38" s="1">
        <f t="shared" si="34"/>
        <v>10350.34</v>
      </c>
      <c r="BA38" s="1">
        <f t="shared" si="34"/>
        <v>10350.34</v>
      </c>
      <c r="BB38" s="1">
        <f t="shared" si="34"/>
        <v>10350.34</v>
      </c>
      <c r="BC38" s="1">
        <f t="shared" si="34"/>
        <v>10350.34</v>
      </c>
      <c r="BD38" s="1">
        <f t="shared" si="34"/>
        <v>10350.34</v>
      </c>
      <c r="BE38" s="1">
        <f t="shared" si="34"/>
        <v>10350.34</v>
      </c>
      <c r="BF38" s="1">
        <f t="shared" si="34"/>
        <v>10350.34</v>
      </c>
      <c r="BG38" s="1">
        <f t="shared" si="34"/>
        <v>10350.34</v>
      </c>
      <c r="BH38" s="1">
        <f t="shared" si="34"/>
        <v>10350.34</v>
      </c>
      <c r="BI38" s="1">
        <f t="shared" si="34"/>
        <v>10350.34</v>
      </c>
      <c r="BJ38" s="1">
        <f t="shared" si="34"/>
        <v>10350.34</v>
      </c>
      <c r="BK38" s="1">
        <f t="shared" si="34"/>
        <v>10350.34</v>
      </c>
      <c r="BL38" s="1">
        <f t="shared" si="34"/>
        <v>10350.34</v>
      </c>
      <c r="BM38" s="1">
        <f t="shared" si="34"/>
        <v>10350.34</v>
      </c>
      <c r="BN38" s="1">
        <f t="shared" si="34"/>
        <v>10350.34</v>
      </c>
      <c r="BO38" s="1">
        <f t="shared" si="34"/>
        <v>10350.34</v>
      </c>
      <c r="BP38" s="1">
        <f t="shared" si="34"/>
        <v>10350.34</v>
      </c>
      <c r="BQ38" s="1">
        <f t="shared" si="34"/>
        <v>0</v>
      </c>
      <c r="BR38" s="1">
        <f t="shared" si="34"/>
        <v>0</v>
      </c>
      <c r="BS38" s="1">
        <f t="shared" si="34"/>
        <v>0</v>
      </c>
      <c r="BT38" s="1">
        <f t="shared" ref="BT38:BZ38" si="35">$E$38*BT11</f>
        <v>0</v>
      </c>
      <c r="BU38" s="1">
        <f t="shared" si="35"/>
        <v>0</v>
      </c>
      <c r="BV38" s="1">
        <f t="shared" si="35"/>
        <v>0</v>
      </c>
      <c r="BW38" s="1">
        <f t="shared" si="35"/>
        <v>0</v>
      </c>
      <c r="BX38" s="1">
        <f t="shared" si="35"/>
        <v>0</v>
      </c>
      <c r="BY38" s="1">
        <f t="shared" si="35"/>
        <v>0</v>
      </c>
      <c r="BZ38" s="1">
        <f t="shared" si="35"/>
        <v>0</v>
      </c>
    </row>
    <row r="39" spans="2:78" ht="13.5" customHeight="1">
      <c r="C39" s="42" t="s">
        <v>78</v>
      </c>
      <c r="D39" s="42"/>
      <c r="E39" s="130">
        <f>'A&amp;R'!U24</f>
        <v>300</v>
      </c>
      <c r="F39" s="42"/>
      <c r="G39" s="42"/>
      <c r="H39" s="42">
        <f>$E$39*(1+'A&amp;R'!$W$24)^(H$16-1)*H$11</f>
        <v>0</v>
      </c>
      <c r="I39" s="42">
        <f>$E$39*(1+'A&amp;R'!$W$24)^(I$16-1)*I$11</f>
        <v>300</v>
      </c>
      <c r="J39" s="42">
        <f>$E$39*(1+'A&amp;R'!$W$24)^(J$16-1)*J$11</f>
        <v>300</v>
      </c>
      <c r="K39" s="42">
        <f>$E$39*(1+'A&amp;R'!$W$24)^(K$16-1)*K$11</f>
        <v>300</v>
      </c>
      <c r="L39" s="42">
        <f>$E$39*(1+'A&amp;R'!$W$24)^(L$16-1)*L$11</f>
        <v>300</v>
      </c>
      <c r="M39" s="42">
        <f>$E$39*(1+'A&amp;R'!$W$24)^(M$16-1)*M$11</f>
        <v>300</v>
      </c>
      <c r="N39" s="42">
        <f>$E$39*(1+'A&amp;R'!$W$24)^(N$16-1)*N$11</f>
        <v>300</v>
      </c>
      <c r="O39" s="42">
        <f>$E$39*(1+'A&amp;R'!$W$24)^(O$16-1)*O$11</f>
        <v>300</v>
      </c>
      <c r="P39" s="42">
        <f>$E$39*(1+'A&amp;R'!$W$24)^(P$16-1)*P$11</f>
        <v>300</v>
      </c>
      <c r="Q39" s="42">
        <f>$E$39*(1+'A&amp;R'!$W$24)^(Q$16-1)*Q$11</f>
        <v>300</v>
      </c>
      <c r="R39" s="42">
        <f>$E$39*(1+'A&amp;R'!$W$24)^(R$16-1)*R$11</f>
        <v>300</v>
      </c>
      <c r="S39" s="42">
        <f>$E$39*(1+'A&amp;R'!$W$24)^(S$16-1)*S$11</f>
        <v>300</v>
      </c>
      <c r="T39" s="42">
        <f>$E$39*(1+'A&amp;R'!$W$24)^(T$16-1)*T$11</f>
        <v>300</v>
      </c>
      <c r="U39" s="42">
        <f>$E$39*(1+'A&amp;R'!$W$24)^(U$16-1)*U$11</f>
        <v>304.49999999999994</v>
      </c>
      <c r="V39" s="42">
        <f>$E$39*(1+'A&amp;R'!$W$24)^(V$16-1)*V$11</f>
        <v>304.49999999999994</v>
      </c>
      <c r="W39" s="42">
        <f>$E$39*(1+'A&amp;R'!$W$24)^(W$16-1)*W$11</f>
        <v>304.49999999999994</v>
      </c>
      <c r="X39" s="42">
        <f>$E$39*(1+'A&amp;R'!$W$24)^(X$16-1)*X$11</f>
        <v>304.49999999999994</v>
      </c>
      <c r="Y39" s="42">
        <f>$E$39*(1+'A&amp;R'!$W$24)^(Y$16-1)*Y$11</f>
        <v>304.49999999999994</v>
      </c>
      <c r="Z39" s="42">
        <f>$E$39*(1+'A&amp;R'!$W$24)^(Z$16-1)*Z$11</f>
        <v>304.49999999999994</v>
      </c>
      <c r="AA39" s="42">
        <f>$E$39*(1+'A&amp;R'!$W$24)^(AA$16-1)*AA$11</f>
        <v>304.49999999999994</v>
      </c>
      <c r="AB39" s="42">
        <f>$E$39*(1+'A&amp;R'!$W$24)^(AB$16-1)*AB$11</f>
        <v>304.49999999999994</v>
      </c>
      <c r="AC39" s="42">
        <f>$E$39*(1+'A&amp;R'!$W$24)^(AC$16-1)*AC$11</f>
        <v>304.49999999999994</v>
      </c>
      <c r="AD39" s="42">
        <f>$E$39*(1+'A&amp;R'!$W$24)^(AD$16-1)*AD$11</f>
        <v>304.49999999999994</v>
      </c>
      <c r="AE39" s="42">
        <f>$E$39*(1+'A&amp;R'!$W$24)^(AE$16-1)*AE$11</f>
        <v>304.49999999999994</v>
      </c>
      <c r="AF39" s="42">
        <f>$E$39*(1+'A&amp;R'!$W$24)^(AF$16-1)*AF$11</f>
        <v>304.49999999999994</v>
      </c>
      <c r="AG39" s="42">
        <f>$E$39*(1+'A&amp;R'!$W$24)^(AG$16-1)*AG$11</f>
        <v>309.06749999999994</v>
      </c>
      <c r="AH39" s="42">
        <f>$E$39*(1+'A&amp;R'!$W$24)^(AH$16-1)*AH$11</f>
        <v>309.06749999999994</v>
      </c>
      <c r="AI39" s="42">
        <f>$E$39*(1+'A&amp;R'!$W$24)^(AI$16-1)*AI$11</f>
        <v>309.06749999999994</v>
      </c>
      <c r="AJ39" s="42">
        <f>$E$39*(1+'A&amp;R'!$W$24)^(AJ$16-1)*AJ$11</f>
        <v>309.06749999999994</v>
      </c>
      <c r="AK39" s="42">
        <f>$E$39*(1+'A&amp;R'!$W$24)^(AK$16-1)*AK$11</f>
        <v>309.06749999999994</v>
      </c>
      <c r="AL39" s="42">
        <f>$E$39*(1+'A&amp;R'!$W$24)^(AL$16-1)*AL$11</f>
        <v>309.06749999999994</v>
      </c>
      <c r="AM39" s="42">
        <f>$E$39*(1+'A&amp;R'!$W$24)^(AM$16-1)*AM$11</f>
        <v>309.06749999999994</v>
      </c>
      <c r="AN39" s="42">
        <f>$E$39*(1+'A&amp;R'!$W$24)^(AN$16-1)*AN$11</f>
        <v>309.06749999999994</v>
      </c>
      <c r="AO39" s="42">
        <f>$E$39*(1+'A&amp;R'!$W$24)^(AO$16-1)*AO$11</f>
        <v>309.06749999999994</v>
      </c>
      <c r="AP39" s="42">
        <f>$E$39*(1+'A&amp;R'!$W$24)^(AP$16-1)*AP$11</f>
        <v>309.06749999999994</v>
      </c>
      <c r="AQ39" s="42">
        <f>$E$39*(1+'A&amp;R'!$W$24)^(AQ$16-1)*AQ$11</f>
        <v>309.06749999999994</v>
      </c>
      <c r="AR39" s="42">
        <f>$E$39*(1+'A&amp;R'!$W$24)^(AR$16-1)*AR$11</f>
        <v>309.06749999999994</v>
      </c>
      <c r="AS39" s="42">
        <f>$E$39*(1+'A&amp;R'!$W$24)^(AS$16-1)*AS$11</f>
        <v>313.70351249999987</v>
      </c>
      <c r="AT39" s="42">
        <f>$E$39*(1+'A&amp;R'!$W$24)^(AT$16-1)*AT$11</f>
        <v>313.70351249999987</v>
      </c>
      <c r="AU39" s="42">
        <f>$E$39*(1+'A&amp;R'!$W$24)^(AU$16-1)*AU$11</f>
        <v>313.70351249999987</v>
      </c>
      <c r="AV39" s="42">
        <f>$E$39*(1+'A&amp;R'!$W$24)^(AV$16-1)*AV$11</f>
        <v>313.70351249999987</v>
      </c>
      <c r="AW39" s="42">
        <f>$E$39*(1+'A&amp;R'!$W$24)^(AW$16-1)*AW$11</f>
        <v>313.70351249999987</v>
      </c>
      <c r="AX39" s="42">
        <f>$E$39*(1+'A&amp;R'!$W$24)^(AX$16-1)*AX$11</f>
        <v>313.70351249999987</v>
      </c>
      <c r="AY39" s="42">
        <f>$E$39*(1+'A&amp;R'!$W$24)^(AY$16-1)*AY$11</f>
        <v>313.70351249999987</v>
      </c>
      <c r="AZ39" s="42">
        <f>$E$39*(1+'A&amp;R'!$W$24)^(AZ$16-1)*AZ$11</f>
        <v>313.70351249999987</v>
      </c>
      <c r="BA39" s="42">
        <f>$E$39*(1+'A&amp;R'!$W$24)^(BA$16-1)*BA$11</f>
        <v>313.70351249999987</v>
      </c>
      <c r="BB39" s="42">
        <f>$E$39*(1+'A&amp;R'!$W$24)^(BB$16-1)*BB$11</f>
        <v>313.70351249999987</v>
      </c>
      <c r="BC39" s="42">
        <f>$E$39*(1+'A&amp;R'!$W$24)^(BC$16-1)*BC$11</f>
        <v>313.70351249999987</v>
      </c>
      <c r="BD39" s="42">
        <f>$E$39*(1+'A&amp;R'!$W$24)^(BD$16-1)*BD$11</f>
        <v>313.70351249999987</v>
      </c>
      <c r="BE39" s="42">
        <f>$E$39*(1+'A&amp;R'!$W$24)^(BE$16-1)*BE$11</f>
        <v>318.40906518749983</v>
      </c>
      <c r="BF39" s="42">
        <f>$E$39*(1+'A&amp;R'!$W$24)^(BF$16-1)*BF$11</f>
        <v>318.40906518749983</v>
      </c>
      <c r="BG39" s="42">
        <f>$E$39*(1+'A&amp;R'!$W$24)^(BG$16-1)*BG$11</f>
        <v>318.40906518749983</v>
      </c>
      <c r="BH39" s="42">
        <f>$E$39*(1+'A&amp;R'!$W$24)^(BH$16-1)*BH$11</f>
        <v>318.40906518749983</v>
      </c>
      <c r="BI39" s="42">
        <f>$E$39*(1+'A&amp;R'!$W$24)^(BI$16-1)*BI$11</f>
        <v>318.40906518749983</v>
      </c>
      <c r="BJ39" s="42">
        <f>$E$39*(1+'A&amp;R'!$W$24)^(BJ$16-1)*BJ$11</f>
        <v>318.40906518749983</v>
      </c>
      <c r="BK39" s="42">
        <f>$E$39*(1+'A&amp;R'!$W$24)^(BK$16-1)*BK$11</f>
        <v>318.40906518749983</v>
      </c>
      <c r="BL39" s="42">
        <f>$E$39*(1+'A&amp;R'!$W$24)^(BL$16-1)*BL$11</f>
        <v>318.40906518749983</v>
      </c>
      <c r="BM39" s="42">
        <f>$E$39*(1+'A&amp;R'!$W$24)^(BM$16-1)*BM$11</f>
        <v>318.40906518749983</v>
      </c>
      <c r="BN39" s="42">
        <f>$E$39*(1+'A&amp;R'!$W$24)^(BN$16-1)*BN$11</f>
        <v>318.40906518749983</v>
      </c>
      <c r="BO39" s="42">
        <f>$E$39*(1+'A&amp;R'!$W$24)^(BO$16-1)*BO$11</f>
        <v>318.40906518749983</v>
      </c>
      <c r="BP39" s="42">
        <f>$E$39*(1+'A&amp;R'!$W$24)^(BP$16-1)*BP$11</f>
        <v>318.40906518749983</v>
      </c>
      <c r="BQ39" s="42">
        <f>$E$39*(1+'A&amp;R'!$W$24)^(BQ$16-1)*BQ$11</f>
        <v>0</v>
      </c>
      <c r="BR39" s="42">
        <f>$E$39*(1+'A&amp;R'!$W$24)^(BR$16-1)*BR$11</f>
        <v>0</v>
      </c>
      <c r="BS39" s="42">
        <f>$E$39*(1+'A&amp;R'!$W$24)^(BS$16-1)*BS$11</f>
        <v>0</v>
      </c>
      <c r="BT39" s="42">
        <f>$E$39*(1+'A&amp;R'!$W$24)^(BT$16-1)*BT$11</f>
        <v>0</v>
      </c>
      <c r="BU39" s="42">
        <f>$E$39*(1+'A&amp;R'!$W$24)^(BU$16-1)*BU$11</f>
        <v>0</v>
      </c>
      <c r="BV39" s="42">
        <f>$E$39*(1+'A&amp;R'!$W$24)^(BV$16-1)*BV$11</f>
        <v>0</v>
      </c>
      <c r="BW39" s="42">
        <f>$E$39*(1+'A&amp;R'!$W$24)^(BW$16-1)*BW$11</f>
        <v>0</v>
      </c>
      <c r="BX39" s="42">
        <f>$E$39*(1+'A&amp;R'!$W$24)^(BX$16-1)*BX$11</f>
        <v>0</v>
      </c>
      <c r="BY39" s="42">
        <f>$E$39*(1+'A&amp;R'!$W$24)^(BY$16-1)*BY$11</f>
        <v>0</v>
      </c>
      <c r="BZ39" s="42">
        <f>$E$39*(1+'A&amp;R'!$W$24)^(BZ$16-1)*BZ$11</f>
        <v>0</v>
      </c>
    </row>
    <row r="40" spans="2:78" s="136" customFormat="1" ht="13.5" customHeight="1">
      <c r="C40" s="137" t="s">
        <v>232</v>
      </c>
      <c r="D40" s="137"/>
      <c r="E40" s="137"/>
      <c r="F40" s="137">
        <f>SUM(G40:XFD40)</f>
        <v>191.97977202350432</v>
      </c>
      <c r="G40" s="137"/>
      <c r="H40" s="137">
        <f t="shared" ref="H40:AM40" si="36">H38*H39/unit</f>
        <v>0</v>
      </c>
      <c r="I40" s="137">
        <f t="shared" si="36"/>
        <v>3.105102</v>
      </c>
      <c r="J40" s="137">
        <f t="shared" si="36"/>
        <v>3.105102</v>
      </c>
      <c r="K40" s="137">
        <f t="shared" si="36"/>
        <v>3.105102</v>
      </c>
      <c r="L40" s="137">
        <f t="shared" si="36"/>
        <v>3.105102</v>
      </c>
      <c r="M40" s="137">
        <f t="shared" si="36"/>
        <v>3.105102</v>
      </c>
      <c r="N40" s="137">
        <f t="shared" si="36"/>
        <v>3.105102</v>
      </c>
      <c r="O40" s="137">
        <f t="shared" si="36"/>
        <v>3.105102</v>
      </c>
      <c r="P40" s="137">
        <f t="shared" si="36"/>
        <v>3.105102</v>
      </c>
      <c r="Q40" s="137">
        <f t="shared" si="36"/>
        <v>3.105102</v>
      </c>
      <c r="R40" s="137">
        <f t="shared" si="36"/>
        <v>3.105102</v>
      </c>
      <c r="S40" s="137">
        <f t="shared" si="36"/>
        <v>3.105102</v>
      </c>
      <c r="T40" s="137">
        <f t="shared" si="36"/>
        <v>3.105102</v>
      </c>
      <c r="U40" s="137">
        <f t="shared" si="36"/>
        <v>3.1516785299999994</v>
      </c>
      <c r="V40" s="137">
        <f t="shared" si="36"/>
        <v>3.1516785299999994</v>
      </c>
      <c r="W40" s="137">
        <f t="shared" si="36"/>
        <v>3.1516785299999994</v>
      </c>
      <c r="X40" s="137">
        <f t="shared" si="36"/>
        <v>3.1516785299999994</v>
      </c>
      <c r="Y40" s="137">
        <f t="shared" si="36"/>
        <v>3.1516785299999994</v>
      </c>
      <c r="Z40" s="137">
        <f t="shared" si="36"/>
        <v>3.1516785299999994</v>
      </c>
      <c r="AA40" s="137">
        <f t="shared" si="36"/>
        <v>3.1516785299999994</v>
      </c>
      <c r="AB40" s="137">
        <f t="shared" si="36"/>
        <v>3.1516785299999994</v>
      </c>
      <c r="AC40" s="137">
        <f t="shared" si="36"/>
        <v>3.1516785299999994</v>
      </c>
      <c r="AD40" s="137">
        <f t="shared" si="36"/>
        <v>3.1516785299999994</v>
      </c>
      <c r="AE40" s="137">
        <f t="shared" si="36"/>
        <v>3.1516785299999994</v>
      </c>
      <c r="AF40" s="137">
        <f t="shared" si="36"/>
        <v>3.1516785299999994</v>
      </c>
      <c r="AG40" s="137">
        <f t="shared" si="36"/>
        <v>3.1989537079499994</v>
      </c>
      <c r="AH40" s="137">
        <f t="shared" si="36"/>
        <v>3.1989537079499994</v>
      </c>
      <c r="AI40" s="137">
        <f t="shared" si="36"/>
        <v>3.1989537079499994</v>
      </c>
      <c r="AJ40" s="137">
        <f t="shared" si="36"/>
        <v>3.1989537079499994</v>
      </c>
      <c r="AK40" s="137">
        <f t="shared" si="36"/>
        <v>3.1989537079499994</v>
      </c>
      <c r="AL40" s="137">
        <f t="shared" si="36"/>
        <v>3.1989537079499994</v>
      </c>
      <c r="AM40" s="137">
        <f t="shared" si="36"/>
        <v>3.1989537079499994</v>
      </c>
      <c r="AN40" s="137">
        <f t="shared" ref="AN40:BS40" si="37">AN38*AN39/unit</f>
        <v>3.1989537079499994</v>
      </c>
      <c r="AO40" s="137">
        <f t="shared" si="37"/>
        <v>3.1989537079499994</v>
      </c>
      <c r="AP40" s="137">
        <f t="shared" si="37"/>
        <v>3.1989537079499994</v>
      </c>
      <c r="AQ40" s="137">
        <f t="shared" si="37"/>
        <v>3.1989537079499994</v>
      </c>
      <c r="AR40" s="137">
        <f t="shared" si="37"/>
        <v>3.1989537079499994</v>
      </c>
      <c r="AS40" s="137">
        <f t="shared" si="37"/>
        <v>3.2469380135692489</v>
      </c>
      <c r="AT40" s="137">
        <f t="shared" si="37"/>
        <v>3.2469380135692489</v>
      </c>
      <c r="AU40" s="137">
        <f t="shared" si="37"/>
        <v>3.2469380135692489</v>
      </c>
      <c r="AV40" s="137">
        <f t="shared" si="37"/>
        <v>3.2469380135692489</v>
      </c>
      <c r="AW40" s="137">
        <f t="shared" si="37"/>
        <v>3.2469380135692489</v>
      </c>
      <c r="AX40" s="137">
        <f t="shared" si="37"/>
        <v>3.2469380135692489</v>
      </c>
      <c r="AY40" s="137">
        <f t="shared" si="37"/>
        <v>3.2469380135692489</v>
      </c>
      <c r="AZ40" s="137">
        <f t="shared" si="37"/>
        <v>3.2469380135692489</v>
      </c>
      <c r="BA40" s="137">
        <f t="shared" si="37"/>
        <v>3.2469380135692489</v>
      </c>
      <c r="BB40" s="137">
        <f t="shared" si="37"/>
        <v>3.2469380135692489</v>
      </c>
      <c r="BC40" s="137">
        <f t="shared" si="37"/>
        <v>3.2469380135692489</v>
      </c>
      <c r="BD40" s="137">
        <f t="shared" si="37"/>
        <v>3.2469380135692489</v>
      </c>
      <c r="BE40" s="137">
        <f t="shared" si="37"/>
        <v>3.2956420837727869</v>
      </c>
      <c r="BF40" s="137">
        <f t="shared" si="37"/>
        <v>3.2956420837727869</v>
      </c>
      <c r="BG40" s="137">
        <f t="shared" si="37"/>
        <v>3.2956420837727869</v>
      </c>
      <c r="BH40" s="137">
        <f t="shared" si="37"/>
        <v>3.2956420837727869</v>
      </c>
      <c r="BI40" s="137">
        <f t="shared" si="37"/>
        <v>3.2956420837727869</v>
      </c>
      <c r="BJ40" s="137">
        <f t="shared" si="37"/>
        <v>3.2956420837727869</v>
      </c>
      <c r="BK40" s="137">
        <f t="shared" si="37"/>
        <v>3.2956420837727869</v>
      </c>
      <c r="BL40" s="137">
        <f t="shared" si="37"/>
        <v>3.2956420837727869</v>
      </c>
      <c r="BM40" s="137">
        <f t="shared" si="37"/>
        <v>3.2956420837727869</v>
      </c>
      <c r="BN40" s="137">
        <f t="shared" si="37"/>
        <v>3.2956420837727869</v>
      </c>
      <c r="BO40" s="137">
        <f t="shared" si="37"/>
        <v>3.2956420837727869</v>
      </c>
      <c r="BP40" s="137">
        <f t="shared" si="37"/>
        <v>3.2956420837727869</v>
      </c>
      <c r="BQ40" s="137">
        <f t="shared" si="37"/>
        <v>0</v>
      </c>
      <c r="BR40" s="137">
        <f t="shared" si="37"/>
        <v>0</v>
      </c>
      <c r="BS40" s="137">
        <f t="shared" si="37"/>
        <v>0</v>
      </c>
      <c r="BT40" s="137">
        <f t="shared" ref="BT40:BY40" si="38">BT38*BT39/unit</f>
        <v>0</v>
      </c>
      <c r="BU40" s="137">
        <f t="shared" si="38"/>
        <v>0</v>
      </c>
      <c r="BV40" s="137">
        <f t="shared" si="38"/>
        <v>0</v>
      </c>
      <c r="BW40" s="137">
        <f t="shared" si="38"/>
        <v>0</v>
      </c>
      <c r="BX40" s="137">
        <f t="shared" si="38"/>
        <v>0</v>
      </c>
      <c r="BY40" s="137">
        <f t="shared" si="38"/>
        <v>0</v>
      </c>
      <c r="BZ40" s="137">
        <f t="shared" ref="BZ40" si="39">BZ38*BZ39/unit</f>
        <v>0</v>
      </c>
    </row>
    <row r="41" spans="2:78" ht="13.5" customHeight="1">
      <c r="C41" s="1" t="str">
        <f>'A&amp;R'!R25</f>
        <v>소모품비</v>
      </c>
    </row>
    <row r="42" spans="2:78" ht="13.5" customHeight="1">
      <c r="C42" s="1" t="s">
        <v>226</v>
      </c>
      <c r="E42" s="129">
        <f>E38</f>
        <v>10350.34</v>
      </c>
      <c r="H42" s="1">
        <f t="shared" ref="H42:AM42" si="40">$E$42*H11</f>
        <v>0</v>
      </c>
      <c r="I42" s="1">
        <f t="shared" si="40"/>
        <v>10350.34</v>
      </c>
      <c r="J42" s="1">
        <f t="shared" si="40"/>
        <v>10350.34</v>
      </c>
      <c r="K42" s="1">
        <f t="shared" si="40"/>
        <v>10350.34</v>
      </c>
      <c r="L42" s="1">
        <f t="shared" si="40"/>
        <v>10350.34</v>
      </c>
      <c r="M42" s="1">
        <f t="shared" si="40"/>
        <v>10350.34</v>
      </c>
      <c r="N42" s="1">
        <f t="shared" si="40"/>
        <v>10350.34</v>
      </c>
      <c r="O42" s="1">
        <f t="shared" si="40"/>
        <v>10350.34</v>
      </c>
      <c r="P42" s="1">
        <f t="shared" si="40"/>
        <v>10350.34</v>
      </c>
      <c r="Q42" s="1">
        <f t="shared" si="40"/>
        <v>10350.34</v>
      </c>
      <c r="R42" s="1">
        <f t="shared" si="40"/>
        <v>10350.34</v>
      </c>
      <c r="S42" s="1">
        <f t="shared" si="40"/>
        <v>10350.34</v>
      </c>
      <c r="T42" s="1">
        <f t="shared" si="40"/>
        <v>10350.34</v>
      </c>
      <c r="U42" s="1">
        <f t="shared" si="40"/>
        <v>10350.34</v>
      </c>
      <c r="V42" s="1">
        <f t="shared" si="40"/>
        <v>10350.34</v>
      </c>
      <c r="W42" s="1">
        <f t="shared" si="40"/>
        <v>10350.34</v>
      </c>
      <c r="X42" s="1">
        <f t="shared" si="40"/>
        <v>10350.34</v>
      </c>
      <c r="Y42" s="1">
        <f t="shared" si="40"/>
        <v>10350.34</v>
      </c>
      <c r="Z42" s="1">
        <f t="shared" si="40"/>
        <v>10350.34</v>
      </c>
      <c r="AA42" s="1">
        <f t="shared" si="40"/>
        <v>10350.34</v>
      </c>
      <c r="AB42" s="1">
        <f t="shared" si="40"/>
        <v>10350.34</v>
      </c>
      <c r="AC42" s="1">
        <f t="shared" si="40"/>
        <v>10350.34</v>
      </c>
      <c r="AD42" s="1">
        <f t="shared" si="40"/>
        <v>10350.34</v>
      </c>
      <c r="AE42" s="1">
        <f t="shared" si="40"/>
        <v>10350.34</v>
      </c>
      <c r="AF42" s="1">
        <f t="shared" si="40"/>
        <v>10350.34</v>
      </c>
      <c r="AG42" s="1">
        <f t="shared" si="40"/>
        <v>10350.34</v>
      </c>
      <c r="AH42" s="1">
        <f t="shared" si="40"/>
        <v>10350.34</v>
      </c>
      <c r="AI42" s="1">
        <f t="shared" si="40"/>
        <v>10350.34</v>
      </c>
      <c r="AJ42" s="1">
        <f t="shared" si="40"/>
        <v>10350.34</v>
      </c>
      <c r="AK42" s="1">
        <f t="shared" si="40"/>
        <v>10350.34</v>
      </c>
      <c r="AL42" s="1">
        <f t="shared" si="40"/>
        <v>10350.34</v>
      </c>
      <c r="AM42" s="1">
        <f t="shared" si="40"/>
        <v>10350.34</v>
      </c>
      <c r="AN42" s="1">
        <f t="shared" ref="AN42:BS42" si="41">$E$42*AN11</f>
        <v>10350.34</v>
      </c>
      <c r="AO42" s="1">
        <f t="shared" si="41"/>
        <v>10350.34</v>
      </c>
      <c r="AP42" s="1">
        <f t="shared" si="41"/>
        <v>10350.34</v>
      </c>
      <c r="AQ42" s="1">
        <f t="shared" si="41"/>
        <v>10350.34</v>
      </c>
      <c r="AR42" s="1">
        <f t="shared" si="41"/>
        <v>10350.34</v>
      </c>
      <c r="AS42" s="1">
        <f t="shared" si="41"/>
        <v>10350.34</v>
      </c>
      <c r="AT42" s="1">
        <f t="shared" si="41"/>
        <v>10350.34</v>
      </c>
      <c r="AU42" s="1">
        <f t="shared" si="41"/>
        <v>10350.34</v>
      </c>
      <c r="AV42" s="1">
        <f t="shared" si="41"/>
        <v>10350.34</v>
      </c>
      <c r="AW42" s="1">
        <f t="shared" si="41"/>
        <v>10350.34</v>
      </c>
      <c r="AX42" s="1">
        <f t="shared" si="41"/>
        <v>10350.34</v>
      </c>
      <c r="AY42" s="1">
        <f t="shared" si="41"/>
        <v>10350.34</v>
      </c>
      <c r="AZ42" s="1">
        <f t="shared" si="41"/>
        <v>10350.34</v>
      </c>
      <c r="BA42" s="1">
        <f t="shared" si="41"/>
        <v>10350.34</v>
      </c>
      <c r="BB42" s="1">
        <f t="shared" si="41"/>
        <v>10350.34</v>
      </c>
      <c r="BC42" s="1">
        <f t="shared" si="41"/>
        <v>10350.34</v>
      </c>
      <c r="BD42" s="1">
        <f t="shared" si="41"/>
        <v>10350.34</v>
      </c>
      <c r="BE42" s="1">
        <f t="shared" si="41"/>
        <v>10350.34</v>
      </c>
      <c r="BF42" s="1">
        <f t="shared" si="41"/>
        <v>10350.34</v>
      </c>
      <c r="BG42" s="1">
        <f t="shared" si="41"/>
        <v>10350.34</v>
      </c>
      <c r="BH42" s="1">
        <f t="shared" si="41"/>
        <v>10350.34</v>
      </c>
      <c r="BI42" s="1">
        <f t="shared" si="41"/>
        <v>10350.34</v>
      </c>
      <c r="BJ42" s="1">
        <f t="shared" si="41"/>
        <v>10350.34</v>
      </c>
      <c r="BK42" s="1">
        <f t="shared" si="41"/>
        <v>10350.34</v>
      </c>
      <c r="BL42" s="1">
        <f t="shared" si="41"/>
        <v>10350.34</v>
      </c>
      <c r="BM42" s="1">
        <f t="shared" si="41"/>
        <v>10350.34</v>
      </c>
      <c r="BN42" s="1">
        <f t="shared" si="41"/>
        <v>10350.34</v>
      </c>
      <c r="BO42" s="1">
        <f t="shared" si="41"/>
        <v>10350.34</v>
      </c>
      <c r="BP42" s="1">
        <f t="shared" si="41"/>
        <v>10350.34</v>
      </c>
      <c r="BQ42" s="1">
        <f t="shared" si="41"/>
        <v>0</v>
      </c>
      <c r="BR42" s="1">
        <f t="shared" si="41"/>
        <v>0</v>
      </c>
      <c r="BS42" s="1">
        <f t="shared" si="41"/>
        <v>0</v>
      </c>
      <c r="BT42" s="1">
        <f t="shared" ref="BT42:BZ42" si="42">$E$42*BT11</f>
        <v>0</v>
      </c>
      <c r="BU42" s="1">
        <f t="shared" si="42"/>
        <v>0</v>
      </c>
      <c r="BV42" s="1">
        <f t="shared" si="42"/>
        <v>0</v>
      </c>
      <c r="BW42" s="1">
        <f t="shared" si="42"/>
        <v>0</v>
      </c>
      <c r="BX42" s="1">
        <f t="shared" si="42"/>
        <v>0</v>
      </c>
      <c r="BY42" s="1">
        <f t="shared" si="42"/>
        <v>0</v>
      </c>
      <c r="BZ42" s="1">
        <f t="shared" si="42"/>
        <v>0</v>
      </c>
    </row>
    <row r="43" spans="2:78" ht="13.5" customHeight="1">
      <c r="C43" s="42" t="s">
        <v>78</v>
      </c>
      <c r="D43" s="42"/>
      <c r="E43" s="130">
        <f>'A&amp;R'!U25</f>
        <v>100</v>
      </c>
      <c r="F43" s="42"/>
      <c r="G43" s="42"/>
      <c r="H43" s="42">
        <f>$E$43*(1+'A&amp;R'!$W$25)^(H$16-1)*H$11</f>
        <v>0</v>
      </c>
      <c r="I43" s="42">
        <f>$E$43*(1+'A&amp;R'!$W$25)^(I$16-1)*I$11</f>
        <v>100</v>
      </c>
      <c r="J43" s="42">
        <f>$E$43*(1+'A&amp;R'!$W$25)^(J$16-1)*J$11</f>
        <v>100</v>
      </c>
      <c r="K43" s="42">
        <f>$E$43*(1+'A&amp;R'!$W$25)^(K$16-1)*K$11</f>
        <v>100</v>
      </c>
      <c r="L43" s="42">
        <f>$E$43*(1+'A&amp;R'!$W$25)^(L$16-1)*L$11</f>
        <v>100</v>
      </c>
      <c r="M43" s="42">
        <f>$E$43*(1+'A&amp;R'!$W$25)^(M$16-1)*M$11</f>
        <v>100</v>
      </c>
      <c r="N43" s="42">
        <f>$E$43*(1+'A&amp;R'!$W$25)^(N$16-1)*N$11</f>
        <v>100</v>
      </c>
      <c r="O43" s="42">
        <f>$E$43*(1+'A&amp;R'!$W$25)^(O$16-1)*O$11</f>
        <v>100</v>
      </c>
      <c r="P43" s="42">
        <f>$E$43*(1+'A&amp;R'!$W$25)^(P$16-1)*P$11</f>
        <v>100</v>
      </c>
      <c r="Q43" s="42">
        <f>$E$43*(1+'A&amp;R'!$W$25)^(Q$16-1)*Q$11</f>
        <v>100</v>
      </c>
      <c r="R43" s="42">
        <f>$E$43*(1+'A&amp;R'!$W$25)^(R$16-1)*R$11</f>
        <v>100</v>
      </c>
      <c r="S43" s="42">
        <f>$E$43*(1+'A&amp;R'!$W$25)^(S$16-1)*S$11</f>
        <v>100</v>
      </c>
      <c r="T43" s="42">
        <f>$E$43*(1+'A&amp;R'!$W$25)^(T$16-1)*T$11</f>
        <v>100</v>
      </c>
      <c r="U43" s="42">
        <f>$E$43*(1+'A&amp;R'!$W$25)^(U$16-1)*U$11</f>
        <v>101.49999999999999</v>
      </c>
      <c r="V43" s="42">
        <f>$E$43*(1+'A&amp;R'!$W$25)^(V$16-1)*V$11</f>
        <v>101.49999999999999</v>
      </c>
      <c r="W43" s="42">
        <f>$E$43*(1+'A&amp;R'!$W$25)^(W$16-1)*W$11</f>
        <v>101.49999999999999</v>
      </c>
      <c r="X43" s="42">
        <f>$E$43*(1+'A&amp;R'!$W$25)^(X$16-1)*X$11</f>
        <v>101.49999999999999</v>
      </c>
      <c r="Y43" s="42">
        <f>$E$43*(1+'A&amp;R'!$W$25)^(Y$16-1)*Y$11</f>
        <v>101.49999999999999</v>
      </c>
      <c r="Z43" s="42">
        <f>$E$43*(1+'A&amp;R'!$W$25)^(Z$16-1)*Z$11</f>
        <v>101.49999999999999</v>
      </c>
      <c r="AA43" s="42">
        <f>$E$43*(1+'A&amp;R'!$W$25)^(AA$16-1)*AA$11</f>
        <v>101.49999999999999</v>
      </c>
      <c r="AB43" s="42">
        <f>$E$43*(1+'A&amp;R'!$W$25)^(AB$16-1)*AB$11</f>
        <v>101.49999999999999</v>
      </c>
      <c r="AC43" s="42">
        <f>$E$43*(1+'A&amp;R'!$W$25)^(AC$16-1)*AC$11</f>
        <v>101.49999999999999</v>
      </c>
      <c r="AD43" s="42">
        <f>$E$43*(1+'A&amp;R'!$W$25)^(AD$16-1)*AD$11</f>
        <v>101.49999999999999</v>
      </c>
      <c r="AE43" s="42">
        <f>$E$43*(1+'A&amp;R'!$W$25)^(AE$16-1)*AE$11</f>
        <v>101.49999999999999</v>
      </c>
      <c r="AF43" s="42">
        <f>$E$43*(1+'A&amp;R'!$W$25)^(AF$16-1)*AF$11</f>
        <v>101.49999999999999</v>
      </c>
      <c r="AG43" s="42">
        <f>$E$43*(1+'A&amp;R'!$W$25)^(AG$16-1)*AG$11</f>
        <v>103.02249999999998</v>
      </c>
      <c r="AH43" s="42">
        <f>$E$43*(1+'A&amp;R'!$W$25)^(AH$16-1)*AH$11</f>
        <v>103.02249999999998</v>
      </c>
      <c r="AI43" s="42">
        <f>$E$43*(1+'A&amp;R'!$W$25)^(AI$16-1)*AI$11</f>
        <v>103.02249999999998</v>
      </c>
      <c r="AJ43" s="42">
        <f>$E$43*(1+'A&amp;R'!$W$25)^(AJ$16-1)*AJ$11</f>
        <v>103.02249999999998</v>
      </c>
      <c r="AK43" s="42">
        <f>$E$43*(1+'A&amp;R'!$W$25)^(AK$16-1)*AK$11</f>
        <v>103.02249999999998</v>
      </c>
      <c r="AL43" s="42">
        <f>$E$43*(1+'A&amp;R'!$W$25)^(AL$16-1)*AL$11</f>
        <v>103.02249999999998</v>
      </c>
      <c r="AM43" s="42">
        <f>$E$43*(1+'A&amp;R'!$W$25)^(AM$16-1)*AM$11</f>
        <v>103.02249999999998</v>
      </c>
      <c r="AN43" s="42">
        <f>$E$43*(1+'A&amp;R'!$W$25)^(AN$16-1)*AN$11</f>
        <v>103.02249999999998</v>
      </c>
      <c r="AO43" s="42">
        <f>$E$43*(1+'A&amp;R'!$W$25)^(AO$16-1)*AO$11</f>
        <v>103.02249999999998</v>
      </c>
      <c r="AP43" s="42">
        <f>$E$43*(1+'A&amp;R'!$W$25)^(AP$16-1)*AP$11</f>
        <v>103.02249999999998</v>
      </c>
      <c r="AQ43" s="42">
        <f>$E$43*(1+'A&amp;R'!$W$25)^(AQ$16-1)*AQ$11</f>
        <v>103.02249999999998</v>
      </c>
      <c r="AR43" s="42">
        <f>$E$43*(1+'A&amp;R'!$W$25)^(AR$16-1)*AR$11</f>
        <v>103.02249999999998</v>
      </c>
      <c r="AS43" s="42">
        <f>$E$43*(1+'A&amp;R'!$W$25)^(AS$16-1)*AS$11</f>
        <v>104.56783749999997</v>
      </c>
      <c r="AT43" s="42">
        <f>$E$43*(1+'A&amp;R'!$W$25)^(AT$16-1)*AT$11</f>
        <v>104.56783749999997</v>
      </c>
      <c r="AU43" s="42">
        <f>$E$43*(1+'A&amp;R'!$W$25)^(AU$16-1)*AU$11</f>
        <v>104.56783749999997</v>
      </c>
      <c r="AV43" s="42">
        <f>$E$43*(1+'A&amp;R'!$W$25)^(AV$16-1)*AV$11</f>
        <v>104.56783749999997</v>
      </c>
      <c r="AW43" s="42">
        <f>$E$43*(1+'A&amp;R'!$W$25)^(AW$16-1)*AW$11</f>
        <v>104.56783749999997</v>
      </c>
      <c r="AX43" s="42">
        <f>$E$43*(1+'A&amp;R'!$W$25)^(AX$16-1)*AX$11</f>
        <v>104.56783749999997</v>
      </c>
      <c r="AY43" s="42">
        <f>$E$43*(1+'A&amp;R'!$W$25)^(AY$16-1)*AY$11</f>
        <v>104.56783749999997</v>
      </c>
      <c r="AZ43" s="42">
        <f>$E$43*(1+'A&amp;R'!$W$25)^(AZ$16-1)*AZ$11</f>
        <v>104.56783749999997</v>
      </c>
      <c r="BA43" s="42">
        <f>$E$43*(1+'A&amp;R'!$W$25)^(BA$16-1)*BA$11</f>
        <v>104.56783749999997</v>
      </c>
      <c r="BB43" s="42">
        <f>$E$43*(1+'A&amp;R'!$W$25)^(BB$16-1)*BB$11</f>
        <v>104.56783749999997</v>
      </c>
      <c r="BC43" s="42">
        <f>$E$43*(1+'A&amp;R'!$W$25)^(BC$16-1)*BC$11</f>
        <v>104.56783749999997</v>
      </c>
      <c r="BD43" s="42">
        <f>$E$43*(1+'A&amp;R'!$W$25)^(BD$16-1)*BD$11</f>
        <v>104.56783749999997</v>
      </c>
      <c r="BE43" s="42">
        <f>$E$43*(1+'A&amp;R'!$W$25)^(BE$16-1)*BE$11</f>
        <v>106.13635506249994</v>
      </c>
      <c r="BF43" s="42">
        <f>$E$43*(1+'A&amp;R'!$W$25)^(BF$16-1)*BF$11</f>
        <v>106.13635506249994</v>
      </c>
      <c r="BG43" s="42">
        <f>$E$43*(1+'A&amp;R'!$W$25)^(BG$16-1)*BG$11</f>
        <v>106.13635506249994</v>
      </c>
      <c r="BH43" s="42">
        <f>$E$43*(1+'A&amp;R'!$W$25)^(BH$16-1)*BH$11</f>
        <v>106.13635506249994</v>
      </c>
      <c r="BI43" s="42">
        <f>$E$43*(1+'A&amp;R'!$W$25)^(BI$16-1)*BI$11</f>
        <v>106.13635506249994</v>
      </c>
      <c r="BJ43" s="42">
        <f>$E$43*(1+'A&amp;R'!$W$25)^(BJ$16-1)*BJ$11</f>
        <v>106.13635506249994</v>
      </c>
      <c r="BK43" s="42">
        <f>$E$43*(1+'A&amp;R'!$W$25)^(BK$16-1)*BK$11</f>
        <v>106.13635506249994</v>
      </c>
      <c r="BL43" s="42">
        <f>$E$43*(1+'A&amp;R'!$W$25)^(BL$16-1)*BL$11</f>
        <v>106.13635506249994</v>
      </c>
      <c r="BM43" s="42">
        <f>$E$43*(1+'A&amp;R'!$W$25)^(BM$16-1)*BM$11</f>
        <v>106.13635506249994</v>
      </c>
      <c r="BN43" s="42">
        <f>$E$43*(1+'A&amp;R'!$W$25)^(BN$16-1)*BN$11</f>
        <v>106.13635506249994</v>
      </c>
      <c r="BO43" s="42">
        <f>$E$43*(1+'A&amp;R'!$W$25)^(BO$16-1)*BO$11</f>
        <v>106.13635506249994</v>
      </c>
      <c r="BP43" s="42">
        <f>$E$43*(1+'A&amp;R'!$W$25)^(BP$16-1)*BP$11</f>
        <v>106.13635506249994</v>
      </c>
      <c r="BQ43" s="42">
        <f>$E$43*(1+'A&amp;R'!$W$25)^(BQ$16-1)*BQ$11</f>
        <v>0</v>
      </c>
      <c r="BR43" s="42">
        <f>$E$43*(1+'A&amp;R'!$W$25)^(BR$16-1)*BR$11</f>
        <v>0</v>
      </c>
      <c r="BS43" s="42">
        <f>$E$43*(1+'A&amp;R'!$W$25)^(BS$16-1)*BS$11</f>
        <v>0</v>
      </c>
      <c r="BT43" s="42">
        <f>$E$43*(1+'A&amp;R'!$W$25)^(BT$16-1)*BT$11</f>
        <v>0</v>
      </c>
      <c r="BU43" s="42">
        <f>$E$43*(1+'A&amp;R'!$W$25)^(BU$16-1)*BU$11</f>
        <v>0</v>
      </c>
      <c r="BV43" s="42">
        <f>$E$43*(1+'A&amp;R'!$W$25)^(BV$16-1)*BV$11</f>
        <v>0</v>
      </c>
      <c r="BW43" s="42">
        <f>$E$43*(1+'A&amp;R'!$W$25)^(BW$16-1)*BW$11</f>
        <v>0</v>
      </c>
      <c r="BX43" s="42">
        <f>$E$43*(1+'A&amp;R'!$W$25)^(BX$16-1)*BX$11</f>
        <v>0</v>
      </c>
      <c r="BY43" s="42">
        <f>$E$43*(1+'A&amp;R'!$W$25)^(BY$16-1)*BY$11</f>
        <v>0</v>
      </c>
      <c r="BZ43" s="42">
        <f>$E$43*(1+'A&amp;R'!$W$25)^(BZ$16-1)*BZ$11</f>
        <v>0</v>
      </c>
    </row>
    <row r="44" spans="2:78" s="136" customFormat="1" ht="13.5" customHeight="1">
      <c r="C44" s="137" t="s">
        <v>233</v>
      </c>
      <c r="D44" s="137"/>
      <c r="E44" s="137"/>
      <c r="F44" s="137">
        <f>SUM(G44:XFD44)</f>
        <v>63.993257341168082</v>
      </c>
      <c r="G44" s="137"/>
      <c r="H44" s="137">
        <f t="shared" ref="H44:AM44" si="43">H42*H43/unit</f>
        <v>0</v>
      </c>
      <c r="I44" s="137">
        <f t="shared" si="43"/>
        <v>1.035034</v>
      </c>
      <c r="J44" s="137">
        <f t="shared" si="43"/>
        <v>1.035034</v>
      </c>
      <c r="K44" s="137">
        <f t="shared" si="43"/>
        <v>1.035034</v>
      </c>
      <c r="L44" s="137">
        <f t="shared" si="43"/>
        <v>1.035034</v>
      </c>
      <c r="M44" s="137">
        <f t="shared" si="43"/>
        <v>1.035034</v>
      </c>
      <c r="N44" s="137">
        <f t="shared" si="43"/>
        <v>1.035034</v>
      </c>
      <c r="O44" s="137">
        <f t="shared" si="43"/>
        <v>1.035034</v>
      </c>
      <c r="P44" s="137">
        <f t="shared" si="43"/>
        <v>1.035034</v>
      </c>
      <c r="Q44" s="137">
        <f t="shared" si="43"/>
        <v>1.035034</v>
      </c>
      <c r="R44" s="137">
        <f t="shared" si="43"/>
        <v>1.035034</v>
      </c>
      <c r="S44" s="137">
        <f t="shared" si="43"/>
        <v>1.035034</v>
      </c>
      <c r="T44" s="137">
        <f t="shared" si="43"/>
        <v>1.035034</v>
      </c>
      <c r="U44" s="137">
        <f t="shared" si="43"/>
        <v>1.0505595099999998</v>
      </c>
      <c r="V44" s="137">
        <f t="shared" si="43"/>
        <v>1.0505595099999998</v>
      </c>
      <c r="W44" s="137">
        <f t="shared" si="43"/>
        <v>1.0505595099999998</v>
      </c>
      <c r="X44" s="137">
        <f t="shared" si="43"/>
        <v>1.0505595099999998</v>
      </c>
      <c r="Y44" s="137">
        <f t="shared" si="43"/>
        <v>1.0505595099999998</v>
      </c>
      <c r="Z44" s="137">
        <f t="shared" si="43"/>
        <v>1.0505595099999998</v>
      </c>
      <c r="AA44" s="137">
        <f t="shared" si="43"/>
        <v>1.0505595099999998</v>
      </c>
      <c r="AB44" s="137">
        <f t="shared" si="43"/>
        <v>1.0505595099999998</v>
      </c>
      <c r="AC44" s="137">
        <f t="shared" si="43"/>
        <v>1.0505595099999998</v>
      </c>
      <c r="AD44" s="137">
        <f t="shared" si="43"/>
        <v>1.0505595099999998</v>
      </c>
      <c r="AE44" s="137">
        <f t="shared" si="43"/>
        <v>1.0505595099999998</v>
      </c>
      <c r="AF44" s="137">
        <f t="shared" si="43"/>
        <v>1.0505595099999998</v>
      </c>
      <c r="AG44" s="137">
        <f t="shared" si="43"/>
        <v>1.0663179026499998</v>
      </c>
      <c r="AH44" s="137">
        <f t="shared" si="43"/>
        <v>1.0663179026499998</v>
      </c>
      <c r="AI44" s="137">
        <f t="shared" si="43"/>
        <v>1.0663179026499998</v>
      </c>
      <c r="AJ44" s="137">
        <f t="shared" si="43"/>
        <v>1.0663179026499998</v>
      </c>
      <c r="AK44" s="137">
        <f t="shared" si="43"/>
        <v>1.0663179026499998</v>
      </c>
      <c r="AL44" s="137">
        <f t="shared" si="43"/>
        <v>1.0663179026499998</v>
      </c>
      <c r="AM44" s="137">
        <f t="shared" si="43"/>
        <v>1.0663179026499998</v>
      </c>
      <c r="AN44" s="137">
        <f t="shared" ref="AN44:BS44" si="44">AN42*AN43/unit</f>
        <v>1.0663179026499998</v>
      </c>
      <c r="AO44" s="137">
        <f t="shared" si="44"/>
        <v>1.0663179026499998</v>
      </c>
      <c r="AP44" s="137">
        <f t="shared" si="44"/>
        <v>1.0663179026499998</v>
      </c>
      <c r="AQ44" s="137">
        <f t="shared" si="44"/>
        <v>1.0663179026499998</v>
      </c>
      <c r="AR44" s="137">
        <f t="shared" si="44"/>
        <v>1.0663179026499998</v>
      </c>
      <c r="AS44" s="137">
        <f t="shared" si="44"/>
        <v>1.0823126711897497</v>
      </c>
      <c r="AT44" s="137">
        <f t="shared" si="44"/>
        <v>1.0823126711897497</v>
      </c>
      <c r="AU44" s="137">
        <f t="shared" si="44"/>
        <v>1.0823126711897497</v>
      </c>
      <c r="AV44" s="137">
        <f t="shared" si="44"/>
        <v>1.0823126711897497</v>
      </c>
      <c r="AW44" s="137">
        <f t="shared" si="44"/>
        <v>1.0823126711897497</v>
      </c>
      <c r="AX44" s="137">
        <f t="shared" si="44"/>
        <v>1.0823126711897497</v>
      </c>
      <c r="AY44" s="137">
        <f t="shared" si="44"/>
        <v>1.0823126711897497</v>
      </c>
      <c r="AZ44" s="137">
        <f t="shared" si="44"/>
        <v>1.0823126711897497</v>
      </c>
      <c r="BA44" s="137">
        <f t="shared" si="44"/>
        <v>1.0823126711897497</v>
      </c>
      <c r="BB44" s="137">
        <f t="shared" si="44"/>
        <v>1.0823126711897497</v>
      </c>
      <c r="BC44" s="137">
        <f t="shared" si="44"/>
        <v>1.0823126711897497</v>
      </c>
      <c r="BD44" s="137">
        <f t="shared" si="44"/>
        <v>1.0823126711897497</v>
      </c>
      <c r="BE44" s="137">
        <f t="shared" si="44"/>
        <v>1.0985473612575958</v>
      </c>
      <c r="BF44" s="137">
        <f t="shared" si="44"/>
        <v>1.0985473612575958</v>
      </c>
      <c r="BG44" s="137">
        <f t="shared" si="44"/>
        <v>1.0985473612575958</v>
      </c>
      <c r="BH44" s="137">
        <f t="shared" si="44"/>
        <v>1.0985473612575958</v>
      </c>
      <c r="BI44" s="137">
        <f t="shared" si="44"/>
        <v>1.0985473612575958</v>
      </c>
      <c r="BJ44" s="137">
        <f t="shared" si="44"/>
        <v>1.0985473612575958</v>
      </c>
      <c r="BK44" s="137">
        <f t="shared" si="44"/>
        <v>1.0985473612575958</v>
      </c>
      <c r="BL44" s="137">
        <f t="shared" si="44"/>
        <v>1.0985473612575958</v>
      </c>
      <c r="BM44" s="137">
        <f t="shared" si="44"/>
        <v>1.0985473612575958</v>
      </c>
      <c r="BN44" s="137">
        <f t="shared" si="44"/>
        <v>1.0985473612575958</v>
      </c>
      <c r="BO44" s="137">
        <f t="shared" si="44"/>
        <v>1.0985473612575958</v>
      </c>
      <c r="BP44" s="137">
        <f t="shared" si="44"/>
        <v>1.0985473612575958</v>
      </c>
      <c r="BQ44" s="137">
        <f t="shared" si="44"/>
        <v>0</v>
      </c>
      <c r="BR44" s="137">
        <f t="shared" si="44"/>
        <v>0</v>
      </c>
      <c r="BS44" s="137">
        <f t="shared" si="44"/>
        <v>0</v>
      </c>
      <c r="BT44" s="137">
        <f t="shared" ref="BT44:BY44" si="45">BT42*BT43/unit</f>
        <v>0</v>
      </c>
      <c r="BU44" s="137">
        <f t="shared" si="45"/>
        <v>0</v>
      </c>
      <c r="BV44" s="137">
        <f t="shared" si="45"/>
        <v>0</v>
      </c>
      <c r="BW44" s="137">
        <f t="shared" si="45"/>
        <v>0</v>
      </c>
      <c r="BX44" s="137">
        <f t="shared" si="45"/>
        <v>0</v>
      </c>
      <c r="BY44" s="137">
        <f t="shared" si="45"/>
        <v>0</v>
      </c>
      <c r="BZ44" s="137">
        <f t="shared" ref="BZ44" si="46">BZ42*BZ43/unit</f>
        <v>0</v>
      </c>
    </row>
    <row r="45" spans="2:78" ht="13.5" customHeight="1">
      <c r="C45" s="1" t="str">
        <f>'A&amp;R'!R26</f>
        <v>예비비</v>
      </c>
      <c r="F45" s="1">
        <f>SUM(G45:XFD45)</f>
        <v>300</v>
      </c>
      <c r="H45" s="1">
        <f>'A&amp;R'!$T$26*H$11</f>
        <v>0</v>
      </c>
      <c r="I45" s="1">
        <f>'A&amp;R'!$T$26*I$11</f>
        <v>5</v>
      </c>
      <c r="J45" s="1">
        <f>'A&amp;R'!$T$26*J$11</f>
        <v>5</v>
      </c>
      <c r="K45" s="1">
        <f>'A&amp;R'!$T$26*K$11</f>
        <v>5</v>
      </c>
      <c r="L45" s="1">
        <f>'A&amp;R'!$T$26*L$11</f>
        <v>5</v>
      </c>
      <c r="M45" s="1">
        <f>'A&amp;R'!$T$26*M$11</f>
        <v>5</v>
      </c>
      <c r="N45" s="1">
        <f>'A&amp;R'!$T$26*N$11</f>
        <v>5</v>
      </c>
      <c r="O45" s="1">
        <f>'A&amp;R'!$T$26*O$11</f>
        <v>5</v>
      </c>
      <c r="P45" s="1">
        <f>'A&amp;R'!$T$26*P$11</f>
        <v>5</v>
      </c>
      <c r="Q45" s="1">
        <f>'A&amp;R'!$T$26*Q$11</f>
        <v>5</v>
      </c>
      <c r="R45" s="1">
        <f>'A&amp;R'!$T$26*R$11</f>
        <v>5</v>
      </c>
      <c r="S45" s="1">
        <f>'A&amp;R'!$T$26*S$11</f>
        <v>5</v>
      </c>
      <c r="T45" s="1">
        <f>'A&amp;R'!$T$26*T$11</f>
        <v>5</v>
      </c>
      <c r="U45" s="1">
        <f>'A&amp;R'!$T$26*U$11</f>
        <v>5</v>
      </c>
      <c r="V45" s="1">
        <f>'A&amp;R'!$T$26*V$11</f>
        <v>5</v>
      </c>
      <c r="W45" s="1">
        <f>'A&amp;R'!$T$26*W$11</f>
        <v>5</v>
      </c>
      <c r="X45" s="1">
        <f>'A&amp;R'!$T$26*X$11</f>
        <v>5</v>
      </c>
      <c r="Y45" s="1">
        <f>'A&amp;R'!$T$26*Y$11</f>
        <v>5</v>
      </c>
      <c r="Z45" s="1">
        <f>'A&amp;R'!$T$26*Z$11</f>
        <v>5</v>
      </c>
      <c r="AA45" s="1">
        <f>'A&amp;R'!$T$26*AA$11</f>
        <v>5</v>
      </c>
      <c r="AB45" s="1">
        <f>'A&amp;R'!$T$26*AB$11</f>
        <v>5</v>
      </c>
      <c r="AC45" s="1">
        <f>'A&amp;R'!$T$26*AC$11</f>
        <v>5</v>
      </c>
      <c r="AD45" s="1">
        <f>'A&amp;R'!$T$26*AD$11</f>
        <v>5</v>
      </c>
      <c r="AE45" s="1">
        <f>'A&amp;R'!$T$26*AE$11</f>
        <v>5</v>
      </c>
      <c r="AF45" s="1">
        <f>'A&amp;R'!$T$26*AF$11</f>
        <v>5</v>
      </c>
      <c r="AG45" s="1">
        <f>'A&amp;R'!$T$26*AG$11</f>
        <v>5</v>
      </c>
      <c r="AH45" s="1">
        <f>'A&amp;R'!$T$26*AH$11</f>
        <v>5</v>
      </c>
      <c r="AI45" s="1">
        <f>'A&amp;R'!$T$26*AI$11</f>
        <v>5</v>
      </c>
      <c r="AJ45" s="1">
        <f>'A&amp;R'!$T$26*AJ$11</f>
        <v>5</v>
      </c>
      <c r="AK45" s="1">
        <f>'A&amp;R'!$T$26*AK$11</f>
        <v>5</v>
      </c>
      <c r="AL45" s="1">
        <f>'A&amp;R'!$T$26*AL$11</f>
        <v>5</v>
      </c>
      <c r="AM45" s="1">
        <f>'A&amp;R'!$T$26*AM$11</f>
        <v>5</v>
      </c>
      <c r="AN45" s="1">
        <f>'A&amp;R'!$T$26*AN$11</f>
        <v>5</v>
      </c>
      <c r="AO45" s="1">
        <f>'A&amp;R'!$T$26*AO$11</f>
        <v>5</v>
      </c>
      <c r="AP45" s="1">
        <f>'A&amp;R'!$T$26*AP$11</f>
        <v>5</v>
      </c>
      <c r="AQ45" s="1">
        <f>'A&amp;R'!$T$26*AQ$11</f>
        <v>5</v>
      </c>
      <c r="AR45" s="1">
        <f>'A&amp;R'!$T$26*AR$11</f>
        <v>5</v>
      </c>
      <c r="AS45" s="1">
        <f>'A&amp;R'!$T$26*AS$11</f>
        <v>5</v>
      </c>
      <c r="AT45" s="1">
        <f>'A&amp;R'!$T$26*AT$11</f>
        <v>5</v>
      </c>
      <c r="AU45" s="1">
        <f>'A&amp;R'!$T$26*AU$11</f>
        <v>5</v>
      </c>
      <c r="AV45" s="1">
        <f>'A&amp;R'!$T$26*AV$11</f>
        <v>5</v>
      </c>
      <c r="AW45" s="1">
        <f>'A&amp;R'!$T$26*AW$11</f>
        <v>5</v>
      </c>
      <c r="AX45" s="1">
        <f>'A&amp;R'!$T$26*AX$11</f>
        <v>5</v>
      </c>
      <c r="AY45" s="1">
        <f>'A&amp;R'!$T$26*AY$11</f>
        <v>5</v>
      </c>
      <c r="AZ45" s="1">
        <f>'A&amp;R'!$T$26*AZ$11</f>
        <v>5</v>
      </c>
      <c r="BA45" s="1">
        <f>'A&amp;R'!$T$26*BA$11</f>
        <v>5</v>
      </c>
      <c r="BB45" s="1">
        <f>'A&amp;R'!$T$26*BB$11</f>
        <v>5</v>
      </c>
      <c r="BC45" s="1">
        <f>'A&amp;R'!$T$26*BC$11</f>
        <v>5</v>
      </c>
      <c r="BD45" s="1">
        <f>'A&amp;R'!$T$26*BD$11</f>
        <v>5</v>
      </c>
      <c r="BE45" s="1">
        <f>'A&amp;R'!$T$26*BE$11</f>
        <v>5</v>
      </c>
      <c r="BF45" s="1">
        <f>'A&amp;R'!$T$26*BF$11</f>
        <v>5</v>
      </c>
      <c r="BG45" s="1">
        <f>'A&amp;R'!$T$26*BG$11</f>
        <v>5</v>
      </c>
      <c r="BH45" s="1">
        <f>'A&amp;R'!$T$26*BH$11</f>
        <v>5</v>
      </c>
      <c r="BI45" s="1">
        <f>'A&amp;R'!$T$26*BI$11</f>
        <v>5</v>
      </c>
      <c r="BJ45" s="1">
        <f>'A&amp;R'!$T$26*BJ$11</f>
        <v>5</v>
      </c>
      <c r="BK45" s="1">
        <f>'A&amp;R'!$T$26*BK$11</f>
        <v>5</v>
      </c>
      <c r="BL45" s="1">
        <f>'A&amp;R'!$T$26*BL$11</f>
        <v>5</v>
      </c>
      <c r="BM45" s="1">
        <f>'A&amp;R'!$T$26*BM$11</f>
        <v>5</v>
      </c>
      <c r="BN45" s="1">
        <f>'A&amp;R'!$T$26*BN$11</f>
        <v>5</v>
      </c>
      <c r="BO45" s="1">
        <f>'A&amp;R'!$T$26*BO$11</f>
        <v>5</v>
      </c>
      <c r="BP45" s="1">
        <f>'A&amp;R'!$T$26*BP$11</f>
        <v>5</v>
      </c>
      <c r="BQ45" s="1">
        <f>'A&amp;R'!$T$26*BQ$11</f>
        <v>0</v>
      </c>
      <c r="BR45" s="1">
        <f>'A&amp;R'!$T$26*BR$11</f>
        <v>0</v>
      </c>
      <c r="BS45" s="1">
        <f>'A&amp;R'!$T$26*BS$11</f>
        <v>0</v>
      </c>
      <c r="BT45" s="1">
        <f>'A&amp;R'!$T$26*BT$11</f>
        <v>0</v>
      </c>
      <c r="BU45" s="1">
        <f>'A&amp;R'!$T$26*BU$11</f>
        <v>0</v>
      </c>
      <c r="BV45" s="1">
        <f>'A&amp;R'!$T$26*BV$11</f>
        <v>0</v>
      </c>
      <c r="BW45" s="1">
        <f>'A&amp;R'!$T$26*BW$11</f>
        <v>0</v>
      </c>
      <c r="BX45" s="1">
        <f>'A&amp;R'!$T$26*BX$11</f>
        <v>0</v>
      </c>
      <c r="BY45" s="1">
        <f>'A&amp;R'!$T$26*BY$11</f>
        <v>0</v>
      </c>
      <c r="BZ45" s="1">
        <f>'A&amp;R'!$T$26*BZ$11</f>
        <v>0</v>
      </c>
    </row>
    <row r="46" spans="2:78" ht="13.5" customHeight="1">
      <c r="C46" s="44" t="s">
        <v>233</v>
      </c>
      <c r="D46" s="44"/>
      <c r="E46" s="44"/>
      <c r="F46" s="44">
        <f>SUM(G46:XFD46)</f>
        <v>555.97302936467304</v>
      </c>
      <c r="G46" s="44"/>
      <c r="H46" s="44">
        <f>H40+H44+H45</f>
        <v>0</v>
      </c>
      <c r="I46" s="44">
        <f t="shared" ref="I46:BT46" si="47">I40+I44+I45</f>
        <v>9.140136</v>
      </c>
      <c r="J46" s="44">
        <f t="shared" si="47"/>
        <v>9.140136</v>
      </c>
      <c r="K46" s="44">
        <f t="shared" si="47"/>
        <v>9.140136</v>
      </c>
      <c r="L46" s="44">
        <f t="shared" si="47"/>
        <v>9.140136</v>
      </c>
      <c r="M46" s="44">
        <f t="shared" si="47"/>
        <v>9.140136</v>
      </c>
      <c r="N46" s="44">
        <f t="shared" si="47"/>
        <v>9.140136</v>
      </c>
      <c r="O46" s="44">
        <f t="shared" si="47"/>
        <v>9.140136</v>
      </c>
      <c r="P46" s="44">
        <f t="shared" si="47"/>
        <v>9.140136</v>
      </c>
      <c r="Q46" s="44">
        <f t="shared" si="47"/>
        <v>9.140136</v>
      </c>
      <c r="R46" s="44">
        <f t="shared" si="47"/>
        <v>9.140136</v>
      </c>
      <c r="S46" s="44">
        <f t="shared" si="47"/>
        <v>9.140136</v>
      </c>
      <c r="T46" s="44">
        <f t="shared" si="47"/>
        <v>9.140136</v>
      </c>
      <c r="U46" s="44">
        <f t="shared" si="47"/>
        <v>9.2022380399999992</v>
      </c>
      <c r="V46" s="44">
        <f t="shared" si="47"/>
        <v>9.2022380399999992</v>
      </c>
      <c r="W46" s="44">
        <f t="shared" si="47"/>
        <v>9.2022380399999992</v>
      </c>
      <c r="X46" s="44">
        <f t="shared" si="47"/>
        <v>9.2022380399999992</v>
      </c>
      <c r="Y46" s="44">
        <f t="shared" si="47"/>
        <v>9.2022380399999992</v>
      </c>
      <c r="Z46" s="44">
        <f t="shared" si="47"/>
        <v>9.2022380399999992</v>
      </c>
      <c r="AA46" s="44">
        <f t="shared" si="47"/>
        <v>9.2022380399999992</v>
      </c>
      <c r="AB46" s="44">
        <f t="shared" si="47"/>
        <v>9.2022380399999992</v>
      </c>
      <c r="AC46" s="44">
        <f t="shared" si="47"/>
        <v>9.2022380399999992</v>
      </c>
      <c r="AD46" s="44">
        <f t="shared" si="47"/>
        <v>9.2022380399999992</v>
      </c>
      <c r="AE46" s="44">
        <f t="shared" si="47"/>
        <v>9.2022380399999992</v>
      </c>
      <c r="AF46" s="44">
        <f t="shared" si="47"/>
        <v>9.2022380399999992</v>
      </c>
      <c r="AG46" s="44">
        <f t="shared" si="47"/>
        <v>9.2652716105999993</v>
      </c>
      <c r="AH46" s="44">
        <f t="shared" si="47"/>
        <v>9.2652716105999993</v>
      </c>
      <c r="AI46" s="44">
        <f t="shared" si="47"/>
        <v>9.2652716105999993</v>
      </c>
      <c r="AJ46" s="44">
        <f t="shared" si="47"/>
        <v>9.2652716105999993</v>
      </c>
      <c r="AK46" s="44">
        <f t="shared" si="47"/>
        <v>9.2652716105999993</v>
      </c>
      <c r="AL46" s="44">
        <f t="shared" si="47"/>
        <v>9.2652716105999993</v>
      </c>
      <c r="AM46" s="44">
        <f t="shared" si="47"/>
        <v>9.2652716105999993</v>
      </c>
      <c r="AN46" s="44">
        <f t="shared" si="47"/>
        <v>9.2652716105999993</v>
      </c>
      <c r="AO46" s="44">
        <f t="shared" si="47"/>
        <v>9.2652716105999993</v>
      </c>
      <c r="AP46" s="44">
        <f t="shared" si="47"/>
        <v>9.2652716105999993</v>
      </c>
      <c r="AQ46" s="44">
        <f t="shared" si="47"/>
        <v>9.2652716105999993</v>
      </c>
      <c r="AR46" s="44">
        <f t="shared" si="47"/>
        <v>9.2652716105999993</v>
      </c>
      <c r="AS46" s="44">
        <f t="shared" si="47"/>
        <v>9.3292506847589998</v>
      </c>
      <c r="AT46" s="44">
        <f t="shared" si="47"/>
        <v>9.3292506847589998</v>
      </c>
      <c r="AU46" s="44">
        <f t="shared" si="47"/>
        <v>9.3292506847589998</v>
      </c>
      <c r="AV46" s="44">
        <f t="shared" si="47"/>
        <v>9.3292506847589998</v>
      </c>
      <c r="AW46" s="44">
        <f t="shared" si="47"/>
        <v>9.3292506847589998</v>
      </c>
      <c r="AX46" s="44">
        <f t="shared" si="47"/>
        <v>9.3292506847589998</v>
      </c>
      <c r="AY46" s="44">
        <f t="shared" si="47"/>
        <v>9.3292506847589998</v>
      </c>
      <c r="AZ46" s="44">
        <f t="shared" si="47"/>
        <v>9.3292506847589998</v>
      </c>
      <c r="BA46" s="44">
        <f t="shared" si="47"/>
        <v>9.3292506847589998</v>
      </c>
      <c r="BB46" s="44">
        <f t="shared" si="47"/>
        <v>9.3292506847589998</v>
      </c>
      <c r="BC46" s="44">
        <f t="shared" si="47"/>
        <v>9.3292506847589998</v>
      </c>
      <c r="BD46" s="44">
        <f t="shared" si="47"/>
        <v>9.3292506847589998</v>
      </c>
      <c r="BE46" s="44">
        <f t="shared" si="47"/>
        <v>9.3941894450303831</v>
      </c>
      <c r="BF46" s="44">
        <f t="shared" si="47"/>
        <v>9.3941894450303831</v>
      </c>
      <c r="BG46" s="44">
        <f t="shared" si="47"/>
        <v>9.3941894450303831</v>
      </c>
      <c r="BH46" s="44">
        <f t="shared" si="47"/>
        <v>9.3941894450303831</v>
      </c>
      <c r="BI46" s="44">
        <f t="shared" si="47"/>
        <v>9.3941894450303831</v>
      </c>
      <c r="BJ46" s="44">
        <f t="shared" si="47"/>
        <v>9.3941894450303831</v>
      </c>
      <c r="BK46" s="44">
        <f t="shared" si="47"/>
        <v>9.3941894450303831</v>
      </c>
      <c r="BL46" s="44">
        <f t="shared" si="47"/>
        <v>9.3941894450303831</v>
      </c>
      <c r="BM46" s="44">
        <f t="shared" si="47"/>
        <v>9.3941894450303831</v>
      </c>
      <c r="BN46" s="44">
        <f t="shared" si="47"/>
        <v>9.3941894450303831</v>
      </c>
      <c r="BO46" s="44">
        <f t="shared" si="47"/>
        <v>9.3941894450303831</v>
      </c>
      <c r="BP46" s="44">
        <f t="shared" si="47"/>
        <v>9.3941894450303831</v>
      </c>
      <c r="BQ46" s="44">
        <f t="shared" si="47"/>
        <v>0</v>
      </c>
      <c r="BR46" s="44">
        <f t="shared" si="47"/>
        <v>0</v>
      </c>
      <c r="BS46" s="44">
        <f t="shared" si="47"/>
        <v>0</v>
      </c>
      <c r="BT46" s="44">
        <f t="shared" si="47"/>
        <v>0</v>
      </c>
      <c r="BU46" s="44">
        <f t="shared" ref="BU46:BY46" si="48">BU40+BU44+BU45</f>
        <v>0</v>
      </c>
      <c r="BV46" s="44">
        <f t="shared" si="48"/>
        <v>0</v>
      </c>
      <c r="BW46" s="44">
        <f t="shared" si="48"/>
        <v>0</v>
      </c>
      <c r="BX46" s="44">
        <f t="shared" si="48"/>
        <v>0</v>
      </c>
      <c r="BY46" s="44">
        <f t="shared" si="48"/>
        <v>0</v>
      </c>
      <c r="BZ46" s="44">
        <f t="shared" ref="BZ46" si="49">BZ40+BZ44+BZ45</f>
        <v>0</v>
      </c>
    </row>
    <row r="48" spans="2:78" ht="13.5" customHeight="1">
      <c r="B48" s="13" t="str">
        <f>'A&amp;R'!Q27</f>
        <v>제세공과금</v>
      </c>
    </row>
    <row r="49" spans="3:78" ht="13.5" customHeight="1">
      <c r="C49" s="1" t="str">
        <f>'A&amp;R'!R27</f>
        <v>토지분 재산세</v>
      </c>
    </row>
    <row r="50" spans="3:78" ht="13.5" customHeight="1">
      <c r="D50" s="1" t="s">
        <v>324</v>
      </c>
      <c r="F50" s="1">
        <f>SUM(G50:XFD50)</f>
        <v>172.70388523108804</v>
      </c>
      <c r="H50" s="1">
        <f>SUMIF(보유세!$62:$62,운영비용!H$14,보유세!$63:$63)*H$11</f>
        <v>0</v>
      </c>
      <c r="I50" s="1">
        <f>SUMIF(보유세!$62:$62,운영비용!I$14,보유세!$63:$63)*I$11</f>
        <v>0</v>
      </c>
      <c r="J50" s="1">
        <f>SUMIF(보유세!$62:$62,운영비용!J$14,보유세!$63:$63)*J$11</f>
        <v>0</v>
      </c>
      <c r="K50" s="1">
        <f>SUMIF(보유세!$62:$62,운영비용!K$14,보유세!$63:$63)*K$11</f>
        <v>32.445719196000006</v>
      </c>
      <c r="L50" s="1">
        <f>SUMIF(보유세!$62:$62,운영비용!L$14,보유세!$63:$63)*L$11</f>
        <v>0</v>
      </c>
      <c r="M50" s="1">
        <f>SUMIF(보유세!$62:$62,운영비용!M$14,보유세!$63:$63)*M$11</f>
        <v>0</v>
      </c>
      <c r="N50" s="1">
        <f>SUMIF(보유세!$62:$62,운영비용!N$14,보유세!$63:$63)*N$11</f>
        <v>0</v>
      </c>
      <c r="O50" s="1">
        <f>SUMIF(보유세!$62:$62,운영비용!O$14,보유세!$63:$63)*O$11</f>
        <v>0</v>
      </c>
      <c r="P50" s="1">
        <f>SUMIF(보유세!$62:$62,운영비용!P$14,보유세!$63:$63)*P$11</f>
        <v>0</v>
      </c>
      <c r="Q50" s="1">
        <f>SUMIF(보유세!$62:$62,운영비용!Q$14,보유세!$63:$63)*Q$11</f>
        <v>0</v>
      </c>
      <c r="R50" s="1">
        <f>SUMIF(보유세!$62:$62,운영비용!R$14,보유세!$63:$63)*R$11</f>
        <v>0</v>
      </c>
      <c r="S50" s="1">
        <f>SUMIF(보유세!$62:$62,운영비용!S$14,보유세!$63:$63)*S$11</f>
        <v>0</v>
      </c>
      <c r="T50" s="1">
        <f>SUMIF(보유세!$62:$62,운영비용!T$14,보유세!$63:$63)*T$11</f>
        <v>0</v>
      </c>
      <c r="U50" s="1">
        <f>SUMIF(보유세!$62:$62,운영비용!U$14,보유세!$63:$63)*U$11</f>
        <v>0</v>
      </c>
      <c r="V50" s="1">
        <f>SUMIF(보유세!$62:$62,운영비용!V$14,보유세!$63:$63)*V$11</f>
        <v>0</v>
      </c>
      <c r="W50" s="1">
        <f>SUMIF(보유세!$62:$62,운영비용!W$14,보유세!$63:$63)*W$11</f>
        <v>33.462290771879999</v>
      </c>
      <c r="X50" s="1">
        <f>SUMIF(보유세!$62:$62,운영비용!X$14,보유세!$63:$63)*X$11</f>
        <v>0</v>
      </c>
      <c r="Y50" s="1">
        <f>SUMIF(보유세!$62:$62,운영비용!Y$14,보유세!$63:$63)*Y$11</f>
        <v>0</v>
      </c>
      <c r="Z50" s="1">
        <f>SUMIF(보유세!$62:$62,운영비용!Z$14,보유세!$63:$63)*Z$11</f>
        <v>0</v>
      </c>
      <c r="AA50" s="1">
        <f>SUMIF(보유세!$62:$62,운영비용!AA$14,보유세!$63:$63)*AA$11</f>
        <v>0</v>
      </c>
      <c r="AB50" s="1">
        <f>SUMIF(보유세!$62:$62,운영비용!AB$14,보유세!$63:$63)*AB$11</f>
        <v>0</v>
      </c>
      <c r="AC50" s="1">
        <f>SUMIF(보유세!$62:$62,운영비용!AC$14,보유세!$63:$63)*AC$11</f>
        <v>0</v>
      </c>
      <c r="AD50" s="1">
        <f>SUMIF(보유세!$62:$62,운영비용!AD$14,보유세!$63:$63)*AD$11</f>
        <v>0</v>
      </c>
      <c r="AE50" s="1">
        <f>SUMIF(보유세!$62:$62,운영비용!AE$14,보유세!$63:$63)*AE$11</f>
        <v>0</v>
      </c>
      <c r="AF50" s="1">
        <f>SUMIF(보유세!$62:$62,운영비용!AF$14,보유세!$63:$63)*AF$11</f>
        <v>0</v>
      </c>
      <c r="AG50" s="1">
        <f>SUMIF(보유세!$62:$62,운영비용!AG$14,보유세!$63:$63)*AG$11</f>
        <v>0</v>
      </c>
      <c r="AH50" s="1">
        <f>SUMIF(보유세!$62:$62,운영비용!AH$14,보유세!$63:$63)*AH$11</f>
        <v>0</v>
      </c>
      <c r="AI50" s="1">
        <f>SUMIF(보유세!$62:$62,운영비용!AI$14,보유세!$63:$63)*AI$11</f>
        <v>34.509359495036406</v>
      </c>
      <c r="AJ50" s="1">
        <f>SUMIF(보유세!$62:$62,운영비용!AJ$14,보유세!$63:$63)*AJ$11</f>
        <v>0</v>
      </c>
      <c r="AK50" s="1">
        <f>SUMIF(보유세!$62:$62,운영비용!AK$14,보유세!$63:$63)*AK$11</f>
        <v>0</v>
      </c>
      <c r="AL50" s="1">
        <f>SUMIF(보유세!$62:$62,운영비용!AL$14,보유세!$63:$63)*AL$11</f>
        <v>0</v>
      </c>
      <c r="AM50" s="1">
        <f>SUMIF(보유세!$62:$62,운영비용!AM$14,보유세!$63:$63)*AM$11</f>
        <v>0</v>
      </c>
      <c r="AN50" s="1">
        <f>SUMIF(보유세!$62:$62,운영비용!AN$14,보유세!$63:$63)*AN$11</f>
        <v>0</v>
      </c>
      <c r="AO50" s="1">
        <f>SUMIF(보유세!$62:$62,운영비용!AO$14,보유세!$63:$63)*AO$11</f>
        <v>0</v>
      </c>
      <c r="AP50" s="1">
        <f>SUMIF(보유세!$62:$62,운영비용!AP$14,보유세!$63:$63)*AP$11</f>
        <v>0</v>
      </c>
      <c r="AQ50" s="1">
        <f>SUMIF(보유세!$62:$62,운영비용!AQ$14,보유세!$63:$63)*AQ$11</f>
        <v>0</v>
      </c>
      <c r="AR50" s="1">
        <f>SUMIF(보유세!$62:$62,운영비용!AR$14,보유세!$63:$63)*AR$11</f>
        <v>0</v>
      </c>
      <c r="AS50" s="1">
        <f>SUMIF(보유세!$62:$62,운영비용!AS$14,보유세!$63:$63)*AS$11</f>
        <v>0</v>
      </c>
      <c r="AT50" s="1">
        <f>SUMIF(보유세!$62:$62,운영비용!AT$14,보유세!$63:$63)*AT$11</f>
        <v>0</v>
      </c>
      <c r="AU50" s="1">
        <f>SUMIF(보유세!$62:$62,운영비용!AU$14,보유세!$63:$63)*AU$11</f>
        <v>35.587840279887494</v>
      </c>
      <c r="AV50" s="1">
        <f>SUMIF(보유세!$62:$62,운영비용!AV$14,보유세!$63:$63)*AV$11</f>
        <v>0</v>
      </c>
      <c r="AW50" s="1">
        <f>SUMIF(보유세!$62:$62,운영비용!AW$14,보유세!$63:$63)*AW$11</f>
        <v>0</v>
      </c>
      <c r="AX50" s="1">
        <f>SUMIF(보유세!$62:$62,운영비용!AX$14,보유세!$63:$63)*AX$11</f>
        <v>0</v>
      </c>
      <c r="AY50" s="1">
        <f>SUMIF(보유세!$62:$62,운영비용!AY$14,보유세!$63:$63)*AY$11</f>
        <v>0</v>
      </c>
      <c r="AZ50" s="1">
        <f>SUMIF(보유세!$62:$62,운영비용!AZ$14,보유세!$63:$63)*AZ$11</f>
        <v>0</v>
      </c>
      <c r="BA50" s="1">
        <f>SUMIF(보유세!$62:$62,운영비용!BA$14,보유세!$63:$63)*BA$11</f>
        <v>0</v>
      </c>
      <c r="BB50" s="1">
        <f>SUMIF(보유세!$62:$62,운영비용!BB$14,보유세!$63:$63)*BB$11</f>
        <v>0</v>
      </c>
      <c r="BC50" s="1">
        <f>SUMIF(보유세!$62:$62,운영비용!BC$14,보유세!$63:$63)*BC$11</f>
        <v>0</v>
      </c>
      <c r="BD50" s="1">
        <f>SUMIF(보유세!$62:$62,운영비용!BD$14,보유세!$63:$63)*BD$11</f>
        <v>0</v>
      </c>
      <c r="BE50" s="1">
        <f>SUMIF(보유세!$62:$62,운영비용!BE$14,보유세!$63:$63)*BE$11</f>
        <v>0</v>
      </c>
      <c r="BF50" s="1">
        <f>SUMIF(보유세!$62:$62,운영비용!BF$14,보유세!$63:$63)*BF$11</f>
        <v>0</v>
      </c>
      <c r="BG50" s="1">
        <f>SUMIF(보유세!$62:$62,운영비용!BG$14,보유세!$63:$63)*BG$11</f>
        <v>36.698675488284124</v>
      </c>
      <c r="BH50" s="1">
        <f>SUMIF(보유세!$62:$62,운영비용!BH$14,보유세!$63:$63)*BH$11</f>
        <v>0</v>
      </c>
      <c r="BI50" s="1">
        <f>SUMIF(보유세!$62:$62,운영비용!BI$14,보유세!$63:$63)*BI$11</f>
        <v>0</v>
      </c>
      <c r="BJ50" s="1">
        <f>SUMIF(보유세!$62:$62,운영비용!BJ$14,보유세!$63:$63)*BJ$11</f>
        <v>0</v>
      </c>
      <c r="BK50" s="1">
        <f>SUMIF(보유세!$62:$62,운영비용!BK$14,보유세!$63:$63)*BK$11</f>
        <v>0</v>
      </c>
      <c r="BL50" s="1">
        <f>SUMIF(보유세!$62:$62,운영비용!BL$14,보유세!$63:$63)*BL$11</f>
        <v>0</v>
      </c>
      <c r="BM50" s="1">
        <f>SUMIF(보유세!$62:$62,운영비용!BM$14,보유세!$63:$63)*BM$11</f>
        <v>0</v>
      </c>
      <c r="BN50" s="1">
        <f>SUMIF(보유세!$62:$62,운영비용!BN$14,보유세!$63:$63)*BN$11</f>
        <v>0</v>
      </c>
      <c r="BO50" s="1">
        <f>SUMIF(보유세!$62:$62,운영비용!BO$14,보유세!$63:$63)*BO$11</f>
        <v>0</v>
      </c>
      <c r="BP50" s="1">
        <f>SUMIF(보유세!$62:$62,운영비용!BP$14,보유세!$63:$63)*BP$11</f>
        <v>0</v>
      </c>
      <c r="BQ50" s="1">
        <f>SUMIF(보유세!$62:$62,운영비용!BQ$14,보유세!$63:$63)*BQ$11</f>
        <v>0</v>
      </c>
      <c r="BR50" s="1">
        <f>SUMIF(보유세!$62:$62,운영비용!BR$14,보유세!$63:$63)*BR$11</f>
        <v>0</v>
      </c>
      <c r="BS50" s="1">
        <f>SUMIF(보유세!$62:$62,운영비용!BS$14,보유세!$63:$63)*BS$11</f>
        <v>0</v>
      </c>
      <c r="BT50" s="1">
        <f>SUMIF(보유세!$62:$62,운영비용!BT$14,보유세!$63:$63)*BT$11</f>
        <v>0</v>
      </c>
      <c r="BU50" s="1">
        <f>SUMIF(보유세!$62:$62,운영비용!BU$14,보유세!$63:$63)*BU$11</f>
        <v>0</v>
      </c>
      <c r="BV50" s="1">
        <f>SUMIF(보유세!$62:$62,운영비용!BV$14,보유세!$63:$63)*BV$11</f>
        <v>0</v>
      </c>
      <c r="BW50" s="1">
        <f>SUMIF(보유세!$62:$62,운영비용!BW$14,보유세!$63:$63)*BW$11</f>
        <v>0</v>
      </c>
      <c r="BX50" s="1">
        <f>SUMIF(보유세!$62:$62,운영비용!BX$14,보유세!$63:$63)*BX$11</f>
        <v>0</v>
      </c>
      <c r="BY50" s="1">
        <f>SUMIF(보유세!$62:$62,운영비용!BY$14,보유세!$63:$63)*BY$11</f>
        <v>0</v>
      </c>
      <c r="BZ50" s="1">
        <f>SUMIF(보유세!$62:$62,운영비용!BZ$14,보유세!$63:$63)*BZ$11</f>
        <v>0</v>
      </c>
    </row>
    <row r="51" spans="3:78" ht="13.5" customHeight="1">
      <c r="C51" s="161" t="b">
        <f>ABS(F50-F51)&lt;0.001</f>
        <v>1</v>
      </c>
      <c r="D51" s="142" t="s">
        <v>325</v>
      </c>
      <c r="E51" s="160">
        <f>보유세!F12</f>
        <v>9</v>
      </c>
      <c r="F51" s="142">
        <f>SUM(G51:XFD51)</f>
        <v>172.70388523108804</v>
      </c>
      <c r="G51" s="142"/>
      <c r="H51" s="142">
        <f>IF(OR((MONTH(H$14)=$E$51),H$14=exit),(SUM($H50:H50)-SUM($G51:G51)),0)</f>
        <v>0</v>
      </c>
      <c r="I51" s="142">
        <f>IF(OR((MONTH(I$14)=$E$51),I$14=exit),(SUM($H50:I50)-SUM($G51:H51)),0)</f>
        <v>0</v>
      </c>
      <c r="J51" s="142">
        <f>IF(OR((MONTH(J$14)=$E$51),J$14=exit),(SUM($H50:J50)-SUM($G51:I51)),0)</f>
        <v>0</v>
      </c>
      <c r="K51" s="142">
        <f>IF(OR((MONTH(K$14)=$E$51),K$14=exit),(SUM($H50:K50)-SUM($G51:J51)),0)</f>
        <v>0</v>
      </c>
      <c r="L51" s="142">
        <f>IF(OR((MONTH(L$14)=$E$51),L$14=exit),(SUM($H50:L50)-SUM($G51:K51)),0)</f>
        <v>0</v>
      </c>
      <c r="M51" s="142">
        <f>IF(OR((MONTH(M$14)=$E$51),M$14=exit),(SUM($H50:M50)-SUM($G51:L51)),0)</f>
        <v>0</v>
      </c>
      <c r="N51" s="142">
        <f>IF(OR((MONTH(N$14)=$E$51),N$14=exit),(SUM($H50:N50)-SUM($G51:M51)),0)</f>
        <v>32.445719196000006</v>
      </c>
      <c r="O51" s="142">
        <f>IF(OR((MONTH(O$14)=$E$51),O$14=exit),(SUM($H50:O50)-SUM($G51:N51)),0)</f>
        <v>0</v>
      </c>
      <c r="P51" s="142">
        <f>IF(OR((MONTH(P$14)=$E$51),P$14=exit),(SUM($H50:P50)-SUM($G51:O51)),0)</f>
        <v>0</v>
      </c>
      <c r="Q51" s="142">
        <f>IF(OR((MONTH(Q$14)=$E$51),Q$14=exit),(SUM($H50:Q50)-SUM($G51:P51)),0)</f>
        <v>0</v>
      </c>
      <c r="R51" s="142">
        <f>IF(OR((MONTH(R$14)=$E$51),R$14=exit),(SUM($H50:R50)-SUM($G51:Q51)),0)</f>
        <v>0</v>
      </c>
      <c r="S51" s="142">
        <f>IF(OR((MONTH(S$14)=$E$51),S$14=exit),(SUM($H50:S50)-SUM($G51:R51)),0)</f>
        <v>0</v>
      </c>
      <c r="T51" s="142">
        <f>IF(OR((MONTH(T$14)=$E$51),T$14=exit),(SUM($H50:T50)-SUM($G51:S51)),0)</f>
        <v>0</v>
      </c>
      <c r="U51" s="142">
        <f>IF(OR((MONTH(U$14)=$E$51),U$14=exit),(SUM($H50:U50)-SUM($G51:T51)),0)</f>
        <v>0</v>
      </c>
      <c r="V51" s="142">
        <f>IF(OR((MONTH(V$14)=$E$51),V$14=exit),(SUM($H50:V50)-SUM($G51:U51)),0)</f>
        <v>0</v>
      </c>
      <c r="W51" s="142">
        <f>IF(OR((MONTH(W$14)=$E$51),W$14=exit),(SUM($H50:W50)-SUM($G51:V51)),0)</f>
        <v>0</v>
      </c>
      <c r="X51" s="142">
        <f>IF(OR((MONTH(X$14)=$E$51),X$14=exit),(SUM($H50:X50)-SUM($G51:W51)),0)</f>
        <v>0</v>
      </c>
      <c r="Y51" s="142">
        <f>IF(OR((MONTH(Y$14)=$E$51),Y$14=exit),(SUM($H50:Y50)-SUM($G51:X51)),0)</f>
        <v>0</v>
      </c>
      <c r="Z51" s="142">
        <f>IF(OR((MONTH(Z$14)=$E$51),Z$14=exit),(SUM($H50:Z50)-SUM($G51:Y51)),0)</f>
        <v>33.462290771879999</v>
      </c>
      <c r="AA51" s="142">
        <f>IF(OR((MONTH(AA$14)=$E$51),AA$14=exit),(SUM($H50:AA50)-SUM($G51:Z51)),0)</f>
        <v>0</v>
      </c>
      <c r="AB51" s="142">
        <f>IF(OR((MONTH(AB$14)=$E$51),AB$14=exit),(SUM($H50:AB50)-SUM($G51:AA51)),0)</f>
        <v>0</v>
      </c>
      <c r="AC51" s="142">
        <f>IF(OR((MONTH(AC$14)=$E$51),AC$14=exit),(SUM($H50:AC50)-SUM($G51:AB51)),0)</f>
        <v>0</v>
      </c>
      <c r="AD51" s="142">
        <f>IF(OR((MONTH(AD$14)=$E$51),AD$14=exit),(SUM($H50:AD50)-SUM($G51:AC51)),0)</f>
        <v>0</v>
      </c>
      <c r="AE51" s="142">
        <f>IF(OR((MONTH(AE$14)=$E$51),AE$14=exit),(SUM($H50:AE50)-SUM($G51:AD51)),0)</f>
        <v>0</v>
      </c>
      <c r="AF51" s="142">
        <f>IF(OR((MONTH(AF$14)=$E$51),AF$14=exit),(SUM($H50:AF50)-SUM($G51:AE51)),0)</f>
        <v>0</v>
      </c>
      <c r="AG51" s="142">
        <f>IF(OR((MONTH(AG$14)=$E$51),AG$14=exit),(SUM($H50:AG50)-SUM($G51:AF51)),0)</f>
        <v>0</v>
      </c>
      <c r="AH51" s="142">
        <f>IF(OR((MONTH(AH$14)=$E$51),AH$14=exit),(SUM($H50:AH50)-SUM($G51:AG51)),0)</f>
        <v>0</v>
      </c>
      <c r="AI51" s="142">
        <f>IF(OR((MONTH(AI$14)=$E$51),AI$14=exit),(SUM($H50:AI50)-SUM($G51:AH51)),0)</f>
        <v>0</v>
      </c>
      <c r="AJ51" s="142">
        <f>IF(OR((MONTH(AJ$14)=$E$51),AJ$14=exit),(SUM($H50:AJ50)-SUM($G51:AI51)),0)</f>
        <v>0</v>
      </c>
      <c r="AK51" s="142">
        <f>IF(OR((MONTH(AK$14)=$E$51),AK$14=exit),(SUM($H50:AK50)-SUM($G51:AJ51)),0)</f>
        <v>0</v>
      </c>
      <c r="AL51" s="142">
        <f>IF(OR((MONTH(AL$14)=$E$51),AL$14=exit),(SUM($H50:AL50)-SUM($G51:AK51)),0)</f>
        <v>34.509359495036406</v>
      </c>
      <c r="AM51" s="142">
        <f>IF(OR((MONTH(AM$14)=$E$51),AM$14=exit),(SUM($H50:AM50)-SUM($G51:AL51)),0)</f>
        <v>0</v>
      </c>
      <c r="AN51" s="142">
        <f>IF(OR((MONTH(AN$14)=$E$51),AN$14=exit),(SUM($H50:AN50)-SUM($G51:AM51)),0)</f>
        <v>0</v>
      </c>
      <c r="AO51" s="142">
        <f>IF(OR((MONTH(AO$14)=$E$51),AO$14=exit),(SUM($H50:AO50)-SUM($G51:AN51)),0)</f>
        <v>0</v>
      </c>
      <c r="AP51" s="142">
        <f>IF(OR((MONTH(AP$14)=$E$51),AP$14=exit),(SUM($H50:AP50)-SUM($G51:AO51)),0)</f>
        <v>0</v>
      </c>
      <c r="AQ51" s="142">
        <f>IF(OR((MONTH(AQ$14)=$E$51),AQ$14=exit),(SUM($H50:AQ50)-SUM($G51:AP51)),0)</f>
        <v>0</v>
      </c>
      <c r="AR51" s="142">
        <f>IF(OR((MONTH(AR$14)=$E$51),AR$14=exit),(SUM($H50:AR50)-SUM($G51:AQ51)),0)</f>
        <v>0</v>
      </c>
      <c r="AS51" s="142">
        <f>IF(OR((MONTH(AS$14)=$E$51),AS$14=exit),(SUM($H50:AS50)-SUM($G51:AR51)),0)</f>
        <v>0</v>
      </c>
      <c r="AT51" s="142">
        <f>IF(OR((MONTH(AT$14)=$E$51),AT$14=exit),(SUM($H50:AT50)-SUM($G51:AS51)),0)</f>
        <v>0</v>
      </c>
      <c r="AU51" s="142">
        <f>IF(OR((MONTH(AU$14)=$E$51),AU$14=exit),(SUM($H50:AU50)-SUM($G51:AT51)),0)</f>
        <v>0</v>
      </c>
      <c r="AV51" s="142">
        <f>IF(OR((MONTH(AV$14)=$E$51),AV$14=exit),(SUM($H50:AV50)-SUM($G51:AU51)),0)</f>
        <v>0</v>
      </c>
      <c r="AW51" s="142">
        <f>IF(OR((MONTH(AW$14)=$E$51),AW$14=exit),(SUM($H50:AW50)-SUM($G51:AV51)),0)</f>
        <v>0</v>
      </c>
      <c r="AX51" s="142">
        <f>IF(OR((MONTH(AX$14)=$E$51),AX$14=exit),(SUM($H50:AX50)-SUM($G51:AW51)),0)</f>
        <v>35.587840279887502</v>
      </c>
      <c r="AY51" s="142">
        <f>IF(OR((MONTH(AY$14)=$E$51),AY$14=exit),(SUM($H50:AY50)-SUM($G51:AX51)),0)</f>
        <v>0</v>
      </c>
      <c r="AZ51" s="142">
        <f>IF(OR((MONTH(AZ$14)=$E$51),AZ$14=exit),(SUM($H50:AZ50)-SUM($G51:AY51)),0)</f>
        <v>0</v>
      </c>
      <c r="BA51" s="142">
        <f>IF(OR((MONTH(BA$14)=$E$51),BA$14=exit),(SUM($H50:BA50)-SUM($G51:AZ51)),0)</f>
        <v>0</v>
      </c>
      <c r="BB51" s="142">
        <f>IF(OR((MONTH(BB$14)=$E$51),BB$14=exit),(SUM($H50:BB50)-SUM($G51:BA51)),0)</f>
        <v>0</v>
      </c>
      <c r="BC51" s="142">
        <f>IF(OR((MONTH(BC$14)=$E$51),BC$14=exit),(SUM($H50:BC50)-SUM($G51:BB51)),0)</f>
        <v>0</v>
      </c>
      <c r="BD51" s="142">
        <f>IF(OR((MONTH(BD$14)=$E$51),BD$14=exit),(SUM($H50:BD50)-SUM($G51:BC51)),0)</f>
        <v>0</v>
      </c>
      <c r="BE51" s="142">
        <f>IF(OR((MONTH(BE$14)=$E$51),BE$14=exit),(SUM($H50:BE50)-SUM($G51:BD51)),0)</f>
        <v>0</v>
      </c>
      <c r="BF51" s="142">
        <f>IF(OR((MONTH(BF$14)=$E$51),BF$14=exit),(SUM($H50:BF50)-SUM($G51:BE51)),0)</f>
        <v>0</v>
      </c>
      <c r="BG51" s="142">
        <f>IF(OR((MONTH(BG$14)=$E$51),BG$14=exit),(SUM($H50:BG50)-SUM($G51:BF51)),0)</f>
        <v>0</v>
      </c>
      <c r="BH51" s="142">
        <f>IF(OR((MONTH(BH$14)=$E$51),BH$14=exit),(SUM($H50:BH50)-SUM($G51:BG51)),0)</f>
        <v>0</v>
      </c>
      <c r="BI51" s="142">
        <f>IF(OR((MONTH(BI$14)=$E$51),BI$14=exit),(SUM($H50:BI50)-SUM($G51:BH51)),0)</f>
        <v>0</v>
      </c>
      <c r="BJ51" s="142">
        <f>IF(OR((MONTH(BJ$14)=$E$51),BJ$14=exit),(SUM($H50:BJ50)-SUM($G51:BI51)),0)</f>
        <v>36.698675488284124</v>
      </c>
      <c r="BK51" s="142">
        <f>IF(OR((MONTH(BK$14)=$E$51),BK$14=exit),(SUM($H50:BK50)-SUM($G51:BJ51)),0)</f>
        <v>0</v>
      </c>
      <c r="BL51" s="142">
        <f>IF(OR((MONTH(BL$14)=$E$51),BL$14=exit),(SUM($H50:BL50)-SUM($G51:BK51)),0)</f>
        <v>0</v>
      </c>
      <c r="BM51" s="142">
        <f>IF(OR((MONTH(BM$14)=$E$51),BM$14=exit),(SUM($H50:BM50)-SUM($G51:BL51)),0)</f>
        <v>0</v>
      </c>
      <c r="BN51" s="142">
        <f>IF(OR((MONTH(BN$14)=$E$51),BN$14=exit),(SUM($H50:BN50)-SUM($G51:BM51)),0)</f>
        <v>0</v>
      </c>
      <c r="BO51" s="142">
        <f>IF(OR((MONTH(BO$14)=$E$51),BO$14=exit),(SUM($H50:BO50)-SUM($G51:BN51)),0)</f>
        <v>0</v>
      </c>
      <c r="BP51" s="142">
        <f>IF(OR((MONTH(BP$14)=$E$51),BP$14=exit),(SUM($H50:BP50)-SUM($G51:BO51)),0)</f>
        <v>0</v>
      </c>
      <c r="BQ51" s="142">
        <f>IF(OR((MONTH(BQ$14)=$E$51),BQ$14=exit),(SUM($H50:BQ50)-SUM($G51:BP51)),0)</f>
        <v>0</v>
      </c>
      <c r="BR51" s="142">
        <f>IF(OR((MONTH(BR$14)=$E$51),BR$14=exit),(SUM($H50:BR50)-SUM($G51:BQ51)),0)</f>
        <v>0</v>
      </c>
      <c r="BS51" s="142">
        <f>IF(OR((MONTH(BS$14)=$E$51),BS$14=exit),(SUM($H50:BS50)-SUM($G51:BR51)),0)</f>
        <v>0</v>
      </c>
      <c r="BT51" s="142">
        <f>IF(OR((MONTH(BT$14)=$E$51),BT$14=exit),(SUM($H50:BT50)-SUM($G51:BS51)),0)</f>
        <v>0</v>
      </c>
      <c r="BU51" s="142">
        <f>IF(OR((MONTH(BU$14)=$E$51),BU$14=exit),(SUM($H50:BU50)-SUM($G51:BT51)),0)</f>
        <v>0</v>
      </c>
      <c r="BV51" s="142">
        <f>IF(OR((MONTH(BV$14)=$E$51),BV$14=exit),(SUM($H50:BV50)-SUM($G51:BU51)),0)</f>
        <v>0</v>
      </c>
      <c r="BW51" s="142">
        <f>IF(OR((MONTH(BW$14)=$E$51),BW$14=exit),(SUM($H50:BW50)-SUM($G51:BV51)),0)</f>
        <v>0</v>
      </c>
      <c r="BX51" s="142">
        <f>IF(OR((MONTH(BX$14)=$E$51),BX$14=exit),(SUM($H50:BX50)-SUM($G51:BW51)),0)</f>
        <v>0</v>
      </c>
      <c r="BY51" s="142">
        <f>IF(OR((MONTH(BY$14)=$E$51),BY$14=exit),(SUM($H50:BY50)-SUM($G51:BX51)),0)</f>
        <v>0</v>
      </c>
      <c r="BZ51" s="142">
        <f>IF(OR((MONTH(BZ$14)=$E$51),BZ$14=exit),(SUM($H50:BZ50)-SUM($G51:BY51)),0)</f>
        <v>0</v>
      </c>
    </row>
    <row r="53" spans="3:78" ht="13.5" customHeight="1">
      <c r="C53" s="1" t="str">
        <f>'A&amp;R'!R28</f>
        <v>건물분 재산세</v>
      </c>
    </row>
    <row r="54" spans="3:78" ht="13.5" customHeight="1">
      <c r="D54" s="1" t="s">
        <v>324</v>
      </c>
      <c r="F54" s="1">
        <f>SUM(G54:XFD54)</f>
        <v>602.82919593502697</v>
      </c>
      <c r="H54" s="1">
        <f>SUMIF(보유세!$113:$113,운영비용!H$14,보유세!$114:$114)*H$11</f>
        <v>0</v>
      </c>
      <c r="I54" s="1">
        <f>SUMIF(보유세!$113:$113,운영비용!I$14,보유세!$114:$114)*I$11</f>
        <v>0</v>
      </c>
      <c r="J54" s="1">
        <f>SUMIF(보유세!$113:$113,운영비용!J$14,보유세!$114:$114)*J$11</f>
        <v>0</v>
      </c>
      <c r="K54" s="1">
        <f>SUMIF(보유세!$113:$113,운영비용!K$14,보유세!$114:$114)*K$11</f>
        <v>119.48113761597953</v>
      </c>
      <c r="L54" s="1">
        <f>SUMIF(보유세!$113:$113,운영비용!L$14,보유세!$114:$114)*L$11</f>
        <v>0</v>
      </c>
      <c r="M54" s="1">
        <f>SUMIF(보유세!$113:$113,운영비용!M$14,보유세!$114:$114)*M$11</f>
        <v>0</v>
      </c>
      <c r="N54" s="1">
        <f>SUMIF(보유세!$113:$113,운영비용!N$14,보유세!$114:$114)*N$11</f>
        <v>0</v>
      </c>
      <c r="O54" s="1">
        <f>SUMIF(보유세!$113:$113,운영비용!O$14,보유세!$114:$114)*O$11</f>
        <v>0</v>
      </c>
      <c r="P54" s="1">
        <f>SUMIF(보유세!$113:$113,운영비용!P$14,보유세!$114:$114)*P$11</f>
        <v>0</v>
      </c>
      <c r="Q54" s="1">
        <f>SUMIF(보유세!$113:$113,운영비용!Q$14,보유세!$114:$114)*Q$11</f>
        <v>0</v>
      </c>
      <c r="R54" s="1">
        <f>SUMIF(보유세!$113:$113,운영비용!R$14,보유세!$114:$114)*R$11</f>
        <v>0</v>
      </c>
      <c r="S54" s="1">
        <f>SUMIF(보유세!$113:$113,운영비용!S$14,보유세!$114:$114)*S$11</f>
        <v>0</v>
      </c>
      <c r="T54" s="1">
        <f>SUMIF(보유세!$113:$113,운영비용!T$14,보유세!$114:$114)*T$11</f>
        <v>0</v>
      </c>
      <c r="U54" s="1">
        <f>SUMIF(보유세!$113:$113,운영비용!U$14,보유세!$114:$114)*U$11</f>
        <v>0</v>
      </c>
      <c r="V54" s="1">
        <f>SUMIF(보유세!$113:$113,운영비용!V$14,보유세!$114:$114)*V$11</f>
        <v>0</v>
      </c>
      <c r="W54" s="1">
        <f>SUMIF(보유세!$113:$113,운영비용!W$14,보유세!$114:$114)*W$11</f>
        <v>120.0965889195256</v>
      </c>
      <c r="X54" s="1">
        <f>SUMIF(보유세!$113:$113,운영비용!X$14,보유세!$114:$114)*X$11</f>
        <v>0</v>
      </c>
      <c r="Y54" s="1">
        <f>SUMIF(보유세!$113:$113,운영비용!Y$14,보유세!$114:$114)*Y$11</f>
        <v>0</v>
      </c>
      <c r="Z54" s="1">
        <f>SUMIF(보유세!$113:$113,운영비용!Z$14,보유세!$114:$114)*Z$11</f>
        <v>0</v>
      </c>
      <c r="AA54" s="1">
        <f>SUMIF(보유세!$113:$113,운영비용!AA$14,보유세!$114:$114)*AA$11</f>
        <v>0</v>
      </c>
      <c r="AB54" s="1">
        <f>SUMIF(보유세!$113:$113,운영비용!AB$14,보유세!$114:$114)*AB$11</f>
        <v>0</v>
      </c>
      <c r="AC54" s="1">
        <f>SUMIF(보유세!$113:$113,운영비용!AC$14,보유세!$114:$114)*AC$11</f>
        <v>0</v>
      </c>
      <c r="AD54" s="1">
        <f>SUMIF(보유세!$113:$113,운영비용!AD$14,보유세!$114:$114)*AD$11</f>
        <v>0</v>
      </c>
      <c r="AE54" s="1">
        <f>SUMIF(보유세!$113:$113,운영비용!AE$14,보유세!$114:$114)*AE$11</f>
        <v>0</v>
      </c>
      <c r="AF54" s="1">
        <f>SUMIF(보유세!$113:$113,운영비용!AF$14,보유세!$114:$114)*AF$11</f>
        <v>0</v>
      </c>
      <c r="AG54" s="1">
        <f>SUMIF(보유세!$113:$113,운영비용!AG$14,보유세!$114:$114)*AG$11</f>
        <v>0</v>
      </c>
      <c r="AH54" s="1">
        <f>SUMIF(보유세!$113:$113,운영비용!AH$14,보유세!$114:$114)*AH$11</f>
        <v>0</v>
      </c>
      <c r="AI54" s="1">
        <f>SUMIF(보유세!$113:$113,운영비용!AI$14,보유세!$114:$114)*AI$11</f>
        <v>120.64135948743001</v>
      </c>
      <c r="AJ54" s="1">
        <f>SUMIF(보유세!$113:$113,운영비용!AJ$14,보유세!$114:$114)*AJ$11</f>
        <v>0</v>
      </c>
      <c r="AK54" s="1">
        <f>SUMIF(보유세!$113:$113,운영비용!AK$14,보유세!$114:$114)*AK$11</f>
        <v>0</v>
      </c>
      <c r="AL54" s="1">
        <f>SUMIF(보유세!$113:$113,운영비용!AL$14,보유세!$114:$114)*AL$11</f>
        <v>0</v>
      </c>
      <c r="AM54" s="1">
        <f>SUMIF(보유세!$113:$113,운영비용!AM$14,보유세!$114:$114)*AM$11</f>
        <v>0</v>
      </c>
      <c r="AN54" s="1">
        <f>SUMIF(보유세!$113:$113,운영비용!AN$14,보유세!$114:$114)*AN$11</f>
        <v>0</v>
      </c>
      <c r="AO54" s="1">
        <f>SUMIF(보유세!$113:$113,운영비용!AO$14,보유세!$114:$114)*AO$11</f>
        <v>0</v>
      </c>
      <c r="AP54" s="1">
        <f>SUMIF(보유세!$113:$113,운영비용!AP$14,보유세!$114:$114)*AP$11</f>
        <v>0</v>
      </c>
      <c r="AQ54" s="1">
        <f>SUMIF(보유세!$113:$113,운영비용!AQ$14,보유세!$114:$114)*AQ$11</f>
        <v>0</v>
      </c>
      <c r="AR54" s="1">
        <f>SUMIF(보유세!$113:$113,운영비용!AR$14,보유세!$114:$114)*AR$11</f>
        <v>0</v>
      </c>
      <c r="AS54" s="1">
        <f>SUMIF(보유세!$113:$113,운영비용!AS$14,보유세!$114:$114)*AS$11</f>
        <v>0</v>
      </c>
      <c r="AT54" s="1">
        <f>SUMIF(보유세!$113:$113,운영비용!AT$14,보유세!$114:$114)*AT$11</f>
        <v>0</v>
      </c>
      <c r="AU54" s="1">
        <f>SUMIF(보유세!$113:$113,운영비용!AU$14,보유세!$114:$114)*AU$11</f>
        <v>121.11065456938115</v>
      </c>
      <c r="AV54" s="1">
        <f>SUMIF(보유세!$113:$113,운영비용!AV$14,보유세!$114:$114)*AV$11</f>
        <v>0</v>
      </c>
      <c r="AW54" s="1">
        <f>SUMIF(보유세!$113:$113,운영비용!AW$14,보유세!$114:$114)*AW$11</f>
        <v>0</v>
      </c>
      <c r="AX54" s="1">
        <f>SUMIF(보유세!$113:$113,운영비용!AX$14,보유세!$114:$114)*AX$11</f>
        <v>0</v>
      </c>
      <c r="AY54" s="1">
        <f>SUMIF(보유세!$113:$113,운영비용!AY$14,보유세!$114:$114)*AY$11</f>
        <v>0</v>
      </c>
      <c r="AZ54" s="1">
        <f>SUMIF(보유세!$113:$113,운영비용!AZ$14,보유세!$114:$114)*AZ$11</f>
        <v>0</v>
      </c>
      <c r="BA54" s="1">
        <f>SUMIF(보유세!$113:$113,운영비용!BA$14,보유세!$114:$114)*BA$11</f>
        <v>0</v>
      </c>
      <c r="BB54" s="1">
        <f>SUMIF(보유세!$113:$113,운영비용!BB$14,보유세!$114:$114)*BB$11</f>
        <v>0</v>
      </c>
      <c r="BC54" s="1">
        <f>SUMIF(보유세!$113:$113,운영비용!BC$14,보유세!$114:$114)*BC$11</f>
        <v>0</v>
      </c>
      <c r="BD54" s="1">
        <f>SUMIF(보유세!$113:$113,운영비용!BD$14,보유세!$114:$114)*BD$11</f>
        <v>0</v>
      </c>
      <c r="BE54" s="1">
        <f>SUMIF(보유세!$113:$113,운영비용!BE$14,보유세!$114:$114)*BE$11</f>
        <v>0</v>
      </c>
      <c r="BF54" s="1">
        <f>SUMIF(보유세!$113:$113,운영비용!BF$14,보유세!$114:$114)*BF$11</f>
        <v>0</v>
      </c>
      <c r="BG54" s="1">
        <f>SUMIF(보유세!$113:$113,운영비용!BG$14,보유세!$114:$114)*BG$11</f>
        <v>121.49945534271066</v>
      </c>
      <c r="BH54" s="1">
        <f>SUMIF(보유세!$113:$113,운영비용!BH$14,보유세!$114:$114)*BH$11</f>
        <v>0</v>
      </c>
      <c r="BI54" s="1">
        <f>SUMIF(보유세!$113:$113,운영비용!BI$14,보유세!$114:$114)*BI$11</f>
        <v>0</v>
      </c>
      <c r="BJ54" s="1">
        <f>SUMIF(보유세!$113:$113,운영비용!BJ$14,보유세!$114:$114)*BJ$11</f>
        <v>0</v>
      </c>
      <c r="BK54" s="1">
        <f>SUMIF(보유세!$113:$113,운영비용!BK$14,보유세!$114:$114)*BK$11</f>
        <v>0</v>
      </c>
      <c r="BL54" s="1">
        <f>SUMIF(보유세!$113:$113,운영비용!BL$14,보유세!$114:$114)*BL$11</f>
        <v>0</v>
      </c>
      <c r="BM54" s="1">
        <f>SUMIF(보유세!$113:$113,운영비용!BM$14,보유세!$114:$114)*BM$11</f>
        <v>0</v>
      </c>
      <c r="BN54" s="1">
        <f>SUMIF(보유세!$113:$113,운영비용!BN$14,보유세!$114:$114)*BN$11</f>
        <v>0</v>
      </c>
      <c r="BO54" s="1">
        <f>SUMIF(보유세!$113:$113,운영비용!BO$14,보유세!$114:$114)*BO$11</f>
        <v>0</v>
      </c>
      <c r="BP54" s="1">
        <f>SUMIF(보유세!$113:$113,운영비용!BP$14,보유세!$114:$114)*BP$11</f>
        <v>0</v>
      </c>
      <c r="BQ54" s="1">
        <f>SUMIF(보유세!$113:$113,운영비용!BQ$14,보유세!$114:$114)*BQ$11</f>
        <v>0</v>
      </c>
      <c r="BR54" s="1">
        <f>SUMIF(보유세!$113:$113,운영비용!BR$14,보유세!$114:$114)*BR$11</f>
        <v>0</v>
      </c>
      <c r="BS54" s="1">
        <f>SUMIF(보유세!$113:$113,운영비용!BS$14,보유세!$114:$114)*BS$11</f>
        <v>0</v>
      </c>
      <c r="BT54" s="1">
        <f>SUMIF(보유세!$113:$113,운영비용!BT$14,보유세!$114:$114)*BT$11</f>
        <v>0</v>
      </c>
      <c r="BU54" s="1">
        <f>SUMIF(보유세!$113:$113,운영비용!BU$14,보유세!$114:$114)*BU$11</f>
        <v>0</v>
      </c>
      <c r="BV54" s="1">
        <f>SUMIF(보유세!$113:$113,운영비용!BV$14,보유세!$114:$114)*BV$11</f>
        <v>0</v>
      </c>
      <c r="BW54" s="1">
        <f>SUMIF(보유세!$113:$113,운영비용!BW$14,보유세!$114:$114)*BW$11</f>
        <v>0</v>
      </c>
      <c r="BX54" s="1">
        <f>SUMIF(보유세!$113:$113,운영비용!BX$14,보유세!$114:$114)*BX$11</f>
        <v>0</v>
      </c>
      <c r="BY54" s="1">
        <f>SUMIF(보유세!$113:$113,운영비용!BY$14,보유세!$114:$114)*BY$11</f>
        <v>0</v>
      </c>
      <c r="BZ54" s="1">
        <f>SUMIF(보유세!$113:$113,운영비용!BZ$14,보유세!$114:$114)*BZ$11</f>
        <v>0</v>
      </c>
    </row>
    <row r="55" spans="3:78" ht="13.5" customHeight="1">
      <c r="C55" s="161" t="b">
        <f>ABS(F54-F55)&lt;0.001</f>
        <v>1</v>
      </c>
      <c r="D55" s="142" t="s">
        <v>325</v>
      </c>
      <c r="E55" s="160">
        <f>보유세!F67</f>
        <v>7</v>
      </c>
      <c r="F55" s="142">
        <f>SUM(G55:XFD55)</f>
        <v>602.82919593502697</v>
      </c>
      <c r="G55" s="142"/>
      <c r="H55" s="142">
        <f>IF(OR((MONTH(H$14)=$E$55),H$14=exit),(SUM($H54:H54)-SUM($G55:G55)),0)</f>
        <v>0</v>
      </c>
      <c r="I55" s="142">
        <f>IF(OR((MONTH(I$14)=$E$55),I$14=exit),(SUM($H54:I54)-SUM($G55:H55)),0)</f>
        <v>0</v>
      </c>
      <c r="J55" s="142">
        <f>IF(OR((MONTH(J$14)=$E$55),J$14=exit),(SUM($H54:J54)-SUM($G55:I55)),0)</f>
        <v>0</v>
      </c>
      <c r="K55" s="142">
        <f>IF(OR((MONTH(K$14)=$E$55),K$14=exit),(SUM($H54:K54)-SUM($G55:J55)),0)</f>
        <v>0</v>
      </c>
      <c r="L55" s="142">
        <f>IF(OR((MONTH(L$14)=$E$55),L$14=exit),(SUM($H54:L54)-SUM($G55:K55)),0)</f>
        <v>119.48113761597953</v>
      </c>
      <c r="M55" s="142">
        <f>IF(OR((MONTH(M$14)=$E$55),M$14=exit),(SUM($H54:M54)-SUM($G55:L55)),0)</f>
        <v>0</v>
      </c>
      <c r="N55" s="142">
        <f>IF(OR((MONTH(N$14)=$E$55),N$14=exit),(SUM($H54:N54)-SUM($G55:M55)),0)</f>
        <v>0</v>
      </c>
      <c r="O55" s="142">
        <f>IF(OR((MONTH(O$14)=$E$55),O$14=exit),(SUM($H54:O54)-SUM($G55:N55)),0)</f>
        <v>0</v>
      </c>
      <c r="P55" s="142">
        <f>IF(OR((MONTH(P$14)=$E$55),P$14=exit),(SUM($H54:P54)-SUM($G55:O55)),0)</f>
        <v>0</v>
      </c>
      <c r="Q55" s="142">
        <f>IF(OR((MONTH(Q$14)=$E$55),Q$14=exit),(SUM($H54:Q54)-SUM($G55:P55)),0)</f>
        <v>0</v>
      </c>
      <c r="R55" s="142">
        <f>IF(OR((MONTH(R$14)=$E$55),R$14=exit),(SUM($H54:R54)-SUM($G55:Q55)),0)</f>
        <v>0</v>
      </c>
      <c r="S55" s="142">
        <f>IF(OR((MONTH(S$14)=$E$55),S$14=exit),(SUM($H54:S54)-SUM($G55:R55)),0)</f>
        <v>0</v>
      </c>
      <c r="T55" s="142">
        <f>IF(OR((MONTH(T$14)=$E$55),T$14=exit),(SUM($H54:T54)-SUM($G55:S55)),0)</f>
        <v>0</v>
      </c>
      <c r="U55" s="142">
        <f>IF(OR((MONTH(U$14)=$E$55),U$14=exit),(SUM($H54:U54)-SUM($G55:T55)),0)</f>
        <v>0</v>
      </c>
      <c r="V55" s="142">
        <f>IF(OR((MONTH(V$14)=$E$55),V$14=exit),(SUM($H54:V54)-SUM($G55:U55)),0)</f>
        <v>0</v>
      </c>
      <c r="W55" s="142">
        <f>IF(OR((MONTH(W$14)=$E$55),W$14=exit),(SUM($H54:W54)-SUM($G55:V55)),0)</f>
        <v>0</v>
      </c>
      <c r="X55" s="142">
        <f>IF(OR((MONTH(X$14)=$E$55),X$14=exit),(SUM($H54:X54)-SUM($G55:W55)),0)</f>
        <v>120.09658891952559</v>
      </c>
      <c r="Y55" s="142">
        <f>IF(OR((MONTH(Y$14)=$E$55),Y$14=exit),(SUM($H54:Y54)-SUM($G55:X55)),0)</f>
        <v>0</v>
      </c>
      <c r="Z55" s="142">
        <f>IF(OR((MONTH(Z$14)=$E$55),Z$14=exit),(SUM($H54:Z54)-SUM($G55:Y55)),0)</f>
        <v>0</v>
      </c>
      <c r="AA55" s="142">
        <f>IF(OR((MONTH(AA$14)=$E$55),AA$14=exit),(SUM($H54:AA54)-SUM($G55:Z55)),0)</f>
        <v>0</v>
      </c>
      <c r="AB55" s="142">
        <f>IF(OR((MONTH(AB$14)=$E$55),AB$14=exit),(SUM($H54:AB54)-SUM($G55:AA55)),0)</f>
        <v>0</v>
      </c>
      <c r="AC55" s="142">
        <f>IF(OR((MONTH(AC$14)=$E$55),AC$14=exit),(SUM($H54:AC54)-SUM($G55:AB55)),0)</f>
        <v>0</v>
      </c>
      <c r="AD55" s="142">
        <f>IF(OR((MONTH(AD$14)=$E$55),AD$14=exit),(SUM($H54:AD54)-SUM($G55:AC55)),0)</f>
        <v>0</v>
      </c>
      <c r="AE55" s="142">
        <f>IF(OR((MONTH(AE$14)=$E$55),AE$14=exit),(SUM($H54:AE54)-SUM($G55:AD55)),0)</f>
        <v>0</v>
      </c>
      <c r="AF55" s="142">
        <f>IF(OR((MONTH(AF$14)=$E$55),AF$14=exit),(SUM($H54:AF54)-SUM($G55:AE55)),0)</f>
        <v>0</v>
      </c>
      <c r="AG55" s="142">
        <f>IF(OR((MONTH(AG$14)=$E$55),AG$14=exit),(SUM($H54:AG54)-SUM($G55:AF55)),0)</f>
        <v>0</v>
      </c>
      <c r="AH55" s="142">
        <f>IF(OR((MONTH(AH$14)=$E$55),AH$14=exit),(SUM($H54:AH54)-SUM($G55:AG55)),0)</f>
        <v>0</v>
      </c>
      <c r="AI55" s="142">
        <f>IF(OR((MONTH(AI$14)=$E$55),AI$14=exit),(SUM($H54:AI54)-SUM($G55:AH55)),0)</f>
        <v>0</v>
      </c>
      <c r="AJ55" s="142">
        <f>IF(OR((MONTH(AJ$14)=$E$55),AJ$14=exit),(SUM($H54:AJ54)-SUM($G55:AI55)),0)</f>
        <v>120.64135948743001</v>
      </c>
      <c r="AK55" s="142">
        <f>IF(OR((MONTH(AK$14)=$E$55),AK$14=exit),(SUM($H54:AK54)-SUM($G55:AJ55)),0)</f>
        <v>0</v>
      </c>
      <c r="AL55" s="142">
        <f>IF(OR((MONTH(AL$14)=$E$55),AL$14=exit),(SUM($H54:AL54)-SUM($G55:AK55)),0)</f>
        <v>0</v>
      </c>
      <c r="AM55" s="142">
        <f>IF(OR((MONTH(AM$14)=$E$55),AM$14=exit),(SUM($H54:AM54)-SUM($G55:AL55)),0)</f>
        <v>0</v>
      </c>
      <c r="AN55" s="142">
        <f>IF(OR((MONTH(AN$14)=$E$55),AN$14=exit),(SUM($H54:AN54)-SUM($G55:AM55)),0)</f>
        <v>0</v>
      </c>
      <c r="AO55" s="142">
        <f>IF(OR((MONTH(AO$14)=$E$55),AO$14=exit),(SUM($H54:AO54)-SUM($G55:AN55)),0)</f>
        <v>0</v>
      </c>
      <c r="AP55" s="142">
        <f>IF(OR((MONTH(AP$14)=$E$55),AP$14=exit),(SUM($H54:AP54)-SUM($G55:AO55)),0)</f>
        <v>0</v>
      </c>
      <c r="AQ55" s="142">
        <f>IF(OR((MONTH(AQ$14)=$E$55),AQ$14=exit),(SUM($H54:AQ54)-SUM($G55:AP55)),0)</f>
        <v>0</v>
      </c>
      <c r="AR55" s="142">
        <f>IF(OR((MONTH(AR$14)=$E$55),AR$14=exit),(SUM($H54:AR54)-SUM($G55:AQ55)),0)</f>
        <v>0</v>
      </c>
      <c r="AS55" s="142">
        <f>IF(OR((MONTH(AS$14)=$E$55),AS$14=exit),(SUM($H54:AS54)-SUM($G55:AR55)),0)</f>
        <v>0</v>
      </c>
      <c r="AT55" s="142">
        <f>IF(OR((MONTH(AT$14)=$E$55),AT$14=exit),(SUM($H54:AT54)-SUM($G55:AS55)),0)</f>
        <v>0</v>
      </c>
      <c r="AU55" s="142">
        <f>IF(OR((MONTH(AU$14)=$E$55),AU$14=exit),(SUM($H54:AU54)-SUM($G55:AT55)),0)</f>
        <v>0</v>
      </c>
      <c r="AV55" s="142">
        <f>IF(OR((MONTH(AV$14)=$E$55),AV$14=exit),(SUM($H54:AV54)-SUM($G55:AU55)),0)</f>
        <v>121.11065456938115</v>
      </c>
      <c r="AW55" s="142">
        <f>IF(OR((MONTH(AW$14)=$E$55),AW$14=exit),(SUM($H54:AW54)-SUM($G55:AV55)),0)</f>
        <v>0</v>
      </c>
      <c r="AX55" s="142">
        <f>IF(OR((MONTH(AX$14)=$E$55),AX$14=exit),(SUM($H54:AX54)-SUM($G55:AW55)),0)</f>
        <v>0</v>
      </c>
      <c r="AY55" s="142">
        <f>IF(OR((MONTH(AY$14)=$E$55),AY$14=exit),(SUM($H54:AY54)-SUM($G55:AX55)),0)</f>
        <v>0</v>
      </c>
      <c r="AZ55" s="142">
        <f>IF(OR((MONTH(AZ$14)=$E$55),AZ$14=exit),(SUM($H54:AZ54)-SUM($G55:AY55)),0)</f>
        <v>0</v>
      </c>
      <c r="BA55" s="142">
        <f>IF(OR((MONTH(BA$14)=$E$55),BA$14=exit),(SUM($H54:BA54)-SUM($G55:AZ55)),0)</f>
        <v>0</v>
      </c>
      <c r="BB55" s="142">
        <f>IF(OR((MONTH(BB$14)=$E$55),BB$14=exit),(SUM($H54:BB54)-SUM($G55:BA55)),0)</f>
        <v>0</v>
      </c>
      <c r="BC55" s="142">
        <f>IF(OR((MONTH(BC$14)=$E$55),BC$14=exit),(SUM($H54:BC54)-SUM($G55:BB55)),0)</f>
        <v>0</v>
      </c>
      <c r="BD55" s="142">
        <f>IF(OR((MONTH(BD$14)=$E$55),BD$14=exit),(SUM($H54:BD54)-SUM($G55:BC55)),0)</f>
        <v>0</v>
      </c>
      <c r="BE55" s="142">
        <f>IF(OR((MONTH(BE$14)=$E$55),BE$14=exit),(SUM($H54:BE54)-SUM($G55:BD55)),0)</f>
        <v>0</v>
      </c>
      <c r="BF55" s="142">
        <f>IF(OR((MONTH(BF$14)=$E$55),BF$14=exit),(SUM($H54:BF54)-SUM($G55:BE55)),0)</f>
        <v>0</v>
      </c>
      <c r="BG55" s="142">
        <f>IF(OR((MONTH(BG$14)=$E$55),BG$14=exit),(SUM($H54:BG54)-SUM($G55:BF55)),0)</f>
        <v>0</v>
      </c>
      <c r="BH55" s="142">
        <f>IF(OR((MONTH(BH$14)=$E$55),BH$14=exit),(SUM($H54:BH54)-SUM($G55:BG55)),0)</f>
        <v>121.49945534271069</v>
      </c>
      <c r="BI55" s="142">
        <f>IF(OR((MONTH(BI$14)=$E$55),BI$14=exit),(SUM($H54:BI54)-SUM($G55:BH55)),0)</f>
        <v>0</v>
      </c>
      <c r="BJ55" s="142">
        <f>IF(OR((MONTH(BJ$14)=$E$55),BJ$14=exit),(SUM($H54:BJ54)-SUM($G55:BI55)),0)</f>
        <v>0</v>
      </c>
      <c r="BK55" s="142">
        <f>IF(OR((MONTH(BK$14)=$E$55),BK$14=exit),(SUM($H54:BK54)-SUM($G55:BJ55)),0)</f>
        <v>0</v>
      </c>
      <c r="BL55" s="142">
        <f>IF(OR((MONTH(BL$14)=$E$55),BL$14=exit),(SUM($H54:BL54)-SUM($G55:BK55)),0)</f>
        <v>0</v>
      </c>
      <c r="BM55" s="142">
        <f>IF(OR((MONTH(BM$14)=$E$55),BM$14=exit),(SUM($H54:BM54)-SUM($G55:BL55)),0)</f>
        <v>0</v>
      </c>
      <c r="BN55" s="142">
        <f>IF(OR((MONTH(BN$14)=$E$55),BN$14=exit),(SUM($H54:BN54)-SUM($G55:BM55)),0)</f>
        <v>0</v>
      </c>
      <c r="BO55" s="142">
        <f>IF(OR((MONTH(BO$14)=$E$55),BO$14=exit),(SUM($H54:BO54)-SUM($G55:BN55)),0)</f>
        <v>0</v>
      </c>
      <c r="BP55" s="142">
        <f>IF(OR((MONTH(BP$14)=$E$55),BP$14=exit),(SUM($H54:BP54)-SUM($G55:BO55)),0)</f>
        <v>0</v>
      </c>
      <c r="BQ55" s="142">
        <f>IF(OR((MONTH(BQ$14)=$E$55),BQ$14=exit),(SUM($H54:BQ54)-SUM($G55:BP55)),0)</f>
        <v>0</v>
      </c>
      <c r="BR55" s="142">
        <f>IF(OR((MONTH(BR$14)=$E$55),BR$14=exit),(SUM($H54:BR54)-SUM($G55:BQ55)),0)</f>
        <v>0</v>
      </c>
      <c r="BS55" s="142">
        <f>IF(OR((MONTH(BS$14)=$E$55),BS$14=exit),(SUM($H54:BS54)-SUM($G55:BR55)),0)</f>
        <v>0</v>
      </c>
      <c r="BT55" s="142">
        <f>IF(OR((MONTH(BT$14)=$E$55),BT$14=exit),(SUM($H54:BT54)-SUM($G55:BS55)),0)</f>
        <v>0</v>
      </c>
      <c r="BU55" s="142">
        <f>IF(OR((MONTH(BU$14)=$E$55),BU$14=exit),(SUM($H54:BU54)-SUM($G55:BT55)),0)</f>
        <v>0</v>
      </c>
      <c r="BV55" s="142">
        <f>IF(OR((MONTH(BV$14)=$E$55),BV$14=exit),(SUM($H54:BV54)-SUM($G55:BU55)),0)</f>
        <v>0</v>
      </c>
      <c r="BW55" s="142">
        <f>IF(OR((MONTH(BW$14)=$E$55),BW$14=exit),(SUM($H54:BW54)-SUM($G55:BV55)),0)</f>
        <v>0</v>
      </c>
      <c r="BX55" s="142">
        <f>IF(OR((MONTH(BX$14)=$E$55),BX$14=exit),(SUM($H54:BX54)-SUM($G55:BW55)),0)</f>
        <v>0</v>
      </c>
      <c r="BY55" s="142">
        <f>IF(OR((MONTH(BY$14)=$E$55),BY$14=exit),(SUM($H54:BY54)-SUM($G55:BX55)),0)</f>
        <v>0</v>
      </c>
      <c r="BZ55" s="142">
        <f>IF(OR((MONTH(BZ$14)=$E$55),BZ$14=exit),(SUM($H54:BZ54)-SUM($G55:BY55)),0)</f>
        <v>0</v>
      </c>
    </row>
    <row r="57" spans="3:78" ht="13.5" customHeight="1">
      <c r="C57" s="1" t="str">
        <f>'A&amp;R'!R29</f>
        <v>종합부동산세</v>
      </c>
    </row>
    <row r="58" spans="3:78" ht="13.5" customHeight="1">
      <c r="D58" s="1" t="s">
        <v>324</v>
      </c>
      <c r="F58" s="147">
        <f>SUM(G58:XFD58)</f>
        <v>1.4742871181999959</v>
      </c>
      <c r="G58" s="147"/>
      <c r="H58" s="147">
        <f>SUMIF(보유세!$147:$147,운영비용!H$14,보유세!$148:$148)*H$11</f>
        <v>0</v>
      </c>
      <c r="I58" s="147">
        <f>SUMIF(보유세!$147:$147,운영비용!I$14,보유세!$148:$148)*I$11</f>
        <v>0</v>
      </c>
      <c r="J58" s="147">
        <f>SUMIF(보유세!$147:$147,운영비용!J$14,보유세!$148:$148)*J$11</f>
        <v>0</v>
      </c>
      <c r="K58" s="147">
        <f>SUMIF(보유세!$147:$147,운영비용!K$14,보유세!$148:$148)*K$11</f>
        <v>0</v>
      </c>
      <c r="L58" s="147">
        <f>SUMIF(보유세!$147:$147,운영비용!L$14,보유세!$148:$148)*L$11</f>
        <v>0</v>
      </c>
      <c r="M58" s="147">
        <f>SUMIF(보유세!$147:$147,운영비용!M$14,보유세!$148:$148)*M$11</f>
        <v>0</v>
      </c>
      <c r="N58" s="147">
        <f>SUMIF(보유세!$147:$147,운영비용!N$14,보유세!$148:$148)*N$11</f>
        <v>0</v>
      </c>
      <c r="O58" s="147">
        <f>SUMIF(보유세!$147:$147,운영비용!O$14,보유세!$148:$148)*O$11</f>
        <v>0</v>
      </c>
      <c r="P58" s="147">
        <f>SUMIF(보유세!$147:$147,운영비용!P$14,보유세!$148:$148)*P$11</f>
        <v>0</v>
      </c>
      <c r="Q58" s="147">
        <f>SUMIF(보유세!$147:$147,운영비용!Q$14,보유세!$148:$148)*Q$11</f>
        <v>0</v>
      </c>
      <c r="R58" s="147">
        <f>SUMIF(보유세!$147:$147,운영비용!R$14,보유세!$148:$148)*R$11</f>
        <v>0</v>
      </c>
      <c r="S58" s="147">
        <f>SUMIF(보유세!$147:$147,운영비용!S$14,보유세!$148:$148)*S$11</f>
        <v>0</v>
      </c>
      <c r="T58" s="147">
        <f>SUMIF(보유세!$147:$147,운영비용!T$14,보유세!$148:$148)*T$11</f>
        <v>0</v>
      </c>
      <c r="U58" s="147">
        <f>SUMIF(보유세!$147:$147,운영비용!U$14,보유세!$148:$148)*U$11</f>
        <v>0</v>
      </c>
      <c r="V58" s="147">
        <f>SUMIF(보유세!$147:$147,운영비용!V$14,보유세!$148:$148)*V$11</f>
        <v>0</v>
      </c>
      <c r="W58" s="147">
        <f>SUMIF(보유세!$147:$147,운영비용!W$14,보유세!$148:$148)*W$11</f>
        <v>0.18145072223999947</v>
      </c>
      <c r="X58" s="147">
        <f>SUMIF(보유세!$147:$147,운영비용!X$14,보유세!$148:$148)*X$11</f>
        <v>0</v>
      </c>
      <c r="Y58" s="147">
        <f>SUMIF(보유세!$147:$147,운영비용!Y$14,보유세!$148:$148)*Y$11</f>
        <v>0</v>
      </c>
      <c r="Z58" s="147">
        <f>SUMIF(보유세!$147:$147,운영비용!Z$14,보유세!$148:$148)*Z$11</f>
        <v>0</v>
      </c>
      <c r="AA58" s="147">
        <f>SUMIF(보유세!$147:$147,운영비용!AA$14,보유세!$148:$148)*AA$11</f>
        <v>0</v>
      </c>
      <c r="AB58" s="147">
        <f>SUMIF(보유세!$147:$147,운영비용!AB$14,보유세!$148:$148)*AB$11</f>
        <v>0</v>
      </c>
      <c r="AC58" s="147">
        <f>SUMIF(보유세!$147:$147,운영비용!AC$14,보유세!$148:$148)*AC$11</f>
        <v>0</v>
      </c>
      <c r="AD58" s="147">
        <f>SUMIF(보유세!$147:$147,운영비용!AD$14,보유세!$148:$148)*AD$11</f>
        <v>0</v>
      </c>
      <c r="AE58" s="147">
        <f>SUMIF(보유세!$147:$147,운영비용!AE$14,보유세!$148:$148)*AE$11</f>
        <v>0</v>
      </c>
      <c r="AF58" s="147">
        <f>SUMIF(보유세!$147:$147,운영비용!AF$14,보유세!$148:$148)*AF$11</f>
        <v>0</v>
      </c>
      <c r="AG58" s="147">
        <f>SUMIF(보유세!$147:$147,운영비용!AG$14,보유세!$148:$148)*AG$11</f>
        <v>0</v>
      </c>
      <c r="AH58" s="147">
        <f>SUMIF(보유세!$147:$147,운영비용!AH$14,보유세!$148:$148)*AH$11</f>
        <v>0</v>
      </c>
      <c r="AI58" s="147">
        <f>SUMIF(보유세!$147:$147,운영비용!AI$14,보유세!$148:$148)*AI$11</f>
        <v>0.27217608335999921</v>
      </c>
      <c r="AJ58" s="147">
        <f>SUMIF(보유세!$147:$147,운영비용!AJ$14,보유세!$148:$148)*AJ$11</f>
        <v>0</v>
      </c>
      <c r="AK58" s="147">
        <f>SUMIF(보유세!$147:$147,운영비용!AK$14,보유세!$148:$148)*AK$11</f>
        <v>0</v>
      </c>
      <c r="AL58" s="147">
        <f>SUMIF(보유세!$147:$147,운영비용!AL$14,보유세!$148:$148)*AL$11</f>
        <v>0</v>
      </c>
      <c r="AM58" s="147">
        <f>SUMIF(보유세!$147:$147,운영비용!AM$14,보유세!$148:$148)*AM$11</f>
        <v>0</v>
      </c>
      <c r="AN58" s="147">
        <f>SUMIF(보유세!$147:$147,운영비용!AN$14,보유세!$148:$148)*AN$11</f>
        <v>0</v>
      </c>
      <c r="AO58" s="147">
        <f>SUMIF(보유세!$147:$147,운영비용!AO$14,보유세!$148:$148)*AO$11</f>
        <v>0</v>
      </c>
      <c r="AP58" s="147">
        <f>SUMIF(보유세!$147:$147,운영비용!AP$14,보유세!$148:$148)*AP$11</f>
        <v>0</v>
      </c>
      <c r="AQ58" s="147">
        <f>SUMIF(보유세!$147:$147,운영비용!AQ$14,보유세!$148:$148)*AQ$11</f>
        <v>0</v>
      </c>
      <c r="AR58" s="147">
        <f>SUMIF(보유세!$147:$147,운영비용!AR$14,보유세!$148:$148)*AR$11</f>
        <v>0</v>
      </c>
      <c r="AS58" s="147">
        <f>SUMIF(보유세!$147:$147,운영비용!AS$14,보유세!$148:$148)*AS$11</f>
        <v>0</v>
      </c>
      <c r="AT58" s="147">
        <f>SUMIF(보유세!$147:$147,운영비용!AT$14,보유세!$148:$148)*AT$11</f>
        <v>0</v>
      </c>
      <c r="AU58" s="147">
        <f>SUMIF(보유세!$147:$147,운영비용!AU$14,보유세!$148:$148)*AU$11</f>
        <v>0.40826412503999887</v>
      </c>
      <c r="AV58" s="147">
        <f>SUMIF(보유세!$147:$147,운영비용!AV$14,보유세!$148:$148)*AV$11</f>
        <v>0</v>
      </c>
      <c r="AW58" s="147">
        <f>SUMIF(보유세!$147:$147,운영비용!AW$14,보유세!$148:$148)*AW$11</f>
        <v>0</v>
      </c>
      <c r="AX58" s="147">
        <f>SUMIF(보유세!$147:$147,운영비용!AX$14,보유세!$148:$148)*AX$11</f>
        <v>0</v>
      </c>
      <c r="AY58" s="147">
        <f>SUMIF(보유세!$147:$147,운영비용!AY$14,보유세!$148:$148)*AY$11</f>
        <v>0</v>
      </c>
      <c r="AZ58" s="147">
        <f>SUMIF(보유세!$147:$147,운영비용!AZ$14,보유세!$148:$148)*AZ$11</f>
        <v>0</v>
      </c>
      <c r="BA58" s="147">
        <f>SUMIF(보유세!$147:$147,운영비용!BA$14,보유세!$148:$148)*BA$11</f>
        <v>0</v>
      </c>
      <c r="BB58" s="147">
        <f>SUMIF(보유세!$147:$147,운영비용!BB$14,보유세!$148:$148)*BB$11</f>
        <v>0</v>
      </c>
      <c r="BC58" s="147">
        <f>SUMIF(보유세!$147:$147,운영비용!BC$14,보유세!$148:$148)*BC$11</f>
        <v>0</v>
      </c>
      <c r="BD58" s="147">
        <f>SUMIF(보유세!$147:$147,운영비용!BD$14,보유세!$148:$148)*BD$11</f>
        <v>0</v>
      </c>
      <c r="BE58" s="147">
        <f>SUMIF(보유세!$147:$147,운영비용!BE$14,보유세!$148:$148)*BE$11</f>
        <v>0</v>
      </c>
      <c r="BF58" s="147">
        <f>SUMIF(보유세!$147:$147,운영비용!BF$14,보유세!$148:$148)*BF$11</f>
        <v>0</v>
      </c>
      <c r="BG58" s="147">
        <f>SUMIF(보유세!$147:$147,운영비용!BG$14,보유세!$148:$148)*BG$11</f>
        <v>0.61239618755999825</v>
      </c>
      <c r="BH58" s="147">
        <f>SUMIF(보유세!$147:$147,운영비용!BH$14,보유세!$148:$148)*BH$11</f>
        <v>0</v>
      </c>
      <c r="BI58" s="147">
        <f>SUMIF(보유세!$147:$147,운영비용!BI$14,보유세!$148:$148)*BI$11</f>
        <v>0</v>
      </c>
      <c r="BJ58" s="147">
        <f>SUMIF(보유세!$147:$147,운영비용!BJ$14,보유세!$148:$148)*BJ$11</f>
        <v>0</v>
      </c>
      <c r="BK58" s="147">
        <f>SUMIF(보유세!$147:$147,운영비용!BK$14,보유세!$148:$148)*BK$11</f>
        <v>0</v>
      </c>
      <c r="BL58" s="147">
        <f>SUMIF(보유세!$147:$147,운영비용!BL$14,보유세!$148:$148)*BL$11</f>
        <v>0</v>
      </c>
      <c r="BM58" s="147">
        <f>SUMIF(보유세!$147:$147,운영비용!BM$14,보유세!$148:$148)*BM$11</f>
        <v>0</v>
      </c>
      <c r="BN58" s="147">
        <f>SUMIF(보유세!$147:$147,운영비용!BN$14,보유세!$148:$148)*BN$11</f>
        <v>0</v>
      </c>
      <c r="BO58" s="147">
        <f>SUMIF(보유세!$147:$147,운영비용!BO$14,보유세!$148:$148)*BO$11</f>
        <v>0</v>
      </c>
      <c r="BP58" s="147">
        <f>SUMIF(보유세!$147:$147,운영비용!BP$14,보유세!$148:$148)*BP$11</f>
        <v>0</v>
      </c>
      <c r="BQ58" s="147">
        <f>SUMIF(보유세!$147:$147,운영비용!BQ$14,보유세!$148:$148)*BQ$11</f>
        <v>0</v>
      </c>
      <c r="BR58" s="147">
        <f>SUMIF(보유세!$147:$147,운영비용!BR$14,보유세!$148:$148)*BR$11</f>
        <v>0</v>
      </c>
      <c r="BS58" s="147">
        <f>SUMIF(보유세!$147:$147,운영비용!BS$14,보유세!$148:$148)*BS$11</f>
        <v>0</v>
      </c>
      <c r="BT58" s="147">
        <f>SUMIF(보유세!$147:$147,운영비용!BT$14,보유세!$148:$148)*BT$11</f>
        <v>0</v>
      </c>
      <c r="BU58" s="147">
        <f>SUMIF(보유세!$147:$147,운영비용!BU$14,보유세!$148:$148)*BU$11</f>
        <v>0</v>
      </c>
      <c r="BV58" s="147">
        <f>SUMIF(보유세!$147:$147,운영비용!BV$14,보유세!$148:$148)*BV$11</f>
        <v>0</v>
      </c>
      <c r="BW58" s="147">
        <f>SUMIF(보유세!$147:$147,운영비용!BW$14,보유세!$148:$148)*BW$11</f>
        <v>0</v>
      </c>
      <c r="BX58" s="147">
        <f>SUMIF(보유세!$147:$147,운영비용!BX$14,보유세!$148:$148)*BX$11</f>
        <v>0</v>
      </c>
      <c r="BY58" s="147">
        <f>SUMIF(보유세!$147:$147,운영비용!BY$14,보유세!$148:$148)*BY$11</f>
        <v>0</v>
      </c>
      <c r="BZ58" s="147">
        <f>SUMIF(보유세!$147:$147,운영비용!BZ$14,보유세!$148:$148)*BZ$11</f>
        <v>0</v>
      </c>
    </row>
    <row r="59" spans="3:78" ht="13.5" customHeight="1">
      <c r="C59" s="161" t="b">
        <f>ABS(F58-F59)&lt;0.001</f>
        <v>1</v>
      </c>
      <c r="D59" s="142" t="s">
        <v>325</v>
      </c>
      <c r="E59" s="160">
        <f>보유세!F119</f>
        <v>12</v>
      </c>
      <c r="F59" s="166">
        <f>SUM(G59:XFD59)</f>
        <v>1.4742871181999959</v>
      </c>
      <c r="G59" s="166"/>
      <c r="H59" s="166">
        <f>IF(OR((MONTH(H$14)=$E$59),H$14=exit),(SUM($H58:H58)-SUM($G59:G59)),0)</f>
        <v>0</v>
      </c>
      <c r="I59" s="166">
        <f>IF(OR((MONTH(I$14)=$E$59),I$14=exit),(SUM($H58:I58)-SUM($G59:H59)),0)</f>
        <v>0</v>
      </c>
      <c r="J59" s="166">
        <f>IF(OR((MONTH(J$14)=$E$59),J$14=exit),(SUM($H58:J58)-SUM($G59:I59)),0)</f>
        <v>0</v>
      </c>
      <c r="K59" s="166">
        <f>IF(OR((MONTH(K$14)=$E$59),K$14=exit),(SUM($H58:K58)-SUM($G59:J59)),0)</f>
        <v>0</v>
      </c>
      <c r="L59" s="166">
        <f>IF(OR((MONTH(L$14)=$E$59),L$14=exit),(SUM($H58:L58)-SUM($G59:K59)),0)</f>
        <v>0</v>
      </c>
      <c r="M59" s="166">
        <f>IF(OR((MONTH(M$14)=$E$59),M$14=exit),(SUM($H58:M58)-SUM($G59:L59)),0)</f>
        <v>0</v>
      </c>
      <c r="N59" s="166">
        <f>IF(OR((MONTH(N$14)=$E$59),N$14=exit),(SUM($H58:N58)-SUM($G59:M59)),0)</f>
        <v>0</v>
      </c>
      <c r="O59" s="166">
        <f>IF(OR((MONTH(O$14)=$E$59),O$14=exit),(SUM($H58:O58)-SUM($G59:N59)),0)</f>
        <v>0</v>
      </c>
      <c r="P59" s="166">
        <f>IF(OR((MONTH(P$14)=$E$59),P$14=exit),(SUM($H58:P58)-SUM($G59:O59)),0)</f>
        <v>0</v>
      </c>
      <c r="Q59" s="166">
        <f>IF(OR((MONTH(Q$14)=$E$59),Q$14=exit),(SUM($H58:Q58)-SUM($G59:P59)),0)</f>
        <v>0</v>
      </c>
      <c r="R59" s="166">
        <f>IF(OR((MONTH(R$14)=$E$59),R$14=exit),(SUM($H58:R58)-SUM($G59:Q59)),0)</f>
        <v>0</v>
      </c>
      <c r="S59" s="166">
        <f>IF(OR((MONTH(S$14)=$E$59),S$14=exit),(SUM($H58:S58)-SUM($G59:R59)),0)</f>
        <v>0</v>
      </c>
      <c r="T59" s="166">
        <f>IF(OR((MONTH(T$14)=$E$59),T$14=exit),(SUM($H58:T58)-SUM($G59:S59)),0)</f>
        <v>0</v>
      </c>
      <c r="U59" s="166">
        <f>IF(OR((MONTH(U$14)=$E$59),U$14=exit),(SUM($H58:U58)-SUM($G59:T59)),0)</f>
        <v>0</v>
      </c>
      <c r="V59" s="166">
        <f>IF(OR((MONTH(V$14)=$E$59),V$14=exit),(SUM($H58:V58)-SUM($G59:U59)),0)</f>
        <v>0</v>
      </c>
      <c r="W59" s="166">
        <f>IF(OR((MONTH(W$14)=$E$59),W$14=exit),(SUM($H58:W58)-SUM($G59:V59)),0)</f>
        <v>0</v>
      </c>
      <c r="X59" s="166">
        <f>IF(OR((MONTH(X$14)=$E$59),X$14=exit),(SUM($H58:X58)-SUM($G59:W59)),0)</f>
        <v>0</v>
      </c>
      <c r="Y59" s="166">
        <f>IF(OR((MONTH(Y$14)=$E$59),Y$14=exit),(SUM($H58:Y58)-SUM($G59:X59)),0)</f>
        <v>0</v>
      </c>
      <c r="Z59" s="166">
        <f>IF(OR((MONTH(Z$14)=$E$59),Z$14=exit),(SUM($H58:Z58)-SUM($G59:Y59)),0)</f>
        <v>0</v>
      </c>
      <c r="AA59" s="166">
        <f>IF(OR((MONTH(AA$14)=$E$59),AA$14=exit),(SUM($H58:AA58)-SUM($G59:Z59)),0)</f>
        <v>0</v>
      </c>
      <c r="AB59" s="166">
        <f>IF(OR((MONTH(AB$14)=$E$59),AB$14=exit),(SUM($H58:AB58)-SUM($G59:AA59)),0)</f>
        <v>0</v>
      </c>
      <c r="AC59" s="166">
        <f>IF(OR((MONTH(AC$14)=$E$59),AC$14=exit),(SUM($H58:AC58)-SUM($G59:AB59)),0)</f>
        <v>0.18145072223999947</v>
      </c>
      <c r="AD59" s="166">
        <f>IF(OR((MONTH(AD$14)=$E$59),AD$14=exit),(SUM($H58:AD58)-SUM($G59:AC59)),0)</f>
        <v>0</v>
      </c>
      <c r="AE59" s="166">
        <f>IF(OR((MONTH(AE$14)=$E$59),AE$14=exit),(SUM($H58:AE58)-SUM($G59:AD59)),0)</f>
        <v>0</v>
      </c>
      <c r="AF59" s="166">
        <f>IF(OR((MONTH(AF$14)=$E$59),AF$14=exit),(SUM($H58:AF58)-SUM($G59:AE59)),0)</f>
        <v>0</v>
      </c>
      <c r="AG59" s="166">
        <f>IF(OR((MONTH(AG$14)=$E$59),AG$14=exit),(SUM($H58:AG58)-SUM($G59:AF59)),0)</f>
        <v>0</v>
      </c>
      <c r="AH59" s="166">
        <f>IF(OR((MONTH(AH$14)=$E$59),AH$14=exit),(SUM($H58:AH58)-SUM($G59:AG59)),0)</f>
        <v>0</v>
      </c>
      <c r="AI59" s="166">
        <f>IF(OR((MONTH(AI$14)=$E$59),AI$14=exit),(SUM($H58:AI58)-SUM($G59:AH59)),0)</f>
        <v>0</v>
      </c>
      <c r="AJ59" s="166">
        <f>IF(OR((MONTH(AJ$14)=$E$59),AJ$14=exit),(SUM($H58:AJ58)-SUM($G59:AI59)),0)</f>
        <v>0</v>
      </c>
      <c r="AK59" s="166">
        <f>IF(OR((MONTH(AK$14)=$E$59),AK$14=exit),(SUM($H58:AK58)-SUM($G59:AJ59)),0)</f>
        <v>0</v>
      </c>
      <c r="AL59" s="166">
        <f>IF(OR((MONTH(AL$14)=$E$59),AL$14=exit),(SUM($H58:AL58)-SUM($G59:AK59)),0)</f>
        <v>0</v>
      </c>
      <c r="AM59" s="166">
        <f>IF(OR((MONTH(AM$14)=$E$59),AM$14=exit),(SUM($H58:AM58)-SUM($G59:AL59)),0)</f>
        <v>0</v>
      </c>
      <c r="AN59" s="166">
        <f>IF(OR((MONTH(AN$14)=$E$59),AN$14=exit),(SUM($H58:AN58)-SUM($G59:AM59)),0)</f>
        <v>0</v>
      </c>
      <c r="AO59" s="166">
        <f>IF(OR((MONTH(AO$14)=$E$59),AO$14=exit),(SUM($H58:AO58)-SUM($G59:AN59)),0)</f>
        <v>0.27217608335999921</v>
      </c>
      <c r="AP59" s="166">
        <f>IF(OR((MONTH(AP$14)=$E$59),AP$14=exit),(SUM($H58:AP58)-SUM($G59:AO59)),0)</f>
        <v>0</v>
      </c>
      <c r="AQ59" s="166">
        <f>IF(OR((MONTH(AQ$14)=$E$59),AQ$14=exit),(SUM($H58:AQ58)-SUM($G59:AP59)),0)</f>
        <v>0</v>
      </c>
      <c r="AR59" s="166">
        <f>IF(OR((MONTH(AR$14)=$E$59),AR$14=exit),(SUM($H58:AR58)-SUM($G59:AQ59)),0)</f>
        <v>0</v>
      </c>
      <c r="AS59" s="166">
        <f>IF(OR((MONTH(AS$14)=$E$59),AS$14=exit),(SUM($H58:AS58)-SUM($G59:AR59)),0)</f>
        <v>0</v>
      </c>
      <c r="AT59" s="166">
        <f>IF(OR((MONTH(AT$14)=$E$59),AT$14=exit),(SUM($H58:AT58)-SUM($G59:AS59)),0)</f>
        <v>0</v>
      </c>
      <c r="AU59" s="166">
        <f>IF(OR((MONTH(AU$14)=$E$59),AU$14=exit),(SUM($H58:AU58)-SUM($G59:AT59)),0)</f>
        <v>0</v>
      </c>
      <c r="AV59" s="166">
        <f>IF(OR((MONTH(AV$14)=$E$59),AV$14=exit),(SUM($H58:AV58)-SUM($G59:AU59)),0)</f>
        <v>0</v>
      </c>
      <c r="AW59" s="166">
        <f>IF(OR((MONTH(AW$14)=$E$59),AW$14=exit),(SUM($H58:AW58)-SUM($G59:AV59)),0)</f>
        <v>0</v>
      </c>
      <c r="AX59" s="166">
        <f>IF(OR((MONTH(AX$14)=$E$59),AX$14=exit),(SUM($H58:AX58)-SUM($G59:AW59)),0)</f>
        <v>0</v>
      </c>
      <c r="AY59" s="166">
        <f>IF(OR((MONTH(AY$14)=$E$59),AY$14=exit),(SUM($H58:AY58)-SUM($G59:AX59)),0)</f>
        <v>0</v>
      </c>
      <c r="AZ59" s="166">
        <f>IF(OR((MONTH(AZ$14)=$E$59),AZ$14=exit),(SUM($H58:AZ58)-SUM($G59:AY59)),0)</f>
        <v>0</v>
      </c>
      <c r="BA59" s="166">
        <f>IF(OR((MONTH(BA$14)=$E$59),BA$14=exit),(SUM($H58:BA58)-SUM($G59:AZ59)),0)</f>
        <v>0.40826412503999887</v>
      </c>
      <c r="BB59" s="166">
        <f>IF(OR((MONTH(BB$14)=$E$59),BB$14=exit),(SUM($H58:BB58)-SUM($G59:BA59)),0)</f>
        <v>0</v>
      </c>
      <c r="BC59" s="166">
        <f>IF(OR((MONTH(BC$14)=$E$59),BC$14=exit),(SUM($H58:BC58)-SUM($G59:BB59)),0)</f>
        <v>0</v>
      </c>
      <c r="BD59" s="166">
        <f>IF(OR((MONTH(BD$14)=$E$59),BD$14=exit),(SUM($H58:BD58)-SUM($G59:BC59)),0)</f>
        <v>0</v>
      </c>
      <c r="BE59" s="166">
        <f>IF(OR((MONTH(BE$14)=$E$59),BE$14=exit),(SUM($H58:BE58)-SUM($G59:BD59)),0)</f>
        <v>0</v>
      </c>
      <c r="BF59" s="166">
        <f>IF(OR((MONTH(BF$14)=$E$59),BF$14=exit),(SUM($H58:BF58)-SUM($G59:BE59)),0)</f>
        <v>0</v>
      </c>
      <c r="BG59" s="166">
        <f>IF(OR((MONTH(BG$14)=$E$59),BG$14=exit),(SUM($H58:BG58)-SUM($G59:BF59)),0)</f>
        <v>0</v>
      </c>
      <c r="BH59" s="166">
        <f>IF(OR((MONTH(BH$14)=$E$59),BH$14=exit),(SUM($H58:BH58)-SUM($G59:BG59)),0)</f>
        <v>0</v>
      </c>
      <c r="BI59" s="166">
        <f>IF(OR((MONTH(BI$14)=$E$59),BI$14=exit),(SUM($H58:BI58)-SUM($G59:BH59)),0)</f>
        <v>0</v>
      </c>
      <c r="BJ59" s="166">
        <f>IF(OR((MONTH(BJ$14)=$E$59),BJ$14=exit),(SUM($H58:BJ58)-SUM($G59:BI59)),0)</f>
        <v>0</v>
      </c>
      <c r="BK59" s="166">
        <f>IF(OR((MONTH(BK$14)=$E$59),BK$14=exit),(SUM($H58:BK58)-SUM($G59:BJ59)),0)</f>
        <v>0</v>
      </c>
      <c r="BL59" s="166">
        <f>IF(OR((MONTH(BL$14)=$E$59),BL$14=exit),(SUM($H58:BL58)-SUM($G59:BK59)),0)</f>
        <v>0</v>
      </c>
      <c r="BM59" s="166">
        <f>IF(OR((MONTH(BM$14)=$E$59),BM$14=exit),(SUM($H58:BM58)-SUM($G59:BL59)),0)</f>
        <v>0.61239618755999836</v>
      </c>
      <c r="BN59" s="166">
        <f>IF(OR((MONTH(BN$14)=$E$59),BN$14=exit),(SUM($H58:BN58)-SUM($G59:BM59)),0)</f>
        <v>0</v>
      </c>
      <c r="BO59" s="166">
        <f>IF(OR((MONTH(BO$14)=$E$59),BO$14=exit),(SUM($H58:BO58)-SUM($G59:BN59)),0)</f>
        <v>0</v>
      </c>
      <c r="BP59" s="166">
        <f>IF(OR((MONTH(BP$14)=$E$59),BP$14=exit),(SUM($H58:BP58)-SUM($G59:BO59)),0)</f>
        <v>0</v>
      </c>
      <c r="BQ59" s="166">
        <f>IF(OR((MONTH(BQ$14)=$E$59),BQ$14=exit),(SUM($H58:BQ58)-SUM($G59:BP59)),0)</f>
        <v>0</v>
      </c>
      <c r="BR59" s="166">
        <f>IF(OR((MONTH(BR$14)=$E$59),BR$14=exit),(SUM($H58:BR58)-SUM($G59:BQ59)),0)</f>
        <v>0</v>
      </c>
      <c r="BS59" s="166">
        <f>IF(OR((MONTH(BS$14)=$E$59),BS$14=exit),(SUM($H58:BS58)-SUM($G59:BR59)),0)</f>
        <v>0</v>
      </c>
      <c r="BT59" s="166">
        <f>IF(OR((MONTH(BT$14)=$E$59),BT$14=exit),(SUM($H58:BT58)-SUM($G59:BS59)),0)</f>
        <v>0</v>
      </c>
      <c r="BU59" s="166">
        <f>IF(OR((MONTH(BU$14)=$E$59),BU$14=exit),(SUM($H58:BU58)-SUM($G59:BT59)),0)</f>
        <v>0</v>
      </c>
      <c r="BV59" s="166">
        <f>IF(OR((MONTH(BV$14)=$E$59),BV$14=exit),(SUM($H58:BV58)-SUM($G59:BU59)),0)</f>
        <v>0</v>
      </c>
      <c r="BW59" s="166">
        <f>IF(OR((MONTH(BW$14)=$E$59),BW$14=exit),(SUM($H58:BW58)-SUM($G59:BV59)),0)</f>
        <v>0</v>
      </c>
      <c r="BX59" s="166">
        <f>IF(OR((MONTH(BX$14)=$E$59),BX$14=exit),(SUM($H58:BX58)-SUM($G59:BW59)),0)</f>
        <v>0</v>
      </c>
      <c r="BY59" s="166">
        <f>IF(OR((MONTH(BY$14)=$E$59),BY$14=exit),(SUM($H58:BY58)-SUM($G59:BX59)),0)</f>
        <v>0</v>
      </c>
      <c r="BZ59" s="166">
        <f>IF(OR((MONTH(BZ$14)=$E$59),BZ$14=exit),(SUM($H58:BZ58)-SUM($G59:BY59)),0)</f>
        <v>0</v>
      </c>
    </row>
    <row r="61" spans="3:78" ht="13.5" customHeight="1">
      <c r="C61" s="1" t="str">
        <f>'A&amp;R'!R30</f>
        <v>간주임대료 부가세</v>
      </c>
    </row>
    <row r="62" spans="3:78" ht="13.5" customHeight="1">
      <c r="D62" s="1" t="s">
        <v>324</v>
      </c>
      <c r="F62" s="147">
        <f ca="1">SUM(G62:XFD62)</f>
        <v>8.5979705999999982</v>
      </c>
      <c r="G62" s="147"/>
      <c r="H62" s="147">
        <f ca="1">H63*10%</f>
        <v>0</v>
      </c>
      <c r="I62" s="147">
        <f t="shared" ref="I62:BT62" ca="1" si="50">I63*10%</f>
        <v>0.14817</v>
      </c>
      <c r="J62" s="147">
        <f t="shared" ca="1" si="50"/>
        <v>0.14817</v>
      </c>
      <c r="K62" s="147">
        <f t="shared" ca="1" si="50"/>
        <v>0.14817</v>
      </c>
      <c r="L62" s="147">
        <f t="shared" ca="1" si="50"/>
        <v>0.14817</v>
      </c>
      <c r="M62" s="147">
        <f t="shared" ca="1" si="50"/>
        <v>0.10846500000000002</v>
      </c>
      <c r="N62" s="147">
        <f t="shared" ca="1" si="50"/>
        <v>6.8760000000000016E-2</v>
      </c>
      <c r="O62" s="147">
        <f t="shared" ca="1" si="50"/>
        <v>0.10846500000000002</v>
      </c>
      <c r="P62" s="147">
        <f t="shared" ca="1" si="50"/>
        <v>0.14817</v>
      </c>
      <c r="Q62" s="147">
        <f t="shared" ca="1" si="50"/>
        <v>0.14817</v>
      </c>
      <c r="R62" s="147">
        <f t="shared" ca="1" si="50"/>
        <v>0.14817</v>
      </c>
      <c r="S62" s="147">
        <f t="shared" ca="1" si="50"/>
        <v>0.14817</v>
      </c>
      <c r="T62" s="147">
        <f t="shared" ca="1" si="50"/>
        <v>0.14817</v>
      </c>
      <c r="U62" s="147">
        <f t="shared" ca="1" si="50"/>
        <v>0.14817</v>
      </c>
      <c r="V62" s="147">
        <f t="shared" ca="1" si="50"/>
        <v>0.14817</v>
      </c>
      <c r="W62" s="147">
        <f t="shared" ca="1" si="50"/>
        <v>0.14817</v>
      </c>
      <c r="X62" s="147">
        <f t="shared" ca="1" si="50"/>
        <v>0.14817</v>
      </c>
      <c r="Y62" s="147">
        <f t="shared" ca="1" si="50"/>
        <v>0.14817</v>
      </c>
      <c r="Z62" s="147">
        <f t="shared" ca="1" si="50"/>
        <v>0.14817</v>
      </c>
      <c r="AA62" s="147">
        <f t="shared" ca="1" si="50"/>
        <v>0.14817</v>
      </c>
      <c r="AB62" s="147">
        <f t="shared" ca="1" si="50"/>
        <v>0.14817</v>
      </c>
      <c r="AC62" s="147">
        <f t="shared" ca="1" si="50"/>
        <v>0.14817</v>
      </c>
      <c r="AD62" s="147">
        <f t="shared" ca="1" si="50"/>
        <v>0.14817</v>
      </c>
      <c r="AE62" s="147">
        <f t="shared" ca="1" si="50"/>
        <v>0.14817</v>
      </c>
      <c r="AF62" s="147">
        <f t="shared" ca="1" si="50"/>
        <v>0.14817</v>
      </c>
      <c r="AG62" s="147">
        <f t="shared" ca="1" si="50"/>
        <v>0.14817</v>
      </c>
      <c r="AH62" s="147">
        <f t="shared" ca="1" si="50"/>
        <v>0.14817</v>
      </c>
      <c r="AI62" s="147">
        <f t="shared" ca="1" si="50"/>
        <v>0.14817</v>
      </c>
      <c r="AJ62" s="147">
        <f t="shared" ca="1" si="50"/>
        <v>0.14817</v>
      </c>
      <c r="AK62" s="147">
        <f t="shared" ca="1" si="50"/>
        <v>0.11379000000000002</v>
      </c>
      <c r="AL62" s="147">
        <f t="shared" ca="1" si="50"/>
        <v>7.9410000000000022E-2</v>
      </c>
      <c r="AM62" s="147">
        <f t="shared" ca="1" si="50"/>
        <v>0.11513820000000002</v>
      </c>
      <c r="AN62" s="147">
        <f t="shared" ca="1" si="50"/>
        <v>0.15086640000000004</v>
      </c>
      <c r="AO62" s="147">
        <f t="shared" ca="1" si="50"/>
        <v>0.15086640000000004</v>
      </c>
      <c r="AP62" s="147">
        <f t="shared" ca="1" si="50"/>
        <v>0.15086640000000004</v>
      </c>
      <c r="AQ62" s="147">
        <f t="shared" ca="1" si="50"/>
        <v>0.15086640000000004</v>
      </c>
      <c r="AR62" s="147">
        <f t="shared" ca="1" si="50"/>
        <v>0.15086640000000004</v>
      </c>
      <c r="AS62" s="147">
        <f t="shared" ca="1" si="50"/>
        <v>0.15086640000000004</v>
      </c>
      <c r="AT62" s="147">
        <f t="shared" ca="1" si="50"/>
        <v>0.15086640000000004</v>
      </c>
      <c r="AU62" s="147">
        <f t="shared" ca="1" si="50"/>
        <v>0.15086640000000004</v>
      </c>
      <c r="AV62" s="147">
        <f t="shared" ca="1" si="50"/>
        <v>0.15086640000000004</v>
      </c>
      <c r="AW62" s="147">
        <f t="shared" ca="1" si="50"/>
        <v>0.15086640000000004</v>
      </c>
      <c r="AX62" s="147">
        <f t="shared" ca="1" si="50"/>
        <v>0.15086640000000004</v>
      </c>
      <c r="AY62" s="147">
        <f t="shared" ca="1" si="50"/>
        <v>0.15086640000000004</v>
      </c>
      <c r="AZ62" s="147">
        <f t="shared" ca="1" si="50"/>
        <v>0.15086640000000004</v>
      </c>
      <c r="BA62" s="147">
        <f t="shared" ca="1" si="50"/>
        <v>0.15086640000000004</v>
      </c>
      <c r="BB62" s="147">
        <f t="shared" ca="1" si="50"/>
        <v>0.15086640000000004</v>
      </c>
      <c r="BC62" s="147">
        <f t="shared" ca="1" si="50"/>
        <v>0.15086640000000004</v>
      </c>
      <c r="BD62" s="147">
        <f t="shared" ca="1" si="50"/>
        <v>0.15086640000000004</v>
      </c>
      <c r="BE62" s="147">
        <f t="shared" ca="1" si="50"/>
        <v>0.15086640000000004</v>
      </c>
      <c r="BF62" s="147">
        <f t="shared" ca="1" si="50"/>
        <v>0.15086640000000004</v>
      </c>
      <c r="BG62" s="147">
        <f t="shared" ca="1" si="50"/>
        <v>0.15086640000000004</v>
      </c>
      <c r="BH62" s="147">
        <f t="shared" ca="1" si="50"/>
        <v>0.15086640000000004</v>
      </c>
      <c r="BI62" s="147">
        <f t="shared" ca="1" si="50"/>
        <v>0.15086640000000004</v>
      </c>
      <c r="BJ62" s="147">
        <f t="shared" ca="1" si="50"/>
        <v>0.15086640000000004</v>
      </c>
      <c r="BK62" s="147">
        <f t="shared" ca="1" si="50"/>
        <v>0.15086640000000004</v>
      </c>
      <c r="BL62" s="147">
        <f t="shared" ca="1" si="50"/>
        <v>0.15086640000000004</v>
      </c>
      <c r="BM62" s="147">
        <f t="shared" ca="1" si="50"/>
        <v>0.15086640000000004</v>
      </c>
      <c r="BN62" s="147">
        <f t="shared" ca="1" si="50"/>
        <v>0.15086640000000004</v>
      </c>
      <c r="BO62" s="147">
        <f t="shared" ca="1" si="50"/>
        <v>0.15086640000000004</v>
      </c>
      <c r="BP62" s="147">
        <f t="shared" ca="1" si="50"/>
        <v>7.543320000000002E-2</v>
      </c>
      <c r="BQ62" s="147">
        <f t="shared" ca="1" si="50"/>
        <v>0</v>
      </c>
      <c r="BR62" s="147">
        <f t="shared" ca="1" si="50"/>
        <v>0</v>
      </c>
      <c r="BS62" s="147">
        <f t="shared" ca="1" si="50"/>
        <v>0</v>
      </c>
      <c r="BT62" s="147">
        <f t="shared" ca="1" si="50"/>
        <v>0</v>
      </c>
      <c r="BU62" s="147">
        <f t="shared" ref="BU62:BZ62" ca="1" si="51">BU63*10%</f>
        <v>0</v>
      </c>
      <c r="BV62" s="147">
        <f t="shared" ca="1" si="51"/>
        <v>0</v>
      </c>
      <c r="BW62" s="147">
        <f t="shared" ca="1" si="51"/>
        <v>0</v>
      </c>
      <c r="BX62" s="147">
        <f t="shared" ca="1" si="51"/>
        <v>0</v>
      </c>
      <c r="BY62" s="147">
        <f t="shared" ca="1" si="51"/>
        <v>0</v>
      </c>
      <c r="BZ62" s="147">
        <f t="shared" si="51"/>
        <v>0</v>
      </c>
    </row>
    <row r="63" spans="3:78" s="11" customFormat="1" ht="13.5" customHeight="1">
      <c r="E63" s="11" t="s">
        <v>346</v>
      </c>
      <c r="F63" s="11">
        <f ca="1">SUM(G63:XFD63)</f>
        <v>85.979706000000007</v>
      </c>
      <c r="H63" s="11">
        <f ca="1">운영수입!H333*'A&amp;R'!$U$30/12*H11</f>
        <v>0</v>
      </c>
      <c r="I63" s="11">
        <f ca="1">운영수입!I333*'A&amp;R'!$U$30/12*I11</f>
        <v>1.4817</v>
      </c>
      <c r="J63" s="11">
        <f ca="1">운영수입!J333*'A&amp;R'!$U$30/12*J11</f>
        <v>1.4817</v>
      </c>
      <c r="K63" s="11">
        <f ca="1">운영수입!K333*'A&amp;R'!$U$30/12*K11</f>
        <v>1.4817</v>
      </c>
      <c r="L63" s="11">
        <f ca="1">운영수입!L333*'A&amp;R'!$U$30/12*L11</f>
        <v>1.4817</v>
      </c>
      <c r="M63" s="11">
        <f ca="1">운영수입!M333*'A&amp;R'!$U$30/12*M11</f>
        <v>1.0846500000000001</v>
      </c>
      <c r="N63" s="11">
        <f ca="1">운영수입!N333*'A&amp;R'!$U$30/12*N11</f>
        <v>0.6876000000000001</v>
      </c>
      <c r="O63" s="11">
        <f ca="1">운영수입!O333*'A&amp;R'!$U$30/12*O11</f>
        <v>1.0846500000000001</v>
      </c>
      <c r="P63" s="11">
        <f ca="1">운영수입!P333*'A&amp;R'!$U$30/12*P11</f>
        <v>1.4817</v>
      </c>
      <c r="Q63" s="11">
        <f ca="1">운영수입!Q333*'A&amp;R'!$U$30/12*Q11</f>
        <v>1.4817</v>
      </c>
      <c r="R63" s="11">
        <f ca="1">운영수입!R333*'A&amp;R'!$U$30/12*R11</f>
        <v>1.4817</v>
      </c>
      <c r="S63" s="11">
        <f ca="1">운영수입!S333*'A&amp;R'!$U$30/12*S11</f>
        <v>1.4817</v>
      </c>
      <c r="T63" s="11">
        <f ca="1">운영수입!T333*'A&amp;R'!$U$30/12*T11</f>
        <v>1.4817</v>
      </c>
      <c r="U63" s="11">
        <f ca="1">운영수입!U333*'A&amp;R'!$U$30/12*U11</f>
        <v>1.4817</v>
      </c>
      <c r="V63" s="11">
        <f ca="1">운영수입!V333*'A&amp;R'!$U$30/12*V11</f>
        <v>1.4817</v>
      </c>
      <c r="W63" s="11">
        <f ca="1">운영수입!W333*'A&amp;R'!$U$30/12*W11</f>
        <v>1.4817</v>
      </c>
      <c r="X63" s="11">
        <f ca="1">운영수입!X333*'A&amp;R'!$U$30/12*X11</f>
        <v>1.4817</v>
      </c>
      <c r="Y63" s="11">
        <f ca="1">운영수입!Y333*'A&amp;R'!$U$30/12*Y11</f>
        <v>1.4817</v>
      </c>
      <c r="Z63" s="11">
        <f ca="1">운영수입!Z333*'A&amp;R'!$U$30/12*Z11</f>
        <v>1.4817</v>
      </c>
      <c r="AA63" s="11">
        <f ca="1">운영수입!AA333*'A&amp;R'!$U$30/12*AA11</f>
        <v>1.4817</v>
      </c>
      <c r="AB63" s="11">
        <f ca="1">운영수입!AB333*'A&amp;R'!$U$30/12*AB11</f>
        <v>1.4817</v>
      </c>
      <c r="AC63" s="11">
        <f ca="1">운영수입!AC333*'A&amp;R'!$U$30/12*AC11</f>
        <v>1.4817</v>
      </c>
      <c r="AD63" s="11">
        <f ca="1">운영수입!AD333*'A&amp;R'!$U$30/12*AD11</f>
        <v>1.4817</v>
      </c>
      <c r="AE63" s="11">
        <f ca="1">운영수입!AE333*'A&amp;R'!$U$30/12*AE11</f>
        <v>1.4817</v>
      </c>
      <c r="AF63" s="11">
        <f ca="1">운영수입!AF333*'A&amp;R'!$U$30/12*AF11</f>
        <v>1.4817</v>
      </c>
      <c r="AG63" s="11">
        <f ca="1">운영수입!AG333*'A&amp;R'!$U$30/12*AG11</f>
        <v>1.4817</v>
      </c>
      <c r="AH63" s="11">
        <f ca="1">운영수입!AH333*'A&amp;R'!$U$30/12*AH11</f>
        <v>1.4817</v>
      </c>
      <c r="AI63" s="11">
        <f ca="1">운영수입!AI333*'A&amp;R'!$U$30/12*AI11</f>
        <v>1.4817</v>
      </c>
      <c r="AJ63" s="11">
        <f ca="1">운영수입!AJ333*'A&amp;R'!$U$30/12*AJ11</f>
        <v>1.4817</v>
      </c>
      <c r="AK63" s="11">
        <f ca="1">운영수입!AK333*'A&amp;R'!$U$30/12*AK11</f>
        <v>1.1379000000000001</v>
      </c>
      <c r="AL63" s="11">
        <f ca="1">운영수입!AL333*'A&amp;R'!$U$30/12*AL11</f>
        <v>0.79410000000000014</v>
      </c>
      <c r="AM63" s="11">
        <f ca="1">운영수입!AM333*'A&amp;R'!$U$30/12*AM11</f>
        <v>1.1513820000000001</v>
      </c>
      <c r="AN63" s="11">
        <f ca="1">운영수입!AN333*'A&amp;R'!$U$30/12*AN11</f>
        <v>1.5086640000000002</v>
      </c>
      <c r="AO63" s="11">
        <f ca="1">운영수입!AO333*'A&amp;R'!$U$30/12*AO11</f>
        <v>1.5086640000000002</v>
      </c>
      <c r="AP63" s="11">
        <f ca="1">운영수입!AP333*'A&amp;R'!$U$30/12*AP11</f>
        <v>1.5086640000000002</v>
      </c>
      <c r="AQ63" s="11">
        <f ca="1">운영수입!AQ333*'A&amp;R'!$U$30/12*AQ11</f>
        <v>1.5086640000000002</v>
      </c>
      <c r="AR63" s="11">
        <f ca="1">운영수입!AR333*'A&amp;R'!$U$30/12*AR11</f>
        <v>1.5086640000000002</v>
      </c>
      <c r="AS63" s="11">
        <f ca="1">운영수입!AS333*'A&amp;R'!$U$30/12*AS11</f>
        <v>1.5086640000000002</v>
      </c>
      <c r="AT63" s="11">
        <f ca="1">운영수입!AT333*'A&amp;R'!$U$30/12*AT11</f>
        <v>1.5086640000000002</v>
      </c>
      <c r="AU63" s="11">
        <f ca="1">운영수입!AU333*'A&amp;R'!$U$30/12*AU11</f>
        <v>1.5086640000000002</v>
      </c>
      <c r="AV63" s="11">
        <f ca="1">운영수입!AV333*'A&amp;R'!$U$30/12*AV11</f>
        <v>1.5086640000000002</v>
      </c>
      <c r="AW63" s="11">
        <f ca="1">운영수입!AW333*'A&amp;R'!$U$30/12*AW11</f>
        <v>1.5086640000000002</v>
      </c>
      <c r="AX63" s="11">
        <f ca="1">운영수입!AX333*'A&amp;R'!$U$30/12*AX11</f>
        <v>1.5086640000000002</v>
      </c>
      <c r="AY63" s="11">
        <f ca="1">운영수입!AY333*'A&amp;R'!$U$30/12*AY11</f>
        <v>1.5086640000000002</v>
      </c>
      <c r="AZ63" s="11">
        <f ca="1">운영수입!AZ333*'A&amp;R'!$U$30/12*AZ11</f>
        <v>1.5086640000000002</v>
      </c>
      <c r="BA63" s="11">
        <f ca="1">운영수입!BA333*'A&amp;R'!$U$30/12*BA11</f>
        <v>1.5086640000000002</v>
      </c>
      <c r="BB63" s="11">
        <f ca="1">운영수입!BB333*'A&amp;R'!$U$30/12*BB11</f>
        <v>1.5086640000000002</v>
      </c>
      <c r="BC63" s="11">
        <f ca="1">운영수입!BC333*'A&amp;R'!$U$30/12*BC11</f>
        <v>1.5086640000000002</v>
      </c>
      <c r="BD63" s="11">
        <f ca="1">운영수입!BD333*'A&amp;R'!$U$30/12*BD11</f>
        <v>1.5086640000000002</v>
      </c>
      <c r="BE63" s="11">
        <f ca="1">운영수입!BE333*'A&amp;R'!$U$30/12*BE11</f>
        <v>1.5086640000000002</v>
      </c>
      <c r="BF63" s="11">
        <f ca="1">운영수입!BF333*'A&amp;R'!$U$30/12*BF11</f>
        <v>1.5086640000000002</v>
      </c>
      <c r="BG63" s="11">
        <f ca="1">운영수입!BG333*'A&amp;R'!$U$30/12*BG11</f>
        <v>1.5086640000000002</v>
      </c>
      <c r="BH63" s="11">
        <f ca="1">운영수입!BH333*'A&amp;R'!$U$30/12*BH11</f>
        <v>1.5086640000000002</v>
      </c>
      <c r="BI63" s="11">
        <f ca="1">운영수입!BI333*'A&amp;R'!$U$30/12*BI11</f>
        <v>1.5086640000000002</v>
      </c>
      <c r="BJ63" s="11">
        <f ca="1">운영수입!BJ333*'A&amp;R'!$U$30/12*BJ11</f>
        <v>1.5086640000000002</v>
      </c>
      <c r="BK63" s="11">
        <f ca="1">운영수입!BK333*'A&amp;R'!$U$30/12*BK11</f>
        <v>1.5086640000000002</v>
      </c>
      <c r="BL63" s="11">
        <f ca="1">운영수입!BL333*'A&amp;R'!$U$30/12*BL11</f>
        <v>1.5086640000000002</v>
      </c>
      <c r="BM63" s="11">
        <f ca="1">운영수입!BM333*'A&amp;R'!$U$30/12*BM11</f>
        <v>1.5086640000000002</v>
      </c>
      <c r="BN63" s="11">
        <f ca="1">운영수입!BN333*'A&amp;R'!$U$30/12*BN11</f>
        <v>1.5086640000000002</v>
      </c>
      <c r="BO63" s="11">
        <f ca="1">운영수입!BO333*'A&amp;R'!$U$30/12*BO11</f>
        <v>1.5086640000000002</v>
      </c>
      <c r="BP63" s="11">
        <f ca="1">운영수입!BP333*'A&amp;R'!$U$30/12*BP11</f>
        <v>0.75433200000000011</v>
      </c>
      <c r="BQ63" s="11">
        <f ca="1">운영수입!BQ333*'A&amp;R'!$U$30/12*BQ11</f>
        <v>0</v>
      </c>
      <c r="BR63" s="11">
        <f ca="1">운영수입!BR333*'A&amp;R'!$U$30/12*BR11</f>
        <v>0</v>
      </c>
      <c r="BS63" s="11">
        <f ca="1">운영수입!BS333*'A&amp;R'!$U$30/12*BS11</f>
        <v>0</v>
      </c>
      <c r="BT63" s="11">
        <f ca="1">운영수입!BT333*'A&amp;R'!$U$30/12*BT11</f>
        <v>0</v>
      </c>
      <c r="BU63" s="11">
        <f ca="1">운영수입!BU333*'A&amp;R'!$U$30/12*BU11</f>
        <v>0</v>
      </c>
      <c r="BV63" s="11">
        <f ca="1">운영수입!BV333*'A&amp;R'!$U$30/12*BV11</f>
        <v>0</v>
      </c>
      <c r="BW63" s="11">
        <f ca="1">운영수입!BW333*'A&amp;R'!$U$30/12*BW11</f>
        <v>0</v>
      </c>
      <c r="BX63" s="11">
        <f ca="1">운영수입!BX333*'A&amp;R'!$U$30/12*BX11</f>
        <v>0</v>
      </c>
      <c r="BY63" s="11">
        <f ca="1">운영수입!BY333*'A&amp;R'!$U$30/12*BY11</f>
        <v>0</v>
      </c>
      <c r="BZ63" s="11">
        <f>운영수입!BZ333*'A&amp;R'!$U$30/12*BZ11</f>
        <v>0</v>
      </c>
    </row>
    <row r="64" spans="3:78" s="11" customFormat="1" ht="13.5" customHeight="1">
      <c r="E64" s="11" t="s">
        <v>348</v>
      </c>
      <c r="H64" s="11">
        <f>MIN((MONTH(H14)='A&amp;R'!$W$30)*1+(MONTH(H14)='A&amp;R'!$X$30)*1+(H14=exit)*1,1)</f>
        <v>0</v>
      </c>
      <c r="I64" s="11">
        <f>MIN((MONTH(I14)='A&amp;R'!$W$30)*1+(MONTH(I14)='A&amp;R'!$X$30)*1+(I14=exit)*1,1)</f>
        <v>0</v>
      </c>
      <c r="J64" s="11">
        <f>MIN((MONTH(J14)='A&amp;R'!$W$30)*1+(MONTH(J14)='A&amp;R'!$X$30)*1+(J14=exit)*1,1)</f>
        <v>0</v>
      </c>
      <c r="K64" s="11">
        <f>MIN((MONTH(K14)='A&amp;R'!$W$30)*1+(MONTH(K14)='A&amp;R'!$X$30)*1+(K14=exit)*1,1)</f>
        <v>0</v>
      </c>
      <c r="L64" s="11">
        <f>MIN((MONTH(L14)='A&amp;R'!$W$30)*1+(MONTH(L14)='A&amp;R'!$X$30)*1+(L14=exit)*1,1)</f>
        <v>1</v>
      </c>
      <c r="M64" s="11">
        <f>MIN((MONTH(M14)='A&amp;R'!$W$30)*1+(MONTH(M14)='A&amp;R'!$X$30)*1+(M14=exit)*1,1)</f>
        <v>0</v>
      </c>
      <c r="N64" s="11">
        <f>MIN((MONTH(N14)='A&amp;R'!$W$30)*1+(MONTH(N14)='A&amp;R'!$X$30)*1+(N14=exit)*1,1)</f>
        <v>0</v>
      </c>
      <c r="O64" s="11">
        <f>MIN((MONTH(O14)='A&amp;R'!$W$30)*1+(MONTH(O14)='A&amp;R'!$X$30)*1+(O14=exit)*1,1)</f>
        <v>0</v>
      </c>
      <c r="P64" s="11">
        <f>MIN((MONTH(P14)='A&amp;R'!$W$30)*1+(MONTH(P14)='A&amp;R'!$X$30)*1+(P14=exit)*1,1)</f>
        <v>0</v>
      </c>
      <c r="Q64" s="11">
        <f>MIN((MONTH(Q14)='A&amp;R'!$W$30)*1+(MONTH(Q14)='A&amp;R'!$X$30)*1+(Q14=exit)*1,1)</f>
        <v>0</v>
      </c>
      <c r="R64" s="11">
        <f>MIN((MONTH(R14)='A&amp;R'!$W$30)*1+(MONTH(R14)='A&amp;R'!$X$30)*1+(R14=exit)*1,1)</f>
        <v>1</v>
      </c>
      <c r="S64" s="11">
        <f>MIN((MONTH(S14)='A&amp;R'!$W$30)*1+(MONTH(S14)='A&amp;R'!$X$30)*1+(S14=exit)*1,1)</f>
        <v>0</v>
      </c>
      <c r="T64" s="11">
        <f>MIN((MONTH(T14)='A&amp;R'!$W$30)*1+(MONTH(T14)='A&amp;R'!$X$30)*1+(T14=exit)*1,1)</f>
        <v>0</v>
      </c>
      <c r="U64" s="11">
        <f>MIN((MONTH(U14)='A&amp;R'!$W$30)*1+(MONTH(U14)='A&amp;R'!$X$30)*1+(U14=exit)*1,1)</f>
        <v>0</v>
      </c>
      <c r="V64" s="11">
        <f>MIN((MONTH(V14)='A&amp;R'!$W$30)*1+(MONTH(V14)='A&amp;R'!$X$30)*1+(V14=exit)*1,1)</f>
        <v>0</v>
      </c>
      <c r="W64" s="11">
        <f>MIN((MONTH(W14)='A&amp;R'!$W$30)*1+(MONTH(W14)='A&amp;R'!$X$30)*1+(W14=exit)*1,1)</f>
        <v>0</v>
      </c>
      <c r="X64" s="11">
        <f>MIN((MONTH(X14)='A&amp;R'!$W$30)*1+(MONTH(X14)='A&amp;R'!$X$30)*1+(X14=exit)*1,1)</f>
        <v>1</v>
      </c>
      <c r="Y64" s="11">
        <f>MIN((MONTH(Y14)='A&amp;R'!$W$30)*1+(MONTH(Y14)='A&amp;R'!$X$30)*1+(Y14=exit)*1,1)</f>
        <v>0</v>
      </c>
      <c r="Z64" s="11">
        <f>MIN((MONTH(Z14)='A&amp;R'!$W$30)*1+(MONTH(Z14)='A&amp;R'!$X$30)*1+(Z14=exit)*1,1)</f>
        <v>0</v>
      </c>
      <c r="AA64" s="11">
        <f>MIN((MONTH(AA14)='A&amp;R'!$W$30)*1+(MONTH(AA14)='A&amp;R'!$X$30)*1+(AA14=exit)*1,1)</f>
        <v>0</v>
      </c>
      <c r="AB64" s="11">
        <f>MIN((MONTH(AB14)='A&amp;R'!$W$30)*1+(MONTH(AB14)='A&amp;R'!$X$30)*1+(AB14=exit)*1,1)</f>
        <v>0</v>
      </c>
      <c r="AC64" s="11">
        <f>MIN((MONTH(AC14)='A&amp;R'!$W$30)*1+(MONTH(AC14)='A&amp;R'!$X$30)*1+(AC14=exit)*1,1)</f>
        <v>0</v>
      </c>
      <c r="AD64" s="11">
        <f>MIN((MONTH(AD14)='A&amp;R'!$W$30)*1+(MONTH(AD14)='A&amp;R'!$X$30)*1+(AD14=exit)*1,1)</f>
        <v>1</v>
      </c>
      <c r="AE64" s="11">
        <f>MIN((MONTH(AE14)='A&amp;R'!$W$30)*1+(MONTH(AE14)='A&amp;R'!$X$30)*1+(AE14=exit)*1,1)</f>
        <v>0</v>
      </c>
      <c r="AF64" s="11">
        <f>MIN((MONTH(AF14)='A&amp;R'!$W$30)*1+(MONTH(AF14)='A&amp;R'!$X$30)*1+(AF14=exit)*1,1)</f>
        <v>0</v>
      </c>
      <c r="AG64" s="11">
        <f>MIN((MONTH(AG14)='A&amp;R'!$W$30)*1+(MONTH(AG14)='A&amp;R'!$X$30)*1+(AG14=exit)*1,1)</f>
        <v>0</v>
      </c>
      <c r="AH64" s="11">
        <f>MIN((MONTH(AH14)='A&amp;R'!$W$30)*1+(MONTH(AH14)='A&amp;R'!$X$30)*1+(AH14=exit)*1,1)</f>
        <v>0</v>
      </c>
      <c r="AI64" s="11">
        <f>MIN((MONTH(AI14)='A&amp;R'!$W$30)*1+(MONTH(AI14)='A&amp;R'!$X$30)*1+(AI14=exit)*1,1)</f>
        <v>0</v>
      </c>
      <c r="AJ64" s="11">
        <f>MIN((MONTH(AJ14)='A&amp;R'!$W$30)*1+(MONTH(AJ14)='A&amp;R'!$X$30)*1+(AJ14=exit)*1,1)</f>
        <v>1</v>
      </c>
      <c r="AK64" s="11">
        <f>MIN((MONTH(AK14)='A&amp;R'!$W$30)*1+(MONTH(AK14)='A&amp;R'!$X$30)*1+(AK14=exit)*1,1)</f>
        <v>0</v>
      </c>
      <c r="AL64" s="11">
        <f>MIN((MONTH(AL14)='A&amp;R'!$W$30)*1+(MONTH(AL14)='A&amp;R'!$X$30)*1+(AL14=exit)*1,1)</f>
        <v>0</v>
      </c>
      <c r="AM64" s="11">
        <f>MIN((MONTH(AM14)='A&amp;R'!$W$30)*1+(MONTH(AM14)='A&amp;R'!$X$30)*1+(AM14=exit)*1,1)</f>
        <v>0</v>
      </c>
      <c r="AN64" s="11">
        <f>MIN((MONTH(AN14)='A&amp;R'!$W$30)*1+(MONTH(AN14)='A&amp;R'!$X$30)*1+(AN14=exit)*1,1)</f>
        <v>0</v>
      </c>
      <c r="AO64" s="11">
        <f>MIN((MONTH(AO14)='A&amp;R'!$W$30)*1+(MONTH(AO14)='A&amp;R'!$X$30)*1+(AO14=exit)*1,1)</f>
        <v>0</v>
      </c>
      <c r="AP64" s="11">
        <f>MIN((MONTH(AP14)='A&amp;R'!$W$30)*1+(MONTH(AP14)='A&amp;R'!$X$30)*1+(AP14=exit)*1,1)</f>
        <v>1</v>
      </c>
      <c r="AQ64" s="11">
        <f>MIN((MONTH(AQ14)='A&amp;R'!$W$30)*1+(MONTH(AQ14)='A&amp;R'!$X$30)*1+(AQ14=exit)*1,1)</f>
        <v>0</v>
      </c>
      <c r="AR64" s="11">
        <f>MIN((MONTH(AR14)='A&amp;R'!$W$30)*1+(MONTH(AR14)='A&amp;R'!$X$30)*1+(AR14=exit)*1,1)</f>
        <v>0</v>
      </c>
      <c r="AS64" s="11">
        <f>MIN((MONTH(AS14)='A&amp;R'!$W$30)*1+(MONTH(AS14)='A&amp;R'!$X$30)*1+(AS14=exit)*1,1)</f>
        <v>0</v>
      </c>
      <c r="AT64" s="11">
        <f>MIN((MONTH(AT14)='A&amp;R'!$W$30)*1+(MONTH(AT14)='A&amp;R'!$X$30)*1+(AT14=exit)*1,1)</f>
        <v>0</v>
      </c>
      <c r="AU64" s="11">
        <f>MIN((MONTH(AU14)='A&amp;R'!$W$30)*1+(MONTH(AU14)='A&amp;R'!$X$30)*1+(AU14=exit)*1,1)</f>
        <v>0</v>
      </c>
      <c r="AV64" s="11">
        <f>MIN((MONTH(AV14)='A&amp;R'!$W$30)*1+(MONTH(AV14)='A&amp;R'!$X$30)*1+(AV14=exit)*1,1)</f>
        <v>1</v>
      </c>
      <c r="AW64" s="11">
        <f>MIN((MONTH(AW14)='A&amp;R'!$W$30)*1+(MONTH(AW14)='A&amp;R'!$X$30)*1+(AW14=exit)*1,1)</f>
        <v>0</v>
      </c>
      <c r="AX64" s="11">
        <f>MIN((MONTH(AX14)='A&amp;R'!$W$30)*1+(MONTH(AX14)='A&amp;R'!$X$30)*1+(AX14=exit)*1,1)</f>
        <v>0</v>
      </c>
      <c r="AY64" s="11">
        <f>MIN((MONTH(AY14)='A&amp;R'!$W$30)*1+(MONTH(AY14)='A&amp;R'!$X$30)*1+(AY14=exit)*1,1)</f>
        <v>0</v>
      </c>
      <c r="AZ64" s="11">
        <f>MIN((MONTH(AZ14)='A&amp;R'!$W$30)*1+(MONTH(AZ14)='A&amp;R'!$X$30)*1+(AZ14=exit)*1,1)</f>
        <v>0</v>
      </c>
      <c r="BA64" s="11">
        <f>MIN((MONTH(BA14)='A&amp;R'!$W$30)*1+(MONTH(BA14)='A&amp;R'!$X$30)*1+(BA14=exit)*1,1)</f>
        <v>0</v>
      </c>
      <c r="BB64" s="11">
        <f>MIN((MONTH(BB14)='A&amp;R'!$W$30)*1+(MONTH(BB14)='A&amp;R'!$X$30)*1+(BB14=exit)*1,1)</f>
        <v>1</v>
      </c>
      <c r="BC64" s="11">
        <f>MIN((MONTH(BC14)='A&amp;R'!$W$30)*1+(MONTH(BC14)='A&amp;R'!$X$30)*1+(BC14=exit)*1,1)</f>
        <v>0</v>
      </c>
      <c r="BD64" s="11">
        <f>MIN((MONTH(BD14)='A&amp;R'!$W$30)*1+(MONTH(BD14)='A&amp;R'!$X$30)*1+(BD14=exit)*1,1)</f>
        <v>0</v>
      </c>
      <c r="BE64" s="11">
        <f>MIN((MONTH(BE14)='A&amp;R'!$W$30)*1+(MONTH(BE14)='A&amp;R'!$X$30)*1+(BE14=exit)*1,1)</f>
        <v>0</v>
      </c>
      <c r="BF64" s="11">
        <f>MIN((MONTH(BF14)='A&amp;R'!$W$30)*1+(MONTH(BF14)='A&amp;R'!$X$30)*1+(BF14=exit)*1,1)</f>
        <v>0</v>
      </c>
      <c r="BG64" s="11">
        <f>MIN((MONTH(BG14)='A&amp;R'!$W$30)*1+(MONTH(BG14)='A&amp;R'!$X$30)*1+(BG14=exit)*1,1)</f>
        <v>0</v>
      </c>
      <c r="BH64" s="11">
        <f>MIN((MONTH(BH14)='A&amp;R'!$W$30)*1+(MONTH(BH14)='A&amp;R'!$X$30)*1+(BH14=exit)*1,1)</f>
        <v>1</v>
      </c>
      <c r="BI64" s="11">
        <f>MIN((MONTH(BI14)='A&amp;R'!$W$30)*1+(MONTH(BI14)='A&amp;R'!$X$30)*1+(BI14=exit)*1,1)</f>
        <v>0</v>
      </c>
      <c r="BJ64" s="11">
        <f>MIN((MONTH(BJ14)='A&amp;R'!$W$30)*1+(MONTH(BJ14)='A&amp;R'!$X$30)*1+(BJ14=exit)*1,1)</f>
        <v>0</v>
      </c>
      <c r="BK64" s="11">
        <f>MIN((MONTH(BK14)='A&amp;R'!$W$30)*1+(MONTH(BK14)='A&amp;R'!$X$30)*1+(BK14=exit)*1,1)</f>
        <v>0</v>
      </c>
      <c r="BL64" s="11">
        <f>MIN((MONTH(BL14)='A&amp;R'!$W$30)*1+(MONTH(BL14)='A&amp;R'!$X$30)*1+(BL14=exit)*1,1)</f>
        <v>0</v>
      </c>
      <c r="BM64" s="11">
        <f>MIN((MONTH(BM14)='A&amp;R'!$W$30)*1+(MONTH(BM14)='A&amp;R'!$X$30)*1+(BM14=exit)*1,1)</f>
        <v>0</v>
      </c>
      <c r="BN64" s="11">
        <f>MIN((MONTH(BN14)='A&amp;R'!$W$30)*1+(MONTH(BN14)='A&amp;R'!$X$30)*1+(BN14=exit)*1,1)</f>
        <v>1</v>
      </c>
      <c r="BO64" s="11">
        <f>MIN((MONTH(BO14)='A&amp;R'!$W$30)*1+(MONTH(BO14)='A&amp;R'!$X$30)*1+(BO14=exit)*1,1)</f>
        <v>0</v>
      </c>
      <c r="BP64" s="11">
        <f>MIN((MONTH(BP14)='A&amp;R'!$W$30)*1+(MONTH(BP14)='A&amp;R'!$X$30)*1+(BP14=exit)*1,1)</f>
        <v>1</v>
      </c>
      <c r="BQ64" s="11">
        <f>MIN((MONTH(BQ14)='A&amp;R'!$W$30)*1+(MONTH(BQ14)='A&amp;R'!$X$30)*1+(BQ14=exit)*1,1)</f>
        <v>0</v>
      </c>
      <c r="BR64" s="11">
        <f>MIN((MONTH(BR14)='A&amp;R'!$W$30)*1+(MONTH(BR14)='A&amp;R'!$X$30)*1+(BR14=exit)*1,1)</f>
        <v>0</v>
      </c>
      <c r="BS64" s="11">
        <f>MIN((MONTH(BS14)='A&amp;R'!$W$30)*1+(MONTH(BS14)='A&amp;R'!$X$30)*1+(BS14=exit)*1,1)</f>
        <v>0</v>
      </c>
      <c r="BT64" s="11">
        <f>MIN((MONTH(BT14)='A&amp;R'!$W$30)*1+(MONTH(BT14)='A&amp;R'!$X$30)*1+(BT14=exit)*1,1)</f>
        <v>1</v>
      </c>
      <c r="BU64" s="11">
        <f>MIN((MONTH(BU14)='A&amp;R'!$W$30)*1+(MONTH(BU14)='A&amp;R'!$X$30)*1+(BU14=exit)*1,1)</f>
        <v>0</v>
      </c>
      <c r="BV64" s="11">
        <f>MIN((MONTH(BV14)='A&amp;R'!$W$30)*1+(MONTH(BV14)='A&amp;R'!$X$30)*1+(BV14=exit)*1,1)</f>
        <v>0</v>
      </c>
      <c r="BW64" s="11">
        <f>MIN((MONTH(BW14)='A&amp;R'!$W$30)*1+(MONTH(BW14)='A&amp;R'!$X$30)*1+(BW14=exit)*1,1)</f>
        <v>0</v>
      </c>
      <c r="BX64" s="11">
        <f>MIN((MONTH(BX14)='A&amp;R'!$W$30)*1+(MONTH(BX14)='A&amp;R'!$X$30)*1+(BX14=exit)*1,1)</f>
        <v>0</v>
      </c>
      <c r="BY64" s="11">
        <f>MIN((MONTH(BY14)='A&amp;R'!$W$30)*1+(MONTH(BY14)='A&amp;R'!$X$30)*1+(BY14=exit)*1,1)</f>
        <v>0</v>
      </c>
      <c r="BZ64" s="11">
        <f>MIN((MONTH(BZ14)='A&amp;R'!$W$30)*1+(MONTH(BZ14)='A&amp;R'!$X$30)*1+(BZ14=exit)*1,1)</f>
        <v>1</v>
      </c>
    </row>
    <row r="65" spans="2:78" ht="13.5" customHeight="1">
      <c r="C65" s="161" t="b">
        <f ca="1">ABS(F62-F65)&lt;0.001</f>
        <v>1</v>
      </c>
      <c r="D65" s="142" t="s">
        <v>325</v>
      </c>
      <c r="E65" s="160"/>
      <c r="F65" s="166">
        <f ca="1">SUM(G65:XFD65)</f>
        <v>8.5979705999999982</v>
      </c>
      <c r="G65" s="166"/>
      <c r="H65" s="166">
        <f ca="1">(SUM($H62:H62)-SUM($G65:G65))*H64</f>
        <v>0</v>
      </c>
      <c r="I65" s="166">
        <f ca="1">(SUM($H62:I62)-SUM($G65:H65))*I64</f>
        <v>0</v>
      </c>
      <c r="J65" s="166">
        <f ca="1">(SUM($H62:J62)-SUM($G65:I65))*J64</f>
        <v>0</v>
      </c>
      <c r="K65" s="166">
        <f ca="1">(SUM($H62:K62)-SUM($G65:J65))*K64</f>
        <v>0</v>
      </c>
      <c r="L65" s="166">
        <f ca="1">(SUM($H62:L62)-SUM($G65:K65))*L64</f>
        <v>0.59267999999999998</v>
      </c>
      <c r="M65" s="166">
        <f ca="1">(SUM($H62:M62)-SUM($G65:L65))*M64</f>
        <v>0</v>
      </c>
      <c r="N65" s="166">
        <f ca="1">(SUM($H62:N62)-SUM($G65:M65))*N64</f>
        <v>0</v>
      </c>
      <c r="O65" s="166">
        <f ca="1">(SUM($H62:O62)-SUM($G65:N65))*O64</f>
        <v>0</v>
      </c>
      <c r="P65" s="166">
        <f ca="1">(SUM($H62:P62)-SUM($G65:O65))*P64</f>
        <v>0</v>
      </c>
      <c r="Q65" s="166">
        <f ca="1">(SUM($H62:Q62)-SUM($G65:P65))*Q64</f>
        <v>0</v>
      </c>
      <c r="R65" s="166">
        <f ca="1">(SUM($H62:R62)-SUM($G65:Q65))*R64</f>
        <v>0.73019999999999985</v>
      </c>
      <c r="S65" s="166">
        <f ca="1">(SUM($H62:S62)-SUM($G65:R65))*S64</f>
        <v>0</v>
      </c>
      <c r="T65" s="166">
        <f ca="1">(SUM($H62:T62)-SUM($G65:S65))*T64</f>
        <v>0</v>
      </c>
      <c r="U65" s="166">
        <f ca="1">(SUM($H62:U62)-SUM($G65:T65))*U64</f>
        <v>0</v>
      </c>
      <c r="V65" s="166">
        <f ca="1">(SUM($H62:V62)-SUM($G65:U65))*V64</f>
        <v>0</v>
      </c>
      <c r="W65" s="166">
        <f ca="1">(SUM($H62:W62)-SUM($G65:V65))*W64</f>
        <v>0</v>
      </c>
      <c r="X65" s="166">
        <f ca="1">(SUM($H62:X62)-SUM($G65:W65))*X64</f>
        <v>0.8890199999999997</v>
      </c>
      <c r="Y65" s="166">
        <f ca="1">(SUM($H62:Y62)-SUM($G65:X65))*Y64</f>
        <v>0</v>
      </c>
      <c r="Z65" s="166">
        <f ca="1">(SUM($H62:Z62)-SUM($G65:Y65))*Z64</f>
        <v>0</v>
      </c>
      <c r="AA65" s="166">
        <f ca="1">(SUM($H62:AA62)-SUM($G65:Z65))*AA64</f>
        <v>0</v>
      </c>
      <c r="AB65" s="166">
        <f ca="1">(SUM($H62:AB62)-SUM($G65:AA65))*AB64</f>
        <v>0</v>
      </c>
      <c r="AC65" s="166">
        <f ca="1">(SUM($H62:AC62)-SUM($G65:AB65))*AC64</f>
        <v>0</v>
      </c>
      <c r="AD65" s="166">
        <f ca="1">(SUM($H62:AD62)-SUM($G65:AC65))*AD64</f>
        <v>0.88901999999999948</v>
      </c>
      <c r="AE65" s="166">
        <f ca="1">(SUM($H62:AE62)-SUM($G65:AD65))*AE64</f>
        <v>0</v>
      </c>
      <c r="AF65" s="166">
        <f ca="1">(SUM($H62:AF62)-SUM($G65:AE65))*AF64</f>
        <v>0</v>
      </c>
      <c r="AG65" s="166">
        <f ca="1">(SUM($H62:AG62)-SUM($G65:AF65))*AG64</f>
        <v>0</v>
      </c>
      <c r="AH65" s="166">
        <f ca="1">(SUM($H62:AH62)-SUM($G65:AG65))*AH64</f>
        <v>0</v>
      </c>
      <c r="AI65" s="166">
        <f ca="1">(SUM($H62:AI62)-SUM($G65:AH65))*AI64</f>
        <v>0</v>
      </c>
      <c r="AJ65" s="166">
        <f ca="1">(SUM($H62:AJ62)-SUM($G65:AI65))*AJ64</f>
        <v>0.88901999999999948</v>
      </c>
      <c r="AK65" s="166">
        <f ca="1">(SUM($H62:AK62)-SUM($G65:AJ65))*AK64</f>
        <v>0</v>
      </c>
      <c r="AL65" s="166">
        <f ca="1">(SUM($H62:AL62)-SUM($G65:AK65))*AL64</f>
        <v>0</v>
      </c>
      <c r="AM65" s="166">
        <f ca="1">(SUM($H62:AM62)-SUM($G65:AL65))*AM64</f>
        <v>0</v>
      </c>
      <c r="AN65" s="166">
        <f ca="1">(SUM($H62:AN62)-SUM($G65:AM65))*AN64</f>
        <v>0</v>
      </c>
      <c r="AO65" s="166">
        <f ca="1">(SUM($H62:AO62)-SUM($G65:AN65))*AO64</f>
        <v>0</v>
      </c>
      <c r="AP65" s="166">
        <f ca="1">(SUM($H62:AP62)-SUM($G65:AO65))*AP64</f>
        <v>0.76093739999999999</v>
      </c>
      <c r="AQ65" s="166">
        <f ca="1">(SUM($H62:AQ62)-SUM($G65:AP65))*AQ64</f>
        <v>0</v>
      </c>
      <c r="AR65" s="166">
        <f ca="1">(SUM($H62:AR62)-SUM($G65:AQ65))*AR64</f>
        <v>0</v>
      </c>
      <c r="AS65" s="166">
        <f ca="1">(SUM($H62:AS62)-SUM($G65:AR65))*AS64</f>
        <v>0</v>
      </c>
      <c r="AT65" s="166">
        <f ca="1">(SUM($H62:AT62)-SUM($G65:AS65))*AT64</f>
        <v>0</v>
      </c>
      <c r="AU65" s="166">
        <f ca="1">(SUM($H62:AU62)-SUM($G65:AT65))*AU64</f>
        <v>0</v>
      </c>
      <c r="AV65" s="166">
        <f ca="1">(SUM($H62:AV62)-SUM($G65:AU65))*AV64</f>
        <v>0.90519839999999974</v>
      </c>
      <c r="AW65" s="166">
        <f ca="1">(SUM($H62:AW62)-SUM($G65:AV65))*AW64</f>
        <v>0</v>
      </c>
      <c r="AX65" s="166">
        <f ca="1">(SUM($H62:AX62)-SUM($G65:AW65))*AX64</f>
        <v>0</v>
      </c>
      <c r="AY65" s="166">
        <f ca="1">(SUM($H62:AY62)-SUM($G65:AX65))*AY64</f>
        <v>0</v>
      </c>
      <c r="AZ65" s="166">
        <f ca="1">(SUM($H62:AZ62)-SUM($G65:AY65))*AZ64</f>
        <v>0</v>
      </c>
      <c r="BA65" s="166">
        <f ca="1">(SUM($H62:BA62)-SUM($G65:AZ65))*BA64</f>
        <v>0</v>
      </c>
      <c r="BB65" s="166">
        <f ca="1">(SUM($H62:BB62)-SUM($G65:BA65))*BB64</f>
        <v>0.90519839999999974</v>
      </c>
      <c r="BC65" s="166">
        <f ca="1">(SUM($H62:BC62)-SUM($G65:BB65))*BC64</f>
        <v>0</v>
      </c>
      <c r="BD65" s="166">
        <f ca="1">(SUM($H62:BD62)-SUM($G65:BC65))*BD64</f>
        <v>0</v>
      </c>
      <c r="BE65" s="166">
        <f ca="1">(SUM($H62:BE62)-SUM($G65:BD65))*BE64</f>
        <v>0</v>
      </c>
      <c r="BF65" s="166">
        <f ca="1">(SUM($H62:BF62)-SUM($G65:BE65))*BF64</f>
        <v>0</v>
      </c>
      <c r="BG65" s="166">
        <f ca="1">(SUM($H62:BG62)-SUM($G65:BF65))*BG64</f>
        <v>0</v>
      </c>
      <c r="BH65" s="166">
        <f ca="1">(SUM($H62:BH62)-SUM($G65:BG65))*BH64</f>
        <v>0.90519839999999974</v>
      </c>
      <c r="BI65" s="166">
        <f ca="1">(SUM($H62:BI62)-SUM($G65:BH65))*BI64</f>
        <v>0</v>
      </c>
      <c r="BJ65" s="166">
        <f ca="1">(SUM($H62:BJ62)-SUM($G65:BI65))*BJ64</f>
        <v>0</v>
      </c>
      <c r="BK65" s="166">
        <f ca="1">(SUM($H62:BK62)-SUM($G65:BJ65))*BK64</f>
        <v>0</v>
      </c>
      <c r="BL65" s="166">
        <f ca="1">(SUM($H62:BL62)-SUM($G65:BK65))*BL64</f>
        <v>0</v>
      </c>
      <c r="BM65" s="166">
        <f ca="1">(SUM($H62:BM62)-SUM($G65:BL65))*BM64</f>
        <v>0</v>
      </c>
      <c r="BN65" s="166">
        <f ca="1">(SUM($H62:BN62)-SUM($G65:BM65))*BN64</f>
        <v>0.90519839999999974</v>
      </c>
      <c r="BO65" s="166">
        <f ca="1">(SUM($H62:BO62)-SUM($G65:BN65))*BO64</f>
        <v>0</v>
      </c>
      <c r="BP65" s="166">
        <f ca="1">(SUM($H62:BP62)-SUM($G65:BO65))*BP64</f>
        <v>0.22629960000000082</v>
      </c>
      <c r="BQ65" s="166">
        <f ca="1">(SUM($H62:BQ62)-SUM($G65:BP65))*BQ64</f>
        <v>0</v>
      </c>
      <c r="BR65" s="166">
        <f ca="1">(SUM($H62:BR62)-SUM($G65:BQ65))*BR64</f>
        <v>0</v>
      </c>
      <c r="BS65" s="166">
        <f ca="1">(SUM($H62:BS62)-SUM($G65:BR65))*BS64</f>
        <v>0</v>
      </c>
      <c r="BT65" s="166">
        <f ca="1">(SUM($H62:BT62)-SUM($G65:BS65))*BT64</f>
        <v>0</v>
      </c>
      <c r="BU65" s="166">
        <f ca="1">(SUM($H62:BU62)-SUM($G65:BT65))*BU64</f>
        <v>0</v>
      </c>
      <c r="BV65" s="166">
        <f ca="1">(SUM($H62:BV62)-SUM($G65:BU65))*BV64</f>
        <v>0</v>
      </c>
      <c r="BW65" s="166">
        <f ca="1">(SUM($H62:BW62)-SUM($G65:BV65))*BW64</f>
        <v>0</v>
      </c>
      <c r="BX65" s="166">
        <f ca="1">(SUM($H62:BX62)-SUM($G65:BW65))*BX64</f>
        <v>0</v>
      </c>
      <c r="BY65" s="166">
        <f ca="1">(SUM($H62:BY62)-SUM($G65:BX65))*BY64</f>
        <v>0</v>
      </c>
      <c r="BZ65" s="166">
        <f ca="1">(SUM($H62:BZ62)-SUM($G65:BY65))*BZ64</f>
        <v>0</v>
      </c>
    </row>
    <row r="67" spans="2:78" ht="13.5" customHeight="1">
      <c r="C67" s="1" t="str">
        <f>'A&amp;R'!R31</f>
        <v>도로/공유수면 점용료</v>
      </c>
    </row>
    <row r="68" spans="2:78" ht="13.5" customHeight="1">
      <c r="D68" s="1" t="s">
        <v>324</v>
      </c>
      <c r="F68" s="147">
        <f>SUM(G68:XFD68)</f>
        <v>4.9999999999999991</v>
      </c>
      <c r="G68" s="147"/>
      <c r="H68" s="147">
        <f>'A&amp;R'!$U$31/12*H11</f>
        <v>0</v>
      </c>
      <c r="I68" s="147">
        <f>'A&amp;R'!$U$31/12*I11</f>
        <v>8.3333333333333329E-2</v>
      </c>
      <c r="J68" s="147">
        <f>'A&amp;R'!$U$31/12*J11</f>
        <v>8.3333333333333329E-2</v>
      </c>
      <c r="K68" s="147">
        <f>'A&amp;R'!$U$31/12*K11</f>
        <v>8.3333333333333329E-2</v>
      </c>
      <c r="L68" s="147">
        <f>'A&amp;R'!$U$31/12*L11</f>
        <v>8.3333333333333329E-2</v>
      </c>
      <c r="M68" s="147">
        <f>'A&amp;R'!$U$31/12*M11</f>
        <v>8.3333333333333329E-2</v>
      </c>
      <c r="N68" s="147">
        <f>'A&amp;R'!$U$31/12*N11</f>
        <v>8.3333333333333329E-2</v>
      </c>
      <c r="O68" s="147">
        <f>'A&amp;R'!$U$31/12*O11</f>
        <v>8.3333333333333329E-2</v>
      </c>
      <c r="P68" s="147">
        <f>'A&amp;R'!$U$31/12*P11</f>
        <v>8.3333333333333329E-2</v>
      </c>
      <c r="Q68" s="147">
        <f>'A&amp;R'!$U$31/12*Q11</f>
        <v>8.3333333333333329E-2</v>
      </c>
      <c r="R68" s="147">
        <f>'A&amp;R'!$U$31/12*R11</f>
        <v>8.3333333333333329E-2</v>
      </c>
      <c r="S68" s="147">
        <f>'A&amp;R'!$U$31/12*S11</f>
        <v>8.3333333333333329E-2</v>
      </c>
      <c r="T68" s="147">
        <f>'A&amp;R'!$U$31/12*T11</f>
        <v>8.3333333333333329E-2</v>
      </c>
      <c r="U68" s="147">
        <f>'A&amp;R'!$U$31/12*U11</f>
        <v>8.3333333333333329E-2</v>
      </c>
      <c r="V68" s="147">
        <f>'A&amp;R'!$U$31/12*V11</f>
        <v>8.3333333333333329E-2</v>
      </c>
      <c r="W68" s="147">
        <f>'A&amp;R'!$U$31/12*W11</f>
        <v>8.3333333333333329E-2</v>
      </c>
      <c r="X68" s="147">
        <f>'A&amp;R'!$U$31/12*X11</f>
        <v>8.3333333333333329E-2</v>
      </c>
      <c r="Y68" s="147">
        <f>'A&amp;R'!$U$31/12*Y11</f>
        <v>8.3333333333333329E-2</v>
      </c>
      <c r="Z68" s="147">
        <f>'A&amp;R'!$U$31/12*Z11</f>
        <v>8.3333333333333329E-2</v>
      </c>
      <c r="AA68" s="147">
        <f>'A&amp;R'!$U$31/12*AA11</f>
        <v>8.3333333333333329E-2</v>
      </c>
      <c r="AB68" s="147">
        <f>'A&amp;R'!$U$31/12*AB11</f>
        <v>8.3333333333333329E-2</v>
      </c>
      <c r="AC68" s="147">
        <f>'A&amp;R'!$U$31/12*AC11</f>
        <v>8.3333333333333329E-2</v>
      </c>
      <c r="AD68" s="147">
        <f>'A&amp;R'!$U$31/12*AD11</f>
        <v>8.3333333333333329E-2</v>
      </c>
      <c r="AE68" s="147">
        <f>'A&amp;R'!$U$31/12*AE11</f>
        <v>8.3333333333333329E-2</v>
      </c>
      <c r="AF68" s="147">
        <f>'A&amp;R'!$U$31/12*AF11</f>
        <v>8.3333333333333329E-2</v>
      </c>
      <c r="AG68" s="147">
        <f>'A&amp;R'!$U$31/12*AG11</f>
        <v>8.3333333333333329E-2</v>
      </c>
      <c r="AH68" s="147">
        <f>'A&amp;R'!$U$31/12*AH11</f>
        <v>8.3333333333333329E-2</v>
      </c>
      <c r="AI68" s="147">
        <f>'A&amp;R'!$U$31/12*AI11</f>
        <v>8.3333333333333329E-2</v>
      </c>
      <c r="AJ68" s="147">
        <f>'A&amp;R'!$U$31/12*AJ11</f>
        <v>8.3333333333333329E-2</v>
      </c>
      <c r="AK68" s="147">
        <f>'A&amp;R'!$U$31/12*AK11</f>
        <v>8.3333333333333329E-2</v>
      </c>
      <c r="AL68" s="147">
        <f>'A&amp;R'!$U$31/12*AL11</f>
        <v>8.3333333333333329E-2</v>
      </c>
      <c r="AM68" s="147">
        <f>'A&amp;R'!$U$31/12*AM11</f>
        <v>8.3333333333333329E-2</v>
      </c>
      <c r="AN68" s="147">
        <f>'A&amp;R'!$U$31/12*AN11</f>
        <v>8.3333333333333329E-2</v>
      </c>
      <c r="AO68" s="147">
        <f>'A&amp;R'!$U$31/12*AO11</f>
        <v>8.3333333333333329E-2</v>
      </c>
      <c r="AP68" s="147">
        <f>'A&amp;R'!$U$31/12*AP11</f>
        <v>8.3333333333333329E-2</v>
      </c>
      <c r="AQ68" s="147">
        <f>'A&amp;R'!$U$31/12*AQ11</f>
        <v>8.3333333333333329E-2</v>
      </c>
      <c r="AR68" s="147">
        <f>'A&amp;R'!$U$31/12*AR11</f>
        <v>8.3333333333333329E-2</v>
      </c>
      <c r="AS68" s="147">
        <f>'A&amp;R'!$U$31/12*AS11</f>
        <v>8.3333333333333329E-2</v>
      </c>
      <c r="AT68" s="147">
        <f>'A&amp;R'!$U$31/12*AT11</f>
        <v>8.3333333333333329E-2</v>
      </c>
      <c r="AU68" s="147">
        <f>'A&amp;R'!$U$31/12*AU11</f>
        <v>8.3333333333333329E-2</v>
      </c>
      <c r="AV68" s="147">
        <f>'A&amp;R'!$U$31/12*AV11</f>
        <v>8.3333333333333329E-2</v>
      </c>
      <c r="AW68" s="147">
        <f>'A&amp;R'!$U$31/12*AW11</f>
        <v>8.3333333333333329E-2</v>
      </c>
      <c r="AX68" s="147">
        <f>'A&amp;R'!$U$31/12*AX11</f>
        <v>8.3333333333333329E-2</v>
      </c>
      <c r="AY68" s="147">
        <f>'A&amp;R'!$U$31/12*AY11</f>
        <v>8.3333333333333329E-2</v>
      </c>
      <c r="AZ68" s="147">
        <f>'A&amp;R'!$U$31/12*AZ11</f>
        <v>8.3333333333333329E-2</v>
      </c>
      <c r="BA68" s="147">
        <f>'A&amp;R'!$U$31/12*BA11</f>
        <v>8.3333333333333329E-2</v>
      </c>
      <c r="BB68" s="147">
        <f>'A&amp;R'!$U$31/12*BB11</f>
        <v>8.3333333333333329E-2</v>
      </c>
      <c r="BC68" s="147">
        <f>'A&amp;R'!$U$31/12*BC11</f>
        <v>8.3333333333333329E-2</v>
      </c>
      <c r="BD68" s="147">
        <f>'A&amp;R'!$U$31/12*BD11</f>
        <v>8.3333333333333329E-2</v>
      </c>
      <c r="BE68" s="147">
        <f>'A&amp;R'!$U$31/12*BE11</f>
        <v>8.3333333333333329E-2</v>
      </c>
      <c r="BF68" s="147">
        <f>'A&amp;R'!$U$31/12*BF11</f>
        <v>8.3333333333333329E-2</v>
      </c>
      <c r="BG68" s="147">
        <f>'A&amp;R'!$U$31/12*BG11</f>
        <v>8.3333333333333329E-2</v>
      </c>
      <c r="BH68" s="147">
        <f>'A&amp;R'!$U$31/12*BH11</f>
        <v>8.3333333333333329E-2</v>
      </c>
      <c r="BI68" s="147">
        <f>'A&amp;R'!$U$31/12*BI11</f>
        <v>8.3333333333333329E-2</v>
      </c>
      <c r="BJ68" s="147">
        <f>'A&amp;R'!$U$31/12*BJ11</f>
        <v>8.3333333333333329E-2</v>
      </c>
      <c r="BK68" s="147">
        <f>'A&amp;R'!$U$31/12*BK11</f>
        <v>8.3333333333333329E-2</v>
      </c>
      <c r="BL68" s="147">
        <f>'A&amp;R'!$U$31/12*BL11</f>
        <v>8.3333333333333329E-2</v>
      </c>
      <c r="BM68" s="147">
        <f>'A&amp;R'!$U$31/12*BM11</f>
        <v>8.3333333333333329E-2</v>
      </c>
      <c r="BN68" s="147">
        <f>'A&amp;R'!$U$31/12*BN11</f>
        <v>8.3333333333333329E-2</v>
      </c>
      <c r="BO68" s="147">
        <f>'A&amp;R'!$U$31/12*BO11</f>
        <v>8.3333333333333329E-2</v>
      </c>
      <c r="BP68" s="147">
        <f>'A&amp;R'!$U$31/12*BP11</f>
        <v>8.3333333333333329E-2</v>
      </c>
      <c r="BQ68" s="147">
        <f>'A&amp;R'!$U$31/12*BQ11</f>
        <v>0</v>
      </c>
      <c r="BR68" s="147">
        <f>'A&amp;R'!$U$31/12*BR11</f>
        <v>0</v>
      </c>
      <c r="BS68" s="147">
        <f>'A&amp;R'!$U$31/12*BS11</f>
        <v>0</v>
      </c>
      <c r="BT68" s="147">
        <f>'A&amp;R'!$U$31/12*BT11</f>
        <v>0</v>
      </c>
      <c r="BU68" s="147">
        <f>'A&amp;R'!$U$31/12*BU11</f>
        <v>0</v>
      </c>
      <c r="BV68" s="147">
        <f>'A&amp;R'!$U$31/12*BV11</f>
        <v>0</v>
      </c>
      <c r="BW68" s="147">
        <f>'A&amp;R'!$U$31/12*BW11</f>
        <v>0</v>
      </c>
      <c r="BX68" s="147">
        <f>'A&amp;R'!$U$31/12*BX11</f>
        <v>0</v>
      </c>
      <c r="BY68" s="147">
        <f>'A&amp;R'!$U$31/12*BY11</f>
        <v>0</v>
      </c>
      <c r="BZ68" s="147">
        <f>'A&amp;R'!$U$31/12*BZ11</f>
        <v>0</v>
      </c>
    </row>
    <row r="69" spans="2:78" ht="13.5" customHeight="1">
      <c r="C69" s="161" t="b">
        <f>ABS(F68-F69)&lt;0.001</f>
        <v>1</v>
      </c>
      <c r="D69" s="142" t="s">
        <v>325</v>
      </c>
      <c r="E69" s="160"/>
      <c r="F69" s="166">
        <f t="shared" ref="F69" si="52">SUM(G69:XFD69)</f>
        <v>4.9999999999999991</v>
      </c>
      <c r="G69" s="166"/>
      <c r="H69" s="166">
        <f>IF(OR((MONTH(H14)='A&amp;R'!$X$31),H14=exit),SUM($H68:H68)-SUM($G69:G69),0)</f>
        <v>0</v>
      </c>
      <c r="I69" s="166">
        <f>IF(OR((MONTH(I14)='A&amp;R'!$X$31),I14=exit),SUM($H68:I68)-SUM($G69:H69),0)</f>
        <v>0</v>
      </c>
      <c r="J69" s="166">
        <f>IF(OR((MONTH(J14)='A&amp;R'!$X$31),J14=exit),SUM($H68:J68)-SUM($G69:I69),0)</f>
        <v>0</v>
      </c>
      <c r="K69" s="166">
        <f>IF(OR((MONTH(K14)='A&amp;R'!$X$31),K14=exit),SUM($H68:K68)-SUM($G69:J69),0)</f>
        <v>0</v>
      </c>
      <c r="L69" s="166">
        <f>IF(OR((MONTH(L14)='A&amp;R'!$X$31),L14=exit),SUM($H68:L68)-SUM($G69:K69),0)</f>
        <v>0</v>
      </c>
      <c r="M69" s="166">
        <f>IF(OR((MONTH(M14)='A&amp;R'!$X$31),M14=exit),SUM($H68:M68)-SUM($G69:L69),0)</f>
        <v>0</v>
      </c>
      <c r="N69" s="166">
        <f>IF(OR((MONTH(N14)='A&amp;R'!$X$31),N14=exit),SUM($H68:N68)-SUM($G69:M69),0)</f>
        <v>0</v>
      </c>
      <c r="O69" s="166">
        <f>IF(OR((MONTH(O14)='A&amp;R'!$X$31),O14=exit),SUM($H68:O68)-SUM($G69:N69),0)</f>
        <v>0</v>
      </c>
      <c r="P69" s="166">
        <f>IF(OR((MONTH(P14)='A&amp;R'!$X$31),P14=exit),SUM($H68:P68)-SUM($G69:O69),0)</f>
        <v>0</v>
      </c>
      <c r="Q69" s="166">
        <f>IF(OR((MONTH(Q14)='A&amp;R'!$X$31),Q14=exit),SUM($H68:Q68)-SUM($G69:P69),0)</f>
        <v>0</v>
      </c>
      <c r="R69" s="166">
        <f>IF(OR((MONTH(R14)='A&amp;R'!$X$31),R14=exit),SUM($H68:R68)-SUM($G69:Q69),0)</f>
        <v>0.83333333333333337</v>
      </c>
      <c r="S69" s="166">
        <f>IF(OR((MONTH(S14)='A&amp;R'!$X$31),S14=exit),SUM($H68:S68)-SUM($G69:R69),0)</f>
        <v>0</v>
      </c>
      <c r="T69" s="166">
        <f>IF(OR((MONTH(T14)='A&amp;R'!$X$31),T14=exit),SUM($H68:T68)-SUM($G69:S69),0)</f>
        <v>0</v>
      </c>
      <c r="U69" s="166">
        <f>IF(OR((MONTH(U14)='A&amp;R'!$X$31),U14=exit),SUM($H68:U68)-SUM($G69:T69),0)</f>
        <v>0</v>
      </c>
      <c r="V69" s="166">
        <f>IF(OR((MONTH(V14)='A&amp;R'!$X$31),V14=exit),SUM($H68:V68)-SUM($G69:U69),0)</f>
        <v>0</v>
      </c>
      <c r="W69" s="166">
        <f>IF(OR((MONTH(W14)='A&amp;R'!$X$31),W14=exit),SUM($H68:W68)-SUM($G69:V69),0)</f>
        <v>0</v>
      </c>
      <c r="X69" s="166">
        <f>IF(OR((MONTH(X14)='A&amp;R'!$X$31),X14=exit),SUM($H68:X68)-SUM($G69:W69),0)</f>
        <v>0</v>
      </c>
      <c r="Y69" s="166">
        <f>IF(OR((MONTH(Y14)='A&amp;R'!$X$31),Y14=exit),SUM($H68:Y68)-SUM($G69:X69),0)</f>
        <v>0</v>
      </c>
      <c r="Z69" s="166">
        <f>IF(OR((MONTH(Z14)='A&amp;R'!$X$31),Z14=exit),SUM($H68:Z68)-SUM($G69:Y69),0)</f>
        <v>0</v>
      </c>
      <c r="AA69" s="166">
        <f>IF(OR((MONTH(AA14)='A&amp;R'!$X$31),AA14=exit),SUM($H68:AA68)-SUM($G69:Z69),0)</f>
        <v>0</v>
      </c>
      <c r="AB69" s="166">
        <f>IF(OR((MONTH(AB14)='A&amp;R'!$X$31),AB14=exit),SUM($H68:AB68)-SUM($G69:AA69),0)</f>
        <v>0</v>
      </c>
      <c r="AC69" s="166">
        <f>IF(OR((MONTH(AC14)='A&amp;R'!$X$31),AC14=exit),SUM($H68:AC68)-SUM($G69:AB69),0)</f>
        <v>0</v>
      </c>
      <c r="AD69" s="166">
        <f>IF(OR((MONTH(AD14)='A&amp;R'!$X$31),AD14=exit),SUM($H68:AD68)-SUM($G69:AC69),0)</f>
        <v>0.99999999999999922</v>
      </c>
      <c r="AE69" s="166">
        <f>IF(OR((MONTH(AE14)='A&amp;R'!$X$31),AE14=exit),SUM($H68:AE68)-SUM($G69:AD69),0)</f>
        <v>0</v>
      </c>
      <c r="AF69" s="166">
        <f>IF(OR((MONTH(AF14)='A&amp;R'!$X$31),AF14=exit),SUM($H68:AF68)-SUM($G69:AE69),0)</f>
        <v>0</v>
      </c>
      <c r="AG69" s="166">
        <f>IF(OR((MONTH(AG14)='A&amp;R'!$X$31),AG14=exit),SUM($H68:AG68)-SUM($G69:AF69),0)</f>
        <v>0</v>
      </c>
      <c r="AH69" s="166">
        <f>IF(OR((MONTH(AH14)='A&amp;R'!$X$31),AH14=exit),SUM($H68:AH68)-SUM($G69:AG69),0)</f>
        <v>0</v>
      </c>
      <c r="AI69" s="166">
        <f>IF(OR((MONTH(AI14)='A&amp;R'!$X$31),AI14=exit),SUM($H68:AI68)-SUM($G69:AH69),0)</f>
        <v>0</v>
      </c>
      <c r="AJ69" s="166">
        <f>IF(OR((MONTH(AJ14)='A&amp;R'!$X$31),AJ14=exit),SUM($H68:AJ68)-SUM($G69:AI69),0)</f>
        <v>0</v>
      </c>
      <c r="AK69" s="166">
        <f>IF(OR((MONTH(AK14)='A&amp;R'!$X$31),AK14=exit),SUM($H68:AK68)-SUM($G69:AJ69),0)</f>
        <v>0</v>
      </c>
      <c r="AL69" s="166">
        <f>IF(OR((MONTH(AL14)='A&amp;R'!$X$31),AL14=exit),SUM($H68:AL68)-SUM($G69:AK69),0)</f>
        <v>0</v>
      </c>
      <c r="AM69" s="166">
        <f>IF(OR((MONTH(AM14)='A&amp;R'!$X$31),AM14=exit),SUM($H68:AM68)-SUM($G69:AL69),0)</f>
        <v>0</v>
      </c>
      <c r="AN69" s="166">
        <f>IF(OR((MONTH(AN14)='A&amp;R'!$X$31),AN14=exit),SUM($H68:AN68)-SUM($G69:AM69),0)</f>
        <v>0</v>
      </c>
      <c r="AO69" s="166">
        <f>IF(OR((MONTH(AO14)='A&amp;R'!$X$31),AO14=exit),SUM($H68:AO68)-SUM($G69:AN69),0)</f>
        <v>0</v>
      </c>
      <c r="AP69" s="166">
        <f>IF(OR((MONTH(AP14)='A&amp;R'!$X$31),AP14=exit),SUM($H68:AP68)-SUM($G69:AO69),0)</f>
        <v>1.0000000000000013</v>
      </c>
      <c r="AQ69" s="166">
        <f>IF(OR((MONTH(AQ14)='A&amp;R'!$X$31),AQ14=exit),SUM($H68:AQ68)-SUM($G69:AP69),0)</f>
        <v>0</v>
      </c>
      <c r="AR69" s="166">
        <f>IF(OR((MONTH(AR14)='A&amp;R'!$X$31),AR14=exit),SUM($H68:AR68)-SUM($G69:AQ69),0)</f>
        <v>0</v>
      </c>
      <c r="AS69" s="166">
        <f>IF(OR((MONTH(AS14)='A&amp;R'!$X$31),AS14=exit),SUM($H68:AS68)-SUM($G69:AR69),0)</f>
        <v>0</v>
      </c>
      <c r="AT69" s="166">
        <f>IF(OR((MONTH(AT14)='A&amp;R'!$X$31),AT14=exit),SUM($H68:AT68)-SUM($G69:AS69),0)</f>
        <v>0</v>
      </c>
      <c r="AU69" s="166">
        <f>IF(OR((MONTH(AU14)='A&amp;R'!$X$31),AU14=exit),SUM($H68:AU68)-SUM($G69:AT69),0)</f>
        <v>0</v>
      </c>
      <c r="AV69" s="166">
        <f>IF(OR((MONTH(AV14)='A&amp;R'!$X$31),AV14=exit),SUM($H68:AV68)-SUM($G69:AU69),0)</f>
        <v>0</v>
      </c>
      <c r="AW69" s="166">
        <f>IF(OR((MONTH(AW14)='A&amp;R'!$X$31),AW14=exit),SUM($H68:AW68)-SUM($G69:AV69),0)</f>
        <v>0</v>
      </c>
      <c r="AX69" s="166">
        <f>IF(OR((MONTH(AX14)='A&amp;R'!$X$31),AX14=exit),SUM($H68:AX68)-SUM($G69:AW69),0)</f>
        <v>0</v>
      </c>
      <c r="AY69" s="166">
        <f>IF(OR((MONTH(AY14)='A&amp;R'!$X$31),AY14=exit),SUM($H68:AY68)-SUM($G69:AX69),0)</f>
        <v>0</v>
      </c>
      <c r="AZ69" s="166">
        <f>IF(OR((MONTH(AZ14)='A&amp;R'!$X$31),AZ14=exit),SUM($H68:AZ68)-SUM($G69:AY69),0)</f>
        <v>0</v>
      </c>
      <c r="BA69" s="166">
        <f>IF(OR((MONTH(BA14)='A&amp;R'!$X$31),BA14=exit),SUM($H68:BA68)-SUM($G69:AZ69),0)</f>
        <v>0</v>
      </c>
      <c r="BB69" s="166">
        <f>IF(OR((MONTH(BB14)='A&amp;R'!$X$31),BB14=exit),SUM($H68:BB68)-SUM($G69:BA69),0)</f>
        <v>1.0000000000000018</v>
      </c>
      <c r="BC69" s="166">
        <f>IF(OR((MONTH(BC14)='A&amp;R'!$X$31),BC14=exit),SUM($H68:BC68)-SUM($G69:BB69),0)</f>
        <v>0</v>
      </c>
      <c r="BD69" s="166">
        <f>IF(OR((MONTH(BD14)='A&amp;R'!$X$31),BD14=exit),SUM($H68:BD68)-SUM($G69:BC69),0)</f>
        <v>0</v>
      </c>
      <c r="BE69" s="166">
        <f>IF(OR((MONTH(BE14)='A&amp;R'!$X$31),BE14=exit),SUM($H68:BE68)-SUM($G69:BD69),0)</f>
        <v>0</v>
      </c>
      <c r="BF69" s="166">
        <f>IF(OR((MONTH(BF14)='A&amp;R'!$X$31),BF14=exit),SUM($H68:BF68)-SUM($G69:BE69),0)</f>
        <v>0</v>
      </c>
      <c r="BG69" s="166">
        <f>IF(OR((MONTH(BG14)='A&amp;R'!$X$31),BG14=exit),SUM($H68:BG68)-SUM($G69:BF69),0)</f>
        <v>0</v>
      </c>
      <c r="BH69" s="166">
        <f>IF(OR((MONTH(BH14)='A&amp;R'!$X$31),BH14=exit),SUM($H68:BH68)-SUM($G69:BG69),0)</f>
        <v>0</v>
      </c>
      <c r="BI69" s="166">
        <f>IF(OR((MONTH(BI14)='A&amp;R'!$X$31),BI14=exit),SUM($H68:BI68)-SUM($G69:BH69),0)</f>
        <v>0</v>
      </c>
      <c r="BJ69" s="166">
        <f>IF(OR((MONTH(BJ14)='A&amp;R'!$X$31),BJ14=exit),SUM($H68:BJ68)-SUM($G69:BI69),0)</f>
        <v>0</v>
      </c>
      <c r="BK69" s="166">
        <f>IF(OR((MONTH(BK14)='A&amp;R'!$X$31),BK14=exit),SUM($H68:BK68)-SUM($G69:BJ69),0)</f>
        <v>0</v>
      </c>
      <c r="BL69" s="166">
        <f>IF(OR((MONTH(BL14)='A&amp;R'!$X$31),BL14=exit),SUM($H68:BL68)-SUM($G69:BK69),0)</f>
        <v>0</v>
      </c>
      <c r="BM69" s="166">
        <f>IF(OR((MONTH(BM14)='A&amp;R'!$X$31),BM14=exit),SUM($H68:BM68)-SUM($G69:BL69),0)</f>
        <v>0</v>
      </c>
      <c r="BN69" s="166">
        <f>IF(OR((MONTH(BN14)='A&amp;R'!$X$31),BN14=exit),SUM($H68:BN68)-SUM($G69:BM69),0)</f>
        <v>0.99999999999999734</v>
      </c>
      <c r="BO69" s="166">
        <f>IF(OR((MONTH(BO14)='A&amp;R'!$X$31),BO14=exit),SUM($H68:BO68)-SUM($G69:BN69),0)</f>
        <v>0</v>
      </c>
      <c r="BP69" s="166">
        <f>IF(OR((MONTH(BP14)='A&amp;R'!$X$31),BP14=exit),SUM($H68:BP68)-SUM($G69:BO69),0)</f>
        <v>0.16666666666666607</v>
      </c>
      <c r="BQ69" s="166">
        <f>IF(OR((MONTH(BQ14)='A&amp;R'!$X$31),BQ14=exit),SUM($H68:BQ68)-SUM($G69:BP69),0)</f>
        <v>0</v>
      </c>
      <c r="BR69" s="166">
        <f>IF(OR((MONTH(BR14)='A&amp;R'!$X$31),BR14=exit),SUM($H68:BR68)-SUM($G69:BQ69),0)</f>
        <v>0</v>
      </c>
      <c r="BS69" s="166">
        <f>IF(OR((MONTH(BS14)='A&amp;R'!$X$31),BS14=exit),SUM($H68:BS68)-SUM($G69:BR69),0)</f>
        <v>0</v>
      </c>
      <c r="BT69" s="166">
        <f>IF(OR((MONTH(BT14)='A&amp;R'!$X$31),BT14=exit),SUM($H68:BT68)-SUM($G69:BS69),0)</f>
        <v>0</v>
      </c>
      <c r="BU69" s="166">
        <f>IF(OR((MONTH(BU14)='A&amp;R'!$X$31),BU14=exit),SUM($H68:BU68)-SUM($G69:BT69),0)</f>
        <v>0</v>
      </c>
      <c r="BV69" s="166">
        <f>IF(OR((MONTH(BV14)='A&amp;R'!$X$31),BV14=exit),SUM($H68:BV68)-SUM($G69:BU69),0)</f>
        <v>0</v>
      </c>
      <c r="BW69" s="166">
        <f>IF(OR((MONTH(BW14)='A&amp;R'!$X$31),BW14=exit),SUM($H68:BW68)-SUM($G69:BV69),0)</f>
        <v>0</v>
      </c>
      <c r="BX69" s="166">
        <f>IF(OR((MONTH(BX14)='A&amp;R'!$X$31),BX14=exit),SUM($H68:BX68)-SUM($G69:BW69),0)</f>
        <v>0</v>
      </c>
      <c r="BY69" s="166">
        <f>IF(OR((MONTH(BY14)='A&amp;R'!$X$31),BY14=exit),SUM($H68:BY68)-SUM($G69:BX69),0)</f>
        <v>0</v>
      </c>
      <c r="BZ69" s="166">
        <f>IF(OR((MONTH(BZ14)='A&amp;R'!$X$31),BZ14=exit),SUM($H68:BZ68)-SUM($G69:BY69),0)</f>
        <v>0</v>
      </c>
    </row>
    <row r="70" spans="2:78" ht="13.5" customHeight="1">
      <c r="C70" s="44" t="s">
        <v>349</v>
      </c>
      <c r="D70" s="44"/>
      <c r="E70" s="44"/>
      <c r="F70" s="44">
        <f ca="1">SUM(G70:XFD70)</f>
        <v>790.60533888431507</v>
      </c>
      <c r="G70" s="44"/>
      <c r="H70" s="44">
        <f ca="1">H69+H65+H59+H55+H51</f>
        <v>0</v>
      </c>
      <c r="I70" s="44">
        <f t="shared" ref="I70:BT70" ca="1" si="53">I69+I65+I59+I55+I51</f>
        <v>0</v>
      </c>
      <c r="J70" s="44">
        <f t="shared" ca="1" si="53"/>
        <v>0</v>
      </c>
      <c r="K70" s="44">
        <f t="shared" ca="1" si="53"/>
        <v>0</v>
      </c>
      <c r="L70" s="44">
        <f t="shared" ca="1" si="53"/>
        <v>120.07381761597954</v>
      </c>
      <c r="M70" s="44">
        <f t="shared" ca="1" si="53"/>
        <v>0</v>
      </c>
      <c r="N70" s="44">
        <f t="shared" ca="1" si="53"/>
        <v>32.445719196000006</v>
      </c>
      <c r="O70" s="44">
        <f t="shared" ca="1" si="53"/>
        <v>0</v>
      </c>
      <c r="P70" s="44">
        <f t="shared" ca="1" si="53"/>
        <v>0</v>
      </c>
      <c r="Q70" s="44">
        <f t="shared" ca="1" si="53"/>
        <v>0</v>
      </c>
      <c r="R70" s="44">
        <f t="shared" ca="1" si="53"/>
        <v>1.5635333333333332</v>
      </c>
      <c r="S70" s="44">
        <f t="shared" ca="1" si="53"/>
        <v>0</v>
      </c>
      <c r="T70" s="44">
        <f t="shared" ca="1" si="53"/>
        <v>0</v>
      </c>
      <c r="U70" s="44">
        <f t="shared" ca="1" si="53"/>
        <v>0</v>
      </c>
      <c r="V70" s="44">
        <f t="shared" ca="1" si="53"/>
        <v>0</v>
      </c>
      <c r="W70" s="44">
        <f t="shared" ca="1" si="53"/>
        <v>0</v>
      </c>
      <c r="X70" s="44">
        <f t="shared" ca="1" si="53"/>
        <v>120.98560891952559</v>
      </c>
      <c r="Y70" s="44">
        <f t="shared" ca="1" si="53"/>
        <v>0</v>
      </c>
      <c r="Z70" s="44">
        <f t="shared" ca="1" si="53"/>
        <v>33.462290771879999</v>
      </c>
      <c r="AA70" s="44">
        <f t="shared" ca="1" si="53"/>
        <v>0</v>
      </c>
      <c r="AB70" s="44">
        <f t="shared" ca="1" si="53"/>
        <v>0</v>
      </c>
      <c r="AC70" s="44">
        <f t="shared" ca="1" si="53"/>
        <v>0.18145072223999947</v>
      </c>
      <c r="AD70" s="44">
        <f t="shared" ca="1" si="53"/>
        <v>1.8890199999999986</v>
      </c>
      <c r="AE70" s="44">
        <f t="shared" ca="1" si="53"/>
        <v>0</v>
      </c>
      <c r="AF70" s="44">
        <f t="shared" ca="1" si="53"/>
        <v>0</v>
      </c>
      <c r="AG70" s="44">
        <f t="shared" ca="1" si="53"/>
        <v>0</v>
      </c>
      <c r="AH70" s="44">
        <f t="shared" ca="1" si="53"/>
        <v>0</v>
      </c>
      <c r="AI70" s="44">
        <f t="shared" ca="1" si="53"/>
        <v>0</v>
      </c>
      <c r="AJ70" s="44">
        <f t="shared" ca="1" si="53"/>
        <v>121.53037948743001</v>
      </c>
      <c r="AK70" s="44">
        <f t="shared" ca="1" si="53"/>
        <v>0</v>
      </c>
      <c r="AL70" s="44">
        <f t="shared" ca="1" si="53"/>
        <v>34.509359495036406</v>
      </c>
      <c r="AM70" s="44">
        <f t="shared" ca="1" si="53"/>
        <v>0</v>
      </c>
      <c r="AN70" s="44">
        <f t="shared" ca="1" si="53"/>
        <v>0</v>
      </c>
      <c r="AO70" s="44">
        <f t="shared" ca="1" si="53"/>
        <v>0.27217608335999921</v>
      </c>
      <c r="AP70" s="44">
        <f t="shared" ca="1" si="53"/>
        <v>1.7609374000000013</v>
      </c>
      <c r="AQ70" s="44">
        <f t="shared" ca="1" si="53"/>
        <v>0</v>
      </c>
      <c r="AR70" s="44">
        <f t="shared" ca="1" si="53"/>
        <v>0</v>
      </c>
      <c r="AS70" s="44">
        <f t="shared" ca="1" si="53"/>
        <v>0</v>
      </c>
      <c r="AT70" s="44">
        <f t="shared" ca="1" si="53"/>
        <v>0</v>
      </c>
      <c r="AU70" s="44">
        <f t="shared" ca="1" si="53"/>
        <v>0</v>
      </c>
      <c r="AV70" s="44">
        <f t="shared" ca="1" si="53"/>
        <v>122.01585296938116</v>
      </c>
      <c r="AW70" s="44">
        <f t="shared" ca="1" si="53"/>
        <v>0</v>
      </c>
      <c r="AX70" s="44">
        <f t="shared" ca="1" si="53"/>
        <v>35.587840279887502</v>
      </c>
      <c r="AY70" s="44">
        <f t="shared" ca="1" si="53"/>
        <v>0</v>
      </c>
      <c r="AZ70" s="44">
        <f t="shared" ca="1" si="53"/>
        <v>0</v>
      </c>
      <c r="BA70" s="44">
        <f t="shared" ca="1" si="53"/>
        <v>0.40826412503999887</v>
      </c>
      <c r="BB70" s="44">
        <f t="shared" ca="1" si="53"/>
        <v>1.9051984000000015</v>
      </c>
      <c r="BC70" s="44">
        <f t="shared" ca="1" si="53"/>
        <v>0</v>
      </c>
      <c r="BD70" s="44">
        <f t="shared" ca="1" si="53"/>
        <v>0</v>
      </c>
      <c r="BE70" s="44">
        <f t="shared" ca="1" si="53"/>
        <v>0</v>
      </c>
      <c r="BF70" s="44">
        <f t="shared" ca="1" si="53"/>
        <v>0</v>
      </c>
      <c r="BG70" s="44">
        <f t="shared" ca="1" si="53"/>
        <v>0</v>
      </c>
      <c r="BH70" s="44">
        <f t="shared" ca="1" si="53"/>
        <v>122.40465374271069</v>
      </c>
      <c r="BI70" s="44">
        <f t="shared" ca="1" si="53"/>
        <v>0</v>
      </c>
      <c r="BJ70" s="44">
        <f t="shared" ca="1" si="53"/>
        <v>36.698675488284124</v>
      </c>
      <c r="BK70" s="44">
        <f t="shared" ca="1" si="53"/>
        <v>0</v>
      </c>
      <c r="BL70" s="44">
        <f t="shared" ca="1" si="53"/>
        <v>0</v>
      </c>
      <c r="BM70" s="44">
        <f t="shared" ca="1" si="53"/>
        <v>0.61239618755999836</v>
      </c>
      <c r="BN70" s="44">
        <f t="shared" ca="1" si="53"/>
        <v>1.9051983999999971</v>
      </c>
      <c r="BO70" s="44">
        <f t="shared" ca="1" si="53"/>
        <v>0</v>
      </c>
      <c r="BP70" s="44">
        <f t="shared" ca="1" si="53"/>
        <v>0.3929662666666669</v>
      </c>
      <c r="BQ70" s="44">
        <f t="shared" ca="1" si="53"/>
        <v>0</v>
      </c>
      <c r="BR70" s="44">
        <f t="shared" ca="1" si="53"/>
        <v>0</v>
      </c>
      <c r="BS70" s="44">
        <f t="shared" ca="1" si="53"/>
        <v>0</v>
      </c>
      <c r="BT70" s="44">
        <f t="shared" ca="1" si="53"/>
        <v>0</v>
      </c>
      <c r="BU70" s="44">
        <f t="shared" ref="BU70:BZ70" ca="1" si="54">BU69+BU65+BU59+BU55+BU51</f>
        <v>0</v>
      </c>
      <c r="BV70" s="44">
        <f t="shared" ca="1" si="54"/>
        <v>0</v>
      </c>
      <c r="BW70" s="44">
        <f t="shared" ca="1" si="54"/>
        <v>0</v>
      </c>
      <c r="BX70" s="44">
        <f t="shared" ca="1" si="54"/>
        <v>0</v>
      </c>
      <c r="BY70" s="44">
        <f t="shared" ca="1" si="54"/>
        <v>0</v>
      </c>
      <c r="BZ70" s="44">
        <f t="shared" ca="1" si="54"/>
        <v>0</v>
      </c>
    </row>
    <row r="72" spans="2:78" ht="13.5" customHeight="1">
      <c r="B72" s="1" t="str">
        <f>'A&amp;R'!Q32</f>
        <v>보험료</v>
      </c>
    </row>
    <row r="73" spans="2:78" ht="13.5" customHeight="1">
      <c r="D73" s="1" t="s">
        <v>324</v>
      </c>
      <c r="F73" s="1">
        <f>SUM(G73:XFD73)</f>
        <v>511.94605872934466</v>
      </c>
      <c r="H73" s="1">
        <f>'A&amp;R'!$X$32*(1+'A&amp;R'!$W$32)^(H16-1)*H$11</f>
        <v>0</v>
      </c>
      <c r="I73" s="1">
        <f>'A&amp;R'!$X$32*(1+'A&amp;R'!$W$32)^(I16-1)*I$11</f>
        <v>8.2802720000000001</v>
      </c>
      <c r="J73" s="1">
        <f>'A&amp;R'!$X$32*(1+'A&amp;R'!$W$32)^(J16-1)*J$11</f>
        <v>8.2802720000000001</v>
      </c>
      <c r="K73" s="1">
        <f>'A&amp;R'!$X$32*(1+'A&amp;R'!$W$32)^(K16-1)*K$11</f>
        <v>8.2802720000000001</v>
      </c>
      <c r="L73" s="1">
        <f>'A&amp;R'!$X$32*(1+'A&amp;R'!$W$32)^(L16-1)*L$11</f>
        <v>8.2802720000000001</v>
      </c>
      <c r="M73" s="1">
        <f>'A&amp;R'!$X$32*(1+'A&amp;R'!$W$32)^(M16-1)*M$11</f>
        <v>8.2802720000000001</v>
      </c>
      <c r="N73" s="1">
        <f>'A&amp;R'!$X$32*(1+'A&amp;R'!$W$32)^(N16-1)*N$11</f>
        <v>8.2802720000000001</v>
      </c>
      <c r="O73" s="1">
        <f>'A&amp;R'!$X$32*(1+'A&amp;R'!$W$32)^(O16-1)*O$11</f>
        <v>8.2802720000000001</v>
      </c>
      <c r="P73" s="1">
        <f>'A&amp;R'!$X$32*(1+'A&amp;R'!$W$32)^(P16-1)*P$11</f>
        <v>8.2802720000000001</v>
      </c>
      <c r="Q73" s="1">
        <f>'A&amp;R'!$X$32*(1+'A&amp;R'!$W$32)^(Q16-1)*Q$11</f>
        <v>8.2802720000000001</v>
      </c>
      <c r="R73" s="1">
        <f>'A&amp;R'!$X$32*(1+'A&amp;R'!$W$32)^(R16-1)*R$11</f>
        <v>8.2802720000000001</v>
      </c>
      <c r="S73" s="1">
        <f>'A&amp;R'!$X$32*(1+'A&amp;R'!$W$32)^(S16-1)*S$11</f>
        <v>8.2802720000000001</v>
      </c>
      <c r="T73" s="1">
        <f>'A&amp;R'!$X$32*(1+'A&amp;R'!$W$32)^(T16-1)*T$11</f>
        <v>8.2802720000000001</v>
      </c>
      <c r="U73" s="1">
        <f>'A&amp;R'!$X$32*(1+'A&amp;R'!$W$32)^(U16-1)*U$11</f>
        <v>8.4044760799999985</v>
      </c>
      <c r="V73" s="1">
        <f>'A&amp;R'!$X$32*(1+'A&amp;R'!$W$32)^(V16-1)*V$11</f>
        <v>8.4044760799999985</v>
      </c>
      <c r="W73" s="1">
        <f>'A&amp;R'!$X$32*(1+'A&amp;R'!$W$32)^(W16-1)*W$11</f>
        <v>8.4044760799999985</v>
      </c>
      <c r="X73" s="1">
        <f>'A&amp;R'!$X$32*(1+'A&amp;R'!$W$32)^(X16-1)*X$11</f>
        <v>8.4044760799999985</v>
      </c>
      <c r="Y73" s="1">
        <f>'A&amp;R'!$X$32*(1+'A&amp;R'!$W$32)^(Y16-1)*Y$11</f>
        <v>8.4044760799999985</v>
      </c>
      <c r="Z73" s="1">
        <f>'A&amp;R'!$X$32*(1+'A&amp;R'!$W$32)^(Z16-1)*Z$11</f>
        <v>8.4044760799999985</v>
      </c>
      <c r="AA73" s="1">
        <f>'A&amp;R'!$X$32*(1+'A&amp;R'!$W$32)^(AA16-1)*AA$11</f>
        <v>8.4044760799999985</v>
      </c>
      <c r="AB73" s="1">
        <f>'A&amp;R'!$X$32*(1+'A&amp;R'!$W$32)^(AB16-1)*AB$11</f>
        <v>8.4044760799999985</v>
      </c>
      <c r="AC73" s="1">
        <f>'A&amp;R'!$X$32*(1+'A&amp;R'!$W$32)^(AC16-1)*AC$11</f>
        <v>8.4044760799999985</v>
      </c>
      <c r="AD73" s="1">
        <f>'A&amp;R'!$X$32*(1+'A&amp;R'!$W$32)^(AD16-1)*AD$11</f>
        <v>8.4044760799999985</v>
      </c>
      <c r="AE73" s="1">
        <f>'A&amp;R'!$X$32*(1+'A&amp;R'!$W$32)^(AE16-1)*AE$11</f>
        <v>8.4044760799999985</v>
      </c>
      <c r="AF73" s="1">
        <f>'A&amp;R'!$X$32*(1+'A&amp;R'!$W$32)^(AF16-1)*AF$11</f>
        <v>8.4044760799999985</v>
      </c>
      <c r="AG73" s="1">
        <f>'A&amp;R'!$X$32*(1+'A&amp;R'!$W$32)^(AG16-1)*AG$11</f>
        <v>8.5305432211999985</v>
      </c>
      <c r="AH73" s="1">
        <f>'A&amp;R'!$X$32*(1+'A&amp;R'!$W$32)^(AH16-1)*AH$11</f>
        <v>8.5305432211999985</v>
      </c>
      <c r="AI73" s="1">
        <f>'A&amp;R'!$X$32*(1+'A&amp;R'!$W$32)^(AI16-1)*AI$11</f>
        <v>8.5305432211999985</v>
      </c>
      <c r="AJ73" s="1">
        <f>'A&amp;R'!$X$32*(1+'A&amp;R'!$W$32)^(AJ16-1)*AJ$11</f>
        <v>8.5305432211999985</v>
      </c>
      <c r="AK73" s="1">
        <f>'A&amp;R'!$X$32*(1+'A&amp;R'!$W$32)^(AK16-1)*AK$11</f>
        <v>8.5305432211999985</v>
      </c>
      <c r="AL73" s="1">
        <f>'A&amp;R'!$X$32*(1+'A&amp;R'!$W$32)^(AL16-1)*AL$11</f>
        <v>8.5305432211999985</v>
      </c>
      <c r="AM73" s="1">
        <f>'A&amp;R'!$X$32*(1+'A&amp;R'!$W$32)^(AM16-1)*AM$11</f>
        <v>8.5305432211999985</v>
      </c>
      <c r="AN73" s="1">
        <f>'A&amp;R'!$X$32*(1+'A&amp;R'!$W$32)^(AN16-1)*AN$11</f>
        <v>8.5305432211999985</v>
      </c>
      <c r="AO73" s="1">
        <f>'A&amp;R'!$X$32*(1+'A&amp;R'!$W$32)^(AO16-1)*AO$11</f>
        <v>8.5305432211999985</v>
      </c>
      <c r="AP73" s="1">
        <f>'A&amp;R'!$X$32*(1+'A&amp;R'!$W$32)^(AP16-1)*AP$11</f>
        <v>8.5305432211999985</v>
      </c>
      <c r="AQ73" s="1">
        <f>'A&amp;R'!$X$32*(1+'A&amp;R'!$W$32)^(AQ16-1)*AQ$11</f>
        <v>8.5305432211999985</v>
      </c>
      <c r="AR73" s="1">
        <f>'A&amp;R'!$X$32*(1+'A&amp;R'!$W$32)^(AR16-1)*AR$11</f>
        <v>8.5305432211999985</v>
      </c>
      <c r="AS73" s="1">
        <f>'A&amp;R'!$X$32*(1+'A&amp;R'!$W$32)^(AS16-1)*AS$11</f>
        <v>8.658501369517996</v>
      </c>
      <c r="AT73" s="1">
        <f>'A&amp;R'!$X$32*(1+'A&amp;R'!$W$32)^(AT16-1)*AT$11</f>
        <v>8.658501369517996</v>
      </c>
      <c r="AU73" s="1">
        <f>'A&amp;R'!$X$32*(1+'A&amp;R'!$W$32)^(AU16-1)*AU$11</f>
        <v>8.658501369517996</v>
      </c>
      <c r="AV73" s="1">
        <f>'A&amp;R'!$X$32*(1+'A&amp;R'!$W$32)^(AV16-1)*AV$11</f>
        <v>8.658501369517996</v>
      </c>
      <c r="AW73" s="1">
        <f>'A&amp;R'!$X$32*(1+'A&amp;R'!$W$32)^(AW16-1)*AW$11</f>
        <v>8.658501369517996</v>
      </c>
      <c r="AX73" s="1">
        <f>'A&amp;R'!$X$32*(1+'A&amp;R'!$W$32)^(AX16-1)*AX$11</f>
        <v>8.658501369517996</v>
      </c>
      <c r="AY73" s="1">
        <f>'A&amp;R'!$X$32*(1+'A&amp;R'!$W$32)^(AY16-1)*AY$11</f>
        <v>8.658501369517996</v>
      </c>
      <c r="AZ73" s="1">
        <f>'A&amp;R'!$X$32*(1+'A&amp;R'!$W$32)^(AZ16-1)*AZ$11</f>
        <v>8.658501369517996</v>
      </c>
      <c r="BA73" s="1">
        <f>'A&amp;R'!$X$32*(1+'A&amp;R'!$W$32)^(BA16-1)*BA$11</f>
        <v>8.658501369517996</v>
      </c>
      <c r="BB73" s="1">
        <f>'A&amp;R'!$X$32*(1+'A&amp;R'!$W$32)^(BB16-1)*BB$11</f>
        <v>8.658501369517996</v>
      </c>
      <c r="BC73" s="1">
        <f>'A&amp;R'!$X$32*(1+'A&amp;R'!$W$32)^(BC16-1)*BC$11</f>
        <v>8.658501369517996</v>
      </c>
      <c r="BD73" s="1">
        <f>'A&amp;R'!$X$32*(1+'A&amp;R'!$W$32)^(BD16-1)*BD$11</f>
        <v>8.658501369517996</v>
      </c>
      <c r="BE73" s="1">
        <f>'A&amp;R'!$X$32*(1+'A&amp;R'!$W$32)^(BE16-1)*BE$11</f>
        <v>8.7883788900607662</v>
      </c>
      <c r="BF73" s="1">
        <f>'A&amp;R'!$X$32*(1+'A&amp;R'!$W$32)^(BF16-1)*BF$11</f>
        <v>8.7883788900607662</v>
      </c>
      <c r="BG73" s="1">
        <f>'A&amp;R'!$X$32*(1+'A&amp;R'!$W$32)^(BG16-1)*BG$11</f>
        <v>8.7883788900607662</v>
      </c>
      <c r="BH73" s="1">
        <f>'A&amp;R'!$X$32*(1+'A&amp;R'!$W$32)^(BH16-1)*BH$11</f>
        <v>8.7883788900607662</v>
      </c>
      <c r="BI73" s="1">
        <f>'A&amp;R'!$X$32*(1+'A&amp;R'!$W$32)^(BI16-1)*BI$11</f>
        <v>8.7883788900607662</v>
      </c>
      <c r="BJ73" s="1">
        <f>'A&amp;R'!$X$32*(1+'A&amp;R'!$W$32)^(BJ16-1)*BJ$11</f>
        <v>8.7883788900607662</v>
      </c>
      <c r="BK73" s="1">
        <f>'A&amp;R'!$X$32*(1+'A&amp;R'!$W$32)^(BK16-1)*BK$11</f>
        <v>8.7883788900607662</v>
      </c>
      <c r="BL73" s="1">
        <f>'A&amp;R'!$X$32*(1+'A&amp;R'!$W$32)^(BL16-1)*BL$11</f>
        <v>8.7883788900607662</v>
      </c>
      <c r="BM73" s="1">
        <f>'A&amp;R'!$X$32*(1+'A&amp;R'!$W$32)^(BM16-1)*BM$11</f>
        <v>8.7883788900607662</v>
      </c>
      <c r="BN73" s="1">
        <f>'A&amp;R'!$X$32*(1+'A&amp;R'!$W$32)^(BN16-1)*BN$11</f>
        <v>8.7883788900607662</v>
      </c>
      <c r="BO73" s="1">
        <f>'A&amp;R'!$X$32*(1+'A&amp;R'!$W$32)^(BO16-1)*BO$11</f>
        <v>8.7883788900607662</v>
      </c>
      <c r="BP73" s="1">
        <f>'A&amp;R'!$X$32*(1+'A&amp;R'!$W$32)^(BP16-1)*BP$11</f>
        <v>8.7883788900607662</v>
      </c>
      <c r="BQ73" s="1">
        <f>'A&amp;R'!$X$32*(1+'A&amp;R'!$W$32)^(BQ16-1)*BQ$11</f>
        <v>0</v>
      </c>
      <c r="BR73" s="1">
        <f>'A&amp;R'!$X$32*(1+'A&amp;R'!$W$32)^(BR16-1)*BR$11</f>
        <v>0</v>
      </c>
      <c r="BS73" s="1">
        <f>'A&amp;R'!$X$32*(1+'A&amp;R'!$W$32)^(BS16-1)*BS$11</f>
        <v>0</v>
      </c>
      <c r="BT73" s="1">
        <f>'A&amp;R'!$X$32*(1+'A&amp;R'!$W$32)^(BT16-1)*BT$11</f>
        <v>0</v>
      </c>
      <c r="BU73" s="1">
        <f>'A&amp;R'!$X$32*(1+'A&amp;R'!$W$32)^(BU16-1)*BU$11</f>
        <v>0</v>
      </c>
      <c r="BV73" s="1">
        <f>'A&amp;R'!$X$32*(1+'A&amp;R'!$W$32)^(BV16-1)*BV$11</f>
        <v>0</v>
      </c>
      <c r="BW73" s="1">
        <f>'A&amp;R'!$X$32*(1+'A&amp;R'!$W$32)^(BW16-1)*BW$11</f>
        <v>0</v>
      </c>
      <c r="BX73" s="1">
        <f>'A&amp;R'!$X$32*(1+'A&amp;R'!$W$32)^(BX16-1)*BX$11</f>
        <v>0</v>
      </c>
      <c r="BY73" s="1">
        <f>'A&amp;R'!$X$32*(1+'A&amp;R'!$W$32)^(BY16-1)*BY$11</f>
        <v>0</v>
      </c>
      <c r="BZ73" s="1">
        <f>'A&amp;R'!$X$32*(1+'A&amp;R'!$W$32)^(BZ16-1)*BZ$11</f>
        <v>0</v>
      </c>
    </row>
    <row r="74" spans="2:78" s="11" customFormat="1" ht="13.5" customHeight="1">
      <c r="D74" s="172">
        <f>MONTH(start)</f>
        <v>4</v>
      </c>
      <c r="E74" s="11" t="s">
        <v>350</v>
      </c>
      <c r="H74" s="11">
        <f t="shared" ref="H74:AM74" si="55">(MONTH(H14)=$D$74)*1*H11</f>
        <v>0</v>
      </c>
      <c r="I74" s="11">
        <f t="shared" si="55"/>
        <v>1</v>
      </c>
      <c r="J74" s="11">
        <f t="shared" si="55"/>
        <v>0</v>
      </c>
      <c r="K74" s="11">
        <f t="shared" si="55"/>
        <v>0</v>
      </c>
      <c r="L74" s="11">
        <f t="shared" si="55"/>
        <v>0</v>
      </c>
      <c r="M74" s="11">
        <f t="shared" si="55"/>
        <v>0</v>
      </c>
      <c r="N74" s="11">
        <f t="shared" si="55"/>
        <v>0</v>
      </c>
      <c r="O74" s="11">
        <f t="shared" si="55"/>
        <v>0</v>
      </c>
      <c r="P74" s="11">
        <f t="shared" si="55"/>
        <v>0</v>
      </c>
      <c r="Q74" s="11">
        <f t="shared" si="55"/>
        <v>0</v>
      </c>
      <c r="R74" s="11">
        <f t="shared" si="55"/>
        <v>0</v>
      </c>
      <c r="S74" s="11">
        <f t="shared" si="55"/>
        <v>0</v>
      </c>
      <c r="T74" s="11">
        <f t="shared" si="55"/>
        <v>0</v>
      </c>
      <c r="U74" s="11">
        <f t="shared" si="55"/>
        <v>1</v>
      </c>
      <c r="V74" s="11">
        <f t="shared" si="55"/>
        <v>0</v>
      </c>
      <c r="W74" s="11">
        <f t="shared" si="55"/>
        <v>0</v>
      </c>
      <c r="X74" s="11">
        <f t="shared" si="55"/>
        <v>0</v>
      </c>
      <c r="Y74" s="11">
        <f t="shared" si="55"/>
        <v>0</v>
      </c>
      <c r="Z74" s="11">
        <f t="shared" si="55"/>
        <v>0</v>
      </c>
      <c r="AA74" s="11">
        <f t="shared" si="55"/>
        <v>0</v>
      </c>
      <c r="AB74" s="11">
        <f t="shared" si="55"/>
        <v>0</v>
      </c>
      <c r="AC74" s="11">
        <f t="shared" si="55"/>
        <v>0</v>
      </c>
      <c r="AD74" s="11">
        <f t="shared" si="55"/>
        <v>0</v>
      </c>
      <c r="AE74" s="11">
        <f t="shared" si="55"/>
        <v>0</v>
      </c>
      <c r="AF74" s="11">
        <f t="shared" si="55"/>
        <v>0</v>
      </c>
      <c r="AG74" s="11">
        <f t="shared" si="55"/>
        <v>1</v>
      </c>
      <c r="AH74" s="11">
        <f t="shared" si="55"/>
        <v>0</v>
      </c>
      <c r="AI74" s="11">
        <f t="shared" si="55"/>
        <v>0</v>
      </c>
      <c r="AJ74" s="11">
        <f t="shared" si="55"/>
        <v>0</v>
      </c>
      <c r="AK74" s="11">
        <f t="shared" si="55"/>
        <v>0</v>
      </c>
      <c r="AL74" s="11">
        <f t="shared" si="55"/>
        <v>0</v>
      </c>
      <c r="AM74" s="11">
        <f t="shared" si="55"/>
        <v>0</v>
      </c>
      <c r="AN74" s="11">
        <f t="shared" ref="AN74:BS74" si="56">(MONTH(AN14)=$D$74)*1*AN11</f>
        <v>0</v>
      </c>
      <c r="AO74" s="11">
        <f t="shared" si="56"/>
        <v>0</v>
      </c>
      <c r="AP74" s="11">
        <f t="shared" si="56"/>
        <v>0</v>
      </c>
      <c r="AQ74" s="11">
        <f t="shared" si="56"/>
        <v>0</v>
      </c>
      <c r="AR74" s="11">
        <f t="shared" si="56"/>
        <v>0</v>
      </c>
      <c r="AS74" s="11">
        <f t="shared" si="56"/>
        <v>1</v>
      </c>
      <c r="AT74" s="11">
        <f t="shared" si="56"/>
        <v>0</v>
      </c>
      <c r="AU74" s="11">
        <f t="shared" si="56"/>
        <v>0</v>
      </c>
      <c r="AV74" s="11">
        <f t="shared" si="56"/>
        <v>0</v>
      </c>
      <c r="AW74" s="11">
        <f t="shared" si="56"/>
        <v>0</v>
      </c>
      <c r="AX74" s="11">
        <f t="shared" si="56"/>
        <v>0</v>
      </c>
      <c r="AY74" s="11">
        <f t="shared" si="56"/>
        <v>0</v>
      </c>
      <c r="AZ74" s="11">
        <f t="shared" si="56"/>
        <v>0</v>
      </c>
      <c r="BA74" s="11">
        <f t="shared" si="56"/>
        <v>0</v>
      </c>
      <c r="BB74" s="11">
        <f t="shared" si="56"/>
        <v>0</v>
      </c>
      <c r="BC74" s="11">
        <f t="shared" si="56"/>
        <v>0</v>
      </c>
      <c r="BD74" s="11">
        <f t="shared" si="56"/>
        <v>0</v>
      </c>
      <c r="BE74" s="11">
        <f t="shared" si="56"/>
        <v>1</v>
      </c>
      <c r="BF74" s="11">
        <f t="shared" si="56"/>
        <v>0</v>
      </c>
      <c r="BG74" s="11">
        <f t="shared" si="56"/>
        <v>0</v>
      </c>
      <c r="BH74" s="11">
        <f t="shared" si="56"/>
        <v>0</v>
      </c>
      <c r="BI74" s="11">
        <f t="shared" si="56"/>
        <v>0</v>
      </c>
      <c r="BJ74" s="11">
        <f t="shared" si="56"/>
        <v>0</v>
      </c>
      <c r="BK74" s="11">
        <f t="shared" si="56"/>
        <v>0</v>
      </c>
      <c r="BL74" s="11">
        <f t="shared" si="56"/>
        <v>0</v>
      </c>
      <c r="BM74" s="11">
        <f t="shared" si="56"/>
        <v>0</v>
      </c>
      <c r="BN74" s="11">
        <f t="shared" si="56"/>
        <v>0</v>
      </c>
      <c r="BO74" s="11">
        <f t="shared" si="56"/>
        <v>0</v>
      </c>
      <c r="BP74" s="11">
        <f t="shared" si="56"/>
        <v>0</v>
      </c>
      <c r="BQ74" s="11">
        <f t="shared" si="56"/>
        <v>0</v>
      </c>
      <c r="BR74" s="11">
        <f t="shared" si="56"/>
        <v>0</v>
      </c>
      <c r="BS74" s="11">
        <f t="shared" si="56"/>
        <v>0</v>
      </c>
      <c r="BT74" s="11">
        <f t="shared" ref="BT74:BZ74" si="57">(MONTH(BT14)=$D$74)*1*BT11</f>
        <v>0</v>
      </c>
      <c r="BU74" s="11">
        <f t="shared" si="57"/>
        <v>0</v>
      </c>
      <c r="BV74" s="11">
        <f t="shared" si="57"/>
        <v>0</v>
      </c>
      <c r="BW74" s="11">
        <f t="shared" si="57"/>
        <v>0</v>
      </c>
      <c r="BX74" s="11">
        <f t="shared" si="57"/>
        <v>0</v>
      </c>
      <c r="BY74" s="11">
        <f t="shared" si="57"/>
        <v>0</v>
      </c>
      <c r="BZ74" s="11">
        <f t="shared" si="57"/>
        <v>0</v>
      </c>
    </row>
    <row r="75" spans="2:78" ht="13.5" customHeight="1">
      <c r="C75" s="161" t="b">
        <f>ABS(F73-F75)&lt;0.001</f>
        <v>1</v>
      </c>
      <c r="D75" s="142" t="s">
        <v>325</v>
      </c>
      <c r="E75" s="160"/>
      <c r="F75" s="142">
        <f>SUM(G75:XFD75)</f>
        <v>511.94605872934505</v>
      </c>
      <c r="G75" s="142"/>
      <c r="H75" s="142">
        <f>SUM(H73:S73)*H74</f>
        <v>0</v>
      </c>
      <c r="I75" s="142">
        <f t="shared" ref="I75:BT75" si="58">SUM(I73:T73)*I74</f>
        <v>99.363263999999972</v>
      </c>
      <c r="J75" s="142">
        <f t="shared" si="58"/>
        <v>0</v>
      </c>
      <c r="K75" s="142">
        <f t="shared" si="58"/>
        <v>0</v>
      </c>
      <c r="L75" s="142">
        <f t="shared" si="58"/>
        <v>0</v>
      </c>
      <c r="M75" s="142">
        <f t="shared" si="58"/>
        <v>0</v>
      </c>
      <c r="N75" s="142">
        <f t="shared" si="58"/>
        <v>0</v>
      </c>
      <c r="O75" s="142">
        <f t="shared" si="58"/>
        <v>0</v>
      </c>
      <c r="P75" s="142">
        <f t="shared" si="58"/>
        <v>0</v>
      </c>
      <c r="Q75" s="142">
        <f t="shared" si="58"/>
        <v>0</v>
      </c>
      <c r="R75" s="142">
        <f t="shared" si="58"/>
        <v>0</v>
      </c>
      <c r="S75" s="142">
        <f t="shared" si="58"/>
        <v>0</v>
      </c>
      <c r="T75" s="142">
        <f t="shared" si="58"/>
        <v>0</v>
      </c>
      <c r="U75" s="142">
        <f t="shared" si="58"/>
        <v>100.85371295999995</v>
      </c>
      <c r="V75" s="142">
        <f t="shared" si="58"/>
        <v>0</v>
      </c>
      <c r="W75" s="142">
        <f t="shared" si="58"/>
        <v>0</v>
      </c>
      <c r="X75" s="142">
        <f t="shared" si="58"/>
        <v>0</v>
      </c>
      <c r="Y75" s="142">
        <f t="shared" si="58"/>
        <v>0</v>
      </c>
      <c r="Z75" s="142">
        <f t="shared" si="58"/>
        <v>0</v>
      </c>
      <c r="AA75" s="142">
        <f t="shared" si="58"/>
        <v>0</v>
      </c>
      <c r="AB75" s="142">
        <f t="shared" si="58"/>
        <v>0</v>
      </c>
      <c r="AC75" s="142">
        <f t="shared" si="58"/>
        <v>0</v>
      </c>
      <c r="AD75" s="142">
        <f t="shared" si="58"/>
        <v>0</v>
      </c>
      <c r="AE75" s="142">
        <f t="shared" si="58"/>
        <v>0</v>
      </c>
      <c r="AF75" s="142">
        <f t="shared" si="58"/>
        <v>0</v>
      </c>
      <c r="AG75" s="142">
        <f t="shared" si="58"/>
        <v>102.36651865439995</v>
      </c>
      <c r="AH75" s="142">
        <f t="shared" si="58"/>
        <v>0</v>
      </c>
      <c r="AI75" s="142">
        <f t="shared" si="58"/>
        <v>0</v>
      </c>
      <c r="AJ75" s="142">
        <f t="shared" si="58"/>
        <v>0</v>
      </c>
      <c r="AK75" s="142">
        <f t="shared" si="58"/>
        <v>0</v>
      </c>
      <c r="AL75" s="142">
        <f t="shared" si="58"/>
        <v>0</v>
      </c>
      <c r="AM75" s="142">
        <f t="shared" si="58"/>
        <v>0</v>
      </c>
      <c r="AN75" s="142">
        <f t="shared" si="58"/>
        <v>0</v>
      </c>
      <c r="AO75" s="142">
        <f t="shared" si="58"/>
        <v>0</v>
      </c>
      <c r="AP75" s="142">
        <f t="shared" si="58"/>
        <v>0</v>
      </c>
      <c r="AQ75" s="142">
        <f t="shared" si="58"/>
        <v>0</v>
      </c>
      <c r="AR75" s="142">
        <f t="shared" si="58"/>
        <v>0</v>
      </c>
      <c r="AS75" s="142">
        <f t="shared" si="58"/>
        <v>103.90201643421592</v>
      </c>
      <c r="AT75" s="142">
        <f t="shared" si="58"/>
        <v>0</v>
      </c>
      <c r="AU75" s="142">
        <f t="shared" si="58"/>
        <v>0</v>
      </c>
      <c r="AV75" s="142">
        <f t="shared" si="58"/>
        <v>0</v>
      </c>
      <c r="AW75" s="142">
        <f t="shared" si="58"/>
        <v>0</v>
      </c>
      <c r="AX75" s="142">
        <f t="shared" si="58"/>
        <v>0</v>
      </c>
      <c r="AY75" s="142">
        <f t="shared" si="58"/>
        <v>0</v>
      </c>
      <c r="AZ75" s="142">
        <f t="shared" si="58"/>
        <v>0</v>
      </c>
      <c r="BA75" s="142">
        <f t="shared" si="58"/>
        <v>0</v>
      </c>
      <c r="BB75" s="142">
        <f t="shared" si="58"/>
        <v>0</v>
      </c>
      <c r="BC75" s="142">
        <f t="shared" si="58"/>
        <v>0</v>
      </c>
      <c r="BD75" s="142">
        <f t="shared" si="58"/>
        <v>0</v>
      </c>
      <c r="BE75" s="142">
        <f t="shared" si="58"/>
        <v>105.46054668072922</v>
      </c>
      <c r="BF75" s="142">
        <f t="shared" si="58"/>
        <v>0</v>
      </c>
      <c r="BG75" s="142">
        <f t="shared" si="58"/>
        <v>0</v>
      </c>
      <c r="BH75" s="142">
        <f t="shared" si="58"/>
        <v>0</v>
      </c>
      <c r="BI75" s="142">
        <f t="shared" si="58"/>
        <v>0</v>
      </c>
      <c r="BJ75" s="142">
        <f t="shared" si="58"/>
        <v>0</v>
      </c>
      <c r="BK75" s="142">
        <f t="shared" si="58"/>
        <v>0</v>
      </c>
      <c r="BL75" s="142">
        <f t="shared" si="58"/>
        <v>0</v>
      </c>
      <c r="BM75" s="142">
        <f t="shared" si="58"/>
        <v>0</v>
      </c>
      <c r="BN75" s="142">
        <f t="shared" si="58"/>
        <v>0</v>
      </c>
      <c r="BO75" s="142">
        <f t="shared" si="58"/>
        <v>0</v>
      </c>
      <c r="BP75" s="142">
        <f t="shared" si="58"/>
        <v>0</v>
      </c>
      <c r="BQ75" s="142">
        <f t="shared" si="58"/>
        <v>0</v>
      </c>
      <c r="BR75" s="142">
        <f t="shared" si="58"/>
        <v>0</v>
      </c>
      <c r="BS75" s="142">
        <f t="shared" si="58"/>
        <v>0</v>
      </c>
      <c r="BT75" s="142">
        <f t="shared" si="58"/>
        <v>0</v>
      </c>
      <c r="BU75" s="142">
        <f t="shared" ref="BU75:BZ75" si="59">SUM(BU73:CF73)*BU74</f>
        <v>0</v>
      </c>
      <c r="BV75" s="142">
        <f t="shared" si="59"/>
        <v>0</v>
      </c>
      <c r="BW75" s="142">
        <f t="shared" si="59"/>
        <v>0</v>
      </c>
      <c r="BX75" s="142">
        <f t="shared" si="59"/>
        <v>0</v>
      </c>
      <c r="BY75" s="142">
        <f t="shared" si="59"/>
        <v>0</v>
      </c>
      <c r="BZ75" s="142">
        <f t="shared" si="59"/>
        <v>0</v>
      </c>
    </row>
    <row r="76" spans="2:78" ht="13.5" customHeight="1">
      <c r="C76" s="44" t="s">
        <v>351</v>
      </c>
      <c r="D76" s="44"/>
      <c r="E76" s="44"/>
      <c r="F76" s="44">
        <f>SUM(G76:XFD76)</f>
        <v>511.94605872934505</v>
      </c>
      <c r="G76" s="44"/>
      <c r="H76" s="44">
        <f>H75</f>
        <v>0</v>
      </c>
      <c r="I76" s="44">
        <f t="shared" ref="I76:BT76" si="60">I75</f>
        <v>99.363263999999972</v>
      </c>
      <c r="J76" s="44">
        <f t="shared" si="60"/>
        <v>0</v>
      </c>
      <c r="K76" s="44">
        <f t="shared" si="60"/>
        <v>0</v>
      </c>
      <c r="L76" s="44">
        <f t="shared" si="60"/>
        <v>0</v>
      </c>
      <c r="M76" s="44">
        <f t="shared" si="60"/>
        <v>0</v>
      </c>
      <c r="N76" s="44">
        <f t="shared" si="60"/>
        <v>0</v>
      </c>
      <c r="O76" s="44">
        <f t="shared" si="60"/>
        <v>0</v>
      </c>
      <c r="P76" s="44">
        <f t="shared" si="60"/>
        <v>0</v>
      </c>
      <c r="Q76" s="44">
        <f t="shared" si="60"/>
        <v>0</v>
      </c>
      <c r="R76" s="44">
        <f t="shared" si="60"/>
        <v>0</v>
      </c>
      <c r="S76" s="44">
        <f t="shared" si="60"/>
        <v>0</v>
      </c>
      <c r="T76" s="44">
        <f t="shared" si="60"/>
        <v>0</v>
      </c>
      <c r="U76" s="44">
        <f t="shared" si="60"/>
        <v>100.85371295999995</v>
      </c>
      <c r="V76" s="44">
        <f t="shared" si="60"/>
        <v>0</v>
      </c>
      <c r="W76" s="44">
        <f t="shared" si="60"/>
        <v>0</v>
      </c>
      <c r="X76" s="44">
        <f t="shared" si="60"/>
        <v>0</v>
      </c>
      <c r="Y76" s="44">
        <f t="shared" si="60"/>
        <v>0</v>
      </c>
      <c r="Z76" s="44">
        <f t="shared" si="60"/>
        <v>0</v>
      </c>
      <c r="AA76" s="44">
        <f t="shared" si="60"/>
        <v>0</v>
      </c>
      <c r="AB76" s="44">
        <f t="shared" si="60"/>
        <v>0</v>
      </c>
      <c r="AC76" s="44">
        <f t="shared" si="60"/>
        <v>0</v>
      </c>
      <c r="AD76" s="44">
        <f t="shared" si="60"/>
        <v>0</v>
      </c>
      <c r="AE76" s="44">
        <f t="shared" si="60"/>
        <v>0</v>
      </c>
      <c r="AF76" s="44">
        <f t="shared" si="60"/>
        <v>0</v>
      </c>
      <c r="AG76" s="44">
        <f t="shared" si="60"/>
        <v>102.36651865439995</v>
      </c>
      <c r="AH76" s="44">
        <f t="shared" si="60"/>
        <v>0</v>
      </c>
      <c r="AI76" s="44">
        <f t="shared" si="60"/>
        <v>0</v>
      </c>
      <c r="AJ76" s="44">
        <f t="shared" si="60"/>
        <v>0</v>
      </c>
      <c r="AK76" s="44">
        <f t="shared" si="60"/>
        <v>0</v>
      </c>
      <c r="AL76" s="44">
        <f t="shared" si="60"/>
        <v>0</v>
      </c>
      <c r="AM76" s="44">
        <f t="shared" si="60"/>
        <v>0</v>
      </c>
      <c r="AN76" s="44">
        <f t="shared" si="60"/>
        <v>0</v>
      </c>
      <c r="AO76" s="44">
        <f t="shared" si="60"/>
        <v>0</v>
      </c>
      <c r="AP76" s="44">
        <f t="shared" si="60"/>
        <v>0</v>
      </c>
      <c r="AQ76" s="44">
        <f t="shared" si="60"/>
        <v>0</v>
      </c>
      <c r="AR76" s="44">
        <f t="shared" si="60"/>
        <v>0</v>
      </c>
      <c r="AS76" s="44">
        <f t="shared" si="60"/>
        <v>103.90201643421592</v>
      </c>
      <c r="AT76" s="44">
        <f t="shared" si="60"/>
        <v>0</v>
      </c>
      <c r="AU76" s="44">
        <f t="shared" si="60"/>
        <v>0</v>
      </c>
      <c r="AV76" s="44">
        <f t="shared" si="60"/>
        <v>0</v>
      </c>
      <c r="AW76" s="44">
        <f t="shared" si="60"/>
        <v>0</v>
      </c>
      <c r="AX76" s="44">
        <f t="shared" si="60"/>
        <v>0</v>
      </c>
      <c r="AY76" s="44">
        <f t="shared" si="60"/>
        <v>0</v>
      </c>
      <c r="AZ76" s="44">
        <f t="shared" si="60"/>
        <v>0</v>
      </c>
      <c r="BA76" s="44">
        <f t="shared" si="60"/>
        <v>0</v>
      </c>
      <c r="BB76" s="44">
        <f t="shared" si="60"/>
        <v>0</v>
      </c>
      <c r="BC76" s="44">
        <f t="shared" si="60"/>
        <v>0</v>
      </c>
      <c r="BD76" s="44">
        <f t="shared" si="60"/>
        <v>0</v>
      </c>
      <c r="BE76" s="44">
        <f t="shared" si="60"/>
        <v>105.46054668072922</v>
      </c>
      <c r="BF76" s="44">
        <f t="shared" si="60"/>
        <v>0</v>
      </c>
      <c r="BG76" s="44">
        <f t="shared" si="60"/>
        <v>0</v>
      </c>
      <c r="BH76" s="44">
        <f t="shared" si="60"/>
        <v>0</v>
      </c>
      <c r="BI76" s="44">
        <f t="shared" si="60"/>
        <v>0</v>
      </c>
      <c r="BJ76" s="44">
        <f t="shared" si="60"/>
        <v>0</v>
      </c>
      <c r="BK76" s="44">
        <f t="shared" si="60"/>
        <v>0</v>
      </c>
      <c r="BL76" s="44">
        <f t="shared" si="60"/>
        <v>0</v>
      </c>
      <c r="BM76" s="44">
        <f t="shared" si="60"/>
        <v>0</v>
      </c>
      <c r="BN76" s="44">
        <f t="shared" si="60"/>
        <v>0</v>
      </c>
      <c r="BO76" s="44">
        <f t="shared" si="60"/>
        <v>0</v>
      </c>
      <c r="BP76" s="44">
        <f t="shared" si="60"/>
        <v>0</v>
      </c>
      <c r="BQ76" s="44">
        <f t="shared" si="60"/>
        <v>0</v>
      </c>
      <c r="BR76" s="44">
        <f t="shared" si="60"/>
        <v>0</v>
      </c>
      <c r="BS76" s="44">
        <f t="shared" si="60"/>
        <v>0</v>
      </c>
      <c r="BT76" s="44">
        <f t="shared" si="60"/>
        <v>0</v>
      </c>
      <c r="BU76" s="44">
        <f t="shared" ref="BU76:BZ76" si="61">BU75</f>
        <v>0</v>
      </c>
      <c r="BV76" s="44">
        <f t="shared" si="61"/>
        <v>0</v>
      </c>
      <c r="BW76" s="44">
        <f t="shared" si="61"/>
        <v>0</v>
      </c>
      <c r="BX76" s="44">
        <f t="shared" si="61"/>
        <v>0</v>
      </c>
      <c r="BY76" s="44">
        <f t="shared" si="61"/>
        <v>0</v>
      </c>
      <c r="BZ76" s="44">
        <f t="shared" si="61"/>
        <v>0</v>
      </c>
    </row>
    <row r="78" spans="2:78" ht="13.5" customHeight="1">
      <c r="B78" s="173" t="s">
        <v>352</v>
      </c>
      <c r="C78" s="173"/>
      <c r="D78" s="173"/>
      <c r="E78" s="173"/>
      <c r="F78" s="173">
        <f ca="1">SUM(G78:XFD78)</f>
        <v>3611.5454598134493</v>
      </c>
      <c r="G78" s="173"/>
      <c r="H78" s="173">
        <f ca="1">H76+H70+H46+H34+H25+H20</f>
        <v>0</v>
      </c>
      <c r="I78" s="173">
        <f t="shared" ref="I78:BT78" ca="1" si="62">I76+I70+I46+I34+I25+I20</f>
        <v>130.75663099999997</v>
      </c>
      <c r="J78" s="173">
        <f t="shared" ca="1" si="62"/>
        <v>31.393366999999998</v>
      </c>
      <c r="K78" s="173">
        <f t="shared" ca="1" si="62"/>
        <v>31.393366999999998</v>
      </c>
      <c r="L78" s="173">
        <f t="shared" ca="1" si="62"/>
        <v>151.46718461597953</v>
      </c>
      <c r="M78" s="173">
        <f t="shared" ca="1" si="62"/>
        <v>31.393366999999998</v>
      </c>
      <c r="N78" s="173">
        <f t="shared" ca="1" si="62"/>
        <v>63.839086196000004</v>
      </c>
      <c r="O78" s="173">
        <f t="shared" ca="1" si="62"/>
        <v>229.91836699999999</v>
      </c>
      <c r="P78" s="173">
        <f t="shared" ca="1" si="62"/>
        <v>31.393366999999998</v>
      </c>
      <c r="Q78" s="173">
        <f t="shared" ca="1" si="62"/>
        <v>31.393366999999998</v>
      </c>
      <c r="R78" s="173">
        <f t="shared" ca="1" si="62"/>
        <v>32.95690033333333</v>
      </c>
      <c r="S78" s="173">
        <f t="shared" ca="1" si="62"/>
        <v>31.393366999999998</v>
      </c>
      <c r="T78" s="173">
        <f t="shared" ca="1" si="62"/>
        <v>31.393366999999998</v>
      </c>
      <c r="U78" s="173">
        <f t="shared" ca="1" si="62"/>
        <v>132.64298046499997</v>
      </c>
      <c r="V78" s="173">
        <f t="shared" ca="1" si="62"/>
        <v>31.789267504999998</v>
      </c>
      <c r="W78" s="173">
        <f t="shared" ca="1" si="62"/>
        <v>31.789267504999998</v>
      </c>
      <c r="X78" s="173">
        <f t="shared" ca="1" si="62"/>
        <v>152.77487642452559</v>
      </c>
      <c r="Y78" s="173">
        <f t="shared" ca="1" si="62"/>
        <v>31.789267504999998</v>
      </c>
      <c r="Z78" s="173">
        <f t="shared" ca="1" si="62"/>
        <v>65.25155827687999</v>
      </c>
      <c r="AA78" s="173">
        <f t="shared" ca="1" si="62"/>
        <v>31.789267504999998</v>
      </c>
      <c r="AB78" s="173">
        <f t="shared" ca="1" si="62"/>
        <v>31.789267504999998</v>
      </c>
      <c r="AC78" s="173">
        <f t="shared" ca="1" si="62"/>
        <v>31.970718227239999</v>
      </c>
      <c r="AD78" s="173">
        <f t="shared" ca="1" si="62"/>
        <v>33.678287504999993</v>
      </c>
      <c r="AE78" s="173">
        <f t="shared" ca="1" si="62"/>
        <v>31.789267504999998</v>
      </c>
      <c r="AF78" s="173">
        <f t="shared" ca="1" si="62"/>
        <v>31.789267504999998</v>
      </c>
      <c r="AG78" s="173">
        <f t="shared" ca="1" si="62"/>
        <v>134.55762517197496</v>
      </c>
      <c r="AH78" s="173">
        <f t="shared" ca="1" si="62"/>
        <v>32.191106517574994</v>
      </c>
      <c r="AI78" s="173">
        <f t="shared" ca="1" si="62"/>
        <v>32.191106517574994</v>
      </c>
      <c r="AJ78" s="173">
        <f t="shared" ca="1" si="62"/>
        <v>153.72148600500503</v>
      </c>
      <c r="AK78" s="173">
        <f t="shared" ca="1" si="62"/>
        <v>32.191106517574994</v>
      </c>
      <c r="AL78" s="173">
        <f t="shared" ca="1" si="62"/>
        <v>66.7004660126114</v>
      </c>
      <c r="AM78" s="173">
        <f t="shared" ca="1" si="62"/>
        <v>210.83210651757497</v>
      </c>
      <c r="AN78" s="173">
        <f t="shared" ca="1" si="62"/>
        <v>32.191106517574994</v>
      </c>
      <c r="AO78" s="173">
        <f t="shared" ca="1" si="62"/>
        <v>32.463282600934988</v>
      </c>
      <c r="AP78" s="173">
        <f t="shared" ca="1" si="62"/>
        <v>33.95204391757499</v>
      </c>
      <c r="AQ78" s="173">
        <f t="shared" ca="1" si="62"/>
        <v>32.191106517574994</v>
      </c>
      <c r="AR78" s="173">
        <f t="shared" ca="1" si="62"/>
        <v>32.191106517574994</v>
      </c>
      <c r="AS78" s="173">
        <f t="shared" ca="1" si="62"/>
        <v>136.50098954955453</v>
      </c>
      <c r="AT78" s="173">
        <f t="shared" ca="1" si="62"/>
        <v>32.598973115338616</v>
      </c>
      <c r="AU78" s="173">
        <f t="shared" ca="1" si="62"/>
        <v>32.598973115338616</v>
      </c>
      <c r="AV78" s="173">
        <f t="shared" ca="1" si="62"/>
        <v>154.61482608471977</v>
      </c>
      <c r="AW78" s="173">
        <f t="shared" ca="1" si="62"/>
        <v>32.598973115338616</v>
      </c>
      <c r="AX78" s="173">
        <f t="shared" ca="1" si="62"/>
        <v>68.186813395226125</v>
      </c>
      <c r="AY78" s="173">
        <f t="shared" ca="1" si="62"/>
        <v>32.598973115338616</v>
      </c>
      <c r="AZ78" s="173">
        <f t="shared" ca="1" si="62"/>
        <v>32.598973115338616</v>
      </c>
      <c r="BA78" s="173">
        <f t="shared" ca="1" si="62"/>
        <v>33.007237240378615</v>
      </c>
      <c r="BB78" s="173">
        <f t="shared" ca="1" si="62"/>
        <v>34.504171515338619</v>
      </c>
      <c r="BC78" s="173">
        <f t="shared" ca="1" si="62"/>
        <v>32.598973115338616</v>
      </c>
      <c r="BD78" s="173">
        <f t="shared" ca="1" si="62"/>
        <v>32.598973115338616</v>
      </c>
      <c r="BE78" s="173">
        <f t="shared" ca="1" si="62"/>
        <v>138.47350439279791</v>
      </c>
      <c r="BF78" s="173">
        <f t="shared" ca="1" si="62"/>
        <v>33.012957712068683</v>
      </c>
      <c r="BG78" s="173">
        <f t="shared" ca="1" si="62"/>
        <v>33.012957712068683</v>
      </c>
      <c r="BH78" s="173">
        <f t="shared" ca="1" si="62"/>
        <v>155.41761145477938</v>
      </c>
      <c r="BI78" s="173">
        <f t="shared" ca="1" si="62"/>
        <v>33.012957712068683</v>
      </c>
      <c r="BJ78" s="173">
        <f t="shared" ca="1" si="62"/>
        <v>69.711633200352821</v>
      </c>
      <c r="BK78" s="173">
        <f t="shared" ca="1" si="62"/>
        <v>33.012957712068683</v>
      </c>
      <c r="BL78" s="173">
        <f t="shared" ca="1" si="62"/>
        <v>33.012957712068683</v>
      </c>
      <c r="BM78" s="173">
        <f t="shared" ca="1" si="62"/>
        <v>33.625353899628685</v>
      </c>
      <c r="BN78" s="173">
        <f t="shared" ca="1" si="62"/>
        <v>34.918156112068687</v>
      </c>
      <c r="BO78" s="173">
        <f t="shared" ca="1" si="62"/>
        <v>33.012957712068683</v>
      </c>
      <c r="BP78" s="173">
        <f t="shared" ca="1" si="62"/>
        <v>33.405923978735352</v>
      </c>
      <c r="BQ78" s="173">
        <f t="shared" ca="1" si="62"/>
        <v>0</v>
      </c>
      <c r="BR78" s="173">
        <f t="shared" ca="1" si="62"/>
        <v>0</v>
      </c>
      <c r="BS78" s="173">
        <f t="shared" ca="1" si="62"/>
        <v>0</v>
      </c>
      <c r="BT78" s="173">
        <f t="shared" ca="1" si="62"/>
        <v>0</v>
      </c>
      <c r="BU78" s="173">
        <f t="shared" ref="BU78:BZ78" ca="1" si="63">BU76+BU70+BU46+BU34+BU25+BU20</f>
        <v>0</v>
      </c>
      <c r="BV78" s="173">
        <f t="shared" ca="1" si="63"/>
        <v>0</v>
      </c>
      <c r="BW78" s="173">
        <f t="shared" ca="1" si="63"/>
        <v>0</v>
      </c>
      <c r="BX78" s="173">
        <f t="shared" ca="1" si="63"/>
        <v>0</v>
      </c>
      <c r="BY78" s="173">
        <f t="shared" ca="1" si="63"/>
        <v>0</v>
      </c>
      <c r="BZ78" s="173">
        <f t="shared" ca="1" si="63"/>
        <v>0</v>
      </c>
    </row>
    <row r="80" spans="2:78" ht="13.5" customHeight="1">
      <c r="B80" s="173" t="s">
        <v>218</v>
      </c>
      <c r="C80" s="173"/>
      <c r="D80" s="173"/>
      <c r="E80" s="173"/>
      <c r="F80" s="173">
        <f>SUM(G80:XFD80)</f>
        <v>60</v>
      </c>
      <c r="G80" s="173"/>
      <c r="H80" s="173">
        <f>'A&amp;R'!$T$33*H11</f>
        <v>0</v>
      </c>
      <c r="I80" s="173">
        <f>'A&amp;R'!$T$33*I11</f>
        <v>1</v>
      </c>
      <c r="J80" s="173">
        <f>'A&amp;R'!$T$33*J11</f>
        <v>1</v>
      </c>
      <c r="K80" s="173">
        <f>'A&amp;R'!$T$33*K11</f>
        <v>1</v>
      </c>
      <c r="L80" s="173">
        <f>'A&amp;R'!$T$33*L11</f>
        <v>1</v>
      </c>
      <c r="M80" s="173">
        <f>'A&amp;R'!$T$33*M11</f>
        <v>1</v>
      </c>
      <c r="N80" s="173">
        <f>'A&amp;R'!$T$33*N11</f>
        <v>1</v>
      </c>
      <c r="O80" s="173">
        <f>'A&amp;R'!$T$33*O11</f>
        <v>1</v>
      </c>
      <c r="P80" s="173">
        <f>'A&amp;R'!$T$33*P11</f>
        <v>1</v>
      </c>
      <c r="Q80" s="173">
        <f>'A&amp;R'!$T$33*Q11</f>
        <v>1</v>
      </c>
      <c r="R80" s="173">
        <f>'A&amp;R'!$T$33*R11</f>
        <v>1</v>
      </c>
      <c r="S80" s="173">
        <f>'A&amp;R'!$T$33*S11</f>
        <v>1</v>
      </c>
      <c r="T80" s="173">
        <f>'A&amp;R'!$T$33*T11</f>
        <v>1</v>
      </c>
      <c r="U80" s="173">
        <f>'A&amp;R'!$T$33*U11</f>
        <v>1</v>
      </c>
      <c r="V80" s="173">
        <f>'A&amp;R'!$T$33*V11</f>
        <v>1</v>
      </c>
      <c r="W80" s="173">
        <f>'A&amp;R'!$T$33*W11</f>
        <v>1</v>
      </c>
      <c r="X80" s="173">
        <f>'A&amp;R'!$T$33*X11</f>
        <v>1</v>
      </c>
      <c r="Y80" s="173">
        <f>'A&amp;R'!$T$33*Y11</f>
        <v>1</v>
      </c>
      <c r="Z80" s="173">
        <f>'A&amp;R'!$T$33*Z11</f>
        <v>1</v>
      </c>
      <c r="AA80" s="173">
        <f>'A&amp;R'!$T$33*AA11</f>
        <v>1</v>
      </c>
      <c r="AB80" s="173">
        <f>'A&amp;R'!$T$33*AB11</f>
        <v>1</v>
      </c>
      <c r="AC80" s="173">
        <f>'A&amp;R'!$T$33*AC11</f>
        <v>1</v>
      </c>
      <c r="AD80" s="173">
        <f>'A&amp;R'!$T$33*AD11</f>
        <v>1</v>
      </c>
      <c r="AE80" s="173">
        <f>'A&amp;R'!$T$33*AE11</f>
        <v>1</v>
      </c>
      <c r="AF80" s="173">
        <f>'A&amp;R'!$T$33*AF11</f>
        <v>1</v>
      </c>
      <c r="AG80" s="173">
        <f>'A&amp;R'!$T$33*AG11</f>
        <v>1</v>
      </c>
      <c r="AH80" s="173">
        <f>'A&amp;R'!$T$33*AH11</f>
        <v>1</v>
      </c>
      <c r="AI80" s="173">
        <f>'A&amp;R'!$T$33*AI11</f>
        <v>1</v>
      </c>
      <c r="AJ80" s="173">
        <f>'A&amp;R'!$T$33*AJ11</f>
        <v>1</v>
      </c>
      <c r="AK80" s="173">
        <f>'A&amp;R'!$T$33*AK11</f>
        <v>1</v>
      </c>
      <c r="AL80" s="173">
        <f>'A&amp;R'!$T$33*AL11</f>
        <v>1</v>
      </c>
      <c r="AM80" s="173">
        <f>'A&amp;R'!$T$33*AM11</f>
        <v>1</v>
      </c>
      <c r="AN80" s="173">
        <f>'A&amp;R'!$T$33*AN11</f>
        <v>1</v>
      </c>
      <c r="AO80" s="173">
        <f>'A&amp;R'!$T$33*AO11</f>
        <v>1</v>
      </c>
      <c r="AP80" s="173">
        <f>'A&amp;R'!$T$33*AP11</f>
        <v>1</v>
      </c>
      <c r="AQ80" s="173">
        <f>'A&amp;R'!$T$33*AQ11</f>
        <v>1</v>
      </c>
      <c r="AR80" s="173">
        <f>'A&amp;R'!$T$33*AR11</f>
        <v>1</v>
      </c>
      <c r="AS80" s="173">
        <f>'A&amp;R'!$T$33*AS11</f>
        <v>1</v>
      </c>
      <c r="AT80" s="173">
        <f>'A&amp;R'!$T$33*AT11</f>
        <v>1</v>
      </c>
      <c r="AU80" s="173">
        <f>'A&amp;R'!$T$33*AU11</f>
        <v>1</v>
      </c>
      <c r="AV80" s="173">
        <f>'A&amp;R'!$T$33*AV11</f>
        <v>1</v>
      </c>
      <c r="AW80" s="173">
        <f>'A&amp;R'!$T$33*AW11</f>
        <v>1</v>
      </c>
      <c r="AX80" s="173">
        <f>'A&amp;R'!$T$33*AX11</f>
        <v>1</v>
      </c>
      <c r="AY80" s="173">
        <f>'A&amp;R'!$T$33*AY11</f>
        <v>1</v>
      </c>
      <c r="AZ80" s="173">
        <f>'A&amp;R'!$T$33*AZ11</f>
        <v>1</v>
      </c>
      <c r="BA80" s="173">
        <f>'A&amp;R'!$T$33*BA11</f>
        <v>1</v>
      </c>
      <c r="BB80" s="173">
        <f>'A&amp;R'!$T$33*BB11</f>
        <v>1</v>
      </c>
      <c r="BC80" s="173">
        <f>'A&amp;R'!$T$33*BC11</f>
        <v>1</v>
      </c>
      <c r="BD80" s="173">
        <f>'A&amp;R'!$T$33*BD11</f>
        <v>1</v>
      </c>
      <c r="BE80" s="173">
        <f>'A&amp;R'!$T$33*BE11</f>
        <v>1</v>
      </c>
      <c r="BF80" s="173">
        <f>'A&amp;R'!$T$33*BF11</f>
        <v>1</v>
      </c>
      <c r="BG80" s="173">
        <f>'A&amp;R'!$T$33*BG11</f>
        <v>1</v>
      </c>
      <c r="BH80" s="173">
        <f>'A&amp;R'!$T$33*BH11</f>
        <v>1</v>
      </c>
      <c r="BI80" s="173">
        <f>'A&amp;R'!$T$33*BI11</f>
        <v>1</v>
      </c>
      <c r="BJ80" s="173">
        <f>'A&amp;R'!$T$33*BJ11</f>
        <v>1</v>
      </c>
      <c r="BK80" s="173">
        <f>'A&amp;R'!$T$33*BK11</f>
        <v>1</v>
      </c>
      <c r="BL80" s="173">
        <f>'A&amp;R'!$T$33*BL11</f>
        <v>1</v>
      </c>
      <c r="BM80" s="173">
        <f>'A&amp;R'!$T$33*BM11</f>
        <v>1</v>
      </c>
      <c r="BN80" s="173">
        <f>'A&amp;R'!$T$33*BN11</f>
        <v>1</v>
      </c>
      <c r="BO80" s="173">
        <f>'A&amp;R'!$T$33*BO11</f>
        <v>1</v>
      </c>
      <c r="BP80" s="173">
        <f>'A&amp;R'!$T$33*BP11</f>
        <v>1</v>
      </c>
      <c r="BQ80" s="173">
        <f>'A&amp;R'!$T$33*BQ11</f>
        <v>0</v>
      </c>
      <c r="BR80" s="173">
        <f>'A&amp;R'!$T$33*BR11</f>
        <v>0</v>
      </c>
      <c r="BS80" s="173">
        <f>'A&amp;R'!$T$33*BS11</f>
        <v>0</v>
      </c>
      <c r="BT80" s="173">
        <f>'A&amp;R'!$T$33*BT11</f>
        <v>0</v>
      </c>
      <c r="BU80" s="173">
        <f>'A&amp;R'!$T$33*BU11</f>
        <v>0</v>
      </c>
      <c r="BV80" s="173">
        <f>'A&amp;R'!$T$33*BV11</f>
        <v>0</v>
      </c>
      <c r="BW80" s="173">
        <f>'A&amp;R'!$T$33*BW11</f>
        <v>0</v>
      </c>
      <c r="BX80" s="173">
        <f>'A&amp;R'!$T$33*BX11</f>
        <v>0</v>
      </c>
      <c r="BY80" s="173">
        <f>'A&amp;R'!$T$33*BY11</f>
        <v>0</v>
      </c>
      <c r="BZ80" s="173">
        <f>'A&amp;R'!$T$33*BZ11</f>
        <v>0</v>
      </c>
    </row>
    <row r="83" spans="8:14" s="11" customFormat="1" ht="13.5" customHeight="1" outlineLevel="1">
      <c r="H83" s="11" t="b">
        <f ca="1">E34</f>
        <v>1</v>
      </c>
      <c r="I83" s="11" t="b">
        <f>C51</f>
        <v>1</v>
      </c>
      <c r="J83" s="11" t="b">
        <f>C55</f>
        <v>1</v>
      </c>
      <c r="K83" s="11" t="b">
        <f>C59</f>
        <v>1</v>
      </c>
      <c r="L83" s="11" t="b">
        <f ca="1">C65</f>
        <v>1</v>
      </c>
      <c r="M83" s="11" t="b">
        <f>C69</f>
        <v>1</v>
      </c>
      <c r="N83" s="11" t="b">
        <f>C75</f>
        <v>1</v>
      </c>
    </row>
  </sheetData>
  <phoneticPr fontId="2" type="noConversion"/>
  <printOptions horizontalCentered="1"/>
  <pageMargins left="0.31496062992125984" right="0.31496062992125984" top="0.55118110236220474" bottom="0.55118110236220474" header="0.31496062992125984" footer="0.31496062992125984"/>
  <pageSetup paperSize="8" scale="70" orientation="landscape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56575C-DB15-4DB6-A525-CCF6A7CE842F}">
  <sheetPr codeName="Sheet4"/>
  <dimension ref="A2:AD148"/>
  <sheetViews>
    <sheetView showGridLines="0" topLeftCell="A109" zoomScale="85" zoomScaleNormal="85" workbookViewId="0">
      <selection activeCell="F69" sqref="F69"/>
    </sheetView>
  </sheetViews>
  <sheetFormatPr defaultRowHeight="13.5" customHeight="1"/>
  <cols>
    <col min="1" max="1" width="2.5" style="1" customWidth="1"/>
    <col min="2" max="2" width="3.625" style="1" customWidth="1"/>
    <col min="3" max="3" width="3.25" style="1" customWidth="1"/>
    <col min="4" max="4" width="3.625" style="1" customWidth="1"/>
    <col min="5" max="10" width="9" style="1"/>
    <col min="11" max="11" width="9.75" style="1" customWidth="1"/>
    <col min="12" max="29" width="9" style="1"/>
    <col min="30" max="30" width="9.75" style="1" bestFit="1" customWidth="1"/>
    <col min="31" max="16384" width="9" style="1"/>
  </cols>
  <sheetData>
    <row r="2" spans="1:30" ht="13.5" customHeight="1">
      <c r="A2" s="14" t="s">
        <v>0</v>
      </c>
      <c r="AB2" s="3" t="s">
        <v>1</v>
      </c>
      <c r="AC2" s="6" t="s">
        <v>4</v>
      </c>
      <c r="AD2" s="9" t="s">
        <v>7</v>
      </c>
    </row>
    <row r="3" spans="1:30" ht="13.5" customHeight="1">
      <c r="K3" s="11" t="s">
        <v>254</v>
      </c>
      <c r="AB3" s="4" t="s">
        <v>2</v>
      </c>
      <c r="AC3" s="7" t="s">
        <v>5</v>
      </c>
      <c r="AD3" s="10" t="s">
        <v>8</v>
      </c>
    </row>
    <row r="4" spans="1:30" ht="13.5" customHeight="1">
      <c r="K4" s="143" t="s">
        <v>255</v>
      </c>
      <c r="AB4" s="5" t="s">
        <v>3</v>
      </c>
      <c r="AC4" s="8" t="s">
        <v>6</v>
      </c>
      <c r="AD4" s="11" t="s">
        <v>9</v>
      </c>
    </row>
    <row r="5" spans="1:30" s="2" customFormat="1" ht="13.5" customHeight="1" thickBot="1"/>
    <row r="6" spans="1:30" ht="13.5" customHeight="1" thickTop="1">
      <c r="A6" s="1" t="s">
        <v>10</v>
      </c>
      <c r="AD6" s="12">
        <v>44381</v>
      </c>
    </row>
    <row r="7" spans="1:30" ht="13.5" customHeight="1">
      <c r="A7" s="13" t="s">
        <v>14</v>
      </c>
    </row>
    <row r="8" spans="1:30" s="93" customFormat="1" ht="13.5" customHeight="1">
      <c r="K8" s="138">
        <v>2021</v>
      </c>
      <c r="L8" s="138">
        <f>K8+1</f>
        <v>2022</v>
      </c>
      <c r="M8" s="138">
        <f t="shared" ref="M8:T8" si="0">L8+1</f>
        <v>2023</v>
      </c>
      <c r="N8" s="138">
        <f t="shared" si="0"/>
        <v>2024</v>
      </c>
      <c r="O8" s="138">
        <f t="shared" si="0"/>
        <v>2025</v>
      </c>
      <c r="P8" s="138">
        <f t="shared" si="0"/>
        <v>2026</v>
      </c>
      <c r="Q8" s="138">
        <f t="shared" si="0"/>
        <v>2027</v>
      </c>
      <c r="R8" s="138">
        <f t="shared" si="0"/>
        <v>2028</v>
      </c>
      <c r="S8" s="138">
        <f t="shared" si="0"/>
        <v>2029</v>
      </c>
      <c r="T8" s="138">
        <f t="shared" si="0"/>
        <v>2030</v>
      </c>
    </row>
    <row r="9" spans="1:30" ht="13.5" customHeight="1">
      <c r="B9" s="13" t="s">
        <v>235</v>
      </c>
    </row>
    <row r="10" spans="1:30" ht="13.5" customHeight="1">
      <c r="C10" s="13" t="s">
        <v>236</v>
      </c>
    </row>
    <row r="11" spans="1:30" ht="13.5" customHeight="1">
      <c r="D11" s="1" t="s">
        <v>237</v>
      </c>
      <c r="F11" s="1">
        <v>6</v>
      </c>
      <c r="G11" s="1" t="s">
        <v>238</v>
      </c>
    </row>
    <row r="12" spans="1:30" ht="13.5" customHeight="1">
      <c r="D12" s="1" t="s">
        <v>225</v>
      </c>
      <c r="F12" s="1">
        <v>9</v>
      </c>
      <c r="G12" s="1" t="s">
        <v>238</v>
      </c>
    </row>
    <row r="13" spans="1:30" ht="13.5" customHeight="1">
      <c r="D13" s="1" t="s">
        <v>239</v>
      </c>
      <c r="G13" s="3">
        <f>'A&amp;R'!D22</f>
        <v>30053</v>
      </c>
      <c r="H13" s="1" t="s">
        <v>42</v>
      </c>
    </row>
    <row r="14" spans="1:30" ht="13.5" customHeight="1">
      <c r="D14" s="1" t="s">
        <v>240</v>
      </c>
      <c r="G14" s="3">
        <f>'A&amp;R'!D23</f>
        <v>259800</v>
      </c>
      <c r="H14" s="1" t="s">
        <v>241</v>
      </c>
      <c r="K14" s="1">
        <f>G14</f>
        <v>259800</v>
      </c>
      <c r="L14" s="1">
        <f>K14*(1+$G$15)</f>
        <v>267594</v>
      </c>
      <c r="M14" s="1">
        <f t="shared" ref="M14:T14" si="1">L14*(1+$G$15)</f>
        <v>275621.82</v>
      </c>
      <c r="N14" s="1">
        <f t="shared" si="1"/>
        <v>283890.47460000002</v>
      </c>
      <c r="O14" s="1">
        <f t="shared" si="1"/>
        <v>292407.188838</v>
      </c>
      <c r="P14" s="1">
        <f t="shared" si="1"/>
        <v>301179.40450314002</v>
      </c>
      <c r="Q14" s="1">
        <f t="shared" si="1"/>
        <v>310214.78663823422</v>
      </c>
      <c r="R14" s="1">
        <f t="shared" si="1"/>
        <v>319521.23023738124</v>
      </c>
      <c r="S14" s="1">
        <f t="shared" si="1"/>
        <v>329106.8671445027</v>
      </c>
      <c r="T14" s="1">
        <f t="shared" si="1"/>
        <v>338980.0731588378</v>
      </c>
    </row>
    <row r="15" spans="1:30" ht="13.5" customHeight="1">
      <c r="D15" s="42" t="s">
        <v>242</v>
      </c>
      <c r="E15" s="42"/>
      <c r="F15" s="42"/>
      <c r="G15" s="139">
        <v>0.03</v>
      </c>
      <c r="H15" s="42"/>
      <c r="I15" s="42"/>
      <c r="J15" s="42"/>
      <c r="K15" s="42"/>
      <c r="L15" s="42"/>
      <c r="M15" s="42"/>
      <c r="N15" s="42"/>
      <c r="O15" s="42"/>
      <c r="P15" s="42"/>
      <c r="Q15" s="42"/>
      <c r="R15" s="42"/>
      <c r="S15" s="42"/>
      <c r="T15" s="42"/>
    </row>
    <row r="16" spans="1:30" ht="13.5" customHeight="1">
      <c r="D16" s="1" t="s">
        <v>243</v>
      </c>
      <c r="K16" s="1">
        <f t="shared" ref="K16:T16" si="2">$G$13*K14/unit</f>
        <v>7807.7694000000001</v>
      </c>
      <c r="L16" s="1">
        <f t="shared" si="2"/>
        <v>8042.0024819999999</v>
      </c>
      <c r="M16" s="1">
        <f t="shared" si="2"/>
        <v>8283.2625564600003</v>
      </c>
      <c r="N16" s="1">
        <f t="shared" si="2"/>
        <v>8531.7604331538005</v>
      </c>
      <c r="O16" s="1">
        <f t="shared" si="2"/>
        <v>8787.7132461484143</v>
      </c>
      <c r="P16" s="1">
        <f t="shared" si="2"/>
        <v>9051.3446435328678</v>
      </c>
      <c r="Q16" s="1">
        <f t="shared" si="2"/>
        <v>9322.8849828388538</v>
      </c>
      <c r="R16" s="1">
        <f t="shared" si="2"/>
        <v>9602.5715323240183</v>
      </c>
      <c r="S16" s="1">
        <f t="shared" si="2"/>
        <v>9890.6486782937391</v>
      </c>
      <c r="T16" s="1">
        <f t="shared" si="2"/>
        <v>10187.368138642551</v>
      </c>
    </row>
    <row r="18" spans="3:20" ht="13.5" customHeight="1">
      <c r="C18" s="13" t="s">
        <v>244</v>
      </c>
    </row>
    <row r="19" spans="3:20" ht="13.5" customHeight="1">
      <c r="C19" s="1" t="s">
        <v>245</v>
      </c>
    </row>
    <row r="20" spans="3:20" ht="13.5" customHeight="1">
      <c r="D20" s="1" t="s">
        <v>246</v>
      </c>
      <c r="K20" s="140">
        <v>0.7</v>
      </c>
      <c r="L20" s="140">
        <v>0.7</v>
      </c>
      <c r="M20" s="140">
        <v>0.7</v>
      </c>
      <c r="N20" s="140">
        <v>0.7</v>
      </c>
      <c r="O20" s="140">
        <v>0.7</v>
      </c>
      <c r="P20" s="140">
        <v>0.7</v>
      </c>
      <c r="Q20" s="140">
        <v>0.7</v>
      </c>
      <c r="R20" s="140">
        <v>0.7</v>
      </c>
      <c r="S20" s="140">
        <v>0.7</v>
      </c>
      <c r="T20" s="140">
        <v>0.7</v>
      </c>
    </row>
    <row r="21" spans="3:20" ht="13.5" customHeight="1">
      <c r="D21" s="1" t="s">
        <v>247</v>
      </c>
      <c r="K21" s="1">
        <f>K16*K20</f>
        <v>5465.43858</v>
      </c>
      <c r="L21" s="1">
        <f t="shared" ref="L21:T21" si="3">L16*L20</f>
        <v>5629.4017373999995</v>
      </c>
      <c r="M21" s="1">
        <f t="shared" si="3"/>
        <v>5798.283789522</v>
      </c>
      <c r="N21" s="1">
        <f t="shared" si="3"/>
        <v>5972.2323032076602</v>
      </c>
      <c r="O21" s="1">
        <f t="shared" si="3"/>
        <v>6151.39927230389</v>
      </c>
      <c r="P21" s="1">
        <f t="shared" si="3"/>
        <v>6335.9412504730071</v>
      </c>
      <c r="Q21" s="1">
        <f t="shared" si="3"/>
        <v>6526.019487987197</v>
      </c>
      <c r="R21" s="1">
        <f t="shared" si="3"/>
        <v>6721.8000726268128</v>
      </c>
      <c r="S21" s="1">
        <f t="shared" si="3"/>
        <v>6923.454074805617</v>
      </c>
      <c r="T21" s="1">
        <f t="shared" si="3"/>
        <v>7131.1576970497854</v>
      </c>
    </row>
    <row r="22" spans="3:20" ht="13.5" customHeight="1">
      <c r="D22" s="42" t="s">
        <v>248</v>
      </c>
      <c r="E22" s="42"/>
      <c r="F22" s="42"/>
      <c r="G22" s="42"/>
      <c r="H22" s="42"/>
      <c r="I22" s="42"/>
      <c r="J22" s="42"/>
      <c r="K22" s="139">
        <f>2/1000</f>
        <v>2E-3</v>
      </c>
      <c r="L22" s="139">
        <f t="shared" ref="L22:T22" si="4">2/1000</f>
        <v>2E-3</v>
      </c>
      <c r="M22" s="139">
        <f t="shared" si="4"/>
        <v>2E-3</v>
      </c>
      <c r="N22" s="139">
        <f t="shared" si="4"/>
        <v>2E-3</v>
      </c>
      <c r="O22" s="139">
        <f t="shared" si="4"/>
        <v>2E-3</v>
      </c>
      <c r="P22" s="139">
        <f t="shared" si="4"/>
        <v>2E-3</v>
      </c>
      <c r="Q22" s="139">
        <f t="shared" si="4"/>
        <v>2E-3</v>
      </c>
      <c r="R22" s="139">
        <f t="shared" si="4"/>
        <v>2E-3</v>
      </c>
      <c r="S22" s="139">
        <f t="shared" si="4"/>
        <v>2E-3</v>
      </c>
      <c r="T22" s="139">
        <f t="shared" si="4"/>
        <v>2E-3</v>
      </c>
    </row>
    <row r="23" spans="3:20" ht="13.5" customHeight="1">
      <c r="D23" s="1" t="s">
        <v>249</v>
      </c>
      <c r="K23" s="1">
        <f>K21*K22</f>
        <v>10.93087716</v>
      </c>
      <c r="L23" s="1">
        <f t="shared" ref="L23:T23" si="5">L21*L22</f>
        <v>11.258803474799999</v>
      </c>
      <c r="M23" s="1">
        <f t="shared" si="5"/>
        <v>11.596567579044001</v>
      </c>
      <c r="N23" s="1">
        <f t="shared" si="5"/>
        <v>11.94446460641532</v>
      </c>
      <c r="O23" s="1">
        <f t="shared" si="5"/>
        <v>12.30279854460778</v>
      </c>
      <c r="P23" s="1">
        <f t="shared" si="5"/>
        <v>12.671882500946014</v>
      </c>
      <c r="Q23" s="1">
        <f t="shared" si="5"/>
        <v>13.052038975974394</v>
      </c>
      <c r="R23" s="1">
        <f t="shared" si="5"/>
        <v>13.443600145253626</v>
      </c>
      <c r="S23" s="1">
        <f t="shared" si="5"/>
        <v>13.846908149611235</v>
      </c>
      <c r="T23" s="1">
        <f t="shared" si="5"/>
        <v>14.262315394099572</v>
      </c>
    </row>
    <row r="24" spans="3:20" ht="13.5" customHeight="1">
      <c r="D24" s="42" t="s">
        <v>250</v>
      </c>
      <c r="E24" s="42"/>
      <c r="F24" s="42"/>
      <c r="G24" s="141">
        <v>1.5</v>
      </c>
      <c r="H24" s="42"/>
      <c r="I24" s="42"/>
      <c r="J24" s="42"/>
      <c r="K24" s="42"/>
      <c r="L24" s="42">
        <f>K25*$G$24</f>
        <v>16.396315739999999</v>
      </c>
      <c r="M24" s="42">
        <f t="shared" ref="M24:T24" si="6">L25*$G$24</f>
        <v>16.888205212199999</v>
      </c>
      <c r="N24" s="42">
        <f t="shared" si="6"/>
        <v>17.394851368566002</v>
      </c>
      <c r="O24" s="42">
        <f t="shared" si="6"/>
        <v>17.916696909622978</v>
      </c>
      <c r="P24" s="42">
        <f t="shared" si="6"/>
        <v>18.45419781691167</v>
      </c>
      <c r="Q24" s="42">
        <f t="shared" si="6"/>
        <v>19.007823751419021</v>
      </c>
      <c r="R24" s="42">
        <f t="shared" si="6"/>
        <v>19.57805846396159</v>
      </c>
      <c r="S24" s="42">
        <f t="shared" si="6"/>
        <v>20.165400217880439</v>
      </c>
      <c r="T24" s="42">
        <f t="shared" si="6"/>
        <v>20.77036222441685</v>
      </c>
    </row>
    <row r="25" spans="3:20" ht="13.5" customHeight="1">
      <c r="D25" s="142" t="s">
        <v>251</v>
      </c>
      <c r="E25" s="142"/>
      <c r="F25" s="142"/>
      <c r="G25" s="142"/>
      <c r="H25" s="142"/>
      <c r="I25" s="142"/>
      <c r="J25" s="142"/>
      <c r="K25" s="142">
        <f>K23</f>
        <v>10.93087716</v>
      </c>
      <c r="L25" s="142">
        <f>MIN(L23,L24)</f>
        <v>11.258803474799999</v>
      </c>
      <c r="M25" s="142">
        <f t="shared" ref="M25:T25" si="7">MIN(M23,M24)</f>
        <v>11.596567579044001</v>
      </c>
      <c r="N25" s="142">
        <f t="shared" si="7"/>
        <v>11.94446460641532</v>
      </c>
      <c r="O25" s="142">
        <f t="shared" si="7"/>
        <v>12.30279854460778</v>
      </c>
      <c r="P25" s="142">
        <f t="shared" si="7"/>
        <v>12.671882500946014</v>
      </c>
      <c r="Q25" s="142">
        <f t="shared" si="7"/>
        <v>13.052038975974394</v>
      </c>
      <c r="R25" s="142">
        <f t="shared" si="7"/>
        <v>13.443600145253626</v>
      </c>
      <c r="S25" s="142">
        <f t="shared" si="7"/>
        <v>13.846908149611235</v>
      </c>
      <c r="T25" s="142">
        <f t="shared" si="7"/>
        <v>14.262315394099572</v>
      </c>
    </row>
    <row r="26" spans="3:20" ht="13.5" customHeight="1">
      <c r="C26" s="1" t="s">
        <v>252</v>
      </c>
    </row>
    <row r="27" spans="3:20" ht="13.5" customHeight="1">
      <c r="D27" s="42" t="s">
        <v>253</v>
      </c>
      <c r="E27" s="42"/>
      <c r="F27" s="42">
        <v>1</v>
      </c>
      <c r="G27" s="42"/>
      <c r="H27" s="42"/>
      <c r="I27" s="42"/>
      <c r="J27" s="42"/>
      <c r="K27" s="145">
        <f>IF($F$27=1,0.14%,0)</f>
        <v>1.4000000000000002E-3</v>
      </c>
      <c r="L27" s="145">
        <f t="shared" ref="L27:T27" si="8">IF($F$27=1,0.14%,0)</f>
        <v>1.4000000000000002E-3</v>
      </c>
      <c r="M27" s="145">
        <f t="shared" si="8"/>
        <v>1.4000000000000002E-3</v>
      </c>
      <c r="N27" s="145">
        <f t="shared" si="8"/>
        <v>1.4000000000000002E-3</v>
      </c>
      <c r="O27" s="145">
        <f t="shared" si="8"/>
        <v>1.4000000000000002E-3</v>
      </c>
      <c r="P27" s="145">
        <f t="shared" si="8"/>
        <v>1.4000000000000002E-3</v>
      </c>
      <c r="Q27" s="145">
        <f t="shared" si="8"/>
        <v>1.4000000000000002E-3</v>
      </c>
      <c r="R27" s="145">
        <f t="shared" si="8"/>
        <v>1.4000000000000002E-3</v>
      </c>
      <c r="S27" s="145">
        <f t="shared" si="8"/>
        <v>1.4000000000000002E-3</v>
      </c>
      <c r="T27" s="145">
        <f t="shared" si="8"/>
        <v>1.4000000000000002E-3</v>
      </c>
    </row>
    <row r="28" spans="3:20" ht="13.5" customHeight="1">
      <c r="D28" s="1" t="s">
        <v>256</v>
      </c>
      <c r="K28" s="1">
        <f>K21*K27</f>
        <v>7.6516140120000014</v>
      </c>
      <c r="L28" s="1">
        <f t="shared" ref="L28:T28" si="9">L21*L27</f>
        <v>7.8811624323600009</v>
      </c>
      <c r="M28" s="1">
        <f t="shared" si="9"/>
        <v>8.1175973053308006</v>
      </c>
      <c r="N28" s="1">
        <f t="shared" si="9"/>
        <v>8.3611252244907259</v>
      </c>
      <c r="O28" s="1">
        <f t="shared" si="9"/>
        <v>8.6119589812254471</v>
      </c>
      <c r="P28" s="1">
        <f t="shared" si="9"/>
        <v>8.8703177506622115</v>
      </c>
      <c r="Q28" s="1">
        <f t="shared" si="9"/>
        <v>9.1364272831820763</v>
      </c>
      <c r="R28" s="1">
        <f t="shared" si="9"/>
        <v>9.4105201016775393</v>
      </c>
      <c r="S28" s="1">
        <f t="shared" si="9"/>
        <v>9.6928357047278659</v>
      </c>
      <c r="T28" s="1">
        <f t="shared" si="9"/>
        <v>9.9836207758697011</v>
      </c>
    </row>
    <row r="29" spans="3:20" ht="13.5" customHeight="1">
      <c r="D29" s="42" t="s">
        <v>257</v>
      </c>
      <c r="E29" s="42"/>
      <c r="F29" s="42"/>
      <c r="G29" s="141">
        <v>1.5</v>
      </c>
      <c r="H29" s="42"/>
      <c r="I29" s="42"/>
      <c r="J29" s="42"/>
      <c r="K29" s="42"/>
      <c r="L29" s="42">
        <f>K30*$G$29</f>
        <v>11.477421018000001</v>
      </c>
      <c r="M29" s="42">
        <f t="shared" ref="M29:T29" si="10">L30*$G$29</f>
        <v>11.821743648540002</v>
      </c>
      <c r="N29" s="42">
        <f t="shared" si="10"/>
        <v>12.176395957996201</v>
      </c>
      <c r="O29" s="42">
        <f t="shared" si="10"/>
        <v>12.541687836736088</v>
      </c>
      <c r="P29" s="42">
        <f t="shared" si="10"/>
        <v>12.91793847183817</v>
      </c>
      <c r="Q29" s="42">
        <f t="shared" si="10"/>
        <v>13.305476625993318</v>
      </c>
      <c r="R29" s="42">
        <f t="shared" si="10"/>
        <v>13.704640924773114</v>
      </c>
      <c r="S29" s="42">
        <f t="shared" si="10"/>
        <v>14.115780152516308</v>
      </c>
      <c r="T29" s="42">
        <f t="shared" si="10"/>
        <v>14.539253557091799</v>
      </c>
    </row>
    <row r="30" spans="3:20" ht="13.5" customHeight="1">
      <c r="D30" s="142" t="s">
        <v>258</v>
      </c>
      <c r="E30" s="142"/>
      <c r="F30" s="142"/>
      <c r="G30" s="142"/>
      <c r="H30" s="142"/>
      <c r="I30" s="142"/>
      <c r="J30" s="142"/>
      <c r="K30" s="142">
        <f>K28</f>
        <v>7.6516140120000014</v>
      </c>
      <c r="L30" s="142">
        <f>MIN(L28,L29)</f>
        <v>7.8811624323600009</v>
      </c>
      <c r="M30" s="142">
        <f t="shared" ref="M30" si="11">MIN(M28,M29)</f>
        <v>8.1175973053308006</v>
      </c>
      <c r="N30" s="142">
        <f t="shared" ref="N30" si="12">MIN(N28,N29)</f>
        <v>8.3611252244907259</v>
      </c>
      <c r="O30" s="142">
        <f t="shared" ref="O30" si="13">MIN(O28,O29)</f>
        <v>8.6119589812254471</v>
      </c>
      <c r="P30" s="142">
        <f t="shared" ref="P30" si="14">MIN(P28,P29)</f>
        <v>8.8703177506622115</v>
      </c>
      <c r="Q30" s="142">
        <f t="shared" ref="Q30" si="15">MIN(Q28,Q29)</f>
        <v>9.1364272831820763</v>
      </c>
      <c r="R30" s="142">
        <f t="shared" ref="R30" si="16">MIN(R28,R29)</f>
        <v>9.4105201016775393</v>
      </c>
      <c r="S30" s="142">
        <f t="shared" ref="S30" si="17">MIN(S28,S29)</f>
        <v>9.6928357047278659</v>
      </c>
      <c r="T30" s="142">
        <f t="shared" ref="T30" si="18">MIN(T28,T29)</f>
        <v>9.9836207758697011</v>
      </c>
    </row>
    <row r="31" spans="3:20" ht="13.5" customHeight="1">
      <c r="C31" s="1" t="s">
        <v>259</v>
      </c>
    </row>
    <row r="32" spans="3:20" ht="13.5" customHeight="1">
      <c r="D32" s="1" t="s">
        <v>260</v>
      </c>
      <c r="K32" s="140">
        <v>0.2</v>
      </c>
      <c r="L32" s="140">
        <v>0.2</v>
      </c>
      <c r="M32" s="140">
        <v>0.2</v>
      </c>
      <c r="N32" s="140">
        <v>0.2</v>
      </c>
      <c r="O32" s="140">
        <v>0.2</v>
      </c>
      <c r="P32" s="140">
        <v>0.2</v>
      </c>
      <c r="Q32" s="140">
        <v>0.2</v>
      </c>
      <c r="R32" s="140">
        <v>0.2</v>
      </c>
      <c r="S32" s="140">
        <v>0.2</v>
      </c>
      <c r="T32" s="140">
        <v>0.2</v>
      </c>
    </row>
    <row r="33" spans="3:20" ht="13.5" customHeight="1">
      <c r="D33" s="142" t="s">
        <v>261</v>
      </c>
      <c r="E33" s="142"/>
      <c r="F33" s="142"/>
      <c r="G33" s="142"/>
      <c r="H33" s="142"/>
      <c r="I33" s="142"/>
      <c r="J33" s="142"/>
      <c r="K33" s="142">
        <f>K25*K32</f>
        <v>2.1861754320000002</v>
      </c>
      <c r="L33" s="142">
        <f t="shared" ref="L33:T33" si="19">L25*L32</f>
        <v>2.2517606949599998</v>
      </c>
      <c r="M33" s="142">
        <f t="shared" si="19"/>
        <v>2.3193135158088003</v>
      </c>
      <c r="N33" s="142">
        <f t="shared" si="19"/>
        <v>2.3888929212830639</v>
      </c>
      <c r="O33" s="142">
        <f t="shared" si="19"/>
        <v>2.4605597089215561</v>
      </c>
      <c r="P33" s="142">
        <f t="shared" si="19"/>
        <v>2.5343765001892029</v>
      </c>
      <c r="Q33" s="142">
        <f t="shared" si="19"/>
        <v>2.6104077951948792</v>
      </c>
      <c r="R33" s="142">
        <f t="shared" si="19"/>
        <v>2.6887200290507254</v>
      </c>
      <c r="S33" s="142">
        <f t="shared" si="19"/>
        <v>2.7693816299222469</v>
      </c>
      <c r="T33" s="142">
        <f t="shared" si="19"/>
        <v>2.8524630788199143</v>
      </c>
    </row>
    <row r="34" spans="3:20" ht="13.5" customHeight="1">
      <c r="C34" s="146" t="s">
        <v>262</v>
      </c>
      <c r="D34" s="146"/>
      <c r="E34" s="146"/>
      <c r="F34" s="146"/>
      <c r="G34" s="146"/>
      <c r="H34" s="146"/>
      <c r="I34" s="146"/>
      <c r="J34" s="146"/>
      <c r="K34" s="146">
        <f>K25+K30+K33</f>
        <v>20.768666604</v>
      </c>
      <c r="L34" s="146">
        <f t="shared" ref="L34:T34" si="20">L25+L30+L33</f>
        <v>21.391726602120002</v>
      </c>
      <c r="M34" s="146">
        <f t="shared" si="20"/>
        <v>22.033478400183604</v>
      </c>
      <c r="N34" s="146">
        <f t="shared" si="20"/>
        <v>22.694482752189106</v>
      </c>
      <c r="O34" s="146">
        <f t="shared" si="20"/>
        <v>23.375317234754782</v>
      </c>
      <c r="P34" s="146">
        <f t="shared" si="20"/>
        <v>24.076576751797429</v>
      </c>
      <c r="Q34" s="146">
        <f t="shared" si="20"/>
        <v>24.798874054351352</v>
      </c>
      <c r="R34" s="146">
        <f t="shared" si="20"/>
        <v>25.542840275981892</v>
      </c>
      <c r="S34" s="146">
        <f t="shared" si="20"/>
        <v>26.309125484261347</v>
      </c>
      <c r="T34" s="146">
        <f t="shared" si="20"/>
        <v>27.098399248789185</v>
      </c>
    </row>
    <row r="36" spans="3:20" ht="13.5" customHeight="1">
      <c r="C36" s="13" t="s">
        <v>263</v>
      </c>
    </row>
    <row r="37" spans="3:20" ht="13.5" customHeight="1">
      <c r="C37" s="1" t="s">
        <v>245</v>
      </c>
    </row>
    <row r="38" spans="3:20" ht="13.5" customHeight="1">
      <c r="D38" s="1" t="s">
        <v>246</v>
      </c>
      <c r="K38" s="140">
        <v>0.7</v>
      </c>
      <c r="L38" s="140">
        <v>0.7</v>
      </c>
      <c r="M38" s="140">
        <v>0.7</v>
      </c>
      <c r="N38" s="140">
        <v>0.7</v>
      </c>
      <c r="O38" s="140">
        <v>0.7</v>
      </c>
      <c r="P38" s="140">
        <v>0.7</v>
      </c>
      <c r="Q38" s="140">
        <v>0.7</v>
      </c>
      <c r="R38" s="140">
        <v>0.7</v>
      </c>
      <c r="S38" s="140">
        <v>0.7</v>
      </c>
      <c r="T38" s="140">
        <v>0.7</v>
      </c>
    </row>
    <row r="39" spans="3:20" ht="13.5" customHeight="1">
      <c r="D39" s="1" t="s">
        <v>247</v>
      </c>
      <c r="K39" s="1">
        <f>K16*K38</f>
        <v>5465.43858</v>
      </c>
      <c r="L39" s="1">
        <f t="shared" ref="L39:T39" si="21">L16*L38</f>
        <v>5629.4017373999995</v>
      </c>
      <c r="M39" s="1">
        <f t="shared" si="21"/>
        <v>5798.283789522</v>
      </c>
      <c r="N39" s="1">
        <f t="shared" si="21"/>
        <v>5972.2323032076602</v>
      </c>
      <c r="O39" s="1">
        <f t="shared" si="21"/>
        <v>6151.39927230389</v>
      </c>
      <c r="P39" s="1">
        <f t="shared" si="21"/>
        <v>6335.9412504730071</v>
      </c>
      <c r="Q39" s="1">
        <f t="shared" si="21"/>
        <v>6526.019487987197</v>
      </c>
      <c r="R39" s="1">
        <f t="shared" si="21"/>
        <v>6721.8000726268128</v>
      </c>
      <c r="S39" s="1">
        <f t="shared" si="21"/>
        <v>6923.454074805617</v>
      </c>
      <c r="T39" s="1">
        <f t="shared" si="21"/>
        <v>7131.1576970497854</v>
      </c>
    </row>
    <row r="40" spans="3:20" ht="13.5" customHeight="1">
      <c r="D40" s="1" t="s">
        <v>271</v>
      </c>
      <c r="K40" s="147">
        <f>(K$39&lt;=$G$46)*$H$46+(K$39&gt;$F$47)*(K$39&lt;=$G$47)*$H$47+(K$39&gt;$F$48)*$H$48</f>
        <v>2.8</v>
      </c>
      <c r="L40" s="147">
        <f t="shared" ref="L40:T40" si="22">(L$39&lt;=$G$46)*$H$46+(L$39&gt;$F$47)*(L$39&lt;=$G$47)*$H$47+(L$39&gt;$F$48)*$H$48</f>
        <v>2.8</v>
      </c>
      <c r="M40" s="147">
        <f t="shared" si="22"/>
        <v>2.8</v>
      </c>
      <c r="N40" s="147">
        <f t="shared" si="22"/>
        <v>2.8</v>
      </c>
      <c r="O40" s="147">
        <f t="shared" si="22"/>
        <v>2.8</v>
      </c>
      <c r="P40" s="147">
        <f t="shared" si="22"/>
        <v>2.8</v>
      </c>
      <c r="Q40" s="147">
        <f t="shared" si="22"/>
        <v>2.8</v>
      </c>
      <c r="R40" s="147">
        <f t="shared" si="22"/>
        <v>2.8</v>
      </c>
      <c r="S40" s="147">
        <f t="shared" si="22"/>
        <v>2.8</v>
      </c>
      <c r="T40" s="147">
        <f t="shared" si="22"/>
        <v>2.8</v>
      </c>
    </row>
    <row r="41" spans="3:20" ht="13.5" customHeight="1">
      <c r="D41" s="1" t="s">
        <v>272</v>
      </c>
      <c r="K41" s="1">
        <f>(K$39&lt;=$G$46)*$I$46+(K$39&gt;$F$47)*(K$39&lt;=$G$47)*$I$47+(K$39&gt;$F$48)*$I$48</f>
        <v>1000</v>
      </c>
      <c r="L41" s="1">
        <f t="shared" ref="L41:T41" si="23">(L$39&lt;=$G$46)*$I$46+(L$39&gt;$F$47)*(L$39&lt;=$G$47)*$I$47+(L$39&gt;$F$48)*$I$48</f>
        <v>1000</v>
      </c>
      <c r="M41" s="1">
        <f t="shared" si="23"/>
        <v>1000</v>
      </c>
      <c r="N41" s="1">
        <f t="shared" si="23"/>
        <v>1000</v>
      </c>
      <c r="O41" s="1">
        <f t="shared" si="23"/>
        <v>1000</v>
      </c>
      <c r="P41" s="1">
        <f t="shared" si="23"/>
        <v>1000</v>
      </c>
      <c r="Q41" s="1">
        <f t="shared" si="23"/>
        <v>1000</v>
      </c>
      <c r="R41" s="1">
        <f t="shared" si="23"/>
        <v>1000</v>
      </c>
      <c r="S41" s="1">
        <f t="shared" si="23"/>
        <v>1000</v>
      </c>
      <c r="T41" s="1">
        <f t="shared" si="23"/>
        <v>1000</v>
      </c>
    </row>
    <row r="42" spans="3:20" ht="13.5" customHeight="1">
      <c r="D42" s="1" t="s">
        <v>273</v>
      </c>
      <c r="K42" s="144">
        <f>(K$39&lt;=$G$46)*$J$46+(K$39&gt;$F$47)*(K$39&lt;=$G$47)*$J$47+(K$39&gt;$F$48)*$J$48</f>
        <v>4.0000000000000001E-3</v>
      </c>
      <c r="L42" s="144">
        <f t="shared" ref="L42:T42" si="24">(L$39&lt;=$G$46)*$J$46+(L$39&gt;$F$47)*(L$39&lt;=$G$47)*$J$47+(L$39&gt;$F$48)*$J$48</f>
        <v>4.0000000000000001E-3</v>
      </c>
      <c r="M42" s="144">
        <f t="shared" si="24"/>
        <v>4.0000000000000001E-3</v>
      </c>
      <c r="N42" s="144">
        <f t="shared" si="24"/>
        <v>4.0000000000000001E-3</v>
      </c>
      <c r="O42" s="144">
        <f t="shared" si="24"/>
        <v>4.0000000000000001E-3</v>
      </c>
      <c r="P42" s="144">
        <f t="shared" si="24"/>
        <v>4.0000000000000001E-3</v>
      </c>
      <c r="Q42" s="144">
        <f t="shared" si="24"/>
        <v>4.0000000000000001E-3</v>
      </c>
      <c r="R42" s="144">
        <f t="shared" si="24"/>
        <v>4.0000000000000001E-3</v>
      </c>
      <c r="S42" s="144">
        <f t="shared" si="24"/>
        <v>4.0000000000000001E-3</v>
      </c>
      <c r="T42" s="144">
        <f t="shared" si="24"/>
        <v>4.0000000000000001E-3</v>
      </c>
    </row>
    <row r="43" spans="3:20" ht="13.5" customHeight="1">
      <c r="F43" s="17" t="s">
        <v>264</v>
      </c>
    </row>
    <row r="44" spans="3:20" ht="13.5" customHeight="1">
      <c r="F44" s="277" t="s">
        <v>117</v>
      </c>
      <c r="G44" s="276"/>
      <c r="H44" s="275" t="s">
        <v>267</v>
      </c>
      <c r="I44" s="277"/>
      <c r="J44" s="277"/>
    </row>
    <row r="45" spans="3:20" ht="13.5" customHeight="1">
      <c r="F45" s="131" t="s">
        <v>265</v>
      </c>
      <c r="G45" s="26" t="s">
        <v>266</v>
      </c>
      <c r="H45" s="26" t="s">
        <v>268</v>
      </c>
      <c r="I45" s="26" t="s">
        <v>269</v>
      </c>
      <c r="J45" s="27" t="s">
        <v>270</v>
      </c>
    </row>
    <row r="46" spans="3:20" ht="13.5" customHeight="1">
      <c r="F46" s="28">
        <v>0</v>
      </c>
      <c r="G46" s="29">
        <v>200</v>
      </c>
      <c r="H46" s="29">
        <v>0</v>
      </c>
      <c r="I46" s="29">
        <v>0</v>
      </c>
      <c r="J46" s="148">
        <f>2/1000</f>
        <v>2E-3</v>
      </c>
    </row>
    <row r="47" spans="3:20" ht="13.5" customHeight="1">
      <c r="F47" s="31">
        <v>200</v>
      </c>
      <c r="G47" s="32">
        <v>1000</v>
      </c>
      <c r="H47" s="149">
        <v>0.4</v>
      </c>
      <c r="I47" s="32">
        <v>200</v>
      </c>
      <c r="J47" s="150">
        <f>3/1000</f>
        <v>3.0000000000000001E-3</v>
      </c>
    </row>
    <row r="48" spans="3:20" ht="13.5" customHeight="1">
      <c r="D48" s="42"/>
      <c r="E48" s="42"/>
      <c r="F48" s="34">
        <v>1000</v>
      </c>
      <c r="G48" s="35"/>
      <c r="H48" s="151">
        <v>2.8</v>
      </c>
      <c r="I48" s="35">
        <v>1000</v>
      </c>
      <c r="J48" s="152">
        <f>4/1000</f>
        <v>4.0000000000000001E-3</v>
      </c>
      <c r="K48" s="42"/>
      <c r="L48" s="42"/>
      <c r="M48" s="42"/>
      <c r="N48" s="42"/>
      <c r="O48" s="42"/>
      <c r="P48" s="42"/>
      <c r="Q48" s="42"/>
      <c r="R48" s="42"/>
      <c r="S48" s="42"/>
      <c r="T48" s="42"/>
    </row>
    <row r="49" spans="3:20" ht="13.5" customHeight="1">
      <c r="D49" s="1" t="s">
        <v>274</v>
      </c>
      <c r="K49" s="1">
        <f>K40+(K39-K41)*K42</f>
        <v>20.66175432</v>
      </c>
      <c r="L49" s="1">
        <f t="shared" ref="L49:T49" si="25">L40+(L39-L41)*L42</f>
        <v>21.317606949599998</v>
      </c>
      <c r="M49" s="1">
        <f t="shared" si="25"/>
        <v>21.993135158088002</v>
      </c>
      <c r="N49" s="1">
        <f t="shared" si="25"/>
        <v>22.68892921283064</v>
      </c>
      <c r="O49" s="1">
        <f t="shared" si="25"/>
        <v>23.405597089215561</v>
      </c>
      <c r="P49" s="1">
        <f t="shared" si="25"/>
        <v>24.143765001892028</v>
      </c>
      <c r="Q49" s="1">
        <f t="shared" si="25"/>
        <v>24.904077951948789</v>
      </c>
      <c r="R49" s="1">
        <f t="shared" si="25"/>
        <v>25.687200290507253</v>
      </c>
      <c r="S49" s="1">
        <f t="shared" si="25"/>
        <v>26.49381629922247</v>
      </c>
      <c r="T49" s="1">
        <f t="shared" si="25"/>
        <v>27.324630788199144</v>
      </c>
    </row>
    <row r="50" spans="3:20" ht="13.5" customHeight="1">
      <c r="D50" s="42" t="s">
        <v>275</v>
      </c>
      <c r="E50" s="42"/>
      <c r="F50" s="42"/>
      <c r="G50" s="141">
        <v>1.5</v>
      </c>
      <c r="H50" s="42"/>
      <c r="I50" s="42"/>
      <c r="J50" s="42"/>
      <c r="K50" s="42"/>
      <c r="L50" s="42">
        <f>K51*$G$50</f>
        <v>30.99263148</v>
      </c>
      <c r="M50" s="42">
        <f t="shared" ref="M50:T50" si="26">L51*$G$50</f>
        <v>31.976410424399997</v>
      </c>
      <c r="N50" s="42">
        <f t="shared" si="26"/>
        <v>32.989702737132006</v>
      </c>
      <c r="O50" s="42">
        <f t="shared" si="26"/>
        <v>34.033393819245958</v>
      </c>
      <c r="P50" s="42">
        <f t="shared" si="26"/>
        <v>35.108395633823342</v>
      </c>
      <c r="Q50" s="42">
        <f t="shared" si="26"/>
        <v>36.215647502838038</v>
      </c>
      <c r="R50" s="42">
        <f t="shared" si="26"/>
        <v>37.356116927923182</v>
      </c>
      <c r="S50" s="42">
        <f t="shared" si="26"/>
        <v>38.530800435760881</v>
      </c>
      <c r="T50" s="42">
        <f t="shared" si="26"/>
        <v>39.740724448833703</v>
      </c>
    </row>
    <row r="51" spans="3:20" ht="13.5" customHeight="1">
      <c r="D51" s="142" t="s">
        <v>276</v>
      </c>
      <c r="E51" s="142"/>
      <c r="F51" s="142"/>
      <c r="G51" s="142"/>
      <c r="H51" s="142"/>
      <c r="I51" s="142"/>
      <c r="J51" s="142"/>
      <c r="K51" s="142">
        <f>K49</f>
        <v>20.66175432</v>
      </c>
      <c r="L51" s="142">
        <f>MIN(L49,L50)</f>
        <v>21.317606949599998</v>
      </c>
      <c r="M51" s="142">
        <f t="shared" ref="M51" si="27">MIN(M49,M50)</f>
        <v>21.993135158088002</v>
      </c>
      <c r="N51" s="142">
        <f t="shared" ref="N51" si="28">MIN(N49,N50)</f>
        <v>22.68892921283064</v>
      </c>
      <c r="O51" s="142">
        <f t="shared" ref="O51" si="29">MIN(O49,O50)</f>
        <v>23.405597089215561</v>
      </c>
      <c r="P51" s="142">
        <f t="shared" ref="P51" si="30">MIN(P49,P50)</f>
        <v>24.143765001892028</v>
      </c>
      <c r="Q51" s="142">
        <f t="shared" ref="Q51" si="31">MIN(Q49,Q50)</f>
        <v>24.904077951948789</v>
      </c>
      <c r="R51" s="142">
        <f t="shared" ref="R51" si="32">MIN(R49,R50)</f>
        <v>25.687200290507253</v>
      </c>
      <c r="S51" s="142">
        <f t="shared" ref="S51" si="33">MIN(S49,S50)</f>
        <v>26.49381629922247</v>
      </c>
      <c r="T51" s="142">
        <f t="shared" ref="T51" si="34">MIN(T49,T50)</f>
        <v>27.324630788199144</v>
      </c>
    </row>
    <row r="52" spans="3:20" ht="13.5" customHeight="1">
      <c r="C52" s="1" t="s">
        <v>252</v>
      </c>
    </row>
    <row r="53" spans="3:20" ht="13.5" customHeight="1">
      <c r="D53" s="1" t="s">
        <v>277</v>
      </c>
      <c r="K53" s="153">
        <f>K27</f>
        <v>1.4000000000000002E-3</v>
      </c>
      <c r="L53" s="145">
        <f t="shared" ref="L53:T53" si="35">L27</f>
        <v>1.4000000000000002E-3</v>
      </c>
      <c r="M53" s="145">
        <f t="shared" si="35"/>
        <v>1.4000000000000002E-3</v>
      </c>
      <c r="N53" s="145">
        <f t="shared" si="35"/>
        <v>1.4000000000000002E-3</v>
      </c>
      <c r="O53" s="145">
        <f t="shared" si="35"/>
        <v>1.4000000000000002E-3</v>
      </c>
      <c r="P53" s="145">
        <f t="shared" si="35"/>
        <v>1.4000000000000002E-3</v>
      </c>
      <c r="Q53" s="145">
        <f t="shared" si="35"/>
        <v>1.4000000000000002E-3</v>
      </c>
      <c r="R53" s="145">
        <f t="shared" si="35"/>
        <v>1.4000000000000002E-3</v>
      </c>
      <c r="S53" s="145">
        <f t="shared" si="35"/>
        <v>1.4000000000000002E-3</v>
      </c>
      <c r="T53" s="145">
        <f t="shared" si="35"/>
        <v>1.4000000000000002E-3</v>
      </c>
    </row>
    <row r="54" spans="3:20" ht="13.5" customHeight="1">
      <c r="D54" s="41" t="s">
        <v>278</v>
      </c>
      <c r="E54" s="41"/>
      <c r="F54" s="41"/>
      <c r="G54" s="41"/>
      <c r="H54" s="41"/>
      <c r="I54" s="41"/>
      <c r="J54" s="41"/>
      <c r="K54" s="41">
        <f>K39*K53</f>
        <v>7.6516140120000014</v>
      </c>
      <c r="L54" s="1">
        <f t="shared" ref="L54:T54" si="36">L39*L53</f>
        <v>7.8811624323600009</v>
      </c>
      <c r="M54" s="1">
        <f t="shared" si="36"/>
        <v>8.1175973053308006</v>
      </c>
      <c r="N54" s="1">
        <f t="shared" si="36"/>
        <v>8.3611252244907259</v>
      </c>
      <c r="O54" s="1">
        <f t="shared" si="36"/>
        <v>8.6119589812254471</v>
      </c>
      <c r="P54" s="1">
        <f t="shared" si="36"/>
        <v>8.8703177506622115</v>
      </c>
      <c r="Q54" s="1">
        <f t="shared" si="36"/>
        <v>9.1364272831820763</v>
      </c>
      <c r="R54" s="1">
        <f t="shared" si="36"/>
        <v>9.4105201016775393</v>
      </c>
      <c r="S54" s="1">
        <f t="shared" si="36"/>
        <v>9.6928357047278659</v>
      </c>
      <c r="T54" s="1">
        <f t="shared" si="36"/>
        <v>9.9836207758697011</v>
      </c>
    </row>
    <row r="55" spans="3:20" ht="13.5" customHeight="1">
      <c r="D55" s="42" t="s">
        <v>279</v>
      </c>
      <c r="E55" s="42"/>
      <c r="F55" s="42"/>
      <c r="G55" s="141">
        <v>1.5</v>
      </c>
      <c r="H55" s="42"/>
      <c r="I55" s="42"/>
      <c r="J55" s="42"/>
      <c r="K55" s="42"/>
      <c r="L55" s="42">
        <f>K56*$G$55</f>
        <v>11.477421018000001</v>
      </c>
      <c r="M55" s="42">
        <f t="shared" ref="M55:T55" si="37">L56*$G$55</f>
        <v>11.821743648540002</v>
      </c>
      <c r="N55" s="42">
        <f t="shared" si="37"/>
        <v>12.176395957996201</v>
      </c>
      <c r="O55" s="42">
        <f t="shared" si="37"/>
        <v>12.541687836736088</v>
      </c>
      <c r="P55" s="42">
        <f t="shared" si="37"/>
        <v>12.91793847183817</v>
      </c>
      <c r="Q55" s="42">
        <f t="shared" si="37"/>
        <v>13.305476625993318</v>
      </c>
      <c r="R55" s="42">
        <f t="shared" si="37"/>
        <v>13.704640924773114</v>
      </c>
      <c r="S55" s="42">
        <f t="shared" si="37"/>
        <v>14.115780152516308</v>
      </c>
      <c r="T55" s="42">
        <f t="shared" si="37"/>
        <v>14.539253557091799</v>
      </c>
    </row>
    <row r="56" spans="3:20" ht="13.5" customHeight="1">
      <c r="D56" s="142" t="s">
        <v>280</v>
      </c>
      <c r="E56" s="142"/>
      <c r="F56" s="142"/>
      <c r="G56" s="142"/>
      <c r="H56" s="142"/>
      <c r="I56" s="142"/>
      <c r="J56" s="142"/>
      <c r="K56" s="142">
        <f>K54</f>
        <v>7.6516140120000014</v>
      </c>
      <c r="L56" s="142">
        <f>MIN(L54,L55)</f>
        <v>7.8811624323600009</v>
      </c>
      <c r="M56" s="142">
        <f t="shared" ref="M56" si="38">MIN(M54,M55)</f>
        <v>8.1175973053308006</v>
      </c>
      <c r="N56" s="142">
        <f t="shared" ref="N56" si="39">MIN(N54,N55)</f>
        <v>8.3611252244907259</v>
      </c>
      <c r="O56" s="142">
        <f t="shared" ref="O56" si="40">MIN(O54,O55)</f>
        <v>8.6119589812254471</v>
      </c>
      <c r="P56" s="142">
        <f t="shared" ref="P56" si="41">MIN(P54,P55)</f>
        <v>8.8703177506622115</v>
      </c>
      <c r="Q56" s="142">
        <f t="shared" ref="Q56" si="42">MIN(Q54,Q55)</f>
        <v>9.1364272831820763</v>
      </c>
      <c r="R56" s="142">
        <f t="shared" ref="R56" si="43">MIN(R54,R55)</f>
        <v>9.4105201016775393</v>
      </c>
      <c r="S56" s="142">
        <f t="shared" ref="S56" si="44">MIN(S54,S55)</f>
        <v>9.6928357047278659</v>
      </c>
      <c r="T56" s="142">
        <f t="shared" ref="T56" si="45">MIN(T54,T55)</f>
        <v>9.9836207758697011</v>
      </c>
    </row>
    <row r="57" spans="3:20" ht="13.5" customHeight="1">
      <c r="C57" s="1" t="s">
        <v>259</v>
      </c>
    </row>
    <row r="58" spans="3:20" ht="13.5" customHeight="1">
      <c r="D58" s="1" t="s">
        <v>281</v>
      </c>
      <c r="K58" s="140">
        <v>0.2</v>
      </c>
      <c r="L58" s="140">
        <v>0.2</v>
      </c>
      <c r="M58" s="140">
        <v>0.2</v>
      </c>
      <c r="N58" s="140">
        <v>0.2</v>
      </c>
      <c r="O58" s="140">
        <v>0.2</v>
      </c>
      <c r="P58" s="140">
        <v>0.2</v>
      </c>
      <c r="Q58" s="140">
        <v>0.2</v>
      </c>
      <c r="R58" s="140">
        <v>0.2</v>
      </c>
      <c r="S58" s="140">
        <v>0.2</v>
      </c>
      <c r="T58" s="140">
        <v>0.2</v>
      </c>
    </row>
    <row r="59" spans="3:20" ht="13.5" customHeight="1">
      <c r="D59" s="142" t="s">
        <v>261</v>
      </c>
      <c r="E59" s="142"/>
      <c r="F59" s="142"/>
      <c r="G59" s="142"/>
      <c r="H59" s="142"/>
      <c r="I59" s="142"/>
      <c r="J59" s="142"/>
      <c r="K59" s="142">
        <f>K51*K58</f>
        <v>4.1323508640000002</v>
      </c>
      <c r="L59" s="142">
        <f t="shared" ref="L59" si="46">L51*L58</f>
        <v>4.2635213899200002</v>
      </c>
      <c r="M59" s="142">
        <f t="shared" ref="M59" si="47">M51*M58</f>
        <v>4.3986270316176004</v>
      </c>
      <c r="N59" s="142">
        <f t="shared" ref="N59" si="48">N51*N58</f>
        <v>4.5377858425661284</v>
      </c>
      <c r="O59" s="142">
        <f t="shared" ref="O59" si="49">O51*O58</f>
        <v>4.6811194178431128</v>
      </c>
      <c r="P59" s="142">
        <f t="shared" ref="P59" si="50">P51*P58</f>
        <v>4.8287530003784056</v>
      </c>
      <c r="Q59" s="142">
        <f t="shared" ref="Q59" si="51">Q51*Q58</f>
        <v>4.9808155903897582</v>
      </c>
      <c r="R59" s="142">
        <f t="shared" ref="R59" si="52">R51*R58</f>
        <v>5.1374400581014505</v>
      </c>
      <c r="S59" s="142">
        <f t="shared" ref="S59" si="53">S51*S58</f>
        <v>5.2987632598444945</v>
      </c>
      <c r="T59" s="142">
        <f t="shared" ref="T59" si="54">T51*T58</f>
        <v>5.4649261576398294</v>
      </c>
    </row>
    <row r="60" spans="3:20" ht="13.5" customHeight="1">
      <c r="C60" s="146" t="s">
        <v>282</v>
      </c>
      <c r="D60" s="146"/>
      <c r="E60" s="146"/>
      <c r="F60" s="146"/>
      <c r="G60" s="146"/>
      <c r="H60" s="146"/>
      <c r="I60" s="146"/>
      <c r="J60" s="146"/>
      <c r="K60" s="146">
        <f>K51+K56+K59</f>
        <v>32.445719196000006</v>
      </c>
      <c r="L60" s="146">
        <f t="shared" ref="L60" si="55">L51+L56+L59</f>
        <v>33.462290771879999</v>
      </c>
      <c r="M60" s="146">
        <f t="shared" ref="M60" si="56">M51+M56+M59</f>
        <v>34.509359495036406</v>
      </c>
      <c r="N60" s="146">
        <f t="shared" ref="N60" si="57">N51+N56+N59</f>
        <v>35.587840279887494</v>
      </c>
      <c r="O60" s="146">
        <f t="shared" ref="O60" si="58">O51+O56+O59</f>
        <v>36.698675488284124</v>
      </c>
      <c r="P60" s="146">
        <f t="shared" ref="P60" si="59">P51+P56+P59</f>
        <v>37.842835752932643</v>
      </c>
      <c r="Q60" s="146">
        <f t="shared" ref="Q60" si="60">Q51+Q56+Q59</f>
        <v>39.021320825520625</v>
      </c>
      <c r="R60" s="146">
        <f t="shared" ref="R60" si="61">R51+R56+R59</f>
        <v>40.235160450286244</v>
      </c>
      <c r="S60" s="146">
        <f t="shared" ref="S60" si="62">S51+S56+S59</f>
        <v>41.485415263794827</v>
      </c>
      <c r="T60" s="146">
        <f t="shared" ref="T60" si="63">T51+T56+T59</f>
        <v>42.773177721708677</v>
      </c>
    </row>
    <row r="62" spans="3:20" ht="13.5" customHeight="1">
      <c r="C62" s="10" t="s">
        <v>283</v>
      </c>
      <c r="D62" s="10"/>
      <c r="E62" s="10"/>
      <c r="F62" s="10"/>
      <c r="G62" s="10"/>
      <c r="H62" s="10"/>
      <c r="I62" s="10"/>
      <c r="J62" s="10"/>
      <c r="K62" s="154">
        <f>DATE(K8,$F$11,30)</f>
        <v>44377</v>
      </c>
      <c r="L62" s="154">
        <f t="shared" ref="L62:T62" si="64">DATE(L8,$F$11,30)</f>
        <v>44742</v>
      </c>
      <c r="M62" s="154">
        <f t="shared" si="64"/>
        <v>45107</v>
      </c>
      <c r="N62" s="154">
        <f t="shared" si="64"/>
        <v>45473</v>
      </c>
      <c r="O62" s="154">
        <f t="shared" si="64"/>
        <v>45838</v>
      </c>
      <c r="P62" s="154">
        <f t="shared" si="64"/>
        <v>46203</v>
      </c>
      <c r="Q62" s="154">
        <f t="shared" si="64"/>
        <v>46568</v>
      </c>
      <c r="R62" s="154">
        <f t="shared" si="64"/>
        <v>46934</v>
      </c>
      <c r="S62" s="154">
        <f t="shared" si="64"/>
        <v>47299</v>
      </c>
      <c r="T62" s="154">
        <f t="shared" si="64"/>
        <v>47664</v>
      </c>
    </row>
    <row r="63" spans="3:20" ht="13.5" customHeight="1">
      <c r="C63" s="7" t="s">
        <v>284</v>
      </c>
      <c r="D63" s="7"/>
      <c r="E63" s="7"/>
      <c r="F63" s="7"/>
      <c r="G63" s="155">
        <f>'A&amp;R'!X27</f>
        <v>2</v>
      </c>
      <c r="H63" s="7"/>
      <c r="I63" s="7"/>
      <c r="J63" s="7"/>
      <c r="K63" s="7">
        <f>IF($G$63=1,K34,K60)</f>
        <v>32.445719196000006</v>
      </c>
      <c r="L63" s="7">
        <f t="shared" ref="L63:T63" si="65">IF($G$63=1,L34,L60)</f>
        <v>33.462290771879999</v>
      </c>
      <c r="M63" s="7">
        <f t="shared" si="65"/>
        <v>34.509359495036406</v>
      </c>
      <c r="N63" s="7">
        <f t="shared" si="65"/>
        <v>35.587840279887494</v>
      </c>
      <c r="O63" s="7">
        <f t="shared" si="65"/>
        <v>36.698675488284124</v>
      </c>
      <c r="P63" s="7">
        <f t="shared" si="65"/>
        <v>37.842835752932643</v>
      </c>
      <c r="Q63" s="7">
        <f t="shared" si="65"/>
        <v>39.021320825520625</v>
      </c>
      <c r="R63" s="7">
        <f t="shared" si="65"/>
        <v>40.235160450286244</v>
      </c>
      <c r="S63" s="7">
        <f t="shared" si="65"/>
        <v>41.485415263794827</v>
      </c>
      <c r="T63" s="7">
        <f t="shared" si="65"/>
        <v>42.773177721708677</v>
      </c>
    </row>
    <row r="65" spans="3:20" ht="13.5" customHeight="1">
      <c r="C65" s="13" t="s">
        <v>287</v>
      </c>
    </row>
    <row r="66" spans="3:20" ht="13.5" customHeight="1">
      <c r="D66" s="1" t="s">
        <v>237</v>
      </c>
      <c r="F66" s="1">
        <v>6</v>
      </c>
      <c r="G66" s="1" t="s">
        <v>238</v>
      </c>
    </row>
    <row r="67" spans="3:20" ht="13.5" customHeight="1">
      <c r="D67" s="1" t="s">
        <v>225</v>
      </c>
      <c r="F67" s="1">
        <v>7</v>
      </c>
      <c r="G67" s="1" t="s">
        <v>238</v>
      </c>
      <c r="I67" s="156">
        <f>'A&amp;R'!K21</f>
        <v>43373</v>
      </c>
      <c r="K67" s="118">
        <f>K8-YEAR($I$67)</f>
        <v>3</v>
      </c>
      <c r="L67" s="118">
        <f t="shared" ref="L67:T67" si="66">L8-YEAR($I$67)</f>
        <v>4</v>
      </c>
      <c r="M67" s="118">
        <f t="shared" si="66"/>
        <v>5</v>
      </c>
      <c r="N67" s="118">
        <f t="shared" si="66"/>
        <v>6</v>
      </c>
      <c r="O67" s="118">
        <f t="shared" si="66"/>
        <v>7</v>
      </c>
      <c r="P67" s="118">
        <f t="shared" si="66"/>
        <v>8</v>
      </c>
      <c r="Q67" s="118">
        <f t="shared" si="66"/>
        <v>9</v>
      </c>
      <c r="R67" s="118">
        <f t="shared" si="66"/>
        <v>10</v>
      </c>
      <c r="S67" s="118">
        <f t="shared" si="66"/>
        <v>11</v>
      </c>
      <c r="T67" s="118">
        <f t="shared" si="66"/>
        <v>12</v>
      </c>
    </row>
    <row r="68" spans="3:20" ht="13.5" customHeight="1">
      <c r="D68" s="1" t="s">
        <v>288</v>
      </c>
    </row>
    <row r="69" spans="3:20" ht="13.5" customHeight="1">
      <c r="E69" s="1" t="s">
        <v>289</v>
      </c>
      <c r="F69" s="3">
        <f>'A&amp;R'!K20</f>
        <v>34216</v>
      </c>
      <c r="G69" s="17" t="s">
        <v>290</v>
      </c>
    </row>
    <row r="70" spans="3:20" ht="13.5" customHeight="1">
      <c r="E70" s="1" t="s">
        <v>291</v>
      </c>
    </row>
    <row r="71" spans="3:20" ht="13.5" customHeight="1">
      <c r="E71" s="30" t="s">
        <v>292</v>
      </c>
      <c r="F71" s="41"/>
      <c r="G71" s="41"/>
      <c r="H71" s="41"/>
      <c r="I71" s="45">
        <v>740000</v>
      </c>
      <c r="J71" s="41" t="s">
        <v>293</v>
      </c>
      <c r="K71" s="41">
        <f>I71*(1+$I$72)</f>
        <v>762200</v>
      </c>
      <c r="L71" s="41">
        <f>K71*(1+$I$72)</f>
        <v>785066</v>
      </c>
      <c r="M71" s="41">
        <f t="shared" ref="M71:T71" si="67">L71*(1+$I$72)</f>
        <v>808617.98</v>
      </c>
      <c r="N71" s="41">
        <f t="shared" si="67"/>
        <v>832876.51939999999</v>
      </c>
      <c r="O71" s="41">
        <f t="shared" si="67"/>
        <v>857862.81498200004</v>
      </c>
      <c r="P71" s="41">
        <f t="shared" si="67"/>
        <v>883598.69943146012</v>
      </c>
      <c r="Q71" s="41">
        <f t="shared" si="67"/>
        <v>910106.660414404</v>
      </c>
      <c r="R71" s="41">
        <f t="shared" si="67"/>
        <v>937409.86022683617</v>
      </c>
      <c r="S71" s="41">
        <f t="shared" si="67"/>
        <v>965532.15603364131</v>
      </c>
      <c r="T71" s="28">
        <f t="shared" si="67"/>
        <v>994498.12071465061</v>
      </c>
    </row>
    <row r="72" spans="3:20" ht="13.5" customHeight="1">
      <c r="E72" s="33" t="s">
        <v>294</v>
      </c>
      <c r="F72" s="43"/>
      <c r="G72" s="43"/>
      <c r="H72" s="43"/>
      <c r="I72" s="75">
        <v>0.03</v>
      </c>
      <c r="J72" s="43"/>
      <c r="K72" s="43"/>
      <c r="L72" s="43"/>
      <c r="M72" s="43"/>
      <c r="N72" s="43"/>
      <c r="O72" s="43"/>
      <c r="P72" s="43"/>
      <c r="Q72" s="43"/>
      <c r="R72" s="43"/>
      <c r="S72" s="43"/>
      <c r="T72" s="31"/>
    </row>
    <row r="73" spans="3:20" ht="13.5" customHeight="1">
      <c r="E73" s="33" t="s">
        <v>295</v>
      </c>
      <c r="F73" s="43" t="s">
        <v>296</v>
      </c>
      <c r="G73" s="43"/>
      <c r="H73" s="43"/>
      <c r="I73" s="53">
        <v>1</v>
      </c>
      <c r="J73" s="43"/>
      <c r="K73" s="43"/>
      <c r="L73" s="43"/>
      <c r="M73" s="43"/>
      <c r="N73" s="43"/>
      <c r="O73" s="43"/>
      <c r="P73" s="43"/>
      <c r="Q73" s="43"/>
      <c r="R73" s="43"/>
      <c r="S73" s="43"/>
      <c r="T73" s="31"/>
    </row>
    <row r="74" spans="3:20" ht="13.5" customHeight="1">
      <c r="E74" s="33" t="s">
        <v>297</v>
      </c>
      <c r="F74" s="43" t="s">
        <v>298</v>
      </c>
      <c r="G74" s="43"/>
      <c r="H74" s="43"/>
      <c r="I74" s="53">
        <v>0.8</v>
      </c>
      <c r="J74" s="43"/>
      <c r="K74" s="43"/>
      <c r="L74" s="43"/>
      <c r="M74" s="43"/>
      <c r="N74" s="43"/>
      <c r="O74" s="43"/>
      <c r="P74" s="43"/>
      <c r="Q74" s="43"/>
      <c r="R74" s="43"/>
      <c r="S74" s="43"/>
      <c r="T74" s="31"/>
    </row>
    <row r="75" spans="3:20" ht="13.5" customHeight="1">
      <c r="E75" s="33" t="s">
        <v>299</v>
      </c>
      <c r="F75" s="43"/>
      <c r="G75" s="43"/>
      <c r="H75" s="43"/>
      <c r="I75" s="53">
        <v>0.92</v>
      </c>
      <c r="J75" s="43"/>
      <c r="K75" s="43"/>
      <c r="L75" s="43"/>
      <c r="M75" s="43"/>
      <c r="N75" s="43"/>
      <c r="O75" s="43"/>
      <c r="P75" s="43"/>
      <c r="Q75" s="43"/>
      <c r="R75" s="43"/>
      <c r="S75" s="43"/>
      <c r="T75" s="31"/>
    </row>
    <row r="76" spans="3:20" ht="13.5" customHeight="1">
      <c r="E76" s="36" t="s">
        <v>300</v>
      </c>
      <c r="F76" s="42"/>
      <c r="G76" s="42" t="s">
        <v>301</v>
      </c>
      <c r="H76" s="42"/>
      <c r="I76" s="157">
        <v>2.2499999999999999E-2</v>
      </c>
      <c r="J76" s="42"/>
      <c r="K76" s="145">
        <f>$I$76*K67</f>
        <v>6.7500000000000004E-2</v>
      </c>
      <c r="L76" s="145">
        <f t="shared" ref="L76:T76" si="68">$I$76*L67</f>
        <v>0.09</v>
      </c>
      <c r="M76" s="145">
        <f t="shared" si="68"/>
        <v>0.11249999999999999</v>
      </c>
      <c r="N76" s="145">
        <f t="shared" si="68"/>
        <v>0.13500000000000001</v>
      </c>
      <c r="O76" s="145">
        <f t="shared" si="68"/>
        <v>0.1575</v>
      </c>
      <c r="P76" s="145">
        <f t="shared" si="68"/>
        <v>0.18</v>
      </c>
      <c r="Q76" s="145">
        <f t="shared" si="68"/>
        <v>0.20249999999999999</v>
      </c>
      <c r="R76" s="145">
        <f t="shared" si="68"/>
        <v>0.22499999999999998</v>
      </c>
      <c r="S76" s="145">
        <f t="shared" si="68"/>
        <v>0.2475</v>
      </c>
      <c r="T76" s="158">
        <f t="shared" si="68"/>
        <v>0.27</v>
      </c>
    </row>
    <row r="77" spans="3:20" ht="13.5" customHeight="1">
      <c r="E77" s="1" t="s">
        <v>302</v>
      </c>
      <c r="K77" s="1">
        <f t="shared" ref="K77:T77" si="69">$F$69*K71*$I$73*$I$74*$I$75*(1-K76)/unit</f>
        <v>17898.837966464002</v>
      </c>
      <c r="L77" s="1">
        <f t="shared" si="69"/>
        <v>17990.971395138564</v>
      </c>
      <c r="M77" s="1">
        <f t="shared" si="69"/>
        <v>18072.523875363775</v>
      </c>
      <c r="N77" s="1">
        <f t="shared" si="69"/>
        <v>18142.77763014688</v>
      </c>
      <c r="O77" s="1">
        <f t="shared" si="69"/>
        <v>18200.981338729143</v>
      </c>
      <c r="P77" s="1">
        <f t="shared" si="69"/>
        <v>18246.348769959211</v>
      </c>
      <c r="Q77" s="1">
        <f t="shared" si="69"/>
        <v>18278.057363858228</v>
      </c>
      <c r="R77" s="1">
        <f t="shared" si="69"/>
        <v>18295.246759498223</v>
      </c>
      <c r="S77" s="1">
        <f t="shared" si="69"/>
        <v>18297.017267249143</v>
      </c>
      <c r="T77" s="1">
        <f t="shared" si="69"/>
        <v>18282.428283381571</v>
      </c>
    </row>
    <row r="78" spans="3:20" ht="13.5" customHeight="1">
      <c r="E78" s="42" t="s">
        <v>303</v>
      </c>
      <c r="F78" s="42"/>
      <c r="G78" s="42"/>
      <c r="H78" s="42"/>
      <c r="I78" s="42"/>
      <c r="J78" s="42"/>
      <c r="K78" s="141">
        <v>0.7</v>
      </c>
      <c r="L78" s="141">
        <v>0.7</v>
      </c>
      <c r="M78" s="141">
        <v>0.7</v>
      </c>
      <c r="N78" s="141">
        <v>0.7</v>
      </c>
      <c r="O78" s="141">
        <v>0.7</v>
      </c>
      <c r="P78" s="141">
        <v>0.7</v>
      </c>
      <c r="Q78" s="141">
        <v>0.7</v>
      </c>
      <c r="R78" s="141">
        <v>0.7</v>
      </c>
      <c r="S78" s="141">
        <v>0.7</v>
      </c>
      <c r="T78" s="141">
        <v>0.7</v>
      </c>
    </row>
    <row r="79" spans="3:20" ht="13.5" customHeight="1">
      <c r="E79" s="1" t="s">
        <v>247</v>
      </c>
      <c r="K79" s="1">
        <f>K77*K78</f>
        <v>12529.1865765248</v>
      </c>
      <c r="L79" s="1">
        <f t="shared" ref="L79:T79" si="70">L77*L78</f>
        <v>12593.679976596994</v>
      </c>
      <c r="M79" s="1">
        <f t="shared" si="70"/>
        <v>12650.766712754641</v>
      </c>
      <c r="N79" s="1">
        <f t="shared" si="70"/>
        <v>12699.944341102815</v>
      </c>
      <c r="O79" s="1">
        <f t="shared" si="70"/>
        <v>12740.6869371104</v>
      </c>
      <c r="P79" s="1">
        <f t="shared" si="70"/>
        <v>12772.444138971447</v>
      </c>
      <c r="Q79" s="1">
        <f t="shared" si="70"/>
        <v>12794.640154700759</v>
      </c>
      <c r="R79" s="1">
        <f t="shared" si="70"/>
        <v>12806.672731648756</v>
      </c>
      <c r="S79" s="1">
        <f t="shared" si="70"/>
        <v>12807.912087074399</v>
      </c>
      <c r="T79" s="1">
        <f t="shared" si="70"/>
        <v>12797.699798367099</v>
      </c>
    </row>
    <row r="80" spans="3:20" ht="13.5" customHeight="1">
      <c r="E80" s="42" t="s">
        <v>304</v>
      </c>
      <c r="F80" s="42"/>
      <c r="G80" s="42"/>
      <c r="H80" s="42"/>
      <c r="I80" s="42"/>
      <c r="J80" s="42"/>
      <c r="K80" s="139">
        <v>2.5000000000000001E-3</v>
      </c>
      <c r="L80" s="139">
        <v>2.5000000000000001E-3</v>
      </c>
      <c r="M80" s="139">
        <v>2.5000000000000001E-3</v>
      </c>
      <c r="N80" s="139">
        <v>2.5000000000000001E-3</v>
      </c>
      <c r="O80" s="139">
        <v>2.5000000000000001E-3</v>
      </c>
      <c r="P80" s="139">
        <v>2.5000000000000001E-3</v>
      </c>
      <c r="Q80" s="139">
        <v>2.5000000000000001E-3</v>
      </c>
      <c r="R80" s="139">
        <v>2.5000000000000001E-3</v>
      </c>
      <c r="S80" s="139">
        <v>2.5000000000000001E-3</v>
      </c>
      <c r="T80" s="139">
        <v>2.5000000000000001E-3</v>
      </c>
    </row>
    <row r="81" spans="4:20" ht="13.5" customHeight="1">
      <c r="E81" s="1" t="s">
        <v>249</v>
      </c>
      <c r="K81" s="1">
        <f>K79*K80</f>
        <v>31.322966441312001</v>
      </c>
      <c r="L81" s="1">
        <f t="shared" ref="L81:T81" si="71">L79*L80</f>
        <v>31.484199941492484</v>
      </c>
      <c r="M81" s="1">
        <f t="shared" si="71"/>
        <v>31.626916781886603</v>
      </c>
      <c r="N81" s="1">
        <f t="shared" si="71"/>
        <v>31.749860852757038</v>
      </c>
      <c r="O81" s="1">
        <f t="shared" si="71"/>
        <v>31.851717342776002</v>
      </c>
      <c r="P81" s="1">
        <f t="shared" si="71"/>
        <v>31.931110347428618</v>
      </c>
      <c r="Q81" s="1">
        <f t="shared" si="71"/>
        <v>31.986600386751899</v>
      </c>
      <c r="R81" s="1">
        <f t="shared" si="71"/>
        <v>32.016681829121893</v>
      </c>
      <c r="S81" s="1">
        <f t="shared" si="71"/>
        <v>32.019780217685998</v>
      </c>
      <c r="T81" s="1">
        <f t="shared" si="71"/>
        <v>31.994249495917749</v>
      </c>
    </row>
    <row r="82" spans="4:20" ht="13.5" customHeight="1">
      <c r="E82" s="42" t="s">
        <v>250</v>
      </c>
      <c r="F82" s="42"/>
      <c r="G82" s="141">
        <v>1.5</v>
      </c>
      <c r="H82" s="42"/>
      <c r="I82" s="42"/>
      <c r="J82" s="42"/>
      <c r="K82" s="42"/>
      <c r="L82" s="42">
        <f>K83*$G$55</f>
        <v>46.984449661968</v>
      </c>
      <c r="M82" s="42">
        <f t="shared" ref="M82" si="72">L83*$G$55</f>
        <v>47.22629991223873</v>
      </c>
      <c r="N82" s="42">
        <f t="shared" ref="N82" si="73">M83*$G$55</f>
        <v>47.440375172829903</v>
      </c>
      <c r="O82" s="42">
        <f t="shared" ref="O82" si="74">N83*$G$55</f>
        <v>47.624791279135557</v>
      </c>
      <c r="P82" s="42">
        <f t="shared" ref="P82" si="75">O83*$G$55</f>
        <v>47.777576014164005</v>
      </c>
      <c r="Q82" s="42">
        <f t="shared" ref="Q82" si="76">P83*$G$55</f>
        <v>47.896665521142928</v>
      </c>
      <c r="R82" s="42">
        <f t="shared" ref="R82" si="77">Q83*$G$55</f>
        <v>47.979900580127847</v>
      </c>
      <c r="S82" s="42">
        <f t="shared" ref="S82" si="78">R83*$G$55</f>
        <v>48.02502274368284</v>
      </c>
      <c r="T82" s="42">
        <f t="shared" ref="T82" si="79">S83*$G$55</f>
        <v>48.029670326529001</v>
      </c>
    </row>
    <row r="83" spans="4:20" ht="13.5" customHeight="1">
      <c r="E83" s="142" t="s">
        <v>305</v>
      </c>
      <c r="F83" s="142"/>
      <c r="G83" s="142"/>
      <c r="H83" s="142"/>
      <c r="I83" s="142"/>
      <c r="J83" s="142"/>
      <c r="K83" s="142">
        <f>K81</f>
        <v>31.322966441312001</v>
      </c>
      <c r="L83" s="142">
        <f>MIN(L81,L82)</f>
        <v>31.484199941492484</v>
      </c>
      <c r="M83" s="142">
        <f t="shared" ref="M83:T83" si="80">MIN(M81,M82)</f>
        <v>31.626916781886603</v>
      </c>
      <c r="N83" s="142">
        <f t="shared" si="80"/>
        <v>31.749860852757038</v>
      </c>
      <c r="O83" s="142">
        <f t="shared" si="80"/>
        <v>31.851717342776002</v>
      </c>
      <c r="P83" s="142">
        <f t="shared" si="80"/>
        <v>31.931110347428618</v>
      </c>
      <c r="Q83" s="142">
        <f t="shared" si="80"/>
        <v>31.986600386751899</v>
      </c>
      <c r="R83" s="142">
        <f t="shared" si="80"/>
        <v>32.016681829121893</v>
      </c>
      <c r="S83" s="142">
        <f t="shared" si="80"/>
        <v>32.019780217685998</v>
      </c>
      <c r="T83" s="142">
        <f t="shared" si="80"/>
        <v>31.994249495917749</v>
      </c>
    </row>
    <row r="84" spans="4:20" ht="13.5" customHeight="1">
      <c r="D84" s="1" t="s">
        <v>306</v>
      </c>
    </row>
    <row r="85" spans="4:20" ht="13.5" customHeight="1">
      <c r="E85" s="42" t="s">
        <v>253</v>
      </c>
      <c r="F85" s="42"/>
      <c r="G85" s="42"/>
      <c r="H85" s="42"/>
      <c r="I85" s="42"/>
      <c r="J85" s="42"/>
      <c r="K85" s="145">
        <f>K27</f>
        <v>1.4000000000000002E-3</v>
      </c>
      <c r="L85" s="145">
        <f t="shared" ref="L85:T85" si="81">L27</f>
        <v>1.4000000000000002E-3</v>
      </c>
      <c r="M85" s="145">
        <f t="shared" si="81"/>
        <v>1.4000000000000002E-3</v>
      </c>
      <c r="N85" s="145">
        <f t="shared" si="81"/>
        <v>1.4000000000000002E-3</v>
      </c>
      <c r="O85" s="145">
        <f t="shared" si="81"/>
        <v>1.4000000000000002E-3</v>
      </c>
      <c r="P85" s="145">
        <f t="shared" si="81"/>
        <v>1.4000000000000002E-3</v>
      </c>
      <c r="Q85" s="145">
        <f t="shared" si="81"/>
        <v>1.4000000000000002E-3</v>
      </c>
      <c r="R85" s="145">
        <f t="shared" si="81"/>
        <v>1.4000000000000002E-3</v>
      </c>
      <c r="S85" s="145">
        <f t="shared" si="81"/>
        <v>1.4000000000000002E-3</v>
      </c>
      <c r="T85" s="145">
        <f t="shared" si="81"/>
        <v>1.4000000000000002E-3</v>
      </c>
    </row>
    <row r="86" spans="4:20" ht="13.5" customHeight="1">
      <c r="E86" s="1" t="s">
        <v>256</v>
      </c>
      <c r="K86" s="1">
        <f>K79*K85</f>
        <v>17.540861207134721</v>
      </c>
      <c r="L86" s="1">
        <f t="shared" ref="L86:T86" si="82">L79*L85</f>
        <v>17.631151967235795</v>
      </c>
      <c r="M86" s="1">
        <f t="shared" si="82"/>
        <v>17.711073397856499</v>
      </c>
      <c r="N86" s="1">
        <f t="shared" si="82"/>
        <v>17.779922077543944</v>
      </c>
      <c r="O86" s="1">
        <f t="shared" si="82"/>
        <v>17.836961711954562</v>
      </c>
      <c r="P86" s="1">
        <f t="shared" si="82"/>
        <v>17.881421794560026</v>
      </c>
      <c r="Q86" s="1">
        <f t="shared" si="82"/>
        <v>17.912496216581065</v>
      </c>
      <c r="R86" s="1">
        <f t="shared" si="82"/>
        <v>17.92934182430826</v>
      </c>
      <c r="S86" s="1">
        <f t="shared" si="82"/>
        <v>17.931076921904161</v>
      </c>
      <c r="T86" s="1">
        <f t="shared" si="82"/>
        <v>17.91677971771394</v>
      </c>
    </row>
    <row r="87" spans="4:20" ht="13.5" customHeight="1">
      <c r="E87" s="42" t="s">
        <v>257</v>
      </c>
      <c r="F87" s="42"/>
      <c r="G87" s="141">
        <v>1.5</v>
      </c>
      <c r="H87" s="42"/>
      <c r="I87" s="42"/>
      <c r="J87" s="42"/>
      <c r="K87" s="42"/>
      <c r="L87" s="42">
        <f>K88*$G$87</f>
        <v>26.31129181070208</v>
      </c>
      <c r="M87" s="42">
        <f t="shared" ref="M87:T87" si="83">L88*$G$87</f>
        <v>26.446727950853692</v>
      </c>
      <c r="N87" s="42">
        <f t="shared" si="83"/>
        <v>26.56661009678475</v>
      </c>
      <c r="O87" s="42">
        <f t="shared" si="83"/>
        <v>26.669883116315916</v>
      </c>
      <c r="P87" s="42">
        <f t="shared" si="83"/>
        <v>26.755442567931844</v>
      </c>
      <c r="Q87" s="42">
        <f t="shared" si="83"/>
        <v>26.822132691840039</v>
      </c>
      <c r="R87" s="42">
        <f t="shared" si="83"/>
        <v>26.868744324871599</v>
      </c>
      <c r="S87" s="42">
        <f t="shared" si="83"/>
        <v>26.89401273646239</v>
      </c>
      <c r="T87" s="42">
        <f t="shared" si="83"/>
        <v>26.89661538285624</v>
      </c>
    </row>
    <row r="88" spans="4:20" ht="13.5" customHeight="1">
      <c r="E88" s="142" t="s">
        <v>307</v>
      </c>
      <c r="F88" s="142"/>
      <c r="G88" s="142"/>
      <c r="H88" s="142"/>
      <c r="I88" s="142"/>
      <c r="J88" s="142"/>
      <c r="K88" s="142">
        <f>K86</f>
        <v>17.540861207134721</v>
      </c>
      <c r="L88" s="142">
        <f>MIN(L86,L87)</f>
        <v>17.631151967235795</v>
      </c>
      <c r="M88" s="142">
        <f t="shared" ref="M88:T88" si="84">MIN(M86,M87)</f>
        <v>17.711073397856499</v>
      </c>
      <c r="N88" s="142">
        <f t="shared" si="84"/>
        <v>17.779922077543944</v>
      </c>
      <c r="O88" s="142">
        <f t="shared" si="84"/>
        <v>17.836961711954562</v>
      </c>
      <c r="P88" s="142">
        <f t="shared" si="84"/>
        <v>17.881421794560026</v>
      </c>
      <c r="Q88" s="142">
        <f t="shared" si="84"/>
        <v>17.912496216581065</v>
      </c>
      <c r="R88" s="142">
        <f t="shared" si="84"/>
        <v>17.92934182430826</v>
      </c>
      <c r="S88" s="142">
        <f t="shared" si="84"/>
        <v>17.931076921904161</v>
      </c>
      <c r="T88" s="142">
        <f t="shared" si="84"/>
        <v>17.91677971771394</v>
      </c>
    </row>
    <row r="89" spans="4:20" ht="13.5" customHeight="1">
      <c r="D89" s="1" t="s">
        <v>308</v>
      </c>
    </row>
    <row r="90" spans="4:20" ht="13.5" customHeight="1">
      <c r="E90" s="1" t="s">
        <v>309</v>
      </c>
      <c r="K90" s="1">
        <f>K77</f>
        <v>17898.837966464002</v>
      </c>
      <c r="L90" s="1">
        <f t="shared" ref="L90:T90" si="85">L77</f>
        <v>17990.971395138564</v>
      </c>
      <c r="M90" s="1">
        <f t="shared" si="85"/>
        <v>18072.523875363775</v>
      </c>
      <c r="N90" s="1">
        <f t="shared" si="85"/>
        <v>18142.77763014688</v>
      </c>
      <c r="O90" s="1">
        <f t="shared" si="85"/>
        <v>18200.981338729143</v>
      </c>
      <c r="P90" s="1">
        <f t="shared" si="85"/>
        <v>18246.348769959211</v>
      </c>
      <c r="Q90" s="1">
        <f t="shared" si="85"/>
        <v>18278.057363858228</v>
      </c>
      <c r="R90" s="1">
        <f t="shared" si="85"/>
        <v>18295.246759498223</v>
      </c>
      <c r="S90" s="1">
        <f t="shared" si="85"/>
        <v>18297.017267249143</v>
      </c>
      <c r="T90" s="1">
        <f t="shared" si="85"/>
        <v>18282.428283381571</v>
      </c>
    </row>
    <row r="91" spans="4:20" ht="13.5" customHeight="1">
      <c r="E91" s="1" t="s">
        <v>311</v>
      </c>
      <c r="K91" s="1">
        <f>(K$90&lt;=$G$102)*$H$102+(K$90&gt;$F$103)*(K$90&lt;=$G$103)*$H$103+(K$90&gt;$F$104)*(K$90&lt;=$G$104)*$H$104+(K$90&gt;$F$105)*(K$90&lt;=$G$105)*$H$105+(K$90&gt;$F$106)*(K$90&lt;=$G$106)*$H$106+(K$90&gt;$F$107)*$H$107</f>
        <v>4.9099999999999998E-2</v>
      </c>
      <c r="L91" s="1">
        <f t="shared" ref="L91:T91" si="86">(L$90&lt;=$G$102)*$H$102+(L$90&gt;$F$103)*(L$90&lt;=$G$103)*$H$103+(L$90&gt;$F$104)*(L$90&lt;=$G$104)*$H$104+(L$90&gt;$F$105)*(L$90&lt;=$G$105)*$H$105+(L$90&gt;$F$106)*(L$90&lt;=$G$106)*$H$106+(L$90&gt;$F$107)*$H$107</f>
        <v>4.9099999999999998E-2</v>
      </c>
      <c r="M91" s="1">
        <f t="shared" si="86"/>
        <v>4.9099999999999998E-2</v>
      </c>
      <c r="N91" s="1">
        <f t="shared" si="86"/>
        <v>4.9099999999999998E-2</v>
      </c>
      <c r="O91" s="1">
        <f t="shared" si="86"/>
        <v>4.9099999999999998E-2</v>
      </c>
      <c r="P91" s="1">
        <f t="shared" si="86"/>
        <v>4.9099999999999998E-2</v>
      </c>
      <c r="Q91" s="1">
        <f t="shared" si="86"/>
        <v>4.9099999999999998E-2</v>
      </c>
      <c r="R91" s="1">
        <f t="shared" si="86"/>
        <v>4.9099999999999998E-2</v>
      </c>
      <c r="S91" s="1">
        <f t="shared" si="86"/>
        <v>4.9099999999999998E-2</v>
      </c>
      <c r="T91" s="1">
        <f t="shared" si="86"/>
        <v>4.9099999999999998E-2</v>
      </c>
    </row>
    <row r="92" spans="4:20" ht="13.5" customHeight="1">
      <c r="E92" s="1" t="s">
        <v>312</v>
      </c>
      <c r="K92" s="1">
        <f>(K$90&lt;=$G$102)*$I$102+(K$90&gt;$F$103)*(K$90&lt;=$G$103)*$I$103+(K$90&gt;$F$104)*(K$90&lt;=$G$104)*$I$104+(K$90&gt;$F$105)*(K$90&lt;=$G$105)*$I$105+(K$90&gt;$F$106)*(K$90&lt;=$G$106)*$I$106+(K$90&gt;$F$107)*$I$107</f>
        <v>64</v>
      </c>
      <c r="L92" s="1">
        <f t="shared" ref="L92:T92" si="87">(L$90&lt;=$G$102)*$I$102+(L$90&gt;$F$103)*(L$90&lt;=$G$103)*$I$103+(L$90&gt;$F$104)*(L$90&lt;=$G$104)*$I$104+(L$90&gt;$F$105)*(L$90&lt;=$G$105)*$I$105+(L$90&gt;$F$106)*(L$90&lt;=$G$106)*$I$106+(L$90&gt;$F$107)*$I$107</f>
        <v>64</v>
      </c>
      <c r="M92" s="1">
        <f t="shared" si="87"/>
        <v>64</v>
      </c>
      <c r="N92" s="1">
        <f t="shared" si="87"/>
        <v>64</v>
      </c>
      <c r="O92" s="1">
        <f t="shared" si="87"/>
        <v>64</v>
      </c>
      <c r="P92" s="1">
        <f t="shared" si="87"/>
        <v>64</v>
      </c>
      <c r="Q92" s="1">
        <f t="shared" si="87"/>
        <v>64</v>
      </c>
      <c r="R92" s="1">
        <f t="shared" si="87"/>
        <v>64</v>
      </c>
      <c r="S92" s="1">
        <f t="shared" si="87"/>
        <v>64</v>
      </c>
      <c r="T92" s="1">
        <f t="shared" si="87"/>
        <v>64</v>
      </c>
    </row>
    <row r="93" spans="4:20" ht="13.5" customHeight="1">
      <c r="E93" s="42" t="s">
        <v>313</v>
      </c>
      <c r="F93" s="42"/>
      <c r="G93" s="42"/>
      <c r="H93" s="42"/>
      <c r="I93" s="42"/>
      <c r="J93" s="42"/>
      <c r="K93" s="145">
        <f>(K$90&lt;=$G$102)*$J$102+(K$90&gt;$F$103)*(K$90&lt;=$G$103)*$J$103+(K$90&gt;$F$104)*(K$90&lt;=$G$104)*$J$104+(K$90&gt;$F$105)*(K$90&lt;=$G$105)*$J$105+(K$90&gt;$F$106)*(K$90&lt;=$G$106)*$J$106+(K$90&gt;$F$107)*$J$107</f>
        <v>1.1999999999999999E-3</v>
      </c>
      <c r="L93" s="145">
        <f t="shared" ref="L93:T93" si="88">(L$90&lt;=$G$102)*$J$102+(L$90&gt;$F$103)*(L$90&lt;=$G$103)*$J$103+(L$90&gt;$F$104)*(L$90&lt;=$G$104)*$J$104+(L$90&gt;$F$105)*(L$90&lt;=$G$105)*$J$105+(L$90&gt;$F$106)*(L$90&lt;=$G$106)*$J$106+(L$90&gt;$F$107)*$J$107</f>
        <v>1.1999999999999999E-3</v>
      </c>
      <c r="M93" s="145">
        <f t="shared" si="88"/>
        <v>1.1999999999999999E-3</v>
      </c>
      <c r="N93" s="145">
        <f t="shared" si="88"/>
        <v>1.1999999999999999E-3</v>
      </c>
      <c r="O93" s="145">
        <f t="shared" si="88"/>
        <v>1.1999999999999999E-3</v>
      </c>
      <c r="P93" s="145">
        <f t="shared" si="88"/>
        <v>1.1999999999999999E-3</v>
      </c>
      <c r="Q93" s="145">
        <f t="shared" si="88"/>
        <v>1.1999999999999999E-3</v>
      </c>
      <c r="R93" s="145">
        <f t="shared" si="88"/>
        <v>1.1999999999999999E-3</v>
      </c>
      <c r="S93" s="145">
        <f t="shared" si="88"/>
        <v>1.1999999999999999E-3</v>
      </c>
      <c r="T93" s="145">
        <f t="shared" si="88"/>
        <v>1.1999999999999999E-3</v>
      </c>
    </row>
    <row r="94" spans="4:20" ht="13.5" customHeight="1">
      <c r="E94" s="1" t="s">
        <v>314</v>
      </c>
      <c r="K94" s="1">
        <f>K91+(K90-K92)*K93</f>
        <v>21.450905559756798</v>
      </c>
      <c r="L94" s="1">
        <f t="shared" ref="L94:T94" si="89">L91+(L90-L92)*L93</f>
        <v>21.561465674166275</v>
      </c>
      <c r="M94" s="1">
        <f t="shared" si="89"/>
        <v>21.659328650436528</v>
      </c>
      <c r="N94" s="1">
        <f t="shared" si="89"/>
        <v>21.743633156176255</v>
      </c>
      <c r="O94" s="1">
        <f t="shared" si="89"/>
        <v>21.813477606474969</v>
      </c>
      <c r="P94" s="1">
        <f t="shared" si="89"/>
        <v>21.867918523951051</v>
      </c>
      <c r="Q94" s="1">
        <f t="shared" si="89"/>
        <v>21.905968836629871</v>
      </c>
      <c r="R94" s="1">
        <f t="shared" si="89"/>
        <v>21.926596111397863</v>
      </c>
      <c r="S94" s="1">
        <f t="shared" si="89"/>
        <v>21.928720720698969</v>
      </c>
      <c r="T94" s="1">
        <f t="shared" si="89"/>
        <v>21.91121394005788</v>
      </c>
    </row>
    <row r="95" spans="4:20" ht="13.5" customHeight="1">
      <c r="E95" s="42" t="s">
        <v>315</v>
      </c>
      <c r="F95" s="42"/>
      <c r="G95" s="141">
        <v>1.5</v>
      </c>
      <c r="H95" s="42"/>
      <c r="I95" s="42"/>
      <c r="J95" s="42"/>
      <c r="K95" s="42"/>
      <c r="L95" s="42">
        <f>K96*$G$95</f>
        <v>32.1763583396352</v>
      </c>
      <c r="M95" s="42">
        <f t="shared" ref="M95:T95" si="90">L96*$G$95</f>
        <v>32.342198511249414</v>
      </c>
      <c r="N95" s="42">
        <f t="shared" si="90"/>
        <v>32.488992975654796</v>
      </c>
      <c r="O95" s="42">
        <f t="shared" si="90"/>
        <v>32.615449734264381</v>
      </c>
      <c r="P95" s="42">
        <f t="shared" si="90"/>
        <v>32.720216409712449</v>
      </c>
      <c r="Q95" s="42">
        <f t="shared" si="90"/>
        <v>32.801877785926578</v>
      </c>
      <c r="R95" s="42">
        <f t="shared" si="90"/>
        <v>32.858953254944808</v>
      </c>
      <c r="S95" s="42">
        <f t="shared" si="90"/>
        <v>32.889894167096799</v>
      </c>
      <c r="T95" s="42">
        <f t="shared" si="90"/>
        <v>32.89308108104845</v>
      </c>
    </row>
    <row r="96" spans="4:20" ht="13.5" customHeight="1">
      <c r="E96" s="159" t="s">
        <v>316</v>
      </c>
      <c r="F96" s="159"/>
      <c r="G96" s="159"/>
      <c r="H96" s="159"/>
      <c r="I96" s="159"/>
      <c r="J96" s="159"/>
      <c r="K96" s="159">
        <f>K94</f>
        <v>21.450905559756798</v>
      </c>
      <c r="L96" s="159">
        <f>MIN(L94,L95)</f>
        <v>21.561465674166275</v>
      </c>
      <c r="M96" s="159">
        <f t="shared" ref="M96:T96" si="91">MIN(M94,M95)</f>
        <v>21.659328650436528</v>
      </c>
      <c r="N96" s="159">
        <f t="shared" si="91"/>
        <v>21.743633156176255</v>
      </c>
      <c r="O96" s="159">
        <f t="shared" si="91"/>
        <v>21.813477606474969</v>
      </c>
      <c r="P96" s="159">
        <f t="shared" si="91"/>
        <v>21.867918523951051</v>
      </c>
      <c r="Q96" s="159">
        <f t="shared" si="91"/>
        <v>21.905968836629871</v>
      </c>
      <c r="R96" s="159">
        <f t="shared" si="91"/>
        <v>21.926596111397863</v>
      </c>
      <c r="S96" s="159">
        <f t="shared" si="91"/>
        <v>21.928720720698969</v>
      </c>
      <c r="T96" s="159">
        <f t="shared" si="91"/>
        <v>21.91121394005788</v>
      </c>
    </row>
    <row r="97" spans="3:20" ht="13.5" customHeight="1">
      <c r="E97" s="1" t="s">
        <v>317</v>
      </c>
      <c r="G97" s="141">
        <v>3</v>
      </c>
      <c r="K97" s="144"/>
      <c r="L97" s="144"/>
      <c r="M97" s="144"/>
      <c r="N97" s="144"/>
      <c r="O97" s="144"/>
      <c r="P97" s="144"/>
      <c r="Q97" s="144"/>
      <c r="R97" s="144"/>
      <c r="S97" s="144"/>
      <c r="T97" s="144"/>
    </row>
    <row r="98" spans="3:20" ht="13.5" customHeight="1">
      <c r="E98" s="142" t="s">
        <v>318</v>
      </c>
      <c r="F98" s="142"/>
      <c r="G98" s="142"/>
      <c r="H98" s="142"/>
      <c r="I98" s="142"/>
      <c r="J98" s="142"/>
      <c r="K98" s="142">
        <f>K96*$G$97</f>
        <v>64.352716679270401</v>
      </c>
      <c r="L98" s="142">
        <f t="shared" ref="L98:T98" si="92">L96*$G$97</f>
        <v>64.684397022498828</v>
      </c>
      <c r="M98" s="142">
        <f t="shared" si="92"/>
        <v>64.977985951309591</v>
      </c>
      <c r="N98" s="142">
        <f t="shared" si="92"/>
        <v>65.230899468528762</v>
      </c>
      <c r="O98" s="142">
        <f t="shared" si="92"/>
        <v>65.440432819424899</v>
      </c>
      <c r="P98" s="142">
        <f t="shared" si="92"/>
        <v>65.603755571853156</v>
      </c>
      <c r="Q98" s="142">
        <f t="shared" si="92"/>
        <v>65.717906509889616</v>
      </c>
      <c r="R98" s="142">
        <f t="shared" si="92"/>
        <v>65.779788334193597</v>
      </c>
      <c r="S98" s="142">
        <f t="shared" si="92"/>
        <v>65.7861621620969</v>
      </c>
      <c r="T98" s="142">
        <f t="shared" si="92"/>
        <v>65.733641820173645</v>
      </c>
    </row>
    <row r="99" spans="3:20" ht="13.5" customHeight="1">
      <c r="F99" s="17" t="s">
        <v>310</v>
      </c>
    </row>
    <row r="100" spans="3:20" ht="13.5" customHeight="1">
      <c r="F100" s="277" t="s">
        <v>117</v>
      </c>
      <c r="G100" s="276"/>
      <c r="H100" s="275" t="s">
        <v>267</v>
      </c>
      <c r="I100" s="277"/>
      <c r="J100" s="277"/>
    </row>
    <row r="101" spans="3:20" ht="13.5" customHeight="1">
      <c r="F101" s="131" t="s">
        <v>265</v>
      </c>
      <c r="G101" s="26" t="s">
        <v>266</v>
      </c>
      <c r="H101" s="26" t="s">
        <v>268</v>
      </c>
      <c r="I101" s="26" t="s">
        <v>269</v>
      </c>
      <c r="J101" s="27" t="s">
        <v>270</v>
      </c>
    </row>
    <row r="102" spans="3:20" ht="13.5" customHeight="1">
      <c r="F102" s="28"/>
      <c r="G102" s="29">
        <v>6</v>
      </c>
      <c r="H102" s="29">
        <v>0</v>
      </c>
      <c r="I102" s="29">
        <v>0</v>
      </c>
      <c r="J102" s="148">
        <f>4/10000</f>
        <v>4.0000000000000002E-4</v>
      </c>
    </row>
    <row r="103" spans="3:20" ht="13.5" customHeight="1">
      <c r="F103" s="31">
        <v>6</v>
      </c>
      <c r="G103" s="32">
        <v>13</v>
      </c>
      <c r="H103" s="32">
        <f>2400/unit</f>
        <v>2.3999999999999998E-3</v>
      </c>
      <c r="I103" s="32">
        <v>6</v>
      </c>
      <c r="J103" s="150">
        <f>5/10000</f>
        <v>5.0000000000000001E-4</v>
      </c>
    </row>
    <row r="104" spans="3:20" ht="13.5" customHeight="1">
      <c r="F104" s="31">
        <v>13</v>
      </c>
      <c r="G104" s="32">
        <v>26</v>
      </c>
      <c r="H104" s="32">
        <f>5900/unit</f>
        <v>5.8999999999999999E-3</v>
      </c>
      <c r="I104" s="32">
        <v>13</v>
      </c>
      <c r="J104" s="150">
        <f>6/10000</f>
        <v>5.9999999999999995E-4</v>
      </c>
    </row>
    <row r="105" spans="3:20" ht="13.5" customHeight="1">
      <c r="F105" s="31">
        <v>26</v>
      </c>
      <c r="G105" s="32">
        <v>39</v>
      </c>
      <c r="H105" s="32">
        <f>13700/unit</f>
        <v>1.37E-2</v>
      </c>
      <c r="I105" s="32">
        <v>26</v>
      </c>
      <c r="J105" s="150">
        <f>8/10000</f>
        <v>8.0000000000000004E-4</v>
      </c>
    </row>
    <row r="106" spans="3:20" ht="13.5" customHeight="1">
      <c r="F106" s="31">
        <v>39</v>
      </c>
      <c r="G106" s="32">
        <v>64</v>
      </c>
      <c r="H106" s="32">
        <f>24100/unit</f>
        <v>2.41E-2</v>
      </c>
      <c r="I106" s="32">
        <v>39</v>
      </c>
      <c r="J106" s="150">
        <f>10/10000</f>
        <v>1E-3</v>
      </c>
    </row>
    <row r="107" spans="3:20" ht="13.5" customHeight="1">
      <c r="F107" s="34">
        <v>64</v>
      </c>
      <c r="G107" s="35"/>
      <c r="H107" s="35">
        <f>49100/unit</f>
        <v>4.9099999999999998E-2</v>
      </c>
      <c r="I107" s="35">
        <v>64</v>
      </c>
      <c r="J107" s="152">
        <f>12/10000</f>
        <v>1.1999999999999999E-3</v>
      </c>
    </row>
    <row r="108" spans="3:20" ht="13.5" customHeight="1">
      <c r="D108" s="1" t="s">
        <v>319</v>
      </c>
    </row>
    <row r="109" spans="3:20" ht="13.5" customHeight="1">
      <c r="E109" s="1" t="s">
        <v>320</v>
      </c>
      <c r="K109" s="140">
        <v>0.2</v>
      </c>
      <c r="L109" s="140">
        <v>0.2</v>
      </c>
      <c r="M109" s="140">
        <v>0.2</v>
      </c>
      <c r="N109" s="140">
        <v>0.2</v>
      </c>
      <c r="O109" s="140">
        <v>0.2</v>
      </c>
      <c r="P109" s="140">
        <v>0.2</v>
      </c>
      <c r="Q109" s="140">
        <v>0.2</v>
      </c>
      <c r="R109" s="140">
        <v>0.2</v>
      </c>
      <c r="S109" s="140">
        <v>0.2</v>
      </c>
      <c r="T109" s="140">
        <v>0.2</v>
      </c>
    </row>
    <row r="110" spans="3:20" ht="13.5" customHeight="1">
      <c r="E110" s="142" t="s">
        <v>321</v>
      </c>
      <c r="F110" s="142"/>
      <c r="G110" s="142"/>
      <c r="H110" s="142"/>
      <c r="I110" s="142"/>
      <c r="J110" s="142"/>
      <c r="K110" s="142">
        <f>K83*K109</f>
        <v>6.2645932882624003</v>
      </c>
      <c r="L110" s="142">
        <f t="shared" ref="L110:T110" si="93">L83*L109</f>
        <v>6.2968399882984976</v>
      </c>
      <c r="M110" s="142">
        <f t="shared" si="93"/>
        <v>6.325383356377321</v>
      </c>
      <c r="N110" s="142">
        <f t="shared" si="93"/>
        <v>6.3499721705514078</v>
      </c>
      <c r="O110" s="142">
        <f t="shared" si="93"/>
        <v>6.3703434685552009</v>
      </c>
      <c r="P110" s="142">
        <f t="shared" si="93"/>
        <v>6.3862220694857239</v>
      </c>
      <c r="Q110" s="142">
        <f t="shared" si="93"/>
        <v>6.39732007735038</v>
      </c>
      <c r="R110" s="142">
        <f t="shared" si="93"/>
        <v>6.4033363658243792</v>
      </c>
      <c r="S110" s="142">
        <f t="shared" si="93"/>
        <v>6.4039560435371996</v>
      </c>
      <c r="T110" s="142">
        <f t="shared" si="93"/>
        <v>6.3988498991835501</v>
      </c>
    </row>
    <row r="111" spans="3:20" ht="13.5" customHeight="1">
      <c r="C111" s="146" t="s">
        <v>322</v>
      </c>
      <c r="D111" s="146"/>
      <c r="E111" s="146"/>
      <c r="F111" s="146"/>
      <c r="G111" s="146"/>
      <c r="H111" s="146"/>
      <c r="I111" s="146"/>
      <c r="J111" s="146"/>
      <c r="K111" s="146">
        <f>K110+K98+K88+K83</f>
        <v>119.48113761597953</v>
      </c>
      <c r="L111" s="146">
        <f t="shared" ref="L111:T111" si="94">L110+L98+L88+L83</f>
        <v>120.0965889195256</v>
      </c>
      <c r="M111" s="146">
        <f t="shared" si="94"/>
        <v>120.64135948743001</v>
      </c>
      <c r="N111" s="146">
        <f t="shared" si="94"/>
        <v>121.11065456938115</v>
      </c>
      <c r="O111" s="146">
        <f t="shared" si="94"/>
        <v>121.49945534271066</v>
      </c>
      <c r="P111" s="146">
        <f t="shared" si="94"/>
        <v>121.80250978332752</v>
      </c>
      <c r="Q111" s="146">
        <f t="shared" si="94"/>
        <v>122.01432319057297</v>
      </c>
      <c r="R111" s="146">
        <f t="shared" si="94"/>
        <v>122.12914835344813</v>
      </c>
      <c r="S111" s="146">
        <f t="shared" si="94"/>
        <v>122.14097534522426</v>
      </c>
      <c r="T111" s="146">
        <f t="shared" si="94"/>
        <v>122.04352093298888</v>
      </c>
    </row>
    <row r="113" spans="2:20" ht="13.5" customHeight="1">
      <c r="C113" s="10" t="s">
        <v>283</v>
      </c>
      <c r="D113" s="10"/>
      <c r="E113" s="10"/>
      <c r="F113" s="10"/>
      <c r="G113" s="10"/>
      <c r="H113" s="10"/>
      <c r="I113" s="10"/>
      <c r="J113" s="10"/>
      <c r="K113" s="154">
        <f>DATE(K8,$F$66,30)</f>
        <v>44377</v>
      </c>
      <c r="L113" s="154">
        <f t="shared" ref="L113:T113" si="95">DATE(L8,$F$66,30)</f>
        <v>44742</v>
      </c>
      <c r="M113" s="154">
        <f t="shared" si="95"/>
        <v>45107</v>
      </c>
      <c r="N113" s="154">
        <f t="shared" si="95"/>
        <v>45473</v>
      </c>
      <c r="O113" s="154">
        <f t="shared" si="95"/>
        <v>45838</v>
      </c>
      <c r="P113" s="154">
        <f t="shared" si="95"/>
        <v>46203</v>
      </c>
      <c r="Q113" s="154">
        <f t="shared" si="95"/>
        <v>46568</v>
      </c>
      <c r="R113" s="154">
        <f t="shared" si="95"/>
        <v>46934</v>
      </c>
      <c r="S113" s="154">
        <f t="shared" si="95"/>
        <v>47299</v>
      </c>
      <c r="T113" s="154">
        <f t="shared" si="95"/>
        <v>47664</v>
      </c>
    </row>
    <row r="114" spans="2:20" ht="13.5" customHeight="1">
      <c r="C114" s="7" t="s">
        <v>323</v>
      </c>
      <c r="D114" s="7"/>
      <c r="E114" s="7"/>
      <c r="F114" s="7"/>
      <c r="G114" s="155"/>
      <c r="H114" s="7"/>
      <c r="I114" s="7"/>
      <c r="J114" s="7"/>
      <c r="K114" s="7">
        <f>K111</f>
        <v>119.48113761597953</v>
      </c>
      <c r="L114" s="7">
        <f t="shared" ref="L114:T114" si="96">L111</f>
        <v>120.0965889195256</v>
      </c>
      <c r="M114" s="7">
        <f t="shared" si="96"/>
        <v>120.64135948743001</v>
      </c>
      <c r="N114" s="7">
        <f t="shared" si="96"/>
        <v>121.11065456938115</v>
      </c>
      <c r="O114" s="7">
        <f t="shared" si="96"/>
        <v>121.49945534271066</v>
      </c>
      <c r="P114" s="7">
        <f t="shared" si="96"/>
        <v>121.80250978332752</v>
      </c>
      <c r="Q114" s="7">
        <f t="shared" si="96"/>
        <v>122.01432319057297</v>
      </c>
      <c r="R114" s="7">
        <f t="shared" si="96"/>
        <v>122.12914835344813</v>
      </c>
      <c r="S114" s="7">
        <f t="shared" si="96"/>
        <v>122.14097534522426</v>
      </c>
      <c r="T114" s="7">
        <f t="shared" si="96"/>
        <v>122.04352093298888</v>
      </c>
    </row>
    <row r="116" spans="2:20" ht="13.5" customHeight="1">
      <c r="B116" s="13" t="s">
        <v>326</v>
      </c>
    </row>
    <row r="117" spans="2:20" ht="13.5" customHeight="1">
      <c r="C117" s="13" t="s">
        <v>327</v>
      </c>
    </row>
    <row r="118" spans="2:20" ht="13.5" customHeight="1">
      <c r="D118" s="1" t="s">
        <v>237</v>
      </c>
      <c r="F118" s="1">
        <v>6</v>
      </c>
      <c r="G118" s="1" t="s">
        <v>238</v>
      </c>
    </row>
    <row r="119" spans="2:20" ht="13.5" customHeight="1">
      <c r="D119" s="1" t="s">
        <v>225</v>
      </c>
      <c r="F119" s="1">
        <v>12</v>
      </c>
      <c r="G119" s="1" t="s">
        <v>238</v>
      </c>
    </row>
    <row r="120" spans="2:20" ht="13.5" customHeight="1">
      <c r="D120" s="1" t="s">
        <v>328</v>
      </c>
      <c r="K120" s="1">
        <f>K16</f>
        <v>7807.7694000000001</v>
      </c>
      <c r="L120" s="1">
        <f t="shared" ref="L120:T120" si="97">L16</f>
        <v>8042.0024819999999</v>
      </c>
      <c r="M120" s="1">
        <f t="shared" si="97"/>
        <v>8283.2625564600003</v>
      </c>
      <c r="N120" s="1">
        <f t="shared" si="97"/>
        <v>8531.7604331538005</v>
      </c>
      <c r="O120" s="1">
        <f t="shared" si="97"/>
        <v>8787.7132461484143</v>
      </c>
      <c r="P120" s="1">
        <f t="shared" si="97"/>
        <v>9051.3446435328678</v>
      </c>
      <c r="Q120" s="1">
        <f t="shared" si="97"/>
        <v>9322.8849828388538</v>
      </c>
      <c r="R120" s="1">
        <f t="shared" si="97"/>
        <v>9602.5715323240183</v>
      </c>
      <c r="S120" s="1">
        <f t="shared" si="97"/>
        <v>9890.6486782937391</v>
      </c>
      <c r="T120" s="1">
        <f t="shared" si="97"/>
        <v>10187.368138642551</v>
      </c>
    </row>
    <row r="121" spans="2:20" ht="13.5" customHeight="1">
      <c r="D121" s="1" t="s">
        <v>329</v>
      </c>
      <c r="K121" s="3">
        <v>8000</v>
      </c>
      <c r="L121" s="3">
        <v>8000</v>
      </c>
      <c r="M121" s="3">
        <v>8000</v>
      </c>
      <c r="N121" s="3">
        <v>8000</v>
      </c>
      <c r="O121" s="3">
        <v>8000</v>
      </c>
      <c r="P121" s="3">
        <v>8000</v>
      </c>
      <c r="Q121" s="3">
        <v>8000</v>
      </c>
      <c r="R121" s="3">
        <v>8000</v>
      </c>
      <c r="S121" s="3">
        <v>8000</v>
      </c>
      <c r="T121" s="3">
        <v>8000</v>
      </c>
    </row>
    <row r="122" spans="2:20" ht="13.5" customHeight="1">
      <c r="D122" s="42" t="s">
        <v>330</v>
      </c>
      <c r="E122" s="42"/>
      <c r="F122" s="42"/>
      <c r="G122" s="42"/>
      <c r="H122" s="42"/>
      <c r="I122" s="42"/>
      <c r="J122" s="42"/>
      <c r="K122" s="141">
        <v>0.95</v>
      </c>
      <c r="L122" s="141">
        <v>1</v>
      </c>
      <c r="M122" s="141">
        <v>1</v>
      </c>
      <c r="N122" s="141">
        <v>1</v>
      </c>
      <c r="O122" s="141">
        <v>1</v>
      </c>
      <c r="P122" s="141">
        <v>1</v>
      </c>
      <c r="Q122" s="141">
        <v>1</v>
      </c>
      <c r="R122" s="141">
        <v>1</v>
      </c>
      <c r="S122" s="141">
        <v>1</v>
      </c>
      <c r="T122" s="141">
        <v>1</v>
      </c>
    </row>
    <row r="123" spans="2:20" ht="13.5" customHeight="1">
      <c r="D123" s="1" t="s">
        <v>331</v>
      </c>
      <c r="K123" s="1">
        <f>MAX((K120-K121)*K122,0)</f>
        <v>0</v>
      </c>
      <c r="L123" s="1">
        <f t="shared" ref="L123:T123" si="98">MAX((L120-L121)*L122,0)</f>
        <v>42.002481999999873</v>
      </c>
      <c r="M123" s="1">
        <f t="shared" si="98"/>
        <v>283.26255646000027</v>
      </c>
      <c r="N123" s="1">
        <f t="shared" si="98"/>
        <v>531.76043315380048</v>
      </c>
      <c r="O123" s="1">
        <f t="shared" si="98"/>
        <v>787.71324614841433</v>
      </c>
      <c r="P123" s="1">
        <f t="shared" si="98"/>
        <v>1051.3446435328678</v>
      </c>
      <c r="Q123" s="1">
        <f t="shared" si="98"/>
        <v>1322.8849828388538</v>
      </c>
      <c r="R123" s="1">
        <f t="shared" si="98"/>
        <v>1602.5715323240183</v>
      </c>
      <c r="S123" s="1">
        <f t="shared" si="98"/>
        <v>1890.6486782937391</v>
      </c>
      <c r="T123" s="1">
        <f t="shared" si="98"/>
        <v>2187.3681386425505</v>
      </c>
    </row>
    <row r="124" spans="2:20" ht="13.5" customHeight="1">
      <c r="D124" s="1" t="s">
        <v>333</v>
      </c>
      <c r="K124" s="1">
        <f>(K$123&lt;=$G$131)*$H$131+(K$123&gt;$F$132)*(K$123&lt;=$G$132)*$H$132+(K$123&gt;$F$133)*$H$133</f>
        <v>0</v>
      </c>
      <c r="L124" s="1">
        <f t="shared" ref="L124:T124" si="99">(L$123&lt;=$G$131)*$H$131+(L$123&gt;$F$132)*(L$123&lt;=$G$132)*$H$132+(L$123&gt;$F$133)*$H$133</f>
        <v>0</v>
      </c>
      <c r="M124" s="1">
        <f t="shared" si="99"/>
        <v>0</v>
      </c>
      <c r="N124" s="1">
        <f t="shared" si="99"/>
        <v>0</v>
      </c>
      <c r="O124" s="1">
        <f t="shared" si="99"/>
        <v>0</v>
      </c>
      <c r="P124" s="1">
        <f t="shared" si="99"/>
        <v>0</v>
      </c>
      <c r="Q124" s="1">
        <f t="shared" si="99"/>
        <v>0</v>
      </c>
      <c r="R124" s="1">
        <f t="shared" si="99"/>
        <v>0</v>
      </c>
      <c r="S124" s="1">
        <f t="shared" si="99"/>
        <v>0</v>
      </c>
      <c r="T124" s="1">
        <f t="shared" si="99"/>
        <v>0</v>
      </c>
    </row>
    <row r="125" spans="2:20" ht="13.5" customHeight="1">
      <c r="D125" s="1" t="s">
        <v>334</v>
      </c>
      <c r="K125" s="1">
        <f>(K$123&lt;=$G$131)*$I$131+(K$123&gt;$F$132)*(K$123&lt;=$G$132)*$I$132+(K$123&gt;$F$133)*$I$133</f>
        <v>0</v>
      </c>
      <c r="L125" s="1">
        <f t="shared" ref="L125:T125" si="100">(L$123&lt;=$G$131)*$I$131+(L$123&gt;$F$132)*(L$123&lt;=$G$132)*$I$132+(L$123&gt;$F$133)*$I$133</f>
        <v>0</v>
      </c>
      <c r="M125" s="1">
        <f t="shared" si="100"/>
        <v>0</v>
      </c>
      <c r="N125" s="1">
        <f t="shared" si="100"/>
        <v>0</v>
      </c>
      <c r="O125" s="1">
        <f t="shared" si="100"/>
        <v>0</v>
      </c>
      <c r="P125" s="1">
        <f t="shared" si="100"/>
        <v>0</v>
      </c>
      <c r="Q125" s="1">
        <f t="shared" si="100"/>
        <v>0</v>
      </c>
      <c r="R125" s="1">
        <f t="shared" si="100"/>
        <v>0</v>
      </c>
      <c r="S125" s="1">
        <f t="shared" si="100"/>
        <v>0</v>
      </c>
      <c r="T125" s="1">
        <f t="shared" si="100"/>
        <v>0</v>
      </c>
    </row>
    <row r="126" spans="2:20" ht="13.5" customHeight="1">
      <c r="D126" s="42" t="s">
        <v>335</v>
      </c>
      <c r="E126" s="42"/>
      <c r="F126" s="42"/>
      <c r="G126" s="42"/>
      <c r="H126" s="42"/>
      <c r="I126" s="42"/>
      <c r="J126" s="42"/>
      <c r="K126" s="145">
        <f>(K$123&lt;=$G$131)*$J$131+(K$123&gt;$F$132)*(K$123&lt;=$G$132)*$J$132+(K$123&gt;$F$133)*$J$133</f>
        <v>5.0000000000000001E-3</v>
      </c>
      <c r="L126" s="145">
        <f t="shared" ref="L126:T126" si="101">(L$123&lt;=$G$131)*$J$131+(L$123&gt;$F$132)*(L$123&lt;=$G$132)*$J$132+(L$123&gt;$F$133)*$J$133</f>
        <v>5.0000000000000001E-3</v>
      </c>
      <c r="M126" s="145">
        <f t="shared" si="101"/>
        <v>5.0000000000000001E-3</v>
      </c>
      <c r="N126" s="145">
        <f t="shared" si="101"/>
        <v>5.0000000000000001E-3</v>
      </c>
      <c r="O126" s="145">
        <f t="shared" si="101"/>
        <v>5.0000000000000001E-3</v>
      </c>
      <c r="P126" s="145">
        <f t="shared" si="101"/>
        <v>5.0000000000000001E-3</v>
      </c>
      <c r="Q126" s="145">
        <f t="shared" si="101"/>
        <v>5.0000000000000001E-3</v>
      </c>
      <c r="R126" s="145">
        <f t="shared" si="101"/>
        <v>5.0000000000000001E-3</v>
      </c>
      <c r="S126" s="145">
        <f t="shared" si="101"/>
        <v>5.0000000000000001E-3</v>
      </c>
      <c r="T126" s="145">
        <f t="shared" si="101"/>
        <v>5.0000000000000001E-3</v>
      </c>
    </row>
    <row r="127" spans="2:20" ht="13.5" customHeight="1">
      <c r="D127" s="1" t="s">
        <v>336</v>
      </c>
      <c r="K127" s="1">
        <f>K124+(K123-K125)*K126</f>
        <v>0</v>
      </c>
      <c r="L127" s="1">
        <f t="shared" ref="L127:T127" si="102">L124+(L123-L125)*L126</f>
        <v>0.21001240999999937</v>
      </c>
      <c r="M127" s="1">
        <f t="shared" si="102"/>
        <v>1.4163127823000015</v>
      </c>
      <c r="N127" s="1">
        <f t="shared" si="102"/>
        <v>2.6588021657690026</v>
      </c>
      <c r="O127" s="1">
        <f t="shared" si="102"/>
        <v>3.9385662307420719</v>
      </c>
      <c r="P127" s="1">
        <f t="shared" si="102"/>
        <v>5.256723217664339</v>
      </c>
      <c r="Q127" s="1">
        <f t="shared" si="102"/>
        <v>6.6144249141942693</v>
      </c>
      <c r="R127" s="1">
        <f t="shared" si="102"/>
        <v>8.0128576616200924</v>
      </c>
      <c r="S127" s="1">
        <f t="shared" si="102"/>
        <v>9.4532433914686962</v>
      </c>
      <c r="T127" s="1">
        <f t="shared" si="102"/>
        <v>10.936840693212753</v>
      </c>
    </row>
    <row r="128" spans="2:20" ht="13.5" customHeight="1">
      <c r="F128" s="17" t="s">
        <v>332</v>
      </c>
    </row>
    <row r="129" spans="3:20" ht="13.5" customHeight="1">
      <c r="F129" s="277" t="s">
        <v>117</v>
      </c>
      <c r="G129" s="276"/>
      <c r="H129" s="275" t="s">
        <v>267</v>
      </c>
      <c r="I129" s="277"/>
      <c r="J129" s="277"/>
    </row>
    <row r="130" spans="3:20" ht="13.5" customHeight="1">
      <c r="F130" s="131" t="s">
        <v>265</v>
      </c>
      <c r="G130" s="26" t="s">
        <v>266</v>
      </c>
      <c r="H130" s="26" t="s">
        <v>268</v>
      </c>
      <c r="I130" s="26" t="s">
        <v>269</v>
      </c>
      <c r="J130" s="27" t="s">
        <v>270</v>
      </c>
    </row>
    <row r="131" spans="3:20" ht="13.5" customHeight="1">
      <c r="F131" s="28"/>
      <c r="G131" s="29">
        <v>20000</v>
      </c>
      <c r="H131" s="29">
        <v>0</v>
      </c>
      <c r="I131" s="29">
        <v>0</v>
      </c>
      <c r="J131" s="148">
        <f>5/1000</f>
        <v>5.0000000000000001E-3</v>
      </c>
    </row>
    <row r="132" spans="3:20" ht="13.5" customHeight="1">
      <c r="F132" s="31">
        <v>20000</v>
      </c>
      <c r="G132" s="32">
        <v>40000</v>
      </c>
      <c r="H132" s="149">
        <v>100</v>
      </c>
      <c r="I132" s="32">
        <v>20000</v>
      </c>
      <c r="J132" s="150">
        <f>6/1000</f>
        <v>6.0000000000000001E-3</v>
      </c>
    </row>
    <row r="133" spans="3:20" ht="13.5" customHeight="1">
      <c r="F133" s="34">
        <v>40000</v>
      </c>
      <c r="G133" s="35"/>
      <c r="H133" s="151">
        <v>220</v>
      </c>
      <c r="I133" s="35">
        <v>40000</v>
      </c>
      <c r="J133" s="152">
        <f>7/1000</f>
        <v>7.0000000000000001E-3</v>
      </c>
    </row>
    <row r="134" spans="3:20" ht="13.5" customHeight="1">
      <c r="D134" s="1" t="s">
        <v>337</v>
      </c>
      <c r="K134" s="1">
        <f>K136+(K135-K137)*K138</f>
        <v>0</v>
      </c>
      <c r="L134" s="1">
        <f t="shared" ref="L134:T134" si="103">L136+(L135-L137)*L138</f>
        <v>5.8803474799999818E-2</v>
      </c>
      <c r="M134" s="1">
        <f t="shared" si="103"/>
        <v>0.39656757904400036</v>
      </c>
      <c r="N134" s="1">
        <f t="shared" si="103"/>
        <v>0.916696909622981</v>
      </c>
      <c r="O134" s="1">
        <f t="shared" si="103"/>
        <v>1.45419781691167</v>
      </c>
      <c r="P134" s="1">
        <f t="shared" si="103"/>
        <v>2.0078237514190223</v>
      </c>
      <c r="Q134" s="1">
        <f t="shared" si="103"/>
        <v>2.5780584639615927</v>
      </c>
      <c r="R134" s="1">
        <f t="shared" si="103"/>
        <v>3.287200290507251</v>
      </c>
      <c r="S134" s="1">
        <f t="shared" si="103"/>
        <v>4.0938162992224685</v>
      </c>
      <c r="T134" s="1">
        <f t="shared" si="103"/>
        <v>4.924630788199142</v>
      </c>
    </row>
    <row r="135" spans="3:20" s="11" customFormat="1" ht="13.5" customHeight="1">
      <c r="E135" s="11" t="s">
        <v>338</v>
      </c>
      <c r="K135" s="11">
        <f>K123*K38</f>
        <v>0</v>
      </c>
      <c r="L135" s="11">
        <f t="shared" ref="L135:T135" si="104">L123*L38</f>
        <v>29.401737399999909</v>
      </c>
      <c r="M135" s="11">
        <f t="shared" si="104"/>
        <v>198.28378952200018</v>
      </c>
      <c r="N135" s="11">
        <f t="shared" si="104"/>
        <v>372.23230320766032</v>
      </c>
      <c r="O135" s="11">
        <f t="shared" si="104"/>
        <v>551.39927230389003</v>
      </c>
      <c r="P135" s="11">
        <f t="shared" si="104"/>
        <v>735.94125047300747</v>
      </c>
      <c r="Q135" s="11">
        <f t="shared" si="104"/>
        <v>926.01948798719764</v>
      </c>
      <c r="R135" s="11">
        <f t="shared" si="104"/>
        <v>1121.8000726268128</v>
      </c>
      <c r="S135" s="11">
        <f t="shared" si="104"/>
        <v>1323.4540748056172</v>
      </c>
      <c r="T135" s="11">
        <f t="shared" si="104"/>
        <v>1531.1576970497854</v>
      </c>
    </row>
    <row r="136" spans="3:20" s="11" customFormat="1" ht="13.5" customHeight="1">
      <c r="E136" s="11" t="s">
        <v>271</v>
      </c>
      <c r="K136" s="162">
        <f t="shared" ref="K136:T136" si="105">(K$135&lt;=$G$46)*$H$46+(K$135&gt;$F$47)*(K$135&lt;=$G$47)*$H$47+(K$135&gt;$F$48)*$H$48</f>
        <v>0</v>
      </c>
      <c r="L136" s="162">
        <f t="shared" si="105"/>
        <v>0</v>
      </c>
      <c r="M136" s="162">
        <f t="shared" si="105"/>
        <v>0</v>
      </c>
      <c r="N136" s="162">
        <f t="shared" si="105"/>
        <v>0.4</v>
      </c>
      <c r="O136" s="162">
        <f t="shared" si="105"/>
        <v>0.4</v>
      </c>
      <c r="P136" s="162">
        <f t="shared" si="105"/>
        <v>0.4</v>
      </c>
      <c r="Q136" s="162">
        <f t="shared" si="105"/>
        <v>0.4</v>
      </c>
      <c r="R136" s="162">
        <f t="shared" si="105"/>
        <v>2.8</v>
      </c>
      <c r="S136" s="162">
        <f t="shared" si="105"/>
        <v>2.8</v>
      </c>
      <c r="T136" s="162">
        <f t="shared" si="105"/>
        <v>2.8</v>
      </c>
    </row>
    <row r="137" spans="3:20" s="11" customFormat="1" ht="13.5" customHeight="1">
      <c r="E137" s="11" t="s">
        <v>272</v>
      </c>
      <c r="K137" s="11">
        <f t="shared" ref="K137:T137" si="106">(K$135&lt;=$G$46)*$I$46+(K$135&gt;$F$47)*(K$135&lt;=$G$47)*$I$47+(K$135&gt;$F$48)*$I$48</f>
        <v>0</v>
      </c>
      <c r="L137" s="11">
        <f t="shared" si="106"/>
        <v>0</v>
      </c>
      <c r="M137" s="11">
        <f t="shared" si="106"/>
        <v>0</v>
      </c>
      <c r="N137" s="11">
        <f t="shared" si="106"/>
        <v>200</v>
      </c>
      <c r="O137" s="11">
        <f t="shared" si="106"/>
        <v>200</v>
      </c>
      <c r="P137" s="11">
        <f t="shared" si="106"/>
        <v>200</v>
      </c>
      <c r="Q137" s="11">
        <f t="shared" si="106"/>
        <v>200</v>
      </c>
      <c r="R137" s="11">
        <f t="shared" si="106"/>
        <v>1000</v>
      </c>
      <c r="S137" s="11">
        <f t="shared" si="106"/>
        <v>1000</v>
      </c>
      <c r="T137" s="11">
        <f t="shared" si="106"/>
        <v>1000</v>
      </c>
    </row>
    <row r="138" spans="3:20" s="11" customFormat="1" ht="13.5" customHeight="1">
      <c r="D138" s="163"/>
      <c r="E138" s="163" t="s">
        <v>273</v>
      </c>
      <c r="F138" s="163"/>
      <c r="G138" s="163"/>
      <c r="H138" s="163"/>
      <c r="I138" s="163"/>
      <c r="J138" s="163"/>
      <c r="K138" s="164">
        <f t="shared" ref="K138:T138" si="107">(K$135&lt;=$G$46)*$J$46+(K$135&gt;$F$47)*(K$135&lt;=$G$47)*$J$47+(K$135&gt;$F$48)*$J$48</f>
        <v>2E-3</v>
      </c>
      <c r="L138" s="164">
        <f t="shared" si="107"/>
        <v>2E-3</v>
      </c>
      <c r="M138" s="164">
        <f t="shared" si="107"/>
        <v>2E-3</v>
      </c>
      <c r="N138" s="164">
        <f t="shared" si="107"/>
        <v>3.0000000000000001E-3</v>
      </c>
      <c r="O138" s="164">
        <f t="shared" si="107"/>
        <v>3.0000000000000001E-3</v>
      </c>
      <c r="P138" s="164">
        <f t="shared" si="107"/>
        <v>3.0000000000000001E-3</v>
      </c>
      <c r="Q138" s="164">
        <f t="shared" si="107"/>
        <v>3.0000000000000001E-3</v>
      </c>
      <c r="R138" s="164">
        <f t="shared" si="107"/>
        <v>4.0000000000000001E-3</v>
      </c>
      <c r="S138" s="164">
        <f t="shared" si="107"/>
        <v>4.0000000000000001E-3</v>
      </c>
      <c r="T138" s="164">
        <f t="shared" si="107"/>
        <v>4.0000000000000001E-3</v>
      </c>
    </row>
    <row r="139" spans="3:20" ht="13.5" customHeight="1">
      <c r="D139" s="147" t="s">
        <v>339</v>
      </c>
      <c r="E139" s="147"/>
      <c r="F139" s="147"/>
      <c r="G139" s="147"/>
      <c r="H139" s="147"/>
      <c r="I139" s="147"/>
      <c r="J139" s="147"/>
      <c r="K139" s="147">
        <f>K127-K134</f>
        <v>0</v>
      </c>
      <c r="L139" s="147">
        <f t="shared" ref="L139:T139" si="108">L127-L134</f>
        <v>0.15120893519999956</v>
      </c>
      <c r="M139" s="147">
        <f t="shared" si="108"/>
        <v>1.019745203256001</v>
      </c>
      <c r="N139" s="147">
        <f t="shared" si="108"/>
        <v>1.7421052561460217</v>
      </c>
      <c r="O139" s="147">
        <f t="shared" si="108"/>
        <v>2.4843684138304019</v>
      </c>
      <c r="P139" s="147">
        <f t="shared" si="108"/>
        <v>3.2488994662453168</v>
      </c>
      <c r="Q139" s="147">
        <f t="shared" si="108"/>
        <v>4.036366450232677</v>
      </c>
      <c r="R139" s="147">
        <f t="shared" si="108"/>
        <v>4.7256573711128418</v>
      </c>
      <c r="S139" s="147">
        <f t="shared" si="108"/>
        <v>5.3594270922462277</v>
      </c>
      <c r="T139" s="147">
        <f t="shared" si="108"/>
        <v>6.0122099050136111</v>
      </c>
    </row>
    <row r="140" spans="3:20" ht="13.5" customHeight="1">
      <c r="D140" s="42" t="s">
        <v>340</v>
      </c>
      <c r="E140" s="42"/>
      <c r="F140" s="42"/>
      <c r="G140" s="141">
        <v>1.5</v>
      </c>
      <c r="H140" s="42"/>
      <c r="I140" s="42"/>
      <c r="J140" s="42"/>
      <c r="K140" s="42"/>
      <c r="L140" s="165">
        <f>K141*$G$140</f>
        <v>0</v>
      </c>
      <c r="M140" s="165">
        <f t="shared" ref="M140:T140" si="109">L141*$G$140</f>
        <v>0.22681340279999934</v>
      </c>
      <c r="N140" s="165">
        <f t="shared" si="109"/>
        <v>0.34022010419999904</v>
      </c>
      <c r="O140" s="165">
        <f t="shared" si="109"/>
        <v>0.51033015629999856</v>
      </c>
      <c r="P140" s="165">
        <f t="shared" si="109"/>
        <v>0.7654952344499979</v>
      </c>
      <c r="Q140" s="165">
        <f t="shared" si="109"/>
        <v>1.148242851674997</v>
      </c>
      <c r="R140" s="165">
        <f t="shared" si="109"/>
        <v>1.7223642775124954</v>
      </c>
      <c r="S140" s="165">
        <f t="shared" si="109"/>
        <v>2.5835464162687432</v>
      </c>
      <c r="T140" s="165">
        <f t="shared" si="109"/>
        <v>3.8753196244031147</v>
      </c>
    </row>
    <row r="141" spans="3:20" ht="13.5" customHeight="1">
      <c r="D141" s="142" t="s">
        <v>341</v>
      </c>
      <c r="E141" s="142"/>
      <c r="F141" s="142"/>
      <c r="G141" s="142"/>
      <c r="H141" s="142"/>
      <c r="I141" s="142"/>
      <c r="J141" s="142"/>
      <c r="K141" s="166">
        <f>K139</f>
        <v>0</v>
      </c>
      <c r="L141" s="167">
        <f>L139</f>
        <v>0.15120893519999956</v>
      </c>
      <c r="M141" s="166">
        <f t="shared" ref="M141:T141" si="110">MIN(M139,M140)</f>
        <v>0.22681340279999934</v>
      </c>
      <c r="N141" s="166">
        <f t="shared" si="110"/>
        <v>0.34022010419999904</v>
      </c>
      <c r="O141" s="166">
        <f t="shared" si="110"/>
        <v>0.51033015629999856</v>
      </c>
      <c r="P141" s="166">
        <f t="shared" si="110"/>
        <v>0.7654952344499979</v>
      </c>
      <c r="Q141" s="166">
        <f t="shared" si="110"/>
        <v>1.148242851674997</v>
      </c>
      <c r="R141" s="166">
        <f t="shared" si="110"/>
        <v>1.7223642775124954</v>
      </c>
      <c r="S141" s="166">
        <f t="shared" si="110"/>
        <v>2.5835464162687432</v>
      </c>
      <c r="T141" s="166">
        <f t="shared" si="110"/>
        <v>3.8753196244031147</v>
      </c>
    </row>
    <row r="142" spans="3:20" ht="13.5" customHeight="1">
      <c r="C142" s="1" t="s">
        <v>342</v>
      </c>
    </row>
    <row r="143" spans="3:20" ht="13.5" customHeight="1">
      <c r="D143" s="1" t="s">
        <v>343</v>
      </c>
      <c r="K143" s="140">
        <v>0.2</v>
      </c>
      <c r="L143" s="140">
        <v>0.2</v>
      </c>
      <c r="M143" s="140">
        <v>0.2</v>
      </c>
      <c r="N143" s="140">
        <v>0.2</v>
      </c>
      <c r="O143" s="140">
        <v>0.2</v>
      </c>
      <c r="P143" s="140">
        <v>0.2</v>
      </c>
      <c r="Q143" s="140">
        <v>0.2</v>
      </c>
      <c r="R143" s="140">
        <v>0.2</v>
      </c>
      <c r="S143" s="140">
        <v>0.2</v>
      </c>
      <c r="T143" s="140">
        <v>0.2</v>
      </c>
    </row>
    <row r="144" spans="3:20" ht="13.5" customHeight="1">
      <c r="D144" s="166" t="s">
        <v>344</v>
      </c>
      <c r="E144" s="166"/>
      <c r="F144" s="166"/>
      <c r="G144" s="166"/>
      <c r="H144" s="166"/>
      <c r="I144" s="166"/>
      <c r="J144" s="166"/>
      <c r="K144" s="166">
        <f>K141*K143</f>
        <v>0</v>
      </c>
      <c r="L144" s="166">
        <f t="shared" ref="L144:T144" si="111">L141*L143</f>
        <v>3.0241787039999912E-2</v>
      </c>
      <c r="M144" s="166">
        <f t="shared" si="111"/>
        <v>4.5362680559999868E-2</v>
      </c>
      <c r="N144" s="166">
        <f t="shared" si="111"/>
        <v>6.8044020839999816E-2</v>
      </c>
      <c r="O144" s="166">
        <f t="shared" si="111"/>
        <v>0.10206603125999972</v>
      </c>
      <c r="P144" s="166">
        <f t="shared" si="111"/>
        <v>0.15309904688999959</v>
      </c>
      <c r="Q144" s="166">
        <f t="shared" si="111"/>
        <v>0.22964857033499941</v>
      </c>
      <c r="R144" s="166">
        <f t="shared" si="111"/>
        <v>0.34447285550249912</v>
      </c>
      <c r="S144" s="166">
        <f t="shared" si="111"/>
        <v>0.51670928325374865</v>
      </c>
      <c r="T144" s="166">
        <f t="shared" si="111"/>
        <v>0.77506392488062303</v>
      </c>
    </row>
    <row r="145" spans="3:20" ht="13.5" customHeight="1">
      <c r="C145" s="168" t="s">
        <v>345</v>
      </c>
      <c r="D145" s="168"/>
      <c r="E145" s="168"/>
      <c r="F145" s="168"/>
      <c r="G145" s="168"/>
      <c r="H145" s="168"/>
      <c r="I145" s="168"/>
      <c r="J145" s="168"/>
      <c r="K145" s="168">
        <f>K141+K144</f>
        <v>0</v>
      </c>
      <c r="L145" s="168">
        <f t="shared" ref="L145:T145" si="112">L141+L144</f>
        <v>0.18145072223999947</v>
      </c>
      <c r="M145" s="168">
        <f t="shared" si="112"/>
        <v>0.27217608335999921</v>
      </c>
      <c r="N145" s="168">
        <f t="shared" si="112"/>
        <v>0.40826412503999887</v>
      </c>
      <c r="O145" s="168">
        <f t="shared" si="112"/>
        <v>0.61239618755999825</v>
      </c>
      <c r="P145" s="168">
        <f t="shared" si="112"/>
        <v>0.91859428133999743</v>
      </c>
      <c r="Q145" s="168">
        <f t="shared" si="112"/>
        <v>1.3778914220099963</v>
      </c>
      <c r="R145" s="168">
        <f t="shared" si="112"/>
        <v>2.0668371330149946</v>
      </c>
      <c r="S145" s="168">
        <f t="shared" si="112"/>
        <v>3.1002556995224917</v>
      </c>
      <c r="T145" s="168">
        <f t="shared" si="112"/>
        <v>4.6503835492837382</v>
      </c>
    </row>
    <row r="147" spans="3:20" ht="13.5" customHeight="1">
      <c r="C147" s="10" t="s">
        <v>283</v>
      </c>
      <c r="D147" s="10"/>
      <c r="E147" s="10"/>
      <c r="F147" s="10"/>
      <c r="G147" s="10"/>
      <c r="H147" s="10"/>
      <c r="I147" s="10"/>
      <c r="J147" s="10"/>
      <c r="K147" s="154">
        <f>DATE(K8,$F$118,30)</f>
        <v>44377</v>
      </c>
      <c r="L147" s="154">
        <f t="shared" ref="L147:T147" si="113">DATE(L8,$F$118,30)</f>
        <v>44742</v>
      </c>
      <c r="M147" s="154">
        <f t="shared" si="113"/>
        <v>45107</v>
      </c>
      <c r="N147" s="154">
        <f t="shared" si="113"/>
        <v>45473</v>
      </c>
      <c r="O147" s="154">
        <f t="shared" si="113"/>
        <v>45838</v>
      </c>
      <c r="P147" s="154">
        <f t="shared" si="113"/>
        <v>46203</v>
      </c>
      <c r="Q147" s="154">
        <f t="shared" si="113"/>
        <v>46568</v>
      </c>
      <c r="R147" s="154">
        <f t="shared" si="113"/>
        <v>46934</v>
      </c>
      <c r="S147" s="154">
        <f t="shared" si="113"/>
        <v>47299</v>
      </c>
      <c r="T147" s="154">
        <f t="shared" si="113"/>
        <v>47664</v>
      </c>
    </row>
    <row r="148" spans="3:20" ht="13.5" customHeight="1">
      <c r="C148" s="7" t="s">
        <v>323</v>
      </c>
      <c r="D148" s="7"/>
      <c r="E148" s="7"/>
      <c r="F148" s="7"/>
      <c r="G148" s="155"/>
      <c r="H148" s="7"/>
      <c r="I148" s="7"/>
      <c r="J148" s="7"/>
      <c r="K148" s="169">
        <f>IF($G$63=1,0,K145)</f>
        <v>0</v>
      </c>
      <c r="L148" s="169">
        <f t="shared" ref="L148:T148" si="114">IF($G$63=1,0,L145)</f>
        <v>0.18145072223999947</v>
      </c>
      <c r="M148" s="169">
        <f t="shared" si="114"/>
        <v>0.27217608335999921</v>
      </c>
      <c r="N148" s="169">
        <f t="shared" si="114"/>
        <v>0.40826412503999887</v>
      </c>
      <c r="O148" s="169">
        <f t="shared" si="114"/>
        <v>0.61239618755999825</v>
      </c>
      <c r="P148" s="169">
        <f t="shared" si="114"/>
        <v>0.91859428133999743</v>
      </c>
      <c r="Q148" s="169">
        <f t="shared" si="114"/>
        <v>1.3778914220099963</v>
      </c>
      <c r="R148" s="169">
        <f t="shared" si="114"/>
        <v>2.0668371330149946</v>
      </c>
      <c r="S148" s="169">
        <f t="shared" si="114"/>
        <v>3.1002556995224917</v>
      </c>
      <c r="T148" s="169">
        <f t="shared" si="114"/>
        <v>4.6503835492837382</v>
      </c>
    </row>
  </sheetData>
  <mergeCells count="6">
    <mergeCell ref="F44:G44"/>
    <mergeCell ref="H44:J44"/>
    <mergeCell ref="F100:G100"/>
    <mergeCell ref="H100:J100"/>
    <mergeCell ref="F129:G129"/>
    <mergeCell ref="H129:J129"/>
  </mergeCells>
  <phoneticPr fontId="2" type="noConversion"/>
  <printOptions horizontalCentered="1"/>
  <pageMargins left="0.31496062992125984" right="0.31496062992125984" top="0.55118110236220474" bottom="0.55118110236220474" header="0.31496062992125984" footer="0.31496062992125984"/>
  <pageSetup paperSize="8" scale="70" orientation="landscape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Drop Down 1">
              <controlPr defaultSize="0" autoLine="0" autoPict="0">
                <anchor moveWithCells="1">
                  <from>
                    <xdr:col>5</xdr:col>
                    <xdr:colOff>200025</xdr:colOff>
                    <xdr:row>25</xdr:row>
                    <xdr:rowOff>142875</xdr:rowOff>
                  </from>
                  <to>
                    <xdr:col>8</xdr:col>
                    <xdr:colOff>19050</xdr:colOff>
                    <xdr:row>27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A58A61-ADC5-493C-BBDD-6948C2FB85B3}">
  <sheetPr codeName="Sheet5"/>
  <dimension ref="A2:BZ33"/>
  <sheetViews>
    <sheetView showGridLines="0" workbookViewId="0">
      <selection activeCell="J34" sqref="J34"/>
    </sheetView>
  </sheetViews>
  <sheetFormatPr defaultRowHeight="13.5" customHeight="1" outlineLevelRow="1"/>
  <cols>
    <col min="1" max="1" width="2.5" style="1" customWidth="1"/>
    <col min="2" max="2" width="5" style="1" customWidth="1"/>
    <col min="3" max="6" width="9" style="1"/>
    <col min="7" max="7" width="4.25" style="1" customWidth="1"/>
    <col min="8" max="29" width="9" style="1"/>
    <col min="30" max="30" width="9.75" style="1" bestFit="1" customWidth="1"/>
    <col min="31" max="16384" width="9" style="1"/>
  </cols>
  <sheetData>
    <row r="2" spans="1:78" ht="13.5" customHeight="1">
      <c r="A2" s="14" t="s">
        <v>0</v>
      </c>
      <c r="AB2" s="3" t="s">
        <v>1</v>
      </c>
      <c r="AC2" s="6" t="s">
        <v>4</v>
      </c>
      <c r="AD2" s="9" t="s">
        <v>7</v>
      </c>
    </row>
    <row r="3" spans="1:78" ht="13.5" customHeight="1">
      <c r="AB3" s="4" t="s">
        <v>2</v>
      </c>
      <c r="AC3" s="7" t="s">
        <v>5</v>
      </c>
      <c r="AD3" s="10" t="s">
        <v>8</v>
      </c>
    </row>
    <row r="4" spans="1:78" ht="13.5" customHeight="1">
      <c r="AB4" s="5" t="s">
        <v>3</v>
      </c>
      <c r="AC4" s="8" t="s">
        <v>6</v>
      </c>
      <c r="AD4" s="11" t="s">
        <v>9</v>
      </c>
    </row>
    <row r="5" spans="1:78" s="2" customFormat="1" ht="13.5" customHeight="1" thickBot="1"/>
    <row r="6" spans="1:78" ht="13.5" customHeight="1" thickTop="1">
      <c r="A6" s="1" t="s">
        <v>10</v>
      </c>
      <c r="AD6" s="12">
        <v>44381</v>
      </c>
    </row>
    <row r="7" spans="1:78" ht="13.5" customHeight="1">
      <c r="A7" s="13" t="s">
        <v>15</v>
      </c>
    </row>
    <row r="8" spans="1:78" ht="13.5" customHeight="1" outlineLevel="1">
      <c r="H8" s="87" t="s">
        <v>54</v>
      </c>
      <c r="I8" s="88">
        <v>1</v>
      </c>
      <c r="J8" s="88">
        <v>2</v>
      </c>
      <c r="K8" s="88">
        <v>3</v>
      </c>
      <c r="L8" s="88">
        <v>4</v>
      </c>
      <c r="M8" s="88">
        <v>5</v>
      </c>
      <c r="N8" s="88">
        <v>6</v>
      </c>
      <c r="O8" s="88">
        <v>7</v>
      </c>
      <c r="P8" s="88">
        <v>8</v>
      </c>
      <c r="Q8" s="88">
        <v>9</v>
      </c>
      <c r="R8" s="88">
        <v>10</v>
      </c>
    </row>
    <row r="9" spans="1:78" ht="13.5" customHeight="1" outlineLevel="1">
      <c r="H9" s="87" t="s">
        <v>74</v>
      </c>
      <c r="I9" s="89">
        <f>start</f>
        <v>44316</v>
      </c>
      <c r="J9" s="89">
        <f>EOMONTH(I10,1)</f>
        <v>44500</v>
      </c>
      <c r="K9" s="89">
        <f t="shared" ref="K9:R9" si="0">EOMONTH(J10,1)</f>
        <v>44681</v>
      </c>
      <c r="L9" s="89">
        <f t="shared" si="0"/>
        <v>44865</v>
      </c>
      <c r="M9" s="89">
        <f t="shared" si="0"/>
        <v>45046</v>
      </c>
      <c r="N9" s="89">
        <f t="shared" si="0"/>
        <v>45230</v>
      </c>
      <c r="O9" s="89">
        <f t="shared" si="0"/>
        <v>45412</v>
      </c>
      <c r="P9" s="89">
        <f t="shared" si="0"/>
        <v>45596</v>
      </c>
      <c r="Q9" s="89">
        <f t="shared" si="0"/>
        <v>45777</v>
      </c>
      <c r="R9" s="89">
        <f t="shared" si="0"/>
        <v>45961</v>
      </c>
    </row>
    <row r="10" spans="1:78" ht="13.5" customHeight="1" outlineLevel="1">
      <c r="H10" s="87" t="s">
        <v>75</v>
      </c>
      <c r="I10" s="89">
        <f t="shared" ref="I10:R10" si="1">EOMONTH(I9,period-1)</f>
        <v>44469</v>
      </c>
      <c r="J10" s="89">
        <f t="shared" si="1"/>
        <v>44651</v>
      </c>
      <c r="K10" s="89">
        <f t="shared" si="1"/>
        <v>44834</v>
      </c>
      <c r="L10" s="89">
        <f t="shared" si="1"/>
        <v>45016</v>
      </c>
      <c r="M10" s="89">
        <f t="shared" si="1"/>
        <v>45199</v>
      </c>
      <c r="N10" s="89">
        <f t="shared" si="1"/>
        <v>45382</v>
      </c>
      <c r="O10" s="89">
        <f t="shared" si="1"/>
        <v>45565</v>
      </c>
      <c r="P10" s="89">
        <f t="shared" si="1"/>
        <v>45747</v>
      </c>
      <c r="Q10" s="89">
        <f t="shared" si="1"/>
        <v>45930</v>
      </c>
      <c r="R10" s="89">
        <f t="shared" si="1"/>
        <v>46112</v>
      </c>
    </row>
    <row r="11" spans="1:78" s="11" customFormat="1" ht="13.5" customHeight="1" outlineLevel="1">
      <c r="F11" s="11" t="s">
        <v>152</v>
      </c>
      <c r="H11" s="11">
        <f t="shared" ref="H11:BS11" si="2">(H15&gt;=start)*(H15&lt;=exit)*1</f>
        <v>0</v>
      </c>
      <c r="I11" s="11">
        <f t="shared" si="2"/>
        <v>1</v>
      </c>
      <c r="J11" s="11">
        <f t="shared" si="2"/>
        <v>1</v>
      </c>
      <c r="K11" s="11">
        <f t="shared" si="2"/>
        <v>1</v>
      </c>
      <c r="L11" s="11">
        <f t="shared" si="2"/>
        <v>1</v>
      </c>
      <c r="M11" s="11">
        <f t="shared" si="2"/>
        <v>1</v>
      </c>
      <c r="N11" s="11">
        <f t="shared" si="2"/>
        <v>1</v>
      </c>
      <c r="O11" s="11">
        <f t="shared" si="2"/>
        <v>1</v>
      </c>
      <c r="P11" s="11">
        <f t="shared" si="2"/>
        <v>1</v>
      </c>
      <c r="Q11" s="11">
        <f t="shared" si="2"/>
        <v>1</v>
      </c>
      <c r="R11" s="11">
        <f t="shared" si="2"/>
        <v>1</v>
      </c>
      <c r="S11" s="11">
        <f t="shared" si="2"/>
        <v>1</v>
      </c>
      <c r="T11" s="11">
        <f t="shared" si="2"/>
        <v>1</v>
      </c>
      <c r="U11" s="11">
        <f t="shared" si="2"/>
        <v>1</v>
      </c>
      <c r="V11" s="11">
        <f t="shared" si="2"/>
        <v>1</v>
      </c>
      <c r="W11" s="11">
        <f t="shared" si="2"/>
        <v>1</v>
      </c>
      <c r="X11" s="11">
        <f t="shared" si="2"/>
        <v>1</v>
      </c>
      <c r="Y11" s="11">
        <f t="shared" si="2"/>
        <v>1</v>
      </c>
      <c r="Z11" s="11">
        <f t="shared" si="2"/>
        <v>1</v>
      </c>
      <c r="AA11" s="11">
        <f t="shared" si="2"/>
        <v>1</v>
      </c>
      <c r="AB11" s="11">
        <f t="shared" si="2"/>
        <v>1</v>
      </c>
      <c r="AC11" s="11">
        <f t="shared" si="2"/>
        <v>1</v>
      </c>
      <c r="AD11" s="11">
        <f t="shared" si="2"/>
        <v>1</v>
      </c>
      <c r="AE11" s="11">
        <f t="shared" si="2"/>
        <v>1</v>
      </c>
      <c r="AF11" s="11">
        <f t="shared" si="2"/>
        <v>1</v>
      </c>
      <c r="AG11" s="11">
        <f t="shared" si="2"/>
        <v>1</v>
      </c>
      <c r="AH11" s="11">
        <f t="shared" si="2"/>
        <v>1</v>
      </c>
      <c r="AI11" s="11">
        <f t="shared" si="2"/>
        <v>1</v>
      </c>
      <c r="AJ11" s="11">
        <f t="shared" si="2"/>
        <v>1</v>
      </c>
      <c r="AK11" s="11">
        <f t="shared" si="2"/>
        <v>1</v>
      </c>
      <c r="AL11" s="11">
        <f t="shared" si="2"/>
        <v>1</v>
      </c>
      <c r="AM11" s="11">
        <f t="shared" si="2"/>
        <v>1</v>
      </c>
      <c r="AN11" s="11">
        <f t="shared" si="2"/>
        <v>1</v>
      </c>
      <c r="AO11" s="11">
        <f t="shared" si="2"/>
        <v>1</v>
      </c>
      <c r="AP11" s="11">
        <f t="shared" si="2"/>
        <v>1</v>
      </c>
      <c r="AQ11" s="11">
        <f t="shared" si="2"/>
        <v>1</v>
      </c>
      <c r="AR11" s="11">
        <f t="shared" si="2"/>
        <v>1</v>
      </c>
      <c r="AS11" s="11">
        <f t="shared" si="2"/>
        <v>1</v>
      </c>
      <c r="AT11" s="11">
        <f t="shared" si="2"/>
        <v>1</v>
      </c>
      <c r="AU11" s="11">
        <f t="shared" si="2"/>
        <v>1</v>
      </c>
      <c r="AV11" s="11">
        <f t="shared" si="2"/>
        <v>1</v>
      </c>
      <c r="AW11" s="11">
        <f t="shared" si="2"/>
        <v>1</v>
      </c>
      <c r="AX11" s="11">
        <f t="shared" si="2"/>
        <v>1</v>
      </c>
      <c r="AY11" s="11">
        <f t="shared" si="2"/>
        <v>1</v>
      </c>
      <c r="AZ11" s="11">
        <f t="shared" si="2"/>
        <v>1</v>
      </c>
      <c r="BA11" s="11">
        <f t="shared" si="2"/>
        <v>1</v>
      </c>
      <c r="BB11" s="11">
        <f t="shared" si="2"/>
        <v>1</v>
      </c>
      <c r="BC11" s="11">
        <f t="shared" si="2"/>
        <v>1</v>
      </c>
      <c r="BD11" s="11">
        <f t="shared" si="2"/>
        <v>1</v>
      </c>
      <c r="BE11" s="11">
        <f t="shared" si="2"/>
        <v>1</v>
      </c>
      <c r="BF11" s="11">
        <f t="shared" si="2"/>
        <v>1</v>
      </c>
      <c r="BG11" s="11">
        <f t="shared" si="2"/>
        <v>1</v>
      </c>
      <c r="BH11" s="11">
        <f t="shared" si="2"/>
        <v>1</v>
      </c>
      <c r="BI11" s="11">
        <f t="shared" si="2"/>
        <v>1</v>
      </c>
      <c r="BJ11" s="11">
        <f t="shared" si="2"/>
        <v>1</v>
      </c>
      <c r="BK11" s="11">
        <f t="shared" si="2"/>
        <v>1</v>
      </c>
      <c r="BL11" s="11">
        <f t="shared" si="2"/>
        <v>1</v>
      </c>
      <c r="BM11" s="11">
        <f t="shared" si="2"/>
        <v>1</v>
      </c>
      <c r="BN11" s="11">
        <f t="shared" si="2"/>
        <v>1</v>
      </c>
      <c r="BO11" s="11">
        <f t="shared" si="2"/>
        <v>1</v>
      </c>
      <c r="BP11" s="11">
        <f t="shared" si="2"/>
        <v>1</v>
      </c>
      <c r="BQ11" s="11">
        <f t="shared" si="2"/>
        <v>0</v>
      </c>
      <c r="BR11" s="11">
        <f t="shared" si="2"/>
        <v>0</v>
      </c>
      <c r="BS11" s="11">
        <f t="shared" si="2"/>
        <v>0</v>
      </c>
      <c r="BT11" s="11">
        <f t="shared" ref="BT11:BZ11" si="3">(BT15&gt;=start)*(BT15&lt;=exit)*1</f>
        <v>0</v>
      </c>
      <c r="BU11" s="11">
        <f t="shared" si="3"/>
        <v>0</v>
      </c>
      <c r="BV11" s="11">
        <f t="shared" si="3"/>
        <v>0</v>
      </c>
      <c r="BW11" s="11">
        <f t="shared" si="3"/>
        <v>0</v>
      </c>
      <c r="BX11" s="11">
        <f t="shared" si="3"/>
        <v>0</v>
      </c>
      <c r="BY11" s="11">
        <f t="shared" si="3"/>
        <v>0</v>
      </c>
      <c r="BZ11" s="11">
        <f t="shared" si="3"/>
        <v>0</v>
      </c>
    </row>
    <row r="12" spans="1:78" s="11" customFormat="1" ht="13.5" customHeight="1" outlineLevel="1">
      <c r="F12" s="11" t="s">
        <v>153</v>
      </c>
      <c r="H12" s="11">
        <f>SUM($H$11:H11)*H11</f>
        <v>0</v>
      </c>
      <c r="I12" s="11">
        <f>SUM($H$11:I11)*I11</f>
        <v>1</v>
      </c>
      <c r="J12" s="11">
        <f>SUM($H$11:J11)*J11</f>
        <v>2</v>
      </c>
      <c r="K12" s="11">
        <f>SUM($H$11:K11)*K11</f>
        <v>3</v>
      </c>
      <c r="L12" s="11">
        <f>SUM($H$11:L11)*L11</f>
        <v>4</v>
      </c>
      <c r="M12" s="11">
        <f>SUM($H$11:M11)*M11</f>
        <v>5</v>
      </c>
      <c r="N12" s="11">
        <f>SUM($H$11:N11)*N11</f>
        <v>6</v>
      </c>
      <c r="O12" s="11">
        <f>SUM($H$11:O11)*O11</f>
        <v>7</v>
      </c>
      <c r="P12" s="11">
        <f>SUM($H$11:P11)*P11</f>
        <v>8</v>
      </c>
      <c r="Q12" s="11">
        <f>SUM($H$11:Q11)*Q11</f>
        <v>9</v>
      </c>
      <c r="R12" s="11">
        <f>SUM($H$11:R11)*R11</f>
        <v>10</v>
      </c>
      <c r="S12" s="11">
        <f>SUM($H$11:S11)*S11</f>
        <v>11</v>
      </c>
      <c r="T12" s="11">
        <f>SUM($H$11:T11)*T11</f>
        <v>12</v>
      </c>
      <c r="U12" s="11">
        <f>SUM($H$11:U11)*U11</f>
        <v>13</v>
      </c>
      <c r="V12" s="11">
        <f>SUM($H$11:V11)*V11</f>
        <v>14</v>
      </c>
      <c r="W12" s="11">
        <f>SUM($H$11:W11)*W11</f>
        <v>15</v>
      </c>
      <c r="X12" s="11">
        <f>SUM($H$11:X11)*X11</f>
        <v>16</v>
      </c>
      <c r="Y12" s="11">
        <f>SUM($H$11:Y11)*Y11</f>
        <v>17</v>
      </c>
      <c r="Z12" s="11">
        <f>SUM($H$11:Z11)*Z11</f>
        <v>18</v>
      </c>
      <c r="AA12" s="11">
        <f>SUM($H$11:AA11)*AA11</f>
        <v>19</v>
      </c>
      <c r="AB12" s="11">
        <f>SUM($H$11:AB11)*AB11</f>
        <v>20</v>
      </c>
      <c r="AC12" s="11">
        <f>SUM($H$11:AC11)*AC11</f>
        <v>21</v>
      </c>
      <c r="AD12" s="11">
        <f>SUM($H$11:AD11)*AD11</f>
        <v>22</v>
      </c>
      <c r="AE12" s="11">
        <f>SUM($H$11:AE11)*AE11</f>
        <v>23</v>
      </c>
      <c r="AF12" s="11">
        <f>SUM($H$11:AF11)*AF11</f>
        <v>24</v>
      </c>
      <c r="AG12" s="11">
        <f>SUM($H$11:AG11)*AG11</f>
        <v>25</v>
      </c>
      <c r="AH12" s="11">
        <f>SUM($H$11:AH11)*AH11</f>
        <v>26</v>
      </c>
      <c r="AI12" s="11">
        <f>SUM($H$11:AI11)*AI11</f>
        <v>27</v>
      </c>
      <c r="AJ12" s="11">
        <f>SUM($H$11:AJ11)*AJ11</f>
        <v>28</v>
      </c>
      <c r="AK12" s="11">
        <f>SUM($H$11:AK11)*AK11</f>
        <v>29</v>
      </c>
      <c r="AL12" s="11">
        <f>SUM($H$11:AL11)*AL11</f>
        <v>30</v>
      </c>
      <c r="AM12" s="11">
        <f>SUM($H$11:AM11)*AM11</f>
        <v>31</v>
      </c>
      <c r="AN12" s="11">
        <f>SUM($H$11:AN11)*AN11</f>
        <v>32</v>
      </c>
      <c r="AO12" s="11">
        <f>SUM($H$11:AO11)*AO11</f>
        <v>33</v>
      </c>
      <c r="AP12" s="11">
        <f>SUM($H$11:AP11)*AP11</f>
        <v>34</v>
      </c>
      <c r="AQ12" s="11">
        <f>SUM($H$11:AQ11)*AQ11</f>
        <v>35</v>
      </c>
      <c r="AR12" s="11">
        <f>SUM($H$11:AR11)*AR11</f>
        <v>36</v>
      </c>
      <c r="AS12" s="11">
        <f>SUM($H$11:AS11)*AS11</f>
        <v>37</v>
      </c>
      <c r="AT12" s="11">
        <f>SUM($H$11:AT11)*AT11</f>
        <v>38</v>
      </c>
      <c r="AU12" s="11">
        <f>SUM($H$11:AU11)*AU11</f>
        <v>39</v>
      </c>
      <c r="AV12" s="11">
        <f>SUM($H$11:AV11)*AV11</f>
        <v>40</v>
      </c>
      <c r="AW12" s="11">
        <f>SUM($H$11:AW11)*AW11</f>
        <v>41</v>
      </c>
      <c r="AX12" s="11">
        <f>SUM($H$11:AX11)*AX11</f>
        <v>42</v>
      </c>
      <c r="AY12" s="11">
        <f>SUM($H$11:AY11)*AY11</f>
        <v>43</v>
      </c>
      <c r="AZ12" s="11">
        <f>SUM($H$11:AZ11)*AZ11</f>
        <v>44</v>
      </c>
      <c r="BA12" s="11">
        <f>SUM($H$11:BA11)*BA11</f>
        <v>45</v>
      </c>
      <c r="BB12" s="11">
        <f>SUM($H$11:BB11)*BB11</f>
        <v>46</v>
      </c>
      <c r="BC12" s="11">
        <f>SUM($H$11:BC11)*BC11</f>
        <v>47</v>
      </c>
      <c r="BD12" s="11">
        <f>SUM($H$11:BD11)*BD11</f>
        <v>48</v>
      </c>
      <c r="BE12" s="11">
        <f>SUM($H$11:BE11)*BE11</f>
        <v>49</v>
      </c>
      <c r="BF12" s="11">
        <f>SUM($H$11:BF11)*BF11</f>
        <v>50</v>
      </c>
      <c r="BG12" s="11">
        <f>SUM($H$11:BG11)*BG11</f>
        <v>51</v>
      </c>
      <c r="BH12" s="11">
        <f>SUM($H$11:BH11)*BH11</f>
        <v>52</v>
      </c>
      <c r="BI12" s="11">
        <f>SUM($H$11:BI11)*BI11</f>
        <v>53</v>
      </c>
      <c r="BJ12" s="11">
        <f>SUM($H$11:BJ11)*BJ11</f>
        <v>54</v>
      </c>
      <c r="BK12" s="11">
        <f>SUM($H$11:BK11)*BK11</f>
        <v>55</v>
      </c>
      <c r="BL12" s="11">
        <f>SUM($H$11:BL11)*BL11</f>
        <v>56</v>
      </c>
      <c r="BM12" s="11">
        <f>SUM($H$11:BM11)*BM11</f>
        <v>57</v>
      </c>
      <c r="BN12" s="11">
        <f>SUM($H$11:BN11)*BN11</f>
        <v>58</v>
      </c>
      <c r="BO12" s="11">
        <f>SUM($H$11:BO11)*BO11</f>
        <v>59</v>
      </c>
      <c r="BP12" s="11">
        <f>SUM($H$11:BP11)*BP11</f>
        <v>60</v>
      </c>
      <c r="BQ12" s="11">
        <f>SUM($H$11:BQ11)*BQ11</f>
        <v>0</v>
      </c>
      <c r="BR12" s="11">
        <f>SUM($H$11:BR11)*BR11</f>
        <v>0</v>
      </c>
      <c r="BS12" s="11">
        <f>SUM($H$11:BS11)*BS11</f>
        <v>0</v>
      </c>
      <c r="BT12" s="11">
        <f>SUM($H$11:BT11)*BT11</f>
        <v>0</v>
      </c>
      <c r="BU12" s="11">
        <f>SUM($H$11:BU11)*BU11</f>
        <v>0</v>
      </c>
      <c r="BV12" s="11">
        <f>SUM($H$11:BV11)*BV11</f>
        <v>0</v>
      </c>
      <c r="BW12" s="11">
        <f>SUM($H$11:BW11)*BW11</f>
        <v>0</v>
      </c>
      <c r="BX12" s="11">
        <f>SUM($H$11:BX11)*BX11</f>
        <v>0</v>
      </c>
      <c r="BY12" s="11">
        <f>SUM($H$11:BY11)*BY11</f>
        <v>0</v>
      </c>
      <c r="BZ12" s="11">
        <f>SUM($H$11:BZ11)*BZ11</f>
        <v>0</v>
      </c>
    </row>
    <row r="13" spans="1:78" s="11" customFormat="1" ht="13.5" customHeight="1" outlineLevel="1">
      <c r="D13" s="172">
        <f>MONTH(I10)</f>
        <v>9</v>
      </c>
      <c r="E13" s="172">
        <f>MONTH(J10)</f>
        <v>3</v>
      </c>
      <c r="F13" s="11" t="s">
        <v>361</v>
      </c>
      <c r="H13" s="11">
        <f>((MONTH(H15)=$D$13)*1+(MONTH(H15)=$E$13)*1)*H11</f>
        <v>0</v>
      </c>
      <c r="I13" s="11">
        <f t="shared" ref="I13:BT13" si="4">((MONTH(I15)=$D$13)*1+(MONTH(I15)=$E$13)*1)*I11</f>
        <v>0</v>
      </c>
      <c r="J13" s="11">
        <f t="shared" si="4"/>
        <v>0</v>
      </c>
      <c r="K13" s="11">
        <f t="shared" si="4"/>
        <v>0</v>
      </c>
      <c r="L13" s="11">
        <f t="shared" si="4"/>
        <v>0</v>
      </c>
      <c r="M13" s="11">
        <f t="shared" si="4"/>
        <v>0</v>
      </c>
      <c r="N13" s="11">
        <f t="shared" si="4"/>
        <v>1</v>
      </c>
      <c r="O13" s="11">
        <f t="shared" si="4"/>
        <v>0</v>
      </c>
      <c r="P13" s="11">
        <f t="shared" si="4"/>
        <v>0</v>
      </c>
      <c r="Q13" s="11">
        <f t="shared" si="4"/>
        <v>0</v>
      </c>
      <c r="R13" s="11">
        <f t="shared" si="4"/>
        <v>0</v>
      </c>
      <c r="S13" s="11">
        <f t="shared" si="4"/>
        <v>0</v>
      </c>
      <c r="T13" s="11">
        <f t="shared" si="4"/>
        <v>1</v>
      </c>
      <c r="U13" s="11">
        <f t="shared" si="4"/>
        <v>0</v>
      </c>
      <c r="V13" s="11">
        <f t="shared" si="4"/>
        <v>0</v>
      </c>
      <c r="W13" s="11">
        <f t="shared" si="4"/>
        <v>0</v>
      </c>
      <c r="X13" s="11">
        <f t="shared" si="4"/>
        <v>0</v>
      </c>
      <c r="Y13" s="11">
        <f t="shared" si="4"/>
        <v>0</v>
      </c>
      <c r="Z13" s="11">
        <f t="shared" si="4"/>
        <v>1</v>
      </c>
      <c r="AA13" s="11">
        <f t="shared" si="4"/>
        <v>0</v>
      </c>
      <c r="AB13" s="11">
        <f t="shared" si="4"/>
        <v>0</v>
      </c>
      <c r="AC13" s="11">
        <f t="shared" si="4"/>
        <v>0</v>
      </c>
      <c r="AD13" s="11">
        <f t="shared" si="4"/>
        <v>0</v>
      </c>
      <c r="AE13" s="11">
        <f t="shared" si="4"/>
        <v>0</v>
      </c>
      <c r="AF13" s="11">
        <f t="shared" si="4"/>
        <v>1</v>
      </c>
      <c r="AG13" s="11">
        <f t="shared" si="4"/>
        <v>0</v>
      </c>
      <c r="AH13" s="11">
        <f t="shared" si="4"/>
        <v>0</v>
      </c>
      <c r="AI13" s="11">
        <f t="shared" si="4"/>
        <v>0</v>
      </c>
      <c r="AJ13" s="11">
        <f t="shared" si="4"/>
        <v>0</v>
      </c>
      <c r="AK13" s="11">
        <f t="shared" si="4"/>
        <v>0</v>
      </c>
      <c r="AL13" s="11">
        <f t="shared" si="4"/>
        <v>1</v>
      </c>
      <c r="AM13" s="11">
        <f t="shared" si="4"/>
        <v>0</v>
      </c>
      <c r="AN13" s="11">
        <f t="shared" si="4"/>
        <v>0</v>
      </c>
      <c r="AO13" s="11">
        <f t="shared" si="4"/>
        <v>0</v>
      </c>
      <c r="AP13" s="11">
        <f t="shared" si="4"/>
        <v>0</v>
      </c>
      <c r="AQ13" s="11">
        <f t="shared" si="4"/>
        <v>0</v>
      </c>
      <c r="AR13" s="11">
        <f t="shared" si="4"/>
        <v>1</v>
      </c>
      <c r="AS13" s="11">
        <f t="shared" si="4"/>
        <v>0</v>
      </c>
      <c r="AT13" s="11">
        <f t="shared" si="4"/>
        <v>0</v>
      </c>
      <c r="AU13" s="11">
        <f t="shared" si="4"/>
        <v>0</v>
      </c>
      <c r="AV13" s="11">
        <f t="shared" si="4"/>
        <v>0</v>
      </c>
      <c r="AW13" s="11">
        <f t="shared" si="4"/>
        <v>0</v>
      </c>
      <c r="AX13" s="11">
        <f t="shared" si="4"/>
        <v>1</v>
      </c>
      <c r="AY13" s="11">
        <f t="shared" si="4"/>
        <v>0</v>
      </c>
      <c r="AZ13" s="11">
        <f t="shared" si="4"/>
        <v>0</v>
      </c>
      <c r="BA13" s="11">
        <f t="shared" si="4"/>
        <v>0</v>
      </c>
      <c r="BB13" s="11">
        <f t="shared" si="4"/>
        <v>0</v>
      </c>
      <c r="BC13" s="11">
        <f t="shared" si="4"/>
        <v>0</v>
      </c>
      <c r="BD13" s="11">
        <f t="shared" si="4"/>
        <v>1</v>
      </c>
      <c r="BE13" s="11">
        <f t="shared" si="4"/>
        <v>0</v>
      </c>
      <c r="BF13" s="11">
        <f t="shared" si="4"/>
        <v>0</v>
      </c>
      <c r="BG13" s="11">
        <f t="shared" si="4"/>
        <v>0</v>
      </c>
      <c r="BH13" s="11">
        <f t="shared" si="4"/>
        <v>0</v>
      </c>
      <c r="BI13" s="11">
        <f t="shared" si="4"/>
        <v>0</v>
      </c>
      <c r="BJ13" s="11">
        <f t="shared" si="4"/>
        <v>1</v>
      </c>
      <c r="BK13" s="11">
        <f t="shared" si="4"/>
        <v>0</v>
      </c>
      <c r="BL13" s="11">
        <f t="shared" si="4"/>
        <v>0</v>
      </c>
      <c r="BM13" s="11">
        <f t="shared" si="4"/>
        <v>0</v>
      </c>
      <c r="BN13" s="11">
        <f t="shared" si="4"/>
        <v>0</v>
      </c>
      <c r="BO13" s="11">
        <f t="shared" si="4"/>
        <v>0</v>
      </c>
      <c r="BP13" s="11">
        <f t="shared" si="4"/>
        <v>1</v>
      </c>
      <c r="BQ13" s="11">
        <f t="shared" si="4"/>
        <v>0</v>
      </c>
      <c r="BR13" s="11">
        <f t="shared" si="4"/>
        <v>0</v>
      </c>
      <c r="BS13" s="11">
        <f t="shared" si="4"/>
        <v>0</v>
      </c>
      <c r="BT13" s="11">
        <f t="shared" si="4"/>
        <v>0</v>
      </c>
      <c r="BU13" s="11">
        <f t="shared" ref="BU13:BZ13" si="5">((MONTH(BU15)=$D$13)*1+(MONTH(BU15)=$E$13)*1)*BU11</f>
        <v>0</v>
      </c>
      <c r="BV13" s="11">
        <f t="shared" si="5"/>
        <v>0</v>
      </c>
      <c r="BW13" s="11">
        <f t="shared" si="5"/>
        <v>0</v>
      </c>
      <c r="BX13" s="11">
        <f t="shared" si="5"/>
        <v>0</v>
      </c>
      <c r="BY13" s="11">
        <f t="shared" si="5"/>
        <v>0</v>
      </c>
      <c r="BZ13" s="11">
        <f t="shared" si="5"/>
        <v>0</v>
      </c>
    </row>
    <row r="14" spans="1:78" s="11" customFormat="1" ht="13.5" customHeight="1" outlineLevel="1">
      <c r="F14" s="11" t="s">
        <v>154</v>
      </c>
      <c r="H14" s="11">
        <f>(MOD(H12,12)=1)*1</f>
        <v>0</v>
      </c>
      <c r="I14" s="11">
        <f t="shared" ref="I14:BT14" si="6">(MOD(I12,12)=1)*1</f>
        <v>1</v>
      </c>
      <c r="J14" s="11">
        <f t="shared" si="6"/>
        <v>0</v>
      </c>
      <c r="K14" s="11">
        <f t="shared" si="6"/>
        <v>0</v>
      </c>
      <c r="L14" s="11">
        <f t="shared" si="6"/>
        <v>0</v>
      </c>
      <c r="M14" s="11">
        <f t="shared" si="6"/>
        <v>0</v>
      </c>
      <c r="N14" s="11">
        <f t="shared" si="6"/>
        <v>0</v>
      </c>
      <c r="O14" s="11">
        <f t="shared" si="6"/>
        <v>0</v>
      </c>
      <c r="P14" s="11">
        <f t="shared" si="6"/>
        <v>0</v>
      </c>
      <c r="Q14" s="11">
        <f t="shared" si="6"/>
        <v>0</v>
      </c>
      <c r="R14" s="11">
        <f t="shared" si="6"/>
        <v>0</v>
      </c>
      <c r="S14" s="11">
        <f t="shared" si="6"/>
        <v>0</v>
      </c>
      <c r="T14" s="11">
        <f t="shared" si="6"/>
        <v>0</v>
      </c>
      <c r="U14" s="11">
        <f t="shared" si="6"/>
        <v>1</v>
      </c>
      <c r="V14" s="11">
        <f t="shared" si="6"/>
        <v>0</v>
      </c>
      <c r="W14" s="11">
        <f t="shared" si="6"/>
        <v>0</v>
      </c>
      <c r="X14" s="11">
        <f t="shared" si="6"/>
        <v>0</v>
      </c>
      <c r="Y14" s="11">
        <f t="shared" si="6"/>
        <v>0</v>
      </c>
      <c r="Z14" s="11">
        <f t="shared" si="6"/>
        <v>0</v>
      </c>
      <c r="AA14" s="11">
        <f t="shared" si="6"/>
        <v>0</v>
      </c>
      <c r="AB14" s="11">
        <f t="shared" si="6"/>
        <v>0</v>
      </c>
      <c r="AC14" s="11">
        <f t="shared" si="6"/>
        <v>0</v>
      </c>
      <c r="AD14" s="11">
        <f t="shared" si="6"/>
        <v>0</v>
      </c>
      <c r="AE14" s="11">
        <f t="shared" si="6"/>
        <v>0</v>
      </c>
      <c r="AF14" s="11">
        <f t="shared" si="6"/>
        <v>0</v>
      </c>
      <c r="AG14" s="11">
        <f t="shared" si="6"/>
        <v>1</v>
      </c>
      <c r="AH14" s="11">
        <f t="shared" si="6"/>
        <v>0</v>
      </c>
      <c r="AI14" s="11">
        <f t="shared" si="6"/>
        <v>0</v>
      </c>
      <c r="AJ14" s="11">
        <f t="shared" si="6"/>
        <v>0</v>
      </c>
      <c r="AK14" s="11">
        <f t="shared" si="6"/>
        <v>0</v>
      </c>
      <c r="AL14" s="11">
        <f t="shared" si="6"/>
        <v>0</v>
      </c>
      <c r="AM14" s="11">
        <f t="shared" si="6"/>
        <v>0</v>
      </c>
      <c r="AN14" s="11">
        <f t="shared" si="6"/>
        <v>0</v>
      </c>
      <c r="AO14" s="11">
        <f t="shared" si="6"/>
        <v>0</v>
      </c>
      <c r="AP14" s="11">
        <f t="shared" si="6"/>
        <v>0</v>
      </c>
      <c r="AQ14" s="11">
        <f t="shared" si="6"/>
        <v>0</v>
      </c>
      <c r="AR14" s="11">
        <f t="shared" si="6"/>
        <v>0</v>
      </c>
      <c r="AS14" s="11">
        <f t="shared" si="6"/>
        <v>1</v>
      </c>
      <c r="AT14" s="11">
        <f t="shared" si="6"/>
        <v>0</v>
      </c>
      <c r="AU14" s="11">
        <f t="shared" si="6"/>
        <v>0</v>
      </c>
      <c r="AV14" s="11">
        <f t="shared" si="6"/>
        <v>0</v>
      </c>
      <c r="AW14" s="11">
        <f t="shared" si="6"/>
        <v>0</v>
      </c>
      <c r="AX14" s="11">
        <f t="shared" si="6"/>
        <v>0</v>
      </c>
      <c r="AY14" s="11">
        <f t="shared" si="6"/>
        <v>0</v>
      </c>
      <c r="AZ14" s="11">
        <f t="shared" si="6"/>
        <v>0</v>
      </c>
      <c r="BA14" s="11">
        <f t="shared" si="6"/>
        <v>0</v>
      </c>
      <c r="BB14" s="11">
        <f t="shared" si="6"/>
        <v>0</v>
      </c>
      <c r="BC14" s="11">
        <f t="shared" si="6"/>
        <v>0</v>
      </c>
      <c r="BD14" s="11">
        <f t="shared" si="6"/>
        <v>0</v>
      </c>
      <c r="BE14" s="11">
        <f t="shared" si="6"/>
        <v>1</v>
      </c>
      <c r="BF14" s="11">
        <f t="shared" si="6"/>
        <v>0</v>
      </c>
      <c r="BG14" s="11">
        <f t="shared" si="6"/>
        <v>0</v>
      </c>
      <c r="BH14" s="11">
        <f t="shared" si="6"/>
        <v>0</v>
      </c>
      <c r="BI14" s="11">
        <f t="shared" si="6"/>
        <v>0</v>
      </c>
      <c r="BJ14" s="11">
        <f t="shared" si="6"/>
        <v>0</v>
      </c>
      <c r="BK14" s="11">
        <f t="shared" si="6"/>
        <v>0</v>
      </c>
      <c r="BL14" s="11">
        <f t="shared" si="6"/>
        <v>0</v>
      </c>
      <c r="BM14" s="11">
        <f t="shared" si="6"/>
        <v>0</v>
      </c>
      <c r="BN14" s="11">
        <f t="shared" si="6"/>
        <v>0</v>
      </c>
      <c r="BO14" s="11">
        <f t="shared" si="6"/>
        <v>0</v>
      </c>
      <c r="BP14" s="11">
        <f t="shared" si="6"/>
        <v>0</v>
      </c>
      <c r="BQ14" s="11">
        <f t="shared" si="6"/>
        <v>0</v>
      </c>
      <c r="BR14" s="11">
        <f t="shared" si="6"/>
        <v>0</v>
      </c>
      <c r="BS14" s="11">
        <f t="shared" si="6"/>
        <v>0</v>
      </c>
      <c r="BT14" s="11">
        <f t="shared" si="6"/>
        <v>0</v>
      </c>
      <c r="BU14" s="11">
        <f t="shared" ref="BU14:BZ14" si="7">(MOD(BU12,12)=1)*1</f>
        <v>0</v>
      </c>
      <c r="BV14" s="11">
        <f t="shared" si="7"/>
        <v>0</v>
      </c>
      <c r="BW14" s="11">
        <f t="shared" si="7"/>
        <v>0</v>
      </c>
      <c r="BX14" s="11">
        <f t="shared" si="7"/>
        <v>0</v>
      </c>
      <c r="BY14" s="11">
        <f t="shared" si="7"/>
        <v>0</v>
      </c>
      <c r="BZ14" s="11">
        <f t="shared" si="7"/>
        <v>0</v>
      </c>
    </row>
    <row r="15" spans="1:78" ht="13.5" customHeight="1">
      <c r="B15" s="90"/>
      <c r="C15" s="90"/>
      <c r="D15" s="90"/>
      <c r="E15" s="90"/>
      <c r="F15" s="90" t="s">
        <v>149</v>
      </c>
      <c r="G15" s="90"/>
      <c r="H15" s="91">
        <f>acq</f>
        <v>44286</v>
      </c>
      <c r="I15" s="91">
        <f>EOMONTH(H15,1)</f>
        <v>44316</v>
      </c>
      <c r="J15" s="91">
        <f t="shared" ref="J15:BU15" si="8">EOMONTH(I15,1)</f>
        <v>44347</v>
      </c>
      <c r="K15" s="91">
        <f t="shared" si="8"/>
        <v>44377</v>
      </c>
      <c r="L15" s="91">
        <f t="shared" si="8"/>
        <v>44408</v>
      </c>
      <c r="M15" s="91">
        <f t="shared" si="8"/>
        <v>44439</v>
      </c>
      <c r="N15" s="91">
        <f t="shared" si="8"/>
        <v>44469</v>
      </c>
      <c r="O15" s="91">
        <f t="shared" si="8"/>
        <v>44500</v>
      </c>
      <c r="P15" s="91">
        <f t="shared" si="8"/>
        <v>44530</v>
      </c>
      <c r="Q15" s="91">
        <f t="shared" si="8"/>
        <v>44561</v>
      </c>
      <c r="R15" s="91">
        <f t="shared" si="8"/>
        <v>44592</v>
      </c>
      <c r="S15" s="91">
        <f t="shared" si="8"/>
        <v>44620</v>
      </c>
      <c r="T15" s="91">
        <f t="shared" si="8"/>
        <v>44651</v>
      </c>
      <c r="U15" s="91">
        <f t="shared" si="8"/>
        <v>44681</v>
      </c>
      <c r="V15" s="91">
        <f t="shared" si="8"/>
        <v>44712</v>
      </c>
      <c r="W15" s="91">
        <f t="shared" si="8"/>
        <v>44742</v>
      </c>
      <c r="X15" s="91">
        <f t="shared" si="8"/>
        <v>44773</v>
      </c>
      <c r="Y15" s="91">
        <f t="shared" si="8"/>
        <v>44804</v>
      </c>
      <c r="Z15" s="91">
        <f t="shared" si="8"/>
        <v>44834</v>
      </c>
      <c r="AA15" s="91">
        <f t="shared" si="8"/>
        <v>44865</v>
      </c>
      <c r="AB15" s="91">
        <f t="shared" si="8"/>
        <v>44895</v>
      </c>
      <c r="AC15" s="91">
        <f t="shared" si="8"/>
        <v>44926</v>
      </c>
      <c r="AD15" s="91">
        <f t="shared" si="8"/>
        <v>44957</v>
      </c>
      <c r="AE15" s="91">
        <f t="shared" si="8"/>
        <v>44985</v>
      </c>
      <c r="AF15" s="91">
        <f t="shared" si="8"/>
        <v>45016</v>
      </c>
      <c r="AG15" s="91">
        <f t="shared" si="8"/>
        <v>45046</v>
      </c>
      <c r="AH15" s="91">
        <f t="shared" si="8"/>
        <v>45077</v>
      </c>
      <c r="AI15" s="91">
        <f t="shared" si="8"/>
        <v>45107</v>
      </c>
      <c r="AJ15" s="91">
        <f t="shared" si="8"/>
        <v>45138</v>
      </c>
      <c r="AK15" s="91">
        <f t="shared" si="8"/>
        <v>45169</v>
      </c>
      <c r="AL15" s="91">
        <f t="shared" si="8"/>
        <v>45199</v>
      </c>
      <c r="AM15" s="91">
        <f t="shared" si="8"/>
        <v>45230</v>
      </c>
      <c r="AN15" s="91">
        <f t="shared" si="8"/>
        <v>45260</v>
      </c>
      <c r="AO15" s="91">
        <f t="shared" si="8"/>
        <v>45291</v>
      </c>
      <c r="AP15" s="91">
        <f t="shared" si="8"/>
        <v>45322</v>
      </c>
      <c r="AQ15" s="91">
        <f t="shared" si="8"/>
        <v>45351</v>
      </c>
      <c r="AR15" s="91">
        <f t="shared" si="8"/>
        <v>45382</v>
      </c>
      <c r="AS15" s="91">
        <f t="shared" si="8"/>
        <v>45412</v>
      </c>
      <c r="AT15" s="91">
        <f t="shared" si="8"/>
        <v>45443</v>
      </c>
      <c r="AU15" s="91">
        <f t="shared" si="8"/>
        <v>45473</v>
      </c>
      <c r="AV15" s="91">
        <f t="shared" si="8"/>
        <v>45504</v>
      </c>
      <c r="AW15" s="91">
        <f t="shared" si="8"/>
        <v>45535</v>
      </c>
      <c r="AX15" s="91">
        <f t="shared" si="8"/>
        <v>45565</v>
      </c>
      <c r="AY15" s="91">
        <f t="shared" si="8"/>
        <v>45596</v>
      </c>
      <c r="AZ15" s="91">
        <f t="shared" si="8"/>
        <v>45626</v>
      </c>
      <c r="BA15" s="91">
        <f t="shared" si="8"/>
        <v>45657</v>
      </c>
      <c r="BB15" s="91">
        <f t="shared" si="8"/>
        <v>45688</v>
      </c>
      <c r="BC15" s="91">
        <f t="shared" si="8"/>
        <v>45716</v>
      </c>
      <c r="BD15" s="91">
        <f t="shared" si="8"/>
        <v>45747</v>
      </c>
      <c r="BE15" s="91">
        <f t="shared" si="8"/>
        <v>45777</v>
      </c>
      <c r="BF15" s="91">
        <f t="shared" si="8"/>
        <v>45808</v>
      </c>
      <c r="BG15" s="91">
        <f t="shared" si="8"/>
        <v>45838</v>
      </c>
      <c r="BH15" s="91">
        <f t="shared" si="8"/>
        <v>45869</v>
      </c>
      <c r="BI15" s="91">
        <f t="shared" si="8"/>
        <v>45900</v>
      </c>
      <c r="BJ15" s="91">
        <f t="shared" si="8"/>
        <v>45930</v>
      </c>
      <c r="BK15" s="91">
        <f t="shared" si="8"/>
        <v>45961</v>
      </c>
      <c r="BL15" s="91">
        <f t="shared" si="8"/>
        <v>45991</v>
      </c>
      <c r="BM15" s="91">
        <f t="shared" si="8"/>
        <v>46022</v>
      </c>
      <c r="BN15" s="91">
        <f t="shared" si="8"/>
        <v>46053</v>
      </c>
      <c r="BO15" s="91">
        <f t="shared" si="8"/>
        <v>46081</v>
      </c>
      <c r="BP15" s="91">
        <f t="shared" si="8"/>
        <v>46112</v>
      </c>
      <c r="BQ15" s="91">
        <f t="shared" si="8"/>
        <v>46142</v>
      </c>
      <c r="BR15" s="91">
        <f t="shared" si="8"/>
        <v>46173</v>
      </c>
      <c r="BS15" s="91">
        <f t="shared" si="8"/>
        <v>46203</v>
      </c>
      <c r="BT15" s="91">
        <f t="shared" si="8"/>
        <v>46234</v>
      </c>
      <c r="BU15" s="91">
        <f t="shared" si="8"/>
        <v>46265</v>
      </c>
      <c r="BV15" s="91">
        <f t="shared" ref="BV15:BZ15" si="9">EOMONTH(BU15,1)</f>
        <v>46295</v>
      </c>
      <c r="BW15" s="91">
        <f t="shared" si="9"/>
        <v>46326</v>
      </c>
      <c r="BX15" s="91">
        <f t="shared" si="9"/>
        <v>46356</v>
      </c>
      <c r="BY15" s="91">
        <f t="shared" si="9"/>
        <v>46387</v>
      </c>
      <c r="BZ15" s="91">
        <f t="shared" si="9"/>
        <v>46418</v>
      </c>
    </row>
    <row r="16" spans="1:78" ht="13.5" customHeight="1">
      <c r="B16" s="90"/>
      <c r="C16" s="90"/>
      <c r="D16" s="90"/>
      <c r="E16" s="90"/>
      <c r="F16" s="90" t="s">
        <v>150</v>
      </c>
      <c r="G16" s="90"/>
      <c r="H16" s="92">
        <f>SUMIFS($I$8:$R$8,$I$9:$R$9,"&lt;="&amp;H$15,$I$10:$R$10,"&gt;="&amp;H$15)</f>
        <v>0</v>
      </c>
      <c r="I16" s="92">
        <f t="shared" ref="I16:BT16" si="10">SUMIFS($I$8:$R$8,$I$9:$R$9,"&lt;="&amp;I$15,$I$10:$R$10,"&gt;="&amp;I$15)</f>
        <v>1</v>
      </c>
      <c r="J16" s="92">
        <f t="shared" si="10"/>
        <v>1</v>
      </c>
      <c r="K16" s="92">
        <f t="shared" si="10"/>
        <v>1</v>
      </c>
      <c r="L16" s="92">
        <f t="shared" si="10"/>
        <v>1</v>
      </c>
      <c r="M16" s="92">
        <f t="shared" si="10"/>
        <v>1</v>
      </c>
      <c r="N16" s="92">
        <f t="shared" si="10"/>
        <v>1</v>
      </c>
      <c r="O16" s="92">
        <f t="shared" si="10"/>
        <v>2</v>
      </c>
      <c r="P16" s="92">
        <f t="shared" si="10"/>
        <v>2</v>
      </c>
      <c r="Q16" s="92">
        <f t="shared" si="10"/>
        <v>2</v>
      </c>
      <c r="R16" s="92">
        <f t="shared" si="10"/>
        <v>2</v>
      </c>
      <c r="S16" s="92">
        <f t="shared" si="10"/>
        <v>2</v>
      </c>
      <c r="T16" s="92">
        <f t="shared" si="10"/>
        <v>2</v>
      </c>
      <c r="U16" s="92">
        <f t="shared" si="10"/>
        <v>3</v>
      </c>
      <c r="V16" s="92">
        <f t="shared" si="10"/>
        <v>3</v>
      </c>
      <c r="W16" s="92">
        <f t="shared" si="10"/>
        <v>3</v>
      </c>
      <c r="X16" s="92">
        <f t="shared" si="10"/>
        <v>3</v>
      </c>
      <c r="Y16" s="92">
        <f t="shared" si="10"/>
        <v>3</v>
      </c>
      <c r="Z16" s="92">
        <f t="shared" si="10"/>
        <v>3</v>
      </c>
      <c r="AA16" s="92">
        <f t="shared" si="10"/>
        <v>4</v>
      </c>
      <c r="AB16" s="92">
        <f t="shared" si="10"/>
        <v>4</v>
      </c>
      <c r="AC16" s="92">
        <f t="shared" si="10"/>
        <v>4</v>
      </c>
      <c r="AD16" s="92">
        <f t="shared" si="10"/>
        <v>4</v>
      </c>
      <c r="AE16" s="92">
        <f t="shared" si="10"/>
        <v>4</v>
      </c>
      <c r="AF16" s="92">
        <f t="shared" si="10"/>
        <v>4</v>
      </c>
      <c r="AG16" s="92">
        <f t="shared" si="10"/>
        <v>5</v>
      </c>
      <c r="AH16" s="92">
        <f t="shared" si="10"/>
        <v>5</v>
      </c>
      <c r="AI16" s="92">
        <f t="shared" si="10"/>
        <v>5</v>
      </c>
      <c r="AJ16" s="92">
        <f t="shared" si="10"/>
        <v>5</v>
      </c>
      <c r="AK16" s="92">
        <f t="shared" si="10"/>
        <v>5</v>
      </c>
      <c r="AL16" s="92">
        <f t="shared" si="10"/>
        <v>5</v>
      </c>
      <c r="AM16" s="92">
        <f t="shared" si="10"/>
        <v>6</v>
      </c>
      <c r="AN16" s="92">
        <f t="shared" si="10"/>
        <v>6</v>
      </c>
      <c r="AO16" s="92">
        <f t="shared" si="10"/>
        <v>6</v>
      </c>
      <c r="AP16" s="92">
        <f t="shared" si="10"/>
        <v>6</v>
      </c>
      <c r="AQ16" s="92">
        <f t="shared" si="10"/>
        <v>6</v>
      </c>
      <c r="AR16" s="92">
        <f t="shared" si="10"/>
        <v>6</v>
      </c>
      <c r="AS16" s="92">
        <f t="shared" si="10"/>
        <v>7</v>
      </c>
      <c r="AT16" s="92">
        <f t="shared" si="10"/>
        <v>7</v>
      </c>
      <c r="AU16" s="92">
        <f t="shared" si="10"/>
        <v>7</v>
      </c>
      <c r="AV16" s="92">
        <f t="shared" si="10"/>
        <v>7</v>
      </c>
      <c r="AW16" s="92">
        <f t="shared" si="10"/>
        <v>7</v>
      </c>
      <c r="AX16" s="92">
        <f t="shared" si="10"/>
        <v>7</v>
      </c>
      <c r="AY16" s="92">
        <f t="shared" si="10"/>
        <v>8</v>
      </c>
      <c r="AZ16" s="92">
        <f t="shared" si="10"/>
        <v>8</v>
      </c>
      <c r="BA16" s="92">
        <f t="shared" si="10"/>
        <v>8</v>
      </c>
      <c r="BB16" s="92">
        <f t="shared" si="10"/>
        <v>8</v>
      </c>
      <c r="BC16" s="92">
        <f t="shared" si="10"/>
        <v>8</v>
      </c>
      <c r="BD16" s="92">
        <f t="shared" si="10"/>
        <v>8</v>
      </c>
      <c r="BE16" s="92">
        <f t="shared" si="10"/>
        <v>9</v>
      </c>
      <c r="BF16" s="92">
        <f t="shared" si="10"/>
        <v>9</v>
      </c>
      <c r="BG16" s="92">
        <f t="shared" si="10"/>
        <v>9</v>
      </c>
      <c r="BH16" s="92">
        <f t="shared" si="10"/>
        <v>9</v>
      </c>
      <c r="BI16" s="92">
        <f t="shared" si="10"/>
        <v>9</v>
      </c>
      <c r="BJ16" s="92">
        <f t="shared" si="10"/>
        <v>9</v>
      </c>
      <c r="BK16" s="92">
        <f t="shared" si="10"/>
        <v>10</v>
      </c>
      <c r="BL16" s="92">
        <f t="shared" si="10"/>
        <v>10</v>
      </c>
      <c r="BM16" s="92">
        <f t="shared" si="10"/>
        <v>10</v>
      </c>
      <c r="BN16" s="92">
        <f t="shared" si="10"/>
        <v>10</v>
      </c>
      <c r="BO16" s="92">
        <f t="shared" si="10"/>
        <v>10</v>
      </c>
      <c r="BP16" s="92">
        <f t="shared" si="10"/>
        <v>10</v>
      </c>
      <c r="BQ16" s="92">
        <f t="shared" si="10"/>
        <v>0</v>
      </c>
      <c r="BR16" s="92">
        <f t="shared" si="10"/>
        <v>0</v>
      </c>
      <c r="BS16" s="92">
        <f t="shared" si="10"/>
        <v>0</v>
      </c>
      <c r="BT16" s="92">
        <f t="shared" si="10"/>
        <v>0</v>
      </c>
      <c r="BU16" s="92">
        <f t="shared" ref="BU16:BZ16" si="11">SUMIFS($I$8:$R$8,$I$9:$R$9,"&lt;="&amp;BU$15,$I$10:$R$10,"&gt;="&amp;BU$15)</f>
        <v>0</v>
      </c>
      <c r="BV16" s="92">
        <f t="shared" si="11"/>
        <v>0</v>
      </c>
      <c r="BW16" s="92">
        <f t="shared" si="11"/>
        <v>0</v>
      </c>
      <c r="BX16" s="92">
        <f t="shared" si="11"/>
        <v>0</v>
      </c>
      <c r="BY16" s="92">
        <f t="shared" si="11"/>
        <v>0</v>
      </c>
      <c r="BZ16" s="92">
        <f t="shared" si="11"/>
        <v>0</v>
      </c>
    </row>
    <row r="17" spans="2:78" ht="13.5" customHeight="1">
      <c r="B17" s="93"/>
      <c r="C17" s="93"/>
      <c r="D17" s="93"/>
      <c r="E17" s="93"/>
      <c r="F17" s="93" t="s">
        <v>151</v>
      </c>
      <c r="G17" s="93"/>
      <c r="H17" s="94">
        <f>SUM($H$14:H14)*H11</f>
        <v>0</v>
      </c>
      <c r="I17" s="94">
        <f>SUM($H$14:I14)*I11</f>
        <v>1</v>
      </c>
      <c r="J17" s="94">
        <f>SUM($H$14:J14)*J11</f>
        <v>1</v>
      </c>
      <c r="K17" s="94">
        <f>SUM($H$14:K14)*K11</f>
        <v>1</v>
      </c>
      <c r="L17" s="94">
        <f>SUM($H$14:L14)*L11</f>
        <v>1</v>
      </c>
      <c r="M17" s="94">
        <f>SUM($H$14:M14)*M11</f>
        <v>1</v>
      </c>
      <c r="N17" s="94">
        <f>SUM($H$14:N14)*N11</f>
        <v>1</v>
      </c>
      <c r="O17" s="94">
        <f>SUM($H$14:O14)*O11</f>
        <v>1</v>
      </c>
      <c r="P17" s="94">
        <f>SUM($H$14:P14)*P11</f>
        <v>1</v>
      </c>
      <c r="Q17" s="94">
        <f>SUM($H$14:Q14)*Q11</f>
        <v>1</v>
      </c>
      <c r="R17" s="94">
        <f>SUM($H$14:R14)*R11</f>
        <v>1</v>
      </c>
      <c r="S17" s="94">
        <f>SUM($H$14:S14)*S11</f>
        <v>1</v>
      </c>
      <c r="T17" s="94">
        <f>SUM($H$14:T14)*T11</f>
        <v>1</v>
      </c>
      <c r="U17" s="94">
        <f>SUM($H$14:U14)*U11</f>
        <v>2</v>
      </c>
      <c r="V17" s="94">
        <f>SUM($H$14:V14)*V11</f>
        <v>2</v>
      </c>
      <c r="W17" s="94">
        <f>SUM($H$14:W14)*W11</f>
        <v>2</v>
      </c>
      <c r="X17" s="94">
        <f>SUM($H$14:X14)*X11</f>
        <v>2</v>
      </c>
      <c r="Y17" s="94">
        <f>SUM($H$14:Y14)*Y11</f>
        <v>2</v>
      </c>
      <c r="Z17" s="94">
        <f>SUM($H$14:Z14)*Z11</f>
        <v>2</v>
      </c>
      <c r="AA17" s="94">
        <f>SUM($H$14:AA14)*AA11</f>
        <v>2</v>
      </c>
      <c r="AB17" s="94">
        <f>SUM($H$14:AB14)*AB11</f>
        <v>2</v>
      </c>
      <c r="AC17" s="94">
        <f>SUM($H$14:AC14)*AC11</f>
        <v>2</v>
      </c>
      <c r="AD17" s="94">
        <f>SUM($H$14:AD14)*AD11</f>
        <v>2</v>
      </c>
      <c r="AE17" s="94">
        <f>SUM($H$14:AE14)*AE11</f>
        <v>2</v>
      </c>
      <c r="AF17" s="94">
        <f>SUM($H$14:AF14)*AF11</f>
        <v>2</v>
      </c>
      <c r="AG17" s="94">
        <f>SUM($H$14:AG14)*AG11</f>
        <v>3</v>
      </c>
      <c r="AH17" s="94">
        <f>SUM($H$14:AH14)*AH11</f>
        <v>3</v>
      </c>
      <c r="AI17" s="94">
        <f>SUM($H$14:AI14)*AI11</f>
        <v>3</v>
      </c>
      <c r="AJ17" s="94">
        <f>SUM($H$14:AJ14)*AJ11</f>
        <v>3</v>
      </c>
      <c r="AK17" s="94">
        <f>SUM($H$14:AK14)*AK11</f>
        <v>3</v>
      </c>
      <c r="AL17" s="94">
        <f>SUM($H$14:AL14)*AL11</f>
        <v>3</v>
      </c>
      <c r="AM17" s="94">
        <f>SUM($H$14:AM14)*AM11</f>
        <v>3</v>
      </c>
      <c r="AN17" s="94">
        <f>SUM($H$14:AN14)*AN11</f>
        <v>3</v>
      </c>
      <c r="AO17" s="94">
        <f>SUM($H$14:AO14)*AO11</f>
        <v>3</v>
      </c>
      <c r="AP17" s="94">
        <f>SUM($H$14:AP14)*AP11</f>
        <v>3</v>
      </c>
      <c r="AQ17" s="94">
        <f>SUM($H$14:AQ14)*AQ11</f>
        <v>3</v>
      </c>
      <c r="AR17" s="94">
        <f>SUM($H$14:AR14)*AR11</f>
        <v>3</v>
      </c>
      <c r="AS17" s="94">
        <f>SUM($H$14:AS14)*AS11</f>
        <v>4</v>
      </c>
      <c r="AT17" s="94">
        <f>SUM($H$14:AT14)*AT11</f>
        <v>4</v>
      </c>
      <c r="AU17" s="94">
        <f>SUM($H$14:AU14)*AU11</f>
        <v>4</v>
      </c>
      <c r="AV17" s="94">
        <f>SUM($H$14:AV14)*AV11</f>
        <v>4</v>
      </c>
      <c r="AW17" s="94">
        <f>SUM($H$14:AW14)*AW11</f>
        <v>4</v>
      </c>
      <c r="AX17" s="94">
        <f>SUM($H$14:AX14)*AX11</f>
        <v>4</v>
      </c>
      <c r="AY17" s="94">
        <f>SUM($H$14:AY14)*AY11</f>
        <v>4</v>
      </c>
      <c r="AZ17" s="94">
        <f>SUM($H$14:AZ14)*AZ11</f>
        <v>4</v>
      </c>
      <c r="BA17" s="94">
        <f>SUM($H$14:BA14)*BA11</f>
        <v>4</v>
      </c>
      <c r="BB17" s="94">
        <f>SUM($H$14:BB14)*BB11</f>
        <v>4</v>
      </c>
      <c r="BC17" s="94">
        <f>SUM($H$14:BC14)*BC11</f>
        <v>4</v>
      </c>
      <c r="BD17" s="94">
        <f>SUM($H$14:BD14)*BD11</f>
        <v>4</v>
      </c>
      <c r="BE17" s="94">
        <f>SUM($H$14:BE14)*BE11</f>
        <v>5</v>
      </c>
      <c r="BF17" s="94">
        <f>SUM($H$14:BF14)*BF11</f>
        <v>5</v>
      </c>
      <c r="BG17" s="94">
        <f>SUM($H$14:BG14)*BG11</f>
        <v>5</v>
      </c>
      <c r="BH17" s="94">
        <f>SUM($H$14:BH14)*BH11</f>
        <v>5</v>
      </c>
      <c r="BI17" s="94">
        <f>SUM($H$14:BI14)*BI11</f>
        <v>5</v>
      </c>
      <c r="BJ17" s="94">
        <f>SUM($H$14:BJ14)*BJ11</f>
        <v>5</v>
      </c>
      <c r="BK17" s="94">
        <f>SUM($H$14:BK14)*BK11</f>
        <v>5</v>
      </c>
      <c r="BL17" s="94">
        <f>SUM($H$14:BL14)*BL11</f>
        <v>5</v>
      </c>
      <c r="BM17" s="94">
        <f>SUM($H$14:BM14)*BM11</f>
        <v>5</v>
      </c>
      <c r="BN17" s="94">
        <f>SUM($H$14:BN14)*BN11</f>
        <v>5</v>
      </c>
      <c r="BO17" s="94">
        <f>SUM($H$14:BO14)*BO11</f>
        <v>5</v>
      </c>
      <c r="BP17" s="94">
        <f>SUM($H$14:BP14)*BP11</f>
        <v>5</v>
      </c>
      <c r="BQ17" s="94">
        <f>SUM($H$14:BQ14)*BQ11</f>
        <v>0</v>
      </c>
      <c r="BR17" s="94">
        <f>SUM($H$14:BR14)*BR11</f>
        <v>0</v>
      </c>
      <c r="BS17" s="94">
        <f>SUM($H$14:BS14)*BS11</f>
        <v>0</v>
      </c>
      <c r="BT17" s="94">
        <f>SUM($H$14:BT14)*BT11</f>
        <v>0</v>
      </c>
      <c r="BU17" s="94">
        <f>SUM($H$14:BU14)*BU11</f>
        <v>0</v>
      </c>
      <c r="BV17" s="94">
        <f>SUM($H$14:BV14)*BV11</f>
        <v>0</v>
      </c>
      <c r="BW17" s="94">
        <f>SUM($H$14:BW14)*BW11</f>
        <v>0</v>
      </c>
      <c r="BX17" s="94">
        <f>SUM($H$14:BX14)*BX11</f>
        <v>0</v>
      </c>
      <c r="BY17" s="94">
        <f>SUM($H$14:BY14)*BY11</f>
        <v>0</v>
      </c>
      <c r="BZ17" s="94">
        <f>SUM($H$14:BZ14)*BZ11</f>
        <v>0</v>
      </c>
    </row>
    <row r="18" spans="2:78" ht="13.5" customHeight="1">
      <c r="B18" s="1" t="str">
        <f>'A&amp;R'!Q36</f>
        <v>자산관리수수료</v>
      </c>
    </row>
    <row r="19" spans="2:78" ht="13.5" customHeight="1">
      <c r="C19" s="1" t="s">
        <v>324</v>
      </c>
      <c r="F19" s="1">
        <f ca="1">SUM(G19:XFD19)</f>
        <v>733.62010895325102</v>
      </c>
      <c r="H19" s="1">
        <f ca="1">'A&amp;R'!$U$36/12*H11</f>
        <v>0</v>
      </c>
      <c r="I19" s="1">
        <f ca="1">'A&amp;R'!$U$36/12*I11</f>
        <v>12.227001815887517</v>
      </c>
      <c r="J19" s="1">
        <f ca="1">'A&amp;R'!$U$36/12*J11</f>
        <v>12.227001815887517</v>
      </c>
      <c r="K19" s="1">
        <f ca="1">'A&amp;R'!$U$36/12*K11</f>
        <v>12.227001815887517</v>
      </c>
      <c r="L19" s="1">
        <f ca="1">'A&amp;R'!$U$36/12*L11</f>
        <v>12.227001815887517</v>
      </c>
      <c r="M19" s="1">
        <f ca="1">'A&amp;R'!$U$36/12*M11</f>
        <v>12.227001815887517</v>
      </c>
      <c r="N19" s="1">
        <f ca="1">'A&amp;R'!$U$36/12*N11</f>
        <v>12.227001815887517</v>
      </c>
      <c r="O19" s="1">
        <f ca="1">'A&amp;R'!$U$36/12*O11</f>
        <v>12.227001815887517</v>
      </c>
      <c r="P19" s="1">
        <f ca="1">'A&amp;R'!$U$36/12*P11</f>
        <v>12.227001815887517</v>
      </c>
      <c r="Q19" s="1">
        <f ca="1">'A&amp;R'!$U$36/12*Q11</f>
        <v>12.227001815887517</v>
      </c>
      <c r="R19" s="1">
        <f ca="1">'A&amp;R'!$U$36/12*R11</f>
        <v>12.227001815887517</v>
      </c>
      <c r="S19" s="1">
        <f ca="1">'A&amp;R'!$U$36/12*S11</f>
        <v>12.227001815887517</v>
      </c>
      <c r="T19" s="1">
        <f ca="1">'A&amp;R'!$U$36/12*T11</f>
        <v>12.227001815887517</v>
      </c>
      <c r="U19" s="1">
        <f ca="1">'A&amp;R'!$U$36/12*U11</f>
        <v>12.227001815887517</v>
      </c>
      <c r="V19" s="1">
        <f ca="1">'A&amp;R'!$U$36/12*V11</f>
        <v>12.227001815887517</v>
      </c>
      <c r="W19" s="1">
        <f ca="1">'A&amp;R'!$U$36/12*W11</f>
        <v>12.227001815887517</v>
      </c>
      <c r="X19" s="1">
        <f ca="1">'A&amp;R'!$U$36/12*X11</f>
        <v>12.227001815887517</v>
      </c>
      <c r="Y19" s="1">
        <f ca="1">'A&amp;R'!$U$36/12*Y11</f>
        <v>12.227001815887517</v>
      </c>
      <c r="Z19" s="1">
        <f ca="1">'A&amp;R'!$U$36/12*Z11</f>
        <v>12.227001815887517</v>
      </c>
      <c r="AA19" s="1">
        <f ca="1">'A&amp;R'!$U$36/12*AA11</f>
        <v>12.227001815887517</v>
      </c>
      <c r="AB19" s="1">
        <f ca="1">'A&amp;R'!$U$36/12*AB11</f>
        <v>12.227001815887517</v>
      </c>
      <c r="AC19" s="1">
        <f ca="1">'A&amp;R'!$U$36/12*AC11</f>
        <v>12.227001815887517</v>
      </c>
      <c r="AD19" s="1">
        <f ca="1">'A&amp;R'!$U$36/12*AD11</f>
        <v>12.227001815887517</v>
      </c>
      <c r="AE19" s="1">
        <f ca="1">'A&amp;R'!$U$36/12*AE11</f>
        <v>12.227001815887517</v>
      </c>
      <c r="AF19" s="1">
        <f ca="1">'A&amp;R'!$U$36/12*AF11</f>
        <v>12.227001815887517</v>
      </c>
      <c r="AG19" s="1">
        <f ca="1">'A&amp;R'!$U$36/12*AG11</f>
        <v>12.227001815887517</v>
      </c>
      <c r="AH19" s="1">
        <f ca="1">'A&amp;R'!$U$36/12*AH11</f>
        <v>12.227001815887517</v>
      </c>
      <c r="AI19" s="1">
        <f ca="1">'A&amp;R'!$U$36/12*AI11</f>
        <v>12.227001815887517</v>
      </c>
      <c r="AJ19" s="1">
        <f ca="1">'A&amp;R'!$U$36/12*AJ11</f>
        <v>12.227001815887517</v>
      </c>
      <c r="AK19" s="1">
        <f ca="1">'A&amp;R'!$U$36/12*AK11</f>
        <v>12.227001815887517</v>
      </c>
      <c r="AL19" s="1">
        <f ca="1">'A&amp;R'!$U$36/12*AL11</f>
        <v>12.227001815887517</v>
      </c>
      <c r="AM19" s="1">
        <f ca="1">'A&amp;R'!$U$36/12*AM11</f>
        <v>12.227001815887517</v>
      </c>
      <c r="AN19" s="1">
        <f ca="1">'A&amp;R'!$U$36/12*AN11</f>
        <v>12.227001815887517</v>
      </c>
      <c r="AO19" s="1">
        <f ca="1">'A&amp;R'!$U$36/12*AO11</f>
        <v>12.227001815887517</v>
      </c>
      <c r="AP19" s="1">
        <f ca="1">'A&amp;R'!$U$36/12*AP11</f>
        <v>12.227001815887517</v>
      </c>
      <c r="AQ19" s="1">
        <f ca="1">'A&amp;R'!$U$36/12*AQ11</f>
        <v>12.227001815887517</v>
      </c>
      <c r="AR19" s="1">
        <f ca="1">'A&amp;R'!$U$36/12*AR11</f>
        <v>12.227001815887517</v>
      </c>
      <c r="AS19" s="1">
        <f ca="1">'A&amp;R'!$U$36/12*AS11</f>
        <v>12.227001815887517</v>
      </c>
      <c r="AT19" s="1">
        <f ca="1">'A&amp;R'!$U$36/12*AT11</f>
        <v>12.227001815887517</v>
      </c>
      <c r="AU19" s="1">
        <f ca="1">'A&amp;R'!$U$36/12*AU11</f>
        <v>12.227001815887517</v>
      </c>
      <c r="AV19" s="1">
        <f ca="1">'A&amp;R'!$U$36/12*AV11</f>
        <v>12.227001815887517</v>
      </c>
      <c r="AW19" s="1">
        <f ca="1">'A&amp;R'!$U$36/12*AW11</f>
        <v>12.227001815887517</v>
      </c>
      <c r="AX19" s="1">
        <f ca="1">'A&amp;R'!$U$36/12*AX11</f>
        <v>12.227001815887517</v>
      </c>
      <c r="AY19" s="1">
        <f ca="1">'A&amp;R'!$U$36/12*AY11</f>
        <v>12.227001815887517</v>
      </c>
      <c r="AZ19" s="1">
        <f ca="1">'A&amp;R'!$U$36/12*AZ11</f>
        <v>12.227001815887517</v>
      </c>
      <c r="BA19" s="1">
        <f ca="1">'A&amp;R'!$U$36/12*BA11</f>
        <v>12.227001815887517</v>
      </c>
      <c r="BB19" s="1">
        <f ca="1">'A&amp;R'!$U$36/12*BB11</f>
        <v>12.227001815887517</v>
      </c>
      <c r="BC19" s="1">
        <f ca="1">'A&amp;R'!$U$36/12*BC11</f>
        <v>12.227001815887517</v>
      </c>
      <c r="BD19" s="1">
        <f ca="1">'A&amp;R'!$U$36/12*BD11</f>
        <v>12.227001815887517</v>
      </c>
      <c r="BE19" s="1">
        <f ca="1">'A&amp;R'!$U$36/12*BE11</f>
        <v>12.227001815887517</v>
      </c>
      <c r="BF19" s="1">
        <f ca="1">'A&amp;R'!$U$36/12*BF11</f>
        <v>12.227001815887517</v>
      </c>
      <c r="BG19" s="1">
        <f ca="1">'A&amp;R'!$U$36/12*BG11</f>
        <v>12.227001815887517</v>
      </c>
      <c r="BH19" s="1">
        <f ca="1">'A&amp;R'!$U$36/12*BH11</f>
        <v>12.227001815887517</v>
      </c>
      <c r="BI19" s="1">
        <f ca="1">'A&amp;R'!$U$36/12*BI11</f>
        <v>12.227001815887517</v>
      </c>
      <c r="BJ19" s="1">
        <f ca="1">'A&amp;R'!$U$36/12*BJ11</f>
        <v>12.227001815887517</v>
      </c>
      <c r="BK19" s="1">
        <f ca="1">'A&amp;R'!$U$36/12*BK11</f>
        <v>12.227001815887517</v>
      </c>
      <c r="BL19" s="1">
        <f ca="1">'A&amp;R'!$U$36/12*BL11</f>
        <v>12.227001815887517</v>
      </c>
      <c r="BM19" s="1">
        <f ca="1">'A&amp;R'!$U$36/12*BM11</f>
        <v>12.227001815887517</v>
      </c>
      <c r="BN19" s="1">
        <f ca="1">'A&amp;R'!$U$36/12*BN11</f>
        <v>12.227001815887517</v>
      </c>
      <c r="BO19" s="1">
        <f ca="1">'A&amp;R'!$U$36/12*BO11</f>
        <v>12.227001815887517</v>
      </c>
      <c r="BP19" s="1">
        <f ca="1">'A&amp;R'!$U$36/12*BP11</f>
        <v>12.227001815887517</v>
      </c>
      <c r="BQ19" s="1">
        <f ca="1">'A&amp;R'!$U$36/12*BQ11</f>
        <v>0</v>
      </c>
      <c r="BR19" s="1">
        <f ca="1">'A&amp;R'!$U$36/12*BR11</f>
        <v>0</v>
      </c>
      <c r="BS19" s="1">
        <f ca="1">'A&amp;R'!$U$36/12*BS11</f>
        <v>0</v>
      </c>
      <c r="BT19" s="1">
        <f ca="1">'A&amp;R'!$U$36/12*BT11</f>
        <v>0</v>
      </c>
      <c r="BU19" s="1">
        <f ca="1">'A&amp;R'!$U$36/12*BU11</f>
        <v>0</v>
      </c>
      <c r="BV19" s="1">
        <f ca="1">'A&amp;R'!$U$36/12*BV11</f>
        <v>0</v>
      </c>
      <c r="BW19" s="1">
        <f ca="1">'A&amp;R'!$U$36/12*BW11</f>
        <v>0</v>
      </c>
      <c r="BX19" s="1">
        <f ca="1">'A&amp;R'!$U$36/12*BX11</f>
        <v>0</v>
      </c>
      <c r="BY19" s="1">
        <f ca="1">'A&amp;R'!$U$36/12*BY11</f>
        <v>0</v>
      </c>
      <c r="BZ19" s="1">
        <f ca="1">'A&amp;R'!$U$36/12*BZ11</f>
        <v>0</v>
      </c>
    </row>
    <row r="20" spans="2:78" ht="13.5" customHeight="1">
      <c r="C20" s="44" t="s">
        <v>360</v>
      </c>
      <c r="D20" s="135" t="b">
        <f ca="1">ABS(F19-F20)&lt;0.001</f>
        <v>1</v>
      </c>
      <c r="E20" s="44"/>
      <c r="F20" s="44">
        <f ca="1">SUM(G20:XFD20)</f>
        <v>733.62010895325102</v>
      </c>
      <c r="G20" s="44"/>
      <c r="H20" s="44">
        <f ca="1">(SUM($H19:H19)-SUM($G20:G20))*H13</f>
        <v>0</v>
      </c>
      <c r="I20" s="44">
        <f ca="1">(SUM($H19:I19)-SUM($G20:H20))*I13</f>
        <v>0</v>
      </c>
      <c r="J20" s="44">
        <f ca="1">(SUM($H19:J19)-SUM($G20:I20))*J13</f>
        <v>0</v>
      </c>
      <c r="K20" s="44">
        <f ca="1">(SUM($H19:K19)-SUM($G20:J20))*K13</f>
        <v>0</v>
      </c>
      <c r="L20" s="44">
        <f ca="1">(SUM($H19:L19)-SUM($G20:K20))*L13</f>
        <v>0</v>
      </c>
      <c r="M20" s="44">
        <f ca="1">(SUM($H19:M19)-SUM($G20:L20))*M13</f>
        <v>0</v>
      </c>
      <c r="N20" s="44">
        <f ca="1">(SUM($H19:N19)-SUM($G20:M20))*N13</f>
        <v>73.362010895325099</v>
      </c>
      <c r="O20" s="44">
        <f ca="1">(SUM($H19:O19)-SUM($G20:N20))*O13</f>
        <v>0</v>
      </c>
      <c r="P20" s="44">
        <f ca="1">(SUM($H19:P19)-SUM($G20:O20))*P13</f>
        <v>0</v>
      </c>
      <c r="Q20" s="44">
        <f ca="1">(SUM($H19:Q19)-SUM($G20:P20))*Q13</f>
        <v>0</v>
      </c>
      <c r="R20" s="44">
        <f ca="1">(SUM($H19:R19)-SUM($G20:Q20))*R13</f>
        <v>0</v>
      </c>
      <c r="S20" s="44">
        <f ca="1">(SUM($H19:S19)-SUM($G20:R20))*S13</f>
        <v>0</v>
      </c>
      <c r="T20" s="44">
        <f ca="1">(SUM($H19:T19)-SUM($G20:S20))*T13</f>
        <v>73.362010895325099</v>
      </c>
      <c r="U20" s="44">
        <f ca="1">(SUM($H19:U19)-SUM($G20:T20))*U13</f>
        <v>0</v>
      </c>
      <c r="V20" s="44">
        <f ca="1">(SUM($H19:V19)-SUM($G20:U20))*V13</f>
        <v>0</v>
      </c>
      <c r="W20" s="44">
        <f ca="1">(SUM($H19:W19)-SUM($G20:V20))*W13</f>
        <v>0</v>
      </c>
      <c r="X20" s="44">
        <f ca="1">(SUM($H19:X19)-SUM($G20:W20))*X13</f>
        <v>0</v>
      </c>
      <c r="Y20" s="44">
        <f ca="1">(SUM($H19:Y19)-SUM($G20:X20))*Y13</f>
        <v>0</v>
      </c>
      <c r="Z20" s="44">
        <f ca="1">(SUM($H19:Z19)-SUM($G20:Y20))*Z13</f>
        <v>73.362010895325113</v>
      </c>
      <c r="AA20" s="44">
        <f ca="1">(SUM($H19:AA19)-SUM($G20:Z20))*AA13</f>
        <v>0</v>
      </c>
      <c r="AB20" s="44">
        <f ca="1">(SUM($H19:AB19)-SUM($G20:AA20))*AB13</f>
        <v>0</v>
      </c>
      <c r="AC20" s="44">
        <f ca="1">(SUM($H19:AC19)-SUM($G20:AB20))*AC13</f>
        <v>0</v>
      </c>
      <c r="AD20" s="44">
        <f ca="1">(SUM($H19:AD19)-SUM($G20:AC20))*AD13</f>
        <v>0</v>
      </c>
      <c r="AE20" s="44">
        <f ca="1">(SUM($H19:AE19)-SUM($G20:AD20))*AE13</f>
        <v>0</v>
      </c>
      <c r="AF20" s="44">
        <f ca="1">(SUM($H19:AF19)-SUM($G20:AE20))*AF13</f>
        <v>73.362010895325028</v>
      </c>
      <c r="AG20" s="44">
        <f ca="1">(SUM($H19:AG19)-SUM($G20:AF20))*AG13</f>
        <v>0</v>
      </c>
      <c r="AH20" s="44">
        <f ca="1">(SUM($H19:AH19)-SUM($G20:AG20))*AH13</f>
        <v>0</v>
      </c>
      <c r="AI20" s="44">
        <f ca="1">(SUM($H19:AI19)-SUM($G20:AH20))*AI13</f>
        <v>0</v>
      </c>
      <c r="AJ20" s="44">
        <f ca="1">(SUM($H19:AJ19)-SUM($G20:AI20))*AJ13</f>
        <v>0</v>
      </c>
      <c r="AK20" s="44">
        <f ca="1">(SUM($H19:AK19)-SUM($G20:AJ20))*AK13</f>
        <v>0</v>
      </c>
      <c r="AL20" s="44">
        <f ca="1">(SUM($H19:AL19)-SUM($G20:AK20))*AL13</f>
        <v>73.362010895324943</v>
      </c>
      <c r="AM20" s="44">
        <f ca="1">(SUM($H19:AM19)-SUM($G20:AL20))*AM13</f>
        <v>0</v>
      </c>
      <c r="AN20" s="44">
        <f ca="1">(SUM($H19:AN19)-SUM($G20:AM20))*AN13</f>
        <v>0</v>
      </c>
      <c r="AO20" s="44">
        <f ca="1">(SUM($H19:AO19)-SUM($G20:AN20))*AO13</f>
        <v>0</v>
      </c>
      <c r="AP20" s="44">
        <f ca="1">(SUM($H19:AP19)-SUM($G20:AO20))*AP13</f>
        <v>0</v>
      </c>
      <c r="AQ20" s="44">
        <f ca="1">(SUM($H19:AQ19)-SUM($G20:AP20))*AQ13</f>
        <v>0</v>
      </c>
      <c r="AR20" s="44">
        <f ca="1">(SUM($H19:AR19)-SUM($G20:AQ20))*AR13</f>
        <v>73.362010895324943</v>
      </c>
      <c r="AS20" s="44">
        <f ca="1">(SUM($H19:AS19)-SUM($G20:AR20))*AS13</f>
        <v>0</v>
      </c>
      <c r="AT20" s="44">
        <f ca="1">(SUM($H19:AT19)-SUM($G20:AS20))*AT13</f>
        <v>0</v>
      </c>
      <c r="AU20" s="44">
        <f ca="1">(SUM($H19:AU19)-SUM($G20:AT20))*AU13</f>
        <v>0</v>
      </c>
      <c r="AV20" s="44">
        <f ca="1">(SUM($H19:AV19)-SUM($G20:AU20))*AV13</f>
        <v>0</v>
      </c>
      <c r="AW20" s="44">
        <f ca="1">(SUM($H19:AW19)-SUM($G20:AV20))*AW13</f>
        <v>0</v>
      </c>
      <c r="AX20" s="44">
        <f ca="1">(SUM($H19:AX19)-SUM($G20:AW20))*AX13</f>
        <v>73.362010895324943</v>
      </c>
      <c r="AY20" s="44">
        <f ca="1">(SUM($H19:AY19)-SUM($G20:AX20))*AY13</f>
        <v>0</v>
      </c>
      <c r="AZ20" s="44">
        <f ca="1">(SUM($H19:AZ19)-SUM($G20:AY20))*AZ13</f>
        <v>0</v>
      </c>
      <c r="BA20" s="44">
        <f ca="1">(SUM($H19:BA19)-SUM($G20:AZ20))*BA13</f>
        <v>0</v>
      </c>
      <c r="BB20" s="44">
        <f ca="1">(SUM($H19:BB19)-SUM($G20:BA20))*BB13</f>
        <v>0</v>
      </c>
      <c r="BC20" s="44">
        <f ca="1">(SUM($H19:BC19)-SUM($G20:BB20))*BC13</f>
        <v>0</v>
      </c>
      <c r="BD20" s="44">
        <f ca="1">(SUM($H19:BD19)-SUM($G20:BC20))*BD13</f>
        <v>73.362010895325284</v>
      </c>
      <c r="BE20" s="44">
        <f ca="1">(SUM($H19:BE19)-SUM($G20:BD20))*BE13</f>
        <v>0</v>
      </c>
      <c r="BF20" s="44">
        <f ca="1">(SUM($H19:BF19)-SUM($G20:BE20))*BF13</f>
        <v>0</v>
      </c>
      <c r="BG20" s="44">
        <f ca="1">(SUM($H19:BG19)-SUM($G20:BF20))*BG13</f>
        <v>0</v>
      </c>
      <c r="BH20" s="44">
        <f ca="1">(SUM($H19:BH19)-SUM($G20:BG20))*BH13</f>
        <v>0</v>
      </c>
      <c r="BI20" s="44">
        <f ca="1">(SUM($H19:BI19)-SUM($G20:BH20))*BI13</f>
        <v>0</v>
      </c>
      <c r="BJ20" s="44">
        <f ca="1">(SUM($H19:BJ19)-SUM($G20:BI20))*BJ13</f>
        <v>73.362010895325284</v>
      </c>
      <c r="BK20" s="44">
        <f ca="1">(SUM($H19:BK19)-SUM($G20:BJ20))*BK13</f>
        <v>0</v>
      </c>
      <c r="BL20" s="44">
        <f ca="1">(SUM($H19:BL19)-SUM($G20:BK20))*BL13</f>
        <v>0</v>
      </c>
      <c r="BM20" s="44">
        <f ca="1">(SUM($H19:BM19)-SUM($G20:BL20))*BM13</f>
        <v>0</v>
      </c>
      <c r="BN20" s="44">
        <f ca="1">(SUM($H19:BN19)-SUM($G20:BM20))*BN13</f>
        <v>0</v>
      </c>
      <c r="BO20" s="44">
        <f ca="1">(SUM($H19:BO19)-SUM($G20:BN20))*BO13</f>
        <v>0</v>
      </c>
      <c r="BP20" s="44">
        <f ca="1">(SUM($H19:BP19)-SUM($G20:BO20))*BP13</f>
        <v>73.362010895325284</v>
      </c>
      <c r="BQ20" s="44">
        <f ca="1">(SUM($H19:BQ19)-SUM($G20:BP20))*BQ13</f>
        <v>0</v>
      </c>
      <c r="BR20" s="44">
        <f ca="1">(SUM($H19:BR19)-SUM($G20:BQ20))*BR13</f>
        <v>0</v>
      </c>
      <c r="BS20" s="44">
        <f ca="1">(SUM($H19:BS19)-SUM($G20:BR20))*BS13</f>
        <v>0</v>
      </c>
      <c r="BT20" s="44">
        <f ca="1">(SUM($H19:BT19)-SUM($G20:BS20))*BT13</f>
        <v>0</v>
      </c>
      <c r="BU20" s="44">
        <f ca="1">(SUM($H19:BU19)-SUM($G20:BT20))*BU13</f>
        <v>0</v>
      </c>
      <c r="BV20" s="44">
        <f ca="1">(SUM($H19:BV19)-SUM($G20:BU20))*BV13</f>
        <v>0</v>
      </c>
      <c r="BW20" s="44">
        <f ca="1">(SUM($H19:BW19)-SUM($G20:BV20))*BW13</f>
        <v>0</v>
      </c>
      <c r="BX20" s="44">
        <f ca="1">(SUM($H19:BX19)-SUM($G20:BW20))*BX13</f>
        <v>0</v>
      </c>
      <c r="BY20" s="44">
        <f ca="1">(SUM($H19:BY19)-SUM($G20:BX20))*BY13</f>
        <v>0</v>
      </c>
      <c r="BZ20" s="44">
        <f ca="1">(SUM($H19:BZ19)-SUM($G20:BY20))*BZ13</f>
        <v>0</v>
      </c>
    </row>
    <row r="22" spans="2:78" ht="13.5" customHeight="1">
      <c r="B22" s="1" t="str">
        <f>'A&amp;R'!Q37</f>
        <v>자산보관수수료</v>
      </c>
    </row>
    <row r="23" spans="2:78" ht="13.5" customHeight="1">
      <c r="C23" s="1" t="s">
        <v>324</v>
      </c>
      <c r="F23" s="1">
        <f ca="1">SUM(G23:XFD23)</f>
        <v>73.362010895325028</v>
      </c>
      <c r="H23" s="1">
        <f ca="1">'A&amp;R'!$U$37/12*H11</f>
        <v>0</v>
      </c>
      <c r="I23" s="1">
        <f ca="1">'A&amp;R'!$U$37/12*I11</f>
        <v>1.2227001815887515</v>
      </c>
      <c r="J23" s="1">
        <f ca="1">'A&amp;R'!$U$37/12*J11</f>
        <v>1.2227001815887515</v>
      </c>
      <c r="K23" s="1">
        <f ca="1">'A&amp;R'!$U$37/12*K11</f>
        <v>1.2227001815887515</v>
      </c>
      <c r="L23" s="1">
        <f ca="1">'A&amp;R'!$U$37/12*L11</f>
        <v>1.2227001815887515</v>
      </c>
      <c r="M23" s="1">
        <f ca="1">'A&amp;R'!$U$37/12*M11</f>
        <v>1.2227001815887515</v>
      </c>
      <c r="N23" s="1">
        <f ca="1">'A&amp;R'!$U$37/12*N11</f>
        <v>1.2227001815887515</v>
      </c>
      <c r="O23" s="1">
        <f ca="1">'A&amp;R'!$U$37/12*O11</f>
        <v>1.2227001815887515</v>
      </c>
      <c r="P23" s="1">
        <f ca="1">'A&amp;R'!$U$37/12*P11</f>
        <v>1.2227001815887515</v>
      </c>
      <c r="Q23" s="1">
        <f ca="1">'A&amp;R'!$U$37/12*Q11</f>
        <v>1.2227001815887515</v>
      </c>
      <c r="R23" s="1">
        <f ca="1">'A&amp;R'!$U$37/12*R11</f>
        <v>1.2227001815887515</v>
      </c>
      <c r="S23" s="1">
        <f ca="1">'A&amp;R'!$U$37/12*S11</f>
        <v>1.2227001815887515</v>
      </c>
      <c r="T23" s="1">
        <f ca="1">'A&amp;R'!$U$37/12*T11</f>
        <v>1.2227001815887515</v>
      </c>
      <c r="U23" s="1">
        <f ca="1">'A&amp;R'!$U$37/12*U11</f>
        <v>1.2227001815887515</v>
      </c>
      <c r="V23" s="1">
        <f ca="1">'A&amp;R'!$U$37/12*V11</f>
        <v>1.2227001815887515</v>
      </c>
      <c r="W23" s="1">
        <f ca="1">'A&amp;R'!$U$37/12*W11</f>
        <v>1.2227001815887515</v>
      </c>
      <c r="X23" s="1">
        <f ca="1">'A&amp;R'!$U$37/12*X11</f>
        <v>1.2227001815887515</v>
      </c>
      <c r="Y23" s="1">
        <f ca="1">'A&amp;R'!$U$37/12*Y11</f>
        <v>1.2227001815887515</v>
      </c>
      <c r="Z23" s="1">
        <f ca="1">'A&amp;R'!$U$37/12*Z11</f>
        <v>1.2227001815887515</v>
      </c>
      <c r="AA23" s="1">
        <f ca="1">'A&amp;R'!$U$37/12*AA11</f>
        <v>1.2227001815887515</v>
      </c>
      <c r="AB23" s="1">
        <f ca="1">'A&amp;R'!$U$37/12*AB11</f>
        <v>1.2227001815887515</v>
      </c>
      <c r="AC23" s="1">
        <f ca="1">'A&amp;R'!$U$37/12*AC11</f>
        <v>1.2227001815887515</v>
      </c>
      <c r="AD23" s="1">
        <f ca="1">'A&amp;R'!$U$37/12*AD11</f>
        <v>1.2227001815887515</v>
      </c>
      <c r="AE23" s="1">
        <f ca="1">'A&amp;R'!$U$37/12*AE11</f>
        <v>1.2227001815887515</v>
      </c>
      <c r="AF23" s="1">
        <f ca="1">'A&amp;R'!$U$37/12*AF11</f>
        <v>1.2227001815887515</v>
      </c>
      <c r="AG23" s="1">
        <f ca="1">'A&amp;R'!$U$37/12*AG11</f>
        <v>1.2227001815887515</v>
      </c>
      <c r="AH23" s="1">
        <f ca="1">'A&amp;R'!$U$37/12*AH11</f>
        <v>1.2227001815887515</v>
      </c>
      <c r="AI23" s="1">
        <f ca="1">'A&amp;R'!$U$37/12*AI11</f>
        <v>1.2227001815887515</v>
      </c>
      <c r="AJ23" s="1">
        <f ca="1">'A&amp;R'!$U$37/12*AJ11</f>
        <v>1.2227001815887515</v>
      </c>
      <c r="AK23" s="1">
        <f ca="1">'A&amp;R'!$U$37/12*AK11</f>
        <v>1.2227001815887515</v>
      </c>
      <c r="AL23" s="1">
        <f ca="1">'A&amp;R'!$U$37/12*AL11</f>
        <v>1.2227001815887515</v>
      </c>
      <c r="AM23" s="1">
        <f ca="1">'A&amp;R'!$U$37/12*AM11</f>
        <v>1.2227001815887515</v>
      </c>
      <c r="AN23" s="1">
        <f ca="1">'A&amp;R'!$U$37/12*AN11</f>
        <v>1.2227001815887515</v>
      </c>
      <c r="AO23" s="1">
        <f ca="1">'A&amp;R'!$U$37/12*AO11</f>
        <v>1.2227001815887515</v>
      </c>
      <c r="AP23" s="1">
        <f ca="1">'A&amp;R'!$U$37/12*AP11</f>
        <v>1.2227001815887515</v>
      </c>
      <c r="AQ23" s="1">
        <f ca="1">'A&amp;R'!$U$37/12*AQ11</f>
        <v>1.2227001815887515</v>
      </c>
      <c r="AR23" s="1">
        <f ca="1">'A&amp;R'!$U$37/12*AR11</f>
        <v>1.2227001815887515</v>
      </c>
      <c r="AS23" s="1">
        <f ca="1">'A&amp;R'!$U$37/12*AS11</f>
        <v>1.2227001815887515</v>
      </c>
      <c r="AT23" s="1">
        <f ca="1">'A&amp;R'!$U$37/12*AT11</f>
        <v>1.2227001815887515</v>
      </c>
      <c r="AU23" s="1">
        <f ca="1">'A&amp;R'!$U$37/12*AU11</f>
        <v>1.2227001815887515</v>
      </c>
      <c r="AV23" s="1">
        <f ca="1">'A&amp;R'!$U$37/12*AV11</f>
        <v>1.2227001815887515</v>
      </c>
      <c r="AW23" s="1">
        <f ca="1">'A&amp;R'!$U$37/12*AW11</f>
        <v>1.2227001815887515</v>
      </c>
      <c r="AX23" s="1">
        <f ca="1">'A&amp;R'!$U$37/12*AX11</f>
        <v>1.2227001815887515</v>
      </c>
      <c r="AY23" s="1">
        <f ca="1">'A&amp;R'!$U$37/12*AY11</f>
        <v>1.2227001815887515</v>
      </c>
      <c r="AZ23" s="1">
        <f ca="1">'A&amp;R'!$U$37/12*AZ11</f>
        <v>1.2227001815887515</v>
      </c>
      <c r="BA23" s="1">
        <f ca="1">'A&amp;R'!$U$37/12*BA11</f>
        <v>1.2227001815887515</v>
      </c>
      <c r="BB23" s="1">
        <f ca="1">'A&amp;R'!$U$37/12*BB11</f>
        <v>1.2227001815887515</v>
      </c>
      <c r="BC23" s="1">
        <f ca="1">'A&amp;R'!$U$37/12*BC11</f>
        <v>1.2227001815887515</v>
      </c>
      <c r="BD23" s="1">
        <f ca="1">'A&amp;R'!$U$37/12*BD11</f>
        <v>1.2227001815887515</v>
      </c>
      <c r="BE23" s="1">
        <f ca="1">'A&amp;R'!$U$37/12*BE11</f>
        <v>1.2227001815887515</v>
      </c>
      <c r="BF23" s="1">
        <f ca="1">'A&amp;R'!$U$37/12*BF11</f>
        <v>1.2227001815887515</v>
      </c>
      <c r="BG23" s="1">
        <f ca="1">'A&amp;R'!$U$37/12*BG11</f>
        <v>1.2227001815887515</v>
      </c>
      <c r="BH23" s="1">
        <f ca="1">'A&amp;R'!$U$37/12*BH11</f>
        <v>1.2227001815887515</v>
      </c>
      <c r="BI23" s="1">
        <f ca="1">'A&amp;R'!$U$37/12*BI11</f>
        <v>1.2227001815887515</v>
      </c>
      <c r="BJ23" s="1">
        <f ca="1">'A&amp;R'!$U$37/12*BJ11</f>
        <v>1.2227001815887515</v>
      </c>
      <c r="BK23" s="1">
        <f ca="1">'A&amp;R'!$U$37/12*BK11</f>
        <v>1.2227001815887515</v>
      </c>
      <c r="BL23" s="1">
        <f ca="1">'A&amp;R'!$U$37/12*BL11</f>
        <v>1.2227001815887515</v>
      </c>
      <c r="BM23" s="1">
        <f ca="1">'A&amp;R'!$U$37/12*BM11</f>
        <v>1.2227001815887515</v>
      </c>
      <c r="BN23" s="1">
        <f ca="1">'A&amp;R'!$U$37/12*BN11</f>
        <v>1.2227001815887515</v>
      </c>
      <c r="BO23" s="1">
        <f ca="1">'A&amp;R'!$U$37/12*BO11</f>
        <v>1.2227001815887515</v>
      </c>
      <c r="BP23" s="1">
        <f ca="1">'A&amp;R'!$U$37/12*BP11</f>
        <v>1.2227001815887515</v>
      </c>
      <c r="BQ23" s="1">
        <f ca="1">'A&amp;R'!$U$37/12*BQ11</f>
        <v>0</v>
      </c>
      <c r="BR23" s="1">
        <f ca="1">'A&amp;R'!$U$37/12*BR11</f>
        <v>0</v>
      </c>
      <c r="BS23" s="1">
        <f ca="1">'A&amp;R'!$U$37/12*BS11</f>
        <v>0</v>
      </c>
      <c r="BT23" s="1">
        <f ca="1">'A&amp;R'!$U$37/12*BT11</f>
        <v>0</v>
      </c>
      <c r="BU23" s="1">
        <f ca="1">'A&amp;R'!$U$37/12*BU11</f>
        <v>0</v>
      </c>
      <c r="BV23" s="1">
        <f ca="1">'A&amp;R'!$U$37/12*BV11</f>
        <v>0</v>
      </c>
      <c r="BW23" s="1">
        <f ca="1">'A&amp;R'!$U$37/12*BW11</f>
        <v>0</v>
      </c>
      <c r="BX23" s="1">
        <f ca="1">'A&amp;R'!$U$37/12*BX11</f>
        <v>0</v>
      </c>
      <c r="BY23" s="1">
        <f ca="1">'A&amp;R'!$U$37/12*BY11</f>
        <v>0</v>
      </c>
      <c r="BZ23" s="1">
        <f ca="1">'A&amp;R'!$U$37/12*BZ11</f>
        <v>0</v>
      </c>
    </row>
    <row r="24" spans="2:78" ht="13.5" customHeight="1">
      <c r="C24" s="44" t="s">
        <v>360</v>
      </c>
      <c r="D24" s="135" t="b">
        <f ca="1">ABS(F23-F24)&lt;0.001</f>
        <v>1</v>
      </c>
      <c r="E24" s="44"/>
      <c r="F24" s="44">
        <f ca="1">SUM(G24:XFD24)</f>
        <v>73.362010895325028</v>
      </c>
      <c r="G24" s="44"/>
      <c r="H24" s="44">
        <f ca="1">(SUM($H23:H23)-SUM($G24:G24))*H13</f>
        <v>0</v>
      </c>
      <c r="I24" s="44">
        <f ca="1">(SUM($H23:I23)-SUM($G24:H24))*I13</f>
        <v>0</v>
      </c>
      <c r="J24" s="44">
        <f ca="1">(SUM($H23:J23)-SUM($G24:I24))*J13</f>
        <v>0</v>
      </c>
      <c r="K24" s="44">
        <f ca="1">(SUM($H23:K23)-SUM($G24:J24))*K13</f>
        <v>0</v>
      </c>
      <c r="L24" s="44">
        <f ca="1">(SUM($H23:L23)-SUM($G24:K24))*L13</f>
        <v>0</v>
      </c>
      <c r="M24" s="44">
        <f ca="1">(SUM($H23:M23)-SUM($G24:L24))*M13</f>
        <v>0</v>
      </c>
      <c r="N24" s="44">
        <f ca="1">(SUM($H23:N23)-SUM($G24:M24))*N13</f>
        <v>7.3362010895325094</v>
      </c>
      <c r="O24" s="44">
        <f ca="1">(SUM($H23:O23)-SUM($G24:N24))*O13</f>
        <v>0</v>
      </c>
      <c r="P24" s="44">
        <f ca="1">(SUM($H23:P23)-SUM($G24:O24))*P13</f>
        <v>0</v>
      </c>
      <c r="Q24" s="44">
        <f ca="1">(SUM($H23:Q23)-SUM($G24:P24))*Q13</f>
        <v>0</v>
      </c>
      <c r="R24" s="44">
        <f ca="1">(SUM($H23:R23)-SUM($G24:Q24))*R13</f>
        <v>0</v>
      </c>
      <c r="S24" s="44">
        <f ca="1">(SUM($H23:S23)-SUM($G24:R24))*S13</f>
        <v>0</v>
      </c>
      <c r="T24" s="44">
        <f ca="1">(SUM($H23:T23)-SUM($G24:S24))*T13</f>
        <v>7.3362010895325058</v>
      </c>
      <c r="U24" s="44">
        <f ca="1">(SUM($H23:U23)-SUM($G24:T24))*U13</f>
        <v>0</v>
      </c>
      <c r="V24" s="44">
        <f ca="1">(SUM($H23:V23)-SUM($G24:U24))*V13</f>
        <v>0</v>
      </c>
      <c r="W24" s="44">
        <f ca="1">(SUM($H23:W23)-SUM($G24:V24))*W13</f>
        <v>0</v>
      </c>
      <c r="X24" s="44">
        <f ca="1">(SUM($H23:X23)-SUM($G24:W24))*X13</f>
        <v>0</v>
      </c>
      <c r="Y24" s="44">
        <f ca="1">(SUM($H23:Y23)-SUM($G24:X24))*Y13</f>
        <v>0</v>
      </c>
      <c r="Z24" s="44">
        <f ca="1">(SUM($H23:Z23)-SUM($G24:Y24))*Z13</f>
        <v>7.3362010895325138</v>
      </c>
      <c r="AA24" s="44">
        <f ca="1">(SUM($H23:AA23)-SUM($G24:Z24))*AA13</f>
        <v>0</v>
      </c>
      <c r="AB24" s="44">
        <f ca="1">(SUM($H23:AB23)-SUM($G24:AA24))*AB13</f>
        <v>0</v>
      </c>
      <c r="AC24" s="44">
        <f ca="1">(SUM($H23:AC23)-SUM($G24:AB24))*AC13</f>
        <v>0</v>
      </c>
      <c r="AD24" s="44">
        <f ca="1">(SUM($H23:AD23)-SUM($G24:AC24))*AD13</f>
        <v>0</v>
      </c>
      <c r="AE24" s="44">
        <f ca="1">(SUM($H23:AE23)-SUM($G24:AD24))*AE13</f>
        <v>0</v>
      </c>
      <c r="AF24" s="44">
        <f ca="1">(SUM($H23:AF23)-SUM($G24:AE24))*AF13</f>
        <v>7.3362010895325156</v>
      </c>
      <c r="AG24" s="44">
        <f ca="1">(SUM($H23:AG23)-SUM($G24:AF24))*AG13</f>
        <v>0</v>
      </c>
      <c r="AH24" s="44">
        <f ca="1">(SUM($H23:AH23)-SUM($G24:AG24))*AH13</f>
        <v>0</v>
      </c>
      <c r="AI24" s="44">
        <f ca="1">(SUM($H23:AI23)-SUM($G24:AH24))*AI13</f>
        <v>0</v>
      </c>
      <c r="AJ24" s="44">
        <f ca="1">(SUM($H23:AJ23)-SUM($G24:AI24))*AJ13</f>
        <v>0</v>
      </c>
      <c r="AK24" s="44">
        <f ca="1">(SUM($H23:AK23)-SUM($G24:AJ24))*AK13</f>
        <v>0</v>
      </c>
      <c r="AL24" s="44">
        <f ca="1">(SUM($H23:AL23)-SUM($G24:AK24))*AL13</f>
        <v>7.3362010895325049</v>
      </c>
      <c r="AM24" s="44">
        <f ca="1">(SUM($H23:AM23)-SUM($G24:AL24))*AM13</f>
        <v>0</v>
      </c>
      <c r="AN24" s="44">
        <f ca="1">(SUM($H23:AN23)-SUM($G24:AM24))*AN13</f>
        <v>0</v>
      </c>
      <c r="AO24" s="44">
        <f ca="1">(SUM($H23:AO23)-SUM($G24:AN24))*AO13</f>
        <v>0</v>
      </c>
      <c r="AP24" s="44">
        <f ca="1">(SUM($H23:AP23)-SUM($G24:AO24))*AP13</f>
        <v>0</v>
      </c>
      <c r="AQ24" s="44">
        <f ca="1">(SUM($H23:AQ23)-SUM($G24:AP24))*AQ13</f>
        <v>0</v>
      </c>
      <c r="AR24" s="44">
        <f ca="1">(SUM($H23:AR23)-SUM($G24:AQ24))*AR13</f>
        <v>7.3362010895324943</v>
      </c>
      <c r="AS24" s="44">
        <f ca="1">(SUM($H23:AS23)-SUM($G24:AR24))*AS13</f>
        <v>0</v>
      </c>
      <c r="AT24" s="44">
        <f ca="1">(SUM($H23:AT23)-SUM($G24:AS24))*AT13</f>
        <v>0</v>
      </c>
      <c r="AU24" s="44">
        <f ca="1">(SUM($H23:AU23)-SUM($G24:AT24))*AU13</f>
        <v>0</v>
      </c>
      <c r="AV24" s="44">
        <f ca="1">(SUM($H23:AV23)-SUM($G24:AU24))*AV13</f>
        <v>0</v>
      </c>
      <c r="AW24" s="44">
        <f ca="1">(SUM($H23:AW23)-SUM($G24:AV24))*AW13</f>
        <v>0</v>
      </c>
      <c r="AX24" s="44">
        <f ca="1">(SUM($H23:AX23)-SUM($G24:AW24))*AX13</f>
        <v>7.3362010895324943</v>
      </c>
      <c r="AY24" s="44">
        <f ca="1">(SUM($H23:AY23)-SUM($G24:AX24))*AY13</f>
        <v>0</v>
      </c>
      <c r="AZ24" s="44">
        <f ca="1">(SUM($H23:AZ23)-SUM($G24:AY24))*AZ13</f>
        <v>0</v>
      </c>
      <c r="BA24" s="44">
        <f ca="1">(SUM($H23:BA23)-SUM($G24:AZ24))*BA13</f>
        <v>0</v>
      </c>
      <c r="BB24" s="44">
        <f ca="1">(SUM($H23:BB23)-SUM($G24:BA24))*BB13</f>
        <v>0</v>
      </c>
      <c r="BC24" s="44">
        <f ca="1">(SUM($H23:BC23)-SUM($G24:BB24))*BC13</f>
        <v>0</v>
      </c>
      <c r="BD24" s="44">
        <f ca="1">(SUM($H23:BD23)-SUM($G24:BC24))*BD13</f>
        <v>7.3362010895324943</v>
      </c>
      <c r="BE24" s="44">
        <f ca="1">(SUM($H23:BE23)-SUM($G24:BD24))*BE13</f>
        <v>0</v>
      </c>
      <c r="BF24" s="44">
        <f ca="1">(SUM($H23:BF23)-SUM($G24:BE24))*BF13</f>
        <v>0</v>
      </c>
      <c r="BG24" s="44">
        <f ca="1">(SUM($H23:BG23)-SUM($G24:BF24))*BG13</f>
        <v>0</v>
      </c>
      <c r="BH24" s="44">
        <f ca="1">(SUM($H23:BH23)-SUM($G24:BG24))*BH13</f>
        <v>0</v>
      </c>
      <c r="BI24" s="44">
        <f ca="1">(SUM($H23:BI23)-SUM($G24:BH24))*BI13</f>
        <v>0</v>
      </c>
      <c r="BJ24" s="44">
        <f ca="1">(SUM($H23:BJ23)-SUM($G24:BI24))*BJ13</f>
        <v>7.3362010895325014</v>
      </c>
      <c r="BK24" s="44">
        <f ca="1">(SUM($H23:BK23)-SUM($G24:BJ24))*BK13</f>
        <v>0</v>
      </c>
      <c r="BL24" s="44">
        <f ca="1">(SUM($H23:BL23)-SUM($G24:BK24))*BL13</f>
        <v>0</v>
      </c>
      <c r="BM24" s="44">
        <f ca="1">(SUM($H23:BM23)-SUM($G24:BL24))*BM13</f>
        <v>0</v>
      </c>
      <c r="BN24" s="44">
        <f ca="1">(SUM($H23:BN23)-SUM($G24:BM24))*BN13</f>
        <v>0</v>
      </c>
      <c r="BO24" s="44">
        <f ca="1">(SUM($H23:BO23)-SUM($G24:BN24))*BO13</f>
        <v>0</v>
      </c>
      <c r="BP24" s="44">
        <f ca="1">(SUM($H23:BP23)-SUM($G24:BO24))*BP13</f>
        <v>7.3362010895324943</v>
      </c>
      <c r="BQ24" s="44">
        <f ca="1">(SUM($H23:BQ23)-SUM($G24:BP24))*BQ13</f>
        <v>0</v>
      </c>
      <c r="BR24" s="44">
        <f ca="1">(SUM($H23:BR23)-SUM($G24:BQ24))*BR13</f>
        <v>0</v>
      </c>
      <c r="BS24" s="44">
        <f ca="1">(SUM($H23:BS23)-SUM($G24:BR24))*BS13</f>
        <v>0</v>
      </c>
      <c r="BT24" s="44">
        <f ca="1">(SUM($H23:BT23)-SUM($G24:BS24))*BT13</f>
        <v>0</v>
      </c>
      <c r="BU24" s="44">
        <f ca="1">(SUM($H23:BU23)-SUM($G24:BT24))*BU13</f>
        <v>0</v>
      </c>
      <c r="BV24" s="44">
        <f ca="1">(SUM($H23:BV23)-SUM($G24:BU24))*BV13</f>
        <v>0</v>
      </c>
      <c r="BW24" s="44">
        <f ca="1">(SUM($H23:BW23)-SUM($G24:BV24))*BW13</f>
        <v>0</v>
      </c>
      <c r="BX24" s="44">
        <f ca="1">(SUM($H23:BX23)-SUM($G24:BW24))*BX13</f>
        <v>0</v>
      </c>
      <c r="BY24" s="44">
        <f ca="1">(SUM($H23:BY23)-SUM($G24:BX24))*BY13</f>
        <v>0</v>
      </c>
      <c r="BZ24" s="44">
        <f ca="1">(SUM($H23:BZ23)-SUM($G24:BY24))*BZ13</f>
        <v>0</v>
      </c>
    </row>
    <row r="26" spans="2:78" ht="13.5" customHeight="1">
      <c r="B26" s="1" t="str">
        <f>'A&amp;R'!Q38</f>
        <v>사무수탁수수료</v>
      </c>
    </row>
    <row r="27" spans="2:78" ht="13.5" customHeight="1">
      <c r="C27" s="1" t="s">
        <v>324</v>
      </c>
      <c r="F27" s="1">
        <f ca="1">SUM(G27:XFD27)</f>
        <v>122.27001815887526</v>
      </c>
      <c r="H27" s="1">
        <f ca="1">'A&amp;R'!$U$38/12*H11</f>
        <v>0</v>
      </c>
      <c r="I27" s="1">
        <f ca="1">'A&amp;R'!$U$38/12*I11</f>
        <v>2.0378336359812526</v>
      </c>
      <c r="J27" s="1">
        <f ca="1">'A&amp;R'!$U$38/12*J11</f>
        <v>2.0378336359812526</v>
      </c>
      <c r="K27" s="1">
        <f ca="1">'A&amp;R'!$U$38/12*K11</f>
        <v>2.0378336359812526</v>
      </c>
      <c r="L27" s="1">
        <f ca="1">'A&amp;R'!$U$38/12*L11</f>
        <v>2.0378336359812526</v>
      </c>
      <c r="M27" s="1">
        <f ca="1">'A&amp;R'!$U$38/12*M11</f>
        <v>2.0378336359812526</v>
      </c>
      <c r="N27" s="1">
        <f ca="1">'A&amp;R'!$U$38/12*N11</f>
        <v>2.0378336359812526</v>
      </c>
      <c r="O27" s="1">
        <f ca="1">'A&amp;R'!$U$38/12*O11</f>
        <v>2.0378336359812526</v>
      </c>
      <c r="P27" s="1">
        <f ca="1">'A&amp;R'!$U$38/12*P11</f>
        <v>2.0378336359812526</v>
      </c>
      <c r="Q27" s="1">
        <f ca="1">'A&amp;R'!$U$38/12*Q11</f>
        <v>2.0378336359812526</v>
      </c>
      <c r="R27" s="1">
        <f ca="1">'A&amp;R'!$U$38/12*R11</f>
        <v>2.0378336359812526</v>
      </c>
      <c r="S27" s="1">
        <f ca="1">'A&amp;R'!$U$38/12*S11</f>
        <v>2.0378336359812526</v>
      </c>
      <c r="T27" s="1">
        <f ca="1">'A&amp;R'!$U$38/12*T11</f>
        <v>2.0378336359812526</v>
      </c>
      <c r="U27" s="1">
        <f ca="1">'A&amp;R'!$U$38/12*U11</f>
        <v>2.0378336359812526</v>
      </c>
      <c r="V27" s="1">
        <f ca="1">'A&amp;R'!$U$38/12*V11</f>
        <v>2.0378336359812526</v>
      </c>
      <c r="W27" s="1">
        <f ca="1">'A&amp;R'!$U$38/12*W11</f>
        <v>2.0378336359812526</v>
      </c>
      <c r="X27" s="1">
        <f ca="1">'A&amp;R'!$U$38/12*X11</f>
        <v>2.0378336359812526</v>
      </c>
      <c r="Y27" s="1">
        <f ca="1">'A&amp;R'!$U$38/12*Y11</f>
        <v>2.0378336359812526</v>
      </c>
      <c r="Z27" s="1">
        <f ca="1">'A&amp;R'!$U$38/12*Z11</f>
        <v>2.0378336359812526</v>
      </c>
      <c r="AA27" s="1">
        <f ca="1">'A&amp;R'!$U$38/12*AA11</f>
        <v>2.0378336359812526</v>
      </c>
      <c r="AB27" s="1">
        <f ca="1">'A&amp;R'!$U$38/12*AB11</f>
        <v>2.0378336359812526</v>
      </c>
      <c r="AC27" s="1">
        <f ca="1">'A&amp;R'!$U$38/12*AC11</f>
        <v>2.0378336359812526</v>
      </c>
      <c r="AD27" s="1">
        <f ca="1">'A&amp;R'!$U$38/12*AD11</f>
        <v>2.0378336359812526</v>
      </c>
      <c r="AE27" s="1">
        <f ca="1">'A&amp;R'!$U$38/12*AE11</f>
        <v>2.0378336359812526</v>
      </c>
      <c r="AF27" s="1">
        <f ca="1">'A&amp;R'!$U$38/12*AF11</f>
        <v>2.0378336359812526</v>
      </c>
      <c r="AG27" s="1">
        <f ca="1">'A&amp;R'!$U$38/12*AG11</f>
        <v>2.0378336359812526</v>
      </c>
      <c r="AH27" s="1">
        <f ca="1">'A&amp;R'!$U$38/12*AH11</f>
        <v>2.0378336359812526</v>
      </c>
      <c r="AI27" s="1">
        <f ca="1">'A&amp;R'!$U$38/12*AI11</f>
        <v>2.0378336359812526</v>
      </c>
      <c r="AJ27" s="1">
        <f ca="1">'A&amp;R'!$U$38/12*AJ11</f>
        <v>2.0378336359812526</v>
      </c>
      <c r="AK27" s="1">
        <f ca="1">'A&amp;R'!$U$38/12*AK11</f>
        <v>2.0378336359812526</v>
      </c>
      <c r="AL27" s="1">
        <f ca="1">'A&amp;R'!$U$38/12*AL11</f>
        <v>2.0378336359812526</v>
      </c>
      <c r="AM27" s="1">
        <f ca="1">'A&amp;R'!$U$38/12*AM11</f>
        <v>2.0378336359812526</v>
      </c>
      <c r="AN27" s="1">
        <f ca="1">'A&amp;R'!$U$38/12*AN11</f>
        <v>2.0378336359812526</v>
      </c>
      <c r="AO27" s="1">
        <f ca="1">'A&amp;R'!$U$38/12*AO11</f>
        <v>2.0378336359812526</v>
      </c>
      <c r="AP27" s="1">
        <f ca="1">'A&amp;R'!$U$38/12*AP11</f>
        <v>2.0378336359812526</v>
      </c>
      <c r="AQ27" s="1">
        <f ca="1">'A&amp;R'!$U$38/12*AQ11</f>
        <v>2.0378336359812526</v>
      </c>
      <c r="AR27" s="1">
        <f ca="1">'A&amp;R'!$U$38/12*AR11</f>
        <v>2.0378336359812526</v>
      </c>
      <c r="AS27" s="1">
        <f ca="1">'A&amp;R'!$U$38/12*AS11</f>
        <v>2.0378336359812526</v>
      </c>
      <c r="AT27" s="1">
        <f ca="1">'A&amp;R'!$U$38/12*AT11</f>
        <v>2.0378336359812526</v>
      </c>
      <c r="AU27" s="1">
        <f ca="1">'A&amp;R'!$U$38/12*AU11</f>
        <v>2.0378336359812526</v>
      </c>
      <c r="AV27" s="1">
        <f ca="1">'A&amp;R'!$U$38/12*AV11</f>
        <v>2.0378336359812526</v>
      </c>
      <c r="AW27" s="1">
        <f ca="1">'A&amp;R'!$U$38/12*AW11</f>
        <v>2.0378336359812526</v>
      </c>
      <c r="AX27" s="1">
        <f ca="1">'A&amp;R'!$U$38/12*AX11</f>
        <v>2.0378336359812526</v>
      </c>
      <c r="AY27" s="1">
        <f ca="1">'A&amp;R'!$U$38/12*AY11</f>
        <v>2.0378336359812526</v>
      </c>
      <c r="AZ27" s="1">
        <f ca="1">'A&amp;R'!$U$38/12*AZ11</f>
        <v>2.0378336359812526</v>
      </c>
      <c r="BA27" s="1">
        <f ca="1">'A&amp;R'!$U$38/12*BA11</f>
        <v>2.0378336359812526</v>
      </c>
      <c r="BB27" s="1">
        <f ca="1">'A&amp;R'!$U$38/12*BB11</f>
        <v>2.0378336359812526</v>
      </c>
      <c r="BC27" s="1">
        <f ca="1">'A&amp;R'!$U$38/12*BC11</f>
        <v>2.0378336359812526</v>
      </c>
      <c r="BD27" s="1">
        <f ca="1">'A&amp;R'!$U$38/12*BD11</f>
        <v>2.0378336359812526</v>
      </c>
      <c r="BE27" s="1">
        <f ca="1">'A&amp;R'!$U$38/12*BE11</f>
        <v>2.0378336359812526</v>
      </c>
      <c r="BF27" s="1">
        <f ca="1">'A&amp;R'!$U$38/12*BF11</f>
        <v>2.0378336359812526</v>
      </c>
      <c r="BG27" s="1">
        <f ca="1">'A&amp;R'!$U$38/12*BG11</f>
        <v>2.0378336359812526</v>
      </c>
      <c r="BH27" s="1">
        <f ca="1">'A&amp;R'!$U$38/12*BH11</f>
        <v>2.0378336359812526</v>
      </c>
      <c r="BI27" s="1">
        <f ca="1">'A&amp;R'!$U$38/12*BI11</f>
        <v>2.0378336359812526</v>
      </c>
      <c r="BJ27" s="1">
        <f ca="1">'A&amp;R'!$U$38/12*BJ11</f>
        <v>2.0378336359812526</v>
      </c>
      <c r="BK27" s="1">
        <f ca="1">'A&amp;R'!$U$38/12*BK11</f>
        <v>2.0378336359812526</v>
      </c>
      <c r="BL27" s="1">
        <f ca="1">'A&amp;R'!$U$38/12*BL11</f>
        <v>2.0378336359812526</v>
      </c>
      <c r="BM27" s="1">
        <f ca="1">'A&amp;R'!$U$38/12*BM11</f>
        <v>2.0378336359812526</v>
      </c>
      <c r="BN27" s="1">
        <f ca="1">'A&amp;R'!$U$38/12*BN11</f>
        <v>2.0378336359812526</v>
      </c>
      <c r="BO27" s="1">
        <f ca="1">'A&amp;R'!$U$38/12*BO11</f>
        <v>2.0378336359812526</v>
      </c>
      <c r="BP27" s="1">
        <f ca="1">'A&amp;R'!$U$38/12*BP11</f>
        <v>2.0378336359812526</v>
      </c>
      <c r="BQ27" s="1">
        <f ca="1">'A&amp;R'!$U$38/12*BQ11</f>
        <v>0</v>
      </c>
      <c r="BR27" s="1">
        <f ca="1">'A&amp;R'!$U$38/12*BR11</f>
        <v>0</v>
      </c>
      <c r="BS27" s="1">
        <f ca="1">'A&amp;R'!$U$38/12*BS11</f>
        <v>0</v>
      </c>
      <c r="BT27" s="1">
        <f ca="1">'A&amp;R'!$U$38/12*BT11</f>
        <v>0</v>
      </c>
      <c r="BU27" s="1">
        <f ca="1">'A&amp;R'!$U$38/12*BU11</f>
        <v>0</v>
      </c>
      <c r="BV27" s="1">
        <f ca="1">'A&amp;R'!$U$38/12*BV11</f>
        <v>0</v>
      </c>
      <c r="BW27" s="1">
        <f ca="1">'A&amp;R'!$U$38/12*BW11</f>
        <v>0</v>
      </c>
      <c r="BX27" s="1">
        <f ca="1">'A&amp;R'!$U$38/12*BX11</f>
        <v>0</v>
      </c>
      <c r="BY27" s="1">
        <f ca="1">'A&amp;R'!$U$38/12*BY11</f>
        <v>0</v>
      </c>
      <c r="BZ27" s="1">
        <f ca="1">'A&amp;R'!$U$38/12*BZ11</f>
        <v>0</v>
      </c>
    </row>
    <row r="28" spans="2:78" ht="13.5" customHeight="1">
      <c r="C28" s="44" t="s">
        <v>360</v>
      </c>
      <c r="D28" s="135" t="b">
        <f ca="1">ABS(F27-F28)&lt;0.001</f>
        <v>1</v>
      </c>
      <c r="E28" s="44"/>
      <c r="F28" s="44">
        <f ca="1">SUM(G28:XFD28)</f>
        <v>122.27001815887526</v>
      </c>
      <c r="G28" s="44"/>
      <c r="H28" s="44">
        <f ca="1">(SUM($H27:H27)-SUM($G28:G28))*H13</f>
        <v>0</v>
      </c>
      <c r="I28" s="44">
        <f ca="1">(SUM($H27:I27)-SUM($G28:H28))*I13</f>
        <v>0</v>
      </c>
      <c r="J28" s="44">
        <f ca="1">(SUM($H27:J27)-SUM($G28:I28))*J13</f>
        <v>0</v>
      </c>
      <c r="K28" s="44">
        <f ca="1">(SUM($H27:K27)-SUM($G28:J28))*K13</f>
        <v>0</v>
      </c>
      <c r="L28" s="44">
        <f ca="1">(SUM($H27:L27)-SUM($G28:K28))*L13</f>
        <v>0</v>
      </c>
      <c r="M28" s="44">
        <f ca="1">(SUM($H27:M27)-SUM($G28:L28))*M13</f>
        <v>0</v>
      </c>
      <c r="N28" s="44">
        <f ca="1">(SUM($H27:N27)-SUM($G28:M28))*N13</f>
        <v>12.227001815887515</v>
      </c>
      <c r="O28" s="44">
        <f ca="1">(SUM($H27:O27)-SUM($G28:N28))*O13</f>
        <v>0</v>
      </c>
      <c r="P28" s="44">
        <f ca="1">(SUM($H27:P27)-SUM($G28:O28))*P13</f>
        <v>0</v>
      </c>
      <c r="Q28" s="44">
        <f ca="1">(SUM($H27:Q27)-SUM($G28:P28))*Q13</f>
        <v>0</v>
      </c>
      <c r="R28" s="44">
        <f ca="1">(SUM($H27:R27)-SUM($G28:Q28))*R13</f>
        <v>0</v>
      </c>
      <c r="S28" s="44">
        <f ca="1">(SUM($H27:S27)-SUM($G28:R28))*S13</f>
        <v>0</v>
      </c>
      <c r="T28" s="44">
        <f ca="1">(SUM($H27:T27)-SUM($G28:S28))*T13</f>
        <v>12.227001815887508</v>
      </c>
      <c r="U28" s="44">
        <f ca="1">(SUM($H27:U27)-SUM($G28:T28))*U13</f>
        <v>0</v>
      </c>
      <c r="V28" s="44">
        <f ca="1">(SUM($H27:V27)-SUM($G28:U28))*V13</f>
        <v>0</v>
      </c>
      <c r="W28" s="44">
        <f ca="1">(SUM($H27:W27)-SUM($G28:V28))*W13</f>
        <v>0</v>
      </c>
      <c r="X28" s="44">
        <f ca="1">(SUM($H27:X27)-SUM($G28:W28))*X13</f>
        <v>0</v>
      </c>
      <c r="Y28" s="44">
        <f ca="1">(SUM($H27:Y27)-SUM($G28:X28))*Y13</f>
        <v>0</v>
      </c>
      <c r="Z28" s="44">
        <f ca="1">(SUM($H27:Z27)-SUM($G28:Y28))*Z13</f>
        <v>12.227001815887505</v>
      </c>
      <c r="AA28" s="44">
        <f ca="1">(SUM($H27:AA27)-SUM($G28:Z28))*AA13</f>
        <v>0</v>
      </c>
      <c r="AB28" s="44">
        <f ca="1">(SUM($H27:AB27)-SUM($G28:AA28))*AB13</f>
        <v>0</v>
      </c>
      <c r="AC28" s="44">
        <f ca="1">(SUM($H27:AC27)-SUM($G28:AB28))*AC13</f>
        <v>0</v>
      </c>
      <c r="AD28" s="44">
        <f ca="1">(SUM($H27:AD27)-SUM($G28:AC28))*AD13</f>
        <v>0</v>
      </c>
      <c r="AE28" s="44">
        <f ca="1">(SUM($H27:AE27)-SUM($G28:AD28))*AE13</f>
        <v>0</v>
      </c>
      <c r="AF28" s="44">
        <f ca="1">(SUM($H27:AF27)-SUM($G28:AE28))*AF13</f>
        <v>12.227001815887505</v>
      </c>
      <c r="AG28" s="44">
        <f ca="1">(SUM($H27:AG27)-SUM($G28:AF28))*AG13</f>
        <v>0</v>
      </c>
      <c r="AH28" s="44">
        <f ca="1">(SUM($H27:AH27)-SUM($G28:AG28))*AH13</f>
        <v>0</v>
      </c>
      <c r="AI28" s="44">
        <f ca="1">(SUM($H27:AI27)-SUM($G28:AH28))*AI13</f>
        <v>0</v>
      </c>
      <c r="AJ28" s="44">
        <f ca="1">(SUM($H27:AJ27)-SUM($G28:AI28))*AJ13</f>
        <v>0</v>
      </c>
      <c r="AK28" s="44">
        <f ca="1">(SUM($H27:AK27)-SUM($G28:AJ28))*AK13</f>
        <v>0</v>
      </c>
      <c r="AL28" s="44">
        <f ca="1">(SUM($H27:AL27)-SUM($G28:AK28))*AL13</f>
        <v>12.227001815887505</v>
      </c>
      <c r="AM28" s="44">
        <f ca="1">(SUM($H27:AM27)-SUM($G28:AL28))*AM13</f>
        <v>0</v>
      </c>
      <c r="AN28" s="44">
        <f ca="1">(SUM($H27:AN27)-SUM($G28:AM28))*AN13</f>
        <v>0</v>
      </c>
      <c r="AO28" s="44">
        <f ca="1">(SUM($H27:AO27)-SUM($G28:AN28))*AO13</f>
        <v>0</v>
      </c>
      <c r="AP28" s="44">
        <f ca="1">(SUM($H27:AP27)-SUM($G28:AO28))*AP13</f>
        <v>0</v>
      </c>
      <c r="AQ28" s="44">
        <f ca="1">(SUM($H27:AQ27)-SUM($G28:AP28))*AQ13</f>
        <v>0</v>
      </c>
      <c r="AR28" s="44">
        <f ca="1">(SUM($H27:AR27)-SUM($G28:AQ28))*AR13</f>
        <v>12.227001815887533</v>
      </c>
      <c r="AS28" s="44">
        <f ca="1">(SUM($H27:AS27)-SUM($G28:AR28))*AS13</f>
        <v>0</v>
      </c>
      <c r="AT28" s="44">
        <f ca="1">(SUM($H27:AT27)-SUM($G28:AS28))*AT13</f>
        <v>0</v>
      </c>
      <c r="AU28" s="44">
        <f ca="1">(SUM($H27:AU27)-SUM($G28:AT28))*AU13</f>
        <v>0</v>
      </c>
      <c r="AV28" s="44">
        <f ca="1">(SUM($H27:AV27)-SUM($G28:AU28))*AV13</f>
        <v>0</v>
      </c>
      <c r="AW28" s="44">
        <f ca="1">(SUM($H27:AW27)-SUM($G28:AV28))*AW13</f>
        <v>0</v>
      </c>
      <c r="AX28" s="44">
        <f ca="1">(SUM($H27:AX27)-SUM($G28:AW28))*AX13</f>
        <v>12.227001815887547</v>
      </c>
      <c r="AY28" s="44">
        <f ca="1">(SUM($H27:AY27)-SUM($G28:AX28))*AY13</f>
        <v>0</v>
      </c>
      <c r="AZ28" s="44">
        <f ca="1">(SUM($H27:AZ27)-SUM($G28:AY28))*AZ13</f>
        <v>0</v>
      </c>
      <c r="BA28" s="44">
        <f ca="1">(SUM($H27:BA27)-SUM($G28:AZ28))*BA13</f>
        <v>0</v>
      </c>
      <c r="BB28" s="44">
        <f ca="1">(SUM($H27:BB27)-SUM($G28:BA28))*BB13</f>
        <v>0</v>
      </c>
      <c r="BC28" s="44">
        <f ca="1">(SUM($H27:BC27)-SUM($G28:BB28))*BC13</f>
        <v>0</v>
      </c>
      <c r="BD28" s="44">
        <f ca="1">(SUM($H27:BD27)-SUM($G28:BC28))*BD13</f>
        <v>12.227001815887547</v>
      </c>
      <c r="BE28" s="44">
        <f ca="1">(SUM($H27:BE27)-SUM($G28:BD28))*BE13</f>
        <v>0</v>
      </c>
      <c r="BF28" s="44">
        <f ca="1">(SUM($H27:BF27)-SUM($G28:BE28))*BF13</f>
        <v>0</v>
      </c>
      <c r="BG28" s="44">
        <f ca="1">(SUM($H27:BG27)-SUM($G28:BF28))*BG13</f>
        <v>0</v>
      </c>
      <c r="BH28" s="44">
        <f ca="1">(SUM($H27:BH27)-SUM($G28:BG28))*BH13</f>
        <v>0</v>
      </c>
      <c r="BI28" s="44">
        <f ca="1">(SUM($H27:BI27)-SUM($G28:BH28))*BI13</f>
        <v>0</v>
      </c>
      <c r="BJ28" s="44">
        <f ca="1">(SUM($H27:BJ27)-SUM($G28:BI28))*BJ13</f>
        <v>12.227001815887547</v>
      </c>
      <c r="BK28" s="44">
        <f ca="1">(SUM($H27:BK27)-SUM($G28:BJ28))*BK13</f>
        <v>0</v>
      </c>
      <c r="BL28" s="44">
        <f ca="1">(SUM($H27:BL27)-SUM($G28:BK28))*BL13</f>
        <v>0</v>
      </c>
      <c r="BM28" s="44">
        <f ca="1">(SUM($H27:BM27)-SUM($G28:BL28))*BM13</f>
        <v>0</v>
      </c>
      <c r="BN28" s="44">
        <f ca="1">(SUM($H27:BN27)-SUM($G28:BM28))*BN13</f>
        <v>0</v>
      </c>
      <c r="BO28" s="44">
        <f ca="1">(SUM($H27:BO27)-SUM($G28:BN28))*BO13</f>
        <v>0</v>
      </c>
      <c r="BP28" s="44">
        <f ca="1">(SUM($H27:BP27)-SUM($G28:BO28))*BP13</f>
        <v>12.227001815887547</v>
      </c>
      <c r="BQ28" s="44">
        <f ca="1">(SUM($H27:BQ27)-SUM($G28:BP28))*BQ13</f>
        <v>0</v>
      </c>
      <c r="BR28" s="44">
        <f ca="1">(SUM($H27:BR27)-SUM($G28:BQ28))*BR13</f>
        <v>0</v>
      </c>
      <c r="BS28" s="44">
        <f ca="1">(SUM($H27:BS27)-SUM($G28:BR28))*BS13</f>
        <v>0</v>
      </c>
      <c r="BT28" s="44">
        <f ca="1">(SUM($H27:BT27)-SUM($G28:BS28))*BT13</f>
        <v>0</v>
      </c>
      <c r="BU28" s="44">
        <f ca="1">(SUM($H27:BU27)-SUM($G28:BT28))*BU13</f>
        <v>0</v>
      </c>
      <c r="BV28" s="44">
        <f ca="1">(SUM($H27:BV27)-SUM($G28:BU28))*BV13</f>
        <v>0</v>
      </c>
      <c r="BW28" s="44">
        <f ca="1">(SUM($H27:BW27)-SUM($G28:BV28))*BW13</f>
        <v>0</v>
      </c>
      <c r="BX28" s="44">
        <f ca="1">(SUM($H27:BX27)-SUM($G28:BW28))*BX13</f>
        <v>0</v>
      </c>
      <c r="BY28" s="44">
        <f ca="1">(SUM($H27:BY27)-SUM($G28:BX28))*BY13</f>
        <v>0</v>
      </c>
      <c r="BZ28" s="44">
        <f ca="1">(SUM($H27:BZ27)-SUM($G28:BY28))*BZ13</f>
        <v>0</v>
      </c>
    </row>
    <row r="30" spans="2:78" ht="13.5" customHeight="1">
      <c r="B30" s="173" t="s">
        <v>362</v>
      </c>
      <c r="C30" s="173"/>
      <c r="D30" s="173"/>
      <c r="E30" s="173"/>
      <c r="F30" s="173">
        <f ca="1">SUM(G30:XFD30)</f>
        <v>929.25213800745109</v>
      </c>
      <c r="G30" s="173"/>
      <c r="H30" s="173">
        <f t="shared" ref="H30:AM30" ca="1" si="12">H28+H24+H20</f>
        <v>0</v>
      </c>
      <c r="I30" s="173">
        <f t="shared" ca="1" si="12"/>
        <v>0</v>
      </c>
      <c r="J30" s="173">
        <f t="shared" ca="1" si="12"/>
        <v>0</v>
      </c>
      <c r="K30" s="173">
        <f t="shared" ca="1" si="12"/>
        <v>0</v>
      </c>
      <c r="L30" s="173">
        <f t="shared" ca="1" si="12"/>
        <v>0</v>
      </c>
      <c r="M30" s="173">
        <f t="shared" ca="1" si="12"/>
        <v>0</v>
      </c>
      <c r="N30" s="173">
        <f t="shared" ca="1" si="12"/>
        <v>92.925213800745126</v>
      </c>
      <c r="O30" s="173">
        <f t="shared" ca="1" si="12"/>
        <v>0</v>
      </c>
      <c r="P30" s="173">
        <f t="shared" ca="1" si="12"/>
        <v>0</v>
      </c>
      <c r="Q30" s="173">
        <f t="shared" ca="1" si="12"/>
        <v>0</v>
      </c>
      <c r="R30" s="173">
        <f t="shared" ca="1" si="12"/>
        <v>0</v>
      </c>
      <c r="S30" s="173">
        <f t="shared" ca="1" si="12"/>
        <v>0</v>
      </c>
      <c r="T30" s="173">
        <f t="shared" ca="1" si="12"/>
        <v>92.925213800745112</v>
      </c>
      <c r="U30" s="173">
        <f t="shared" ca="1" si="12"/>
        <v>0</v>
      </c>
      <c r="V30" s="173">
        <f t="shared" ca="1" si="12"/>
        <v>0</v>
      </c>
      <c r="W30" s="173">
        <f t="shared" ca="1" si="12"/>
        <v>0</v>
      </c>
      <c r="X30" s="173">
        <f t="shared" ca="1" si="12"/>
        <v>0</v>
      </c>
      <c r="Y30" s="173">
        <f t="shared" ca="1" si="12"/>
        <v>0</v>
      </c>
      <c r="Z30" s="173">
        <f t="shared" ca="1" si="12"/>
        <v>92.925213800745126</v>
      </c>
      <c r="AA30" s="173">
        <f t="shared" ca="1" si="12"/>
        <v>0</v>
      </c>
      <c r="AB30" s="173">
        <f t="shared" ca="1" si="12"/>
        <v>0</v>
      </c>
      <c r="AC30" s="173">
        <f t="shared" ca="1" si="12"/>
        <v>0</v>
      </c>
      <c r="AD30" s="173">
        <f t="shared" ca="1" si="12"/>
        <v>0</v>
      </c>
      <c r="AE30" s="173">
        <f t="shared" ca="1" si="12"/>
        <v>0</v>
      </c>
      <c r="AF30" s="173">
        <f t="shared" ca="1" si="12"/>
        <v>92.925213800745041</v>
      </c>
      <c r="AG30" s="173">
        <f t="shared" ca="1" si="12"/>
        <v>0</v>
      </c>
      <c r="AH30" s="173">
        <f t="shared" ca="1" si="12"/>
        <v>0</v>
      </c>
      <c r="AI30" s="173">
        <f t="shared" ca="1" si="12"/>
        <v>0</v>
      </c>
      <c r="AJ30" s="173">
        <f t="shared" ca="1" si="12"/>
        <v>0</v>
      </c>
      <c r="AK30" s="173">
        <f t="shared" ca="1" si="12"/>
        <v>0</v>
      </c>
      <c r="AL30" s="173">
        <f t="shared" ca="1" si="12"/>
        <v>92.925213800744956</v>
      </c>
      <c r="AM30" s="173">
        <f t="shared" ca="1" si="12"/>
        <v>0</v>
      </c>
      <c r="AN30" s="173">
        <f t="shared" ref="AN30:BS30" ca="1" si="13">AN28+AN24+AN20</f>
        <v>0</v>
      </c>
      <c r="AO30" s="173">
        <f t="shared" ca="1" si="13"/>
        <v>0</v>
      </c>
      <c r="AP30" s="173">
        <f t="shared" ca="1" si="13"/>
        <v>0</v>
      </c>
      <c r="AQ30" s="173">
        <f t="shared" ca="1" si="13"/>
        <v>0</v>
      </c>
      <c r="AR30" s="173">
        <f t="shared" ca="1" si="13"/>
        <v>92.92521380074497</v>
      </c>
      <c r="AS30" s="173">
        <f t="shared" ca="1" si="13"/>
        <v>0</v>
      </c>
      <c r="AT30" s="173">
        <f t="shared" ca="1" si="13"/>
        <v>0</v>
      </c>
      <c r="AU30" s="173">
        <f t="shared" ca="1" si="13"/>
        <v>0</v>
      </c>
      <c r="AV30" s="173">
        <f t="shared" ca="1" si="13"/>
        <v>0</v>
      </c>
      <c r="AW30" s="173">
        <f t="shared" ca="1" si="13"/>
        <v>0</v>
      </c>
      <c r="AX30" s="173">
        <f t="shared" ca="1" si="13"/>
        <v>92.925213800744984</v>
      </c>
      <c r="AY30" s="173">
        <f t="shared" ca="1" si="13"/>
        <v>0</v>
      </c>
      <c r="AZ30" s="173">
        <f t="shared" ca="1" si="13"/>
        <v>0</v>
      </c>
      <c r="BA30" s="173">
        <f t="shared" ca="1" si="13"/>
        <v>0</v>
      </c>
      <c r="BB30" s="173">
        <f t="shared" ca="1" si="13"/>
        <v>0</v>
      </c>
      <c r="BC30" s="173">
        <f t="shared" ca="1" si="13"/>
        <v>0</v>
      </c>
      <c r="BD30" s="173">
        <f t="shared" ca="1" si="13"/>
        <v>92.925213800745325</v>
      </c>
      <c r="BE30" s="173">
        <f t="shared" ca="1" si="13"/>
        <v>0</v>
      </c>
      <c r="BF30" s="173">
        <f t="shared" ca="1" si="13"/>
        <v>0</v>
      </c>
      <c r="BG30" s="173">
        <f t="shared" ca="1" si="13"/>
        <v>0</v>
      </c>
      <c r="BH30" s="173">
        <f t="shared" ca="1" si="13"/>
        <v>0</v>
      </c>
      <c r="BI30" s="173">
        <f t="shared" ca="1" si="13"/>
        <v>0</v>
      </c>
      <c r="BJ30" s="173">
        <f t="shared" ca="1" si="13"/>
        <v>92.925213800745325</v>
      </c>
      <c r="BK30" s="173">
        <f t="shared" ca="1" si="13"/>
        <v>0</v>
      </c>
      <c r="BL30" s="173">
        <f t="shared" ca="1" si="13"/>
        <v>0</v>
      </c>
      <c r="BM30" s="173">
        <f t="shared" ca="1" si="13"/>
        <v>0</v>
      </c>
      <c r="BN30" s="173">
        <f t="shared" ca="1" si="13"/>
        <v>0</v>
      </c>
      <c r="BO30" s="173">
        <f t="shared" ca="1" si="13"/>
        <v>0</v>
      </c>
      <c r="BP30" s="173">
        <f t="shared" ca="1" si="13"/>
        <v>92.925213800745325</v>
      </c>
      <c r="BQ30" s="173">
        <f t="shared" ca="1" si="13"/>
        <v>0</v>
      </c>
      <c r="BR30" s="173">
        <f t="shared" ca="1" si="13"/>
        <v>0</v>
      </c>
      <c r="BS30" s="173">
        <f t="shared" ca="1" si="13"/>
        <v>0</v>
      </c>
      <c r="BT30" s="173">
        <f t="shared" ref="BT30:BZ30" ca="1" si="14">BT28+BT24+BT20</f>
        <v>0</v>
      </c>
      <c r="BU30" s="173">
        <f t="shared" ca="1" si="14"/>
        <v>0</v>
      </c>
      <c r="BV30" s="173">
        <f t="shared" ca="1" si="14"/>
        <v>0</v>
      </c>
      <c r="BW30" s="173">
        <f t="shared" ca="1" si="14"/>
        <v>0</v>
      </c>
      <c r="BX30" s="173">
        <f t="shared" ca="1" si="14"/>
        <v>0</v>
      </c>
      <c r="BY30" s="173">
        <f t="shared" ca="1" si="14"/>
        <v>0</v>
      </c>
      <c r="BZ30" s="173">
        <f t="shared" ca="1" si="14"/>
        <v>0</v>
      </c>
    </row>
    <row r="33" spans="8:10" s="11" customFormat="1" ht="13.5" customHeight="1" outlineLevel="1">
      <c r="H33" s="11" t="b">
        <f ca="1">D20</f>
        <v>1</v>
      </c>
      <c r="I33" s="11" t="b">
        <f ca="1">D24</f>
        <v>1</v>
      </c>
      <c r="J33" s="11" t="b">
        <f ca="1">D28</f>
        <v>1</v>
      </c>
    </row>
  </sheetData>
  <phoneticPr fontId="2" type="noConversion"/>
  <printOptions horizontalCentered="1"/>
  <pageMargins left="0.31496062992125984" right="0.31496062992125984" top="0.55118110236220474" bottom="0.55118110236220474" header="0.31496062992125984" footer="0.31496062992125984"/>
  <pageSetup paperSize="8" scale="70" orientation="landscape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CED5DD-5F04-437D-AE23-12350795B5F8}">
  <sheetPr codeName="Sheet6"/>
  <dimension ref="A2:BY123"/>
  <sheetViews>
    <sheetView showGridLines="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 activeCell="H115" sqref="H115"/>
    </sheetView>
  </sheetViews>
  <sheetFormatPr defaultRowHeight="13.5" customHeight="1" outlineLevelRow="1"/>
  <cols>
    <col min="1" max="1" width="2.5" style="1" customWidth="1"/>
    <col min="2" max="2" width="2.75" style="1" customWidth="1"/>
    <col min="3" max="3" width="3.75" style="1" customWidth="1"/>
    <col min="4" max="6" width="9" style="1"/>
    <col min="7" max="7" width="3.25" style="1" customWidth="1"/>
    <col min="8" max="29" width="9" style="1"/>
    <col min="30" max="30" width="9.75" style="1" bestFit="1" customWidth="1"/>
    <col min="31" max="16384" width="9" style="1"/>
  </cols>
  <sheetData>
    <row r="2" spans="1:77" ht="13.5" customHeight="1">
      <c r="A2" s="14" t="s">
        <v>0</v>
      </c>
      <c r="AB2" s="3" t="s">
        <v>1</v>
      </c>
      <c r="AC2" s="6" t="s">
        <v>4</v>
      </c>
      <c r="AD2" s="9" t="s">
        <v>7</v>
      </c>
    </row>
    <row r="3" spans="1:77" ht="13.5" customHeight="1">
      <c r="AB3" s="4" t="s">
        <v>2</v>
      </c>
      <c r="AC3" s="7" t="s">
        <v>5</v>
      </c>
      <c r="AD3" s="10" t="s">
        <v>8</v>
      </c>
    </row>
    <row r="4" spans="1:77" ht="13.5" customHeight="1">
      <c r="AB4" s="5" t="s">
        <v>3</v>
      </c>
      <c r="AC4" s="8" t="s">
        <v>6</v>
      </c>
      <c r="AD4" s="11" t="s">
        <v>9</v>
      </c>
    </row>
    <row r="5" spans="1:77" s="2" customFormat="1" ht="13.5" customHeight="1" thickBot="1"/>
    <row r="6" spans="1:77" ht="13.5" customHeight="1" thickTop="1">
      <c r="A6" s="1" t="s">
        <v>10</v>
      </c>
      <c r="AD6" s="12">
        <v>44381</v>
      </c>
    </row>
    <row r="7" spans="1:77" ht="13.5" customHeight="1">
      <c r="A7" s="13" t="s">
        <v>16</v>
      </c>
    </row>
    <row r="8" spans="1:77" ht="13.5" customHeight="1" outlineLevel="1">
      <c r="H8" s="87" t="s">
        <v>54</v>
      </c>
      <c r="I8" s="88">
        <v>1</v>
      </c>
      <c r="J8" s="88">
        <v>2</v>
      </c>
      <c r="K8" s="88">
        <v>3</v>
      </c>
      <c r="L8" s="88">
        <v>4</v>
      </c>
      <c r="M8" s="88">
        <v>5</v>
      </c>
      <c r="N8" s="88">
        <v>6</v>
      </c>
      <c r="O8" s="88">
        <v>7</v>
      </c>
      <c r="P8" s="88">
        <v>8</v>
      </c>
      <c r="Q8" s="88">
        <v>9</v>
      </c>
      <c r="R8" s="88">
        <v>10</v>
      </c>
    </row>
    <row r="9" spans="1:77" ht="13.5" customHeight="1" outlineLevel="1">
      <c r="H9" s="87" t="s">
        <v>74</v>
      </c>
      <c r="I9" s="89">
        <f>start</f>
        <v>44316</v>
      </c>
      <c r="J9" s="89">
        <f>EOMONTH(I10,1)</f>
        <v>44500</v>
      </c>
      <c r="K9" s="89">
        <f t="shared" ref="K9:R9" si="0">EOMONTH(J10,1)</f>
        <v>44681</v>
      </c>
      <c r="L9" s="89">
        <f t="shared" si="0"/>
        <v>44865</v>
      </c>
      <c r="M9" s="89">
        <f t="shared" si="0"/>
        <v>45046</v>
      </c>
      <c r="N9" s="89">
        <f t="shared" si="0"/>
        <v>45230</v>
      </c>
      <c r="O9" s="89">
        <f t="shared" si="0"/>
        <v>45412</v>
      </c>
      <c r="P9" s="89">
        <f t="shared" si="0"/>
        <v>45596</v>
      </c>
      <c r="Q9" s="89">
        <f t="shared" si="0"/>
        <v>45777</v>
      </c>
      <c r="R9" s="89">
        <f t="shared" si="0"/>
        <v>45961</v>
      </c>
    </row>
    <row r="10" spans="1:77" ht="13.5" customHeight="1" outlineLevel="1">
      <c r="H10" s="87" t="s">
        <v>75</v>
      </c>
      <c r="I10" s="89">
        <f t="shared" ref="I10:R10" si="1">EOMONTH(I9,period-1)</f>
        <v>44469</v>
      </c>
      <c r="J10" s="89">
        <f t="shared" si="1"/>
        <v>44651</v>
      </c>
      <c r="K10" s="89">
        <f t="shared" si="1"/>
        <v>44834</v>
      </c>
      <c r="L10" s="89">
        <f t="shared" si="1"/>
        <v>45016</v>
      </c>
      <c r="M10" s="89">
        <f t="shared" si="1"/>
        <v>45199</v>
      </c>
      <c r="N10" s="89">
        <f t="shared" si="1"/>
        <v>45382</v>
      </c>
      <c r="O10" s="89">
        <f t="shared" si="1"/>
        <v>45565</v>
      </c>
      <c r="P10" s="89">
        <f t="shared" si="1"/>
        <v>45747</v>
      </c>
      <c r="Q10" s="89">
        <f t="shared" si="1"/>
        <v>45930</v>
      </c>
      <c r="R10" s="89">
        <f t="shared" si="1"/>
        <v>46112</v>
      </c>
    </row>
    <row r="11" spans="1:77" s="11" customFormat="1" ht="13.5" customHeight="1" outlineLevel="1">
      <c r="F11" s="11" t="s">
        <v>152</v>
      </c>
      <c r="H11" s="11">
        <f t="shared" ref="H11:BS11" si="2">(H14&gt;=start)*(H14&lt;=exit)*1</f>
        <v>0</v>
      </c>
      <c r="I11" s="11">
        <f t="shared" si="2"/>
        <v>1</v>
      </c>
      <c r="J11" s="11">
        <f t="shared" si="2"/>
        <v>1</v>
      </c>
      <c r="K11" s="11">
        <f t="shared" si="2"/>
        <v>1</v>
      </c>
      <c r="L11" s="11">
        <f t="shared" si="2"/>
        <v>1</v>
      </c>
      <c r="M11" s="11">
        <f t="shared" si="2"/>
        <v>1</v>
      </c>
      <c r="N11" s="11">
        <f t="shared" si="2"/>
        <v>1</v>
      </c>
      <c r="O11" s="11">
        <f t="shared" si="2"/>
        <v>1</v>
      </c>
      <c r="P11" s="11">
        <f t="shared" si="2"/>
        <v>1</v>
      </c>
      <c r="Q11" s="11">
        <f t="shared" si="2"/>
        <v>1</v>
      </c>
      <c r="R11" s="11">
        <f t="shared" si="2"/>
        <v>1</v>
      </c>
      <c r="S11" s="11">
        <f t="shared" si="2"/>
        <v>1</v>
      </c>
      <c r="T11" s="11">
        <f t="shared" si="2"/>
        <v>1</v>
      </c>
      <c r="U11" s="11">
        <f t="shared" si="2"/>
        <v>1</v>
      </c>
      <c r="V11" s="11">
        <f t="shared" si="2"/>
        <v>1</v>
      </c>
      <c r="W11" s="11">
        <f t="shared" si="2"/>
        <v>1</v>
      </c>
      <c r="X11" s="11">
        <f t="shared" si="2"/>
        <v>1</v>
      </c>
      <c r="Y11" s="11">
        <f t="shared" si="2"/>
        <v>1</v>
      </c>
      <c r="Z11" s="11">
        <f t="shared" si="2"/>
        <v>1</v>
      </c>
      <c r="AA11" s="11">
        <f t="shared" si="2"/>
        <v>1</v>
      </c>
      <c r="AB11" s="11">
        <f t="shared" si="2"/>
        <v>1</v>
      </c>
      <c r="AC11" s="11">
        <f t="shared" si="2"/>
        <v>1</v>
      </c>
      <c r="AD11" s="11">
        <f t="shared" si="2"/>
        <v>1</v>
      </c>
      <c r="AE11" s="11">
        <f t="shared" si="2"/>
        <v>1</v>
      </c>
      <c r="AF11" s="11">
        <f t="shared" si="2"/>
        <v>1</v>
      </c>
      <c r="AG11" s="11">
        <f t="shared" si="2"/>
        <v>1</v>
      </c>
      <c r="AH11" s="11">
        <f t="shared" si="2"/>
        <v>1</v>
      </c>
      <c r="AI11" s="11">
        <f t="shared" si="2"/>
        <v>1</v>
      </c>
      <c r="AJ11" s="11">
        <f t="shared" si="2"/>
        <v>1</v>
      </c>
      <c r="AK11" s="11">
        <f t="shared" si="2"/>
        <v>1</v>
      </c>
      <c r="AL11" s="11">
        <f t="shared" si="2"/>
        <v>1</v>
      </c>
      <c r="AM11" s="11">
        <f t="shared" si="2"/>
        <v>1</v>
      </c>
      <c r="AN11" s="11">
        <f t="shared" si="2"/>
        <v>1</v>
      </c>
      <c r="AO11" s="11">
        <f t="shared" si="2"/>
        <v>1</v>
      </c>
      <c r="AP11" s="11">
        <f t="shared" si="2"/>
        <v>1</v>
      </c>
      <c r="AQ11" s="11">
        <f t="shared" si="2"/>
        <v>1</v>
      </c>
      <c r="AR11" s="11">
        <f t="shared" si="2"/>
        <v>1</v>
      </c>
      <c r="AS11" s="11">
        <f t="shared" si="2"/>
        <v>1</v>
      </c>
      <c r="AT11" s="11">
        <f t="shared" si="2"/>
        <v>1</v>
      </c>
      <c r="AU11" s="11">
        <f t="shared" si="2"/>
        <v>1</v>
      </c>
      <c r="AV11" s="11">
        <f t="shared" si="2"/>
        <v>1</v>
      </c>
      <c r="AW11" s="11">
        <f t="shared" si="2"/>
        <v>1</v>
      </c>
      <c r="AX11" s="11">
        <f t="shared" si="2"/>
        <v>1</v>
      </c>
      <c r="AY11" s="11">
        <f t="shared" si="2"/>
        <v>1</v>
      </c>
      <c r="AZ11" s="11">
        <f t="shared" si="2"/>
        <v>1</v>
      </c>
      <c r="BA11" s="11">
        <f t="shared" si="2"/>
        <v>1</v>
      </c>
      <c r="BB11" s="11">
        <f t="shared" si="2"/>
        <v>1</v>
      </c>
      <c r="BC11" s="11">
        <f t="shared" si="2"/>
        <v>1</v>
      </c>
      <c r="BD11" s="11">
        <f t="shared" si="2"/>
        <v>1</v>
      </c>
      <c r="BE11" s="11">
        <f t="shared" si="2"/>
        <v>1</v>
      </c>
      <c r="BF11" s="11">
        <f t="shared" si="2"/>
        <v>1</v>
      </c>
      <c r="BG11" s="11">
        <f t="shared" si="2"/>
        <v>1</v>
      </c>
      <c r="BH11" s="11">
        <f t="shared" si="2"/>
        <v>1</v>
      </c>
      <c r="BI11" s="11">
        <f t="shared" si="2"/>
        <v>1</v>
      </c>
      <c r="BJ11" s="11">
        <f t="shared" si="2"/>
        <v>1</v>
      </c>
      <c r="BK11" s="11">
        <f t="shared" si="2"/>
        <v>1</v>
      </c>
      <c r="BL11" s="11">
        <f t="shared" si="2"/>
        <v>1</v>
      </c>
      <c r="BM11" s="11">
        <f t="shared" si="2"/>
        <v>1</v>
      </c>
      <c r="BN11" s="11">
        <f t="shared" si="2"/>
        <v>1</v>
      </c>
      <c r="BO11" s="11">
        <f t="shared" si="2"/>
        <v>1</v>
      </c>
      <c r="BP11" s="11">
        <f t="shared" si="2"/>
        <v>1</v>
      </c>
      <c r="BQ11" s="11">
        <f t="shared" si="2"/>
        <v>0</v>
      </c>
      <c r="BR11" s="11">
        <f t="shared" si="2"/>
        <v>0</v>
      </c>
      <c r="BS11" s="11">
        <f t="shared" si="2"/>
        <v>0</v>
      </c>
      <c r="BT11" s="11">
        <f t="shared" ref="BT11:BY11" si="3">(BT14&gt;=start)*(BT14&lt;=exit)*1</f>
        <v>0</v>
      </c>
      <c r="BU11" s="11">
        <f t="shared" si="3"/>
        <v>0</v>
      </c>
      <c r="BV11" s="11">
        <f t="shared" si="3"/>
        <v>0</v>
      </c>
      <c r="BW11" s="11">
        <f t="shared" si="3"/>
        <v>0</v>
      </c>
      <c r="BX11" s="11">
        <f t="shared" si="3"/>
        <v>0</v>
      </c>
      <c r="BY11" s="11">
        <f t="shared" si="3"/>
        <v>0</v>
      </c>
    </row>
    <row r="12" spans="1:77" s="11" customFormat="1" ht="13.5" customHeight="1" outlineLevel="1">
      <c r="F12" s="11" t="s">
        <v>153</v>
      </c>
      <c r="H12" s="11">
        <f>SUM($H$11:H11)*H11</f>
        <v>0</v>
      </c>
      <c r="I12" s="11">
        <f>SUM($H$11:I11)*I11</f>
        <v>1</v>
      </c>
      <c r="J12" s="11">
        <f>SUM($H$11:J11)*J11</f>
        <v>2</v>
      </c>
      <c r="K12" s="11">
        <f>SUM($H$11:K11)*K11</f>
        <v>3</v>
      </c>
      <c r="L12" s="11">
        <f>SUM($H$11:L11)*L11</f>
        <v>4</v>
      </c>
      <c r="M12" s="11">
        <f>SUM($H$11:M11)*M11</f>
        <v>5</v>
      </c>
      <c r="N12" s="11">
        <f>SUM($H$11:N11)*N11</f>
        <v>6</v>
      </c>
      <c r="O12" s="11">
        <f>SUM($H$11:O11)*O11</f>
        <v>7</v>
      </c>
      <c r="P12" s="11">
        <f>SUM($H$11:P11)*P11</f>
        <v>8</v>
      </c>
      <c r="Q12" s="11">
        <f>SUM($H$11:Q11)*Q11</f>
        <v>9</v>
      </c>
      <c r="R12" s="11">
        <f>SUM($H$11:R11)*R11</f>
        <v>10</v>
      </c>
      <c r="S12" s="11">
        <f>SUM($H$11:S11)*S11</f>
        <v>11</v>
      </c>
      <c r="T12" s="11">
        <f>SUM($H$11:T11)*T11</f>
        <v>12</v>
      </c>
      <c r="U12" s="11">
        <f>SUM($H$11:U11)*U11</f>
        <v>13</v>
      </c>
      <c r="V12" s="11">
        <f>SUM($H$11:V11)*V11</f>
        <v>14</v>
      </c>
      <c r="W12" s="11">
        <f>SUM($H$11:W11)*W11</f>
        <v>15</v>
      </c>
      <c r="X12" s="11">
        <f>SUM($H$11:X11)*X11</f>
        <v>16</v>
      </c>
      <c r="Y12" s="11">
        <f>SUM($H$11:Y11)*Y11</f>
        <v>17</v>
      </c>
      <c r="Z12" s="11">
        <f>SUM($H$11:Z11)*Z11</f>
        <v>18</v>
      </c>
      <c r="AA12" s="11">
        <f>SUM($H$11:AA11)*AA11</f>
        <v>19</v>
      </c>
      <c r="AB12" s="11">
        <f>SUM($H$11:AB11)*AB11</f>
        <v>20</v>
      </c>
      <c r="AC12" s="11">
        <f>SUM($H$11:AC11)*AC11</f>
        <v>21</v>
      </c>
      <c r="AD12" s="11">
        <f>SUM($H$11:AD11)*AD11</f>
        <v>22</v>
      </c>
      <c r="AE12" s="11">
        <f>SUM($H$11:AE11)*AE11</f>
        <v>23</v>
      </c>
      <c r="AF12" s="11">
        <f>SUM($H$11:AF11)*AF11</f>
        <v>24</v>
      </c>
      <c r="AG12" s="11">
        <f>SUM($H$11:AG11)*AG11</f>
        <v>25</v>
      </c>
      <c r="AH12" s="11">
        <f>SUM($H$11:AH11)*AH11</f>
        <v>26</v>
      </c>
      <c r="AI12" s="11">
        <f>SUM($H$11:AI11)*AI11</f>
        <v>27</v>
      </c>
      <c r="AJ12" s="11">
        <f>SUM($H$11:AJ11)*AJ11</f>
        <v>28</v>
      </c>
      <c r="AK12" s="11">
        <f>SUM($H$11:AK11)*AK11</f>
        <v>29</v>
      </c>
      <c r="AL12" s="11">
        <f>SUM($H$11:AL11)*AL11</f>
        <v>30</v>
      </c>
      <c r="AM12" s="11">
        <f>SUM($H$11:AM11)*AM11</f>
        <v>31</v>
      </c>
      <c r="AN12" s="11">
        <f>SUM($H$11:AN11)*AN11</f>
        <v>32</v>
      </c>
      <c r="AO12" s="11">
        <f>SUM($H$11:AO11)*AO11</f>
        <v>33</v>
      </c>
      <c r="AP12" s="11">
        <f>SUM($H$11:AP11)*AP11</f>
        <v>34</v>
      </c>
      <c r="AQ12" s="11">
        <f>SUM($H$11:AQ11)*AQ11</f>
        <v>35</v>
      </c>
      <c r="AR12" s="11">
        <f>SUM($H$11:AR11)*AR11</f>
        <v>36</v>
      </c>
      <c r="AS12" s="11">
        <f>SUM($H$11:AS11)*AS11</f>
        <v>37</v>
      </c>
      <c r="AT12" s="11">
        <f>SUM($H$11:AT11)*AT11</f>
        <v>38</v>
      </c>
      <c r="AU12" s="11">
        <f>SUM($H$11:AU11)*AU11</f>
        <v>39</v>
      </c>
      <c r="AV12" s="11">
        <f>SUM($H$11:AV11)*AV11</f>
        <v>40</v>
      </c>
      <c r="AW12" s="11">
        <f>SUM($H$11:AW11)*AW11</f>
        <v>41</v>
      </c>
      <c r="AX12" s="11">
        <f>SUM($H$11:AX11)*AX11</f>
        <v>42</v>
      </c>
      <c r="AY12" s="11">
        <f>SUM($H$11:AY11)*AY11</f>
        <v>43</v>
      </c>
      <c r="AZ12" s="11">
        <f>SUM($H$11:AZ11)*AZ11</f>
        <v>44</v>
      </c>
      <c r="BA12" s="11">
        <f>SUM($H$11:BA11)*BA11</f>
        <v>45</v>
      </c>
      <c r="BB12" s="11">
        <f>SUM($H$11:BB11)*BB11</f>
        <v>46</v>
      </c>
      <c r="BC12" s="11">
        <f>SUM($H$11:BC11)*BC11</f>
        <v>47</v>
      </c>
      <c r="BD12" s="11">
        <f>SUM($H$11:BD11)*BD11</f>
        <v>48</v>
      </c>
      <c r="BE12" s="11">
        <f>SUM($H$11:BE11)*BE11</f>
        <v>49</v>
      </c>
      <c r="BF12" s="11">
        <f>SUM($H$11:BF11)*BF11</f>
        <v>50</v>
      </c>
      <c r="BG12" s="11">
        <f>SUM($H$11:BG11)*BG11</f>
        <v>51</v>
      </c>
      <c r="BH12" s="11">
        <f>SUM($H$11:BH11)*BH11</f>
        <v>52</v>
      </c>
      <c r="BI12" s="11">
        <f>SUM($H$11:BI11)*BI11</f>
        <v>53</v>
      </c>
      <c r="BJ12" s="11">
        <f>SUM($H$11:BJ11)*BJ11</f>
        <v>54</v>
      </c>
      <c r="BK12" s="11">
        <f>SUM($H$11:BK11)*BK11</f>
        <v>55</v>
      </c>
      <c r="BL12" s="11">
        <f>SUM($H$11:BL11)*BL11</f>
        <v>56</v>
      </c>
      <c r="BM12" s="11">
        <f>SUM($H$11:BM11)*BM11</f>
        <v>57</v>
      </c>
      <c r="BN12" s="11">
        <f>SUM($H$11:BN11)*BN11</f>
        <v>58</v>
      </c>
      <c r="BO12" s="11">
        <f>SUM($H$11:BO11)*BO11</f>
        <v>59</v>
      </c>
      <c r="BP12" s="11">
        <f>SUM($H$11:BP11)*BP11</f>
        <v>60</v>
      </c>
      <c r="BQ12" s="11">
        <f>SUM($H$11:BQ11)*BQ11</f>
        <v>0</v>
      </c>
      <c r="BR12" s="11">
        <f>SUM($H$11:BR11)*BR11</f>
        <v>0</v>
      </c>
      <c r="BS12" s="11">
        <f>SUM($H$11:BS11)*BS11</f>
        <v>0</v>
      </c>
      <c r="BT12" s="11">
        <f>SUM($H$11:BT11)*BT11</f>
        <v>0</v>
      </c>
      <c r="BU12" s="11">
        <f>SUM($H$11:BU11)*BU11</f>
        <v>0</v>
      </c>
      <c r="BV12" s="11">
        <f>SUM($H$11:BV11)*BV11</f>
        <v>0</v>
      </c>
      <c r="BW12" s="11">
        <f>SUM($H$11:BW11)*BW11</f>
        <v>0</v>
      </c>
      <c r="BX12" s="11">
        <f>SUM($H$11:BX11)*BX11</f>
        <v>0</v>
      </c>
      <c r="BY12" s="11">
        <f>SUM($H$11:BY11)*BY11</f>
        <v>0</v>
      </c>
    </row>
    <row r="13" spans="1:77" s="11" customFormat="1" ht="13.5" customHeight="1" outlineLevel="1">
      <c r="F13" s="11" t="s">
        <v>154</v>
      </c>
      <c r="H13" s="11">
        <f>(MOD(H12,12)=1)*1</f>
        <v>0</v>
      </c>
      <c r="I13" s="11">
        <f t="shared" ref="I13:BT13" si="4">(MOD(I12,12)=1)*1</f>
        <v>1</v>
      </c>
      <c r="J13" s="11">
        <f t="shared" si="4"/>
        <v>0</v>
      </c>
      <c r="K13" s="11">
        <f t="shared" si="4"/>
        <v>0</v>
      </c>
      <c r="L13" s="11">
        <f t="shared" si="4"/>
        <v>0</v>
      </c>
      <c r="M13" s="11">
        <f t="shared" si="4"/>
        <v>0</v>
      </c>
      <c r="N13" s="11">
        <f t="shared" si="4"/>
        <v>0</v>
      </c>
      <c r="O13" s="11">
        <f t="shared" si="4"/>
        <v>0</v>
      </c>
      <c r="P13" s="11">
        <f t="shared" si="4"/>
        <v>0</v>
      </c>
      <c r="Q13" s="11">
        <f t="shared" si="4"/>
        <v>0</v>
      </c>
      <c r="R13" s="11">
        <f t="shared" si="4"/>
        <v>0</v>
      </c>
      <c r="S13" s="11">
        <f t="shared" si="4"/>
        <v>0</v>
      </c>
      <c r="T13" s="11">
        <f t="shared" si="4"/>
        <v>0</v>
      </c>
      <c r="U13" s="11">
        <f t="shared" si="4"/>
        <v>1</v>
      </c>
      <c r="V13" s="11">
        <f t="shared" si="4"/>
        <v>0</v>
      </c>
      <c r="W13" s="11">
        <f t="shared" si="4"/>
        <v>0</v>
      </c>
      <c r="X13" s="11">
        <f t="shared" si="4"/>
        <v>0</v>
      </c>
      <c r="Y13" s="11">
        <f t="shared" si="4"/>
        <v>0</v>
      </c>
      <c r="Z13" s="11">
        <f t="shared" si="4"/>
        <v>0</v>
      </c>
      <c r="AA13" s="11">
        <f t="shared" si="4"/>
        <v>0</v>
      </c>
      <c r="AB13" s="11">
        <f t="shared" si="4"/>
        <v>0</v>
      </c>
      <c r="AC13" s="11">
        <f t="shared" si="4"/>
        <v>0</v>
      </c>
      <c r="AD13" s="11">
        <f t="shared" si="4"/>
        <v>0</v>
      </c>
      <c r="AE13" s="11">
        <f t="shared" si="4"/>
        <v>0</v>
      </c>
      <c r="AF13" s="11">
        <f t="shared" si="4"/>
        <v>0</v>
      </c>
      <c r="AG13" s="11">
        <f t="shared" si="4"/>
        <v>1</v>
      </c>
      <c r="AH13" s="11">
        <f t="shared" si="4"/>
        <v>0</v>
      </c>
      <c r="AI13" s="11">
        <f t="shared" si="4"/>
        <v>0</v>
      </c>
      <c r="AJ13" s="11">
        <f t="shared" si="4"/>
        <v>0</v>
      </c>
      <c r="AK13" s="11">
        <f t="shared" si="4"/>
        <v>0</v>
      </c>
      <c r="AL13" s="11">
        <f t="shared" si="4"/>
        <v>0</v>
      </c>
      <c r="AM13" s="11">
        <f t="shared" si="4"/>
        <v>0</v>
      </c>
      <c r="AN13" s="11">
        <f t="shared" si="4"/>
        <v>0</v>
      </c>
      <c r="AO13" s="11">
        <f t="shared" si="4"/>
        <v>0</v>
      </c>
      <c r="AP13" s="11">
        <f t="shared" si="4"/>
        <v>0</v>
      </c>
      <c r="AQ13" s="11">
        <f t="shared" si="4"/>
        <v>0</v>
      </c>
      <c r="AR13" s="11">
        <f t="shared" si="4"/>
        <v>0</v>
      </c>
      <c r="AS13" s="11">
        <f t="shared" si="4"/>
        <v>1</v>
      </c>
      <c r="AT13" s="11">
        <f t="shared" si="4"/>
        <v>0</v>
      </c>
      <c r="AU13" s="11">
        <f t="shared" si="4"/>
        <v>0</v>
      </c>
      <c r="AV13" s="11">
        <f t="shared" si="4"/>
        <v>0</v>
      </c>
      <c r="AW13" s="11">
        <f t="shared" si="4"/>
        <v>0</v>
      </c>
      <c r="AX13" s="11">
        <f t="shared" si="4"/>
        <v>0</v>
      </c>
      <c r="AY13" s="11">
        <f t="shared" si="4"/>
        <v>0</v>
      </c>
      <c r="AZ13" s="11">
        <f t="shared" si="4"/>
        <v>0</v>
      </c>
      <c r="BA13" s="11">
        <f t="shared" si="4"/>
        <v>0</v>
      </c>
      <c r="BB13" s="11">
        <f t="shared" si="4"/>
        <v>0</v>
      </c>
      <c r="BC13" s="11">
        <f t="shared" si="4"/>
        <v>0</v>
      </c>
      <c r="BD13" s="11">
        <f t="shared" si="4"/>
        <v>0</v>
      </c>
      <c r="BE13" s="11">
        <f t="shared" si="4"/>
        <v>1</v>
      </c>
      <c r="BF13" s="11">
        <f t="shared" si="4"/>
        <v>0</v>
      </c>
      <c r="BG13" s="11">
        <f t="shared" si="4"/>
        <v>0</v>
      </c>
      <c r="BH13" s="11">
        <f t="shared" si="4"/>
        <v>0</v>
      </c>
      <c r="BI13" s="11">
        <f t="shared" si="4"/>
        <v>0</v>
      </c>
      <c r="BJ13" s="11">
        <f t="shared" si="4"/>
        <v>0</v>
      </c>
      <c r="BK13" s="11">
        <f t="shared" si="4"/>
        <v>0</v>
      </c>
      <c r="BL13" s="11">
        <f t="shared" si="4"/>
        <v>0</v>
      </c>
      <c r="BM13" s="11">
        <f t="shared" si="4"/>
        <v>0</v>
      </c>
      <c r="BN13" s="11">
        <f t="shared" si="4"/>
        <v>0</v>
      </c>
      <c r="BO13" s="11">
        <f t="shared" si="4"/>
        <v>0</v>
      </c>
      <c r="BP13" s="11">
        <f t="shared" si="4"/>
        <v>0</v>
      </c>
      <c r="BQ13" s="11">
        <f t="shared" si="4"/>
        <v>0</v>
      </c>
      <c r="BR13" s="11">
        <f t="shared" si="4"/>
        <v>0</v>
      </c>
      <c r="BS13" s="11">
        <f t="shared" si="4"/>
        <v>0</v>
      </c>
      <c r="BT13" s="11">
        <f t="shared" si="4"/>
        <v>0</v>
      </c>
      <c r="BU13" s="11">
        <f t="shared" ref="BU13:BY13" si="5">(MOD(BU12,12)=1)*1</f>
        <v>0</v>
      </c>
      <c r="BV13" s="11">
        <f t="shared" si="5"/>
        <v>0</v>
      </c>
      <c r="BW13" s="11">
        <f t="shared" si="5"/>
        <v>0</v>
      </c>
      <c r="BX13" s="11">
        <f t="shared" si="5"/>
        <v>0</v>
      </c>
      <c r="BY13" s="11">
        <f t="shared" si="5"/>
        <v>0</v>
      </c>
    </row>
    <row r="14" spans="1:77" ht="13.5" customHeight="1">
      <c r="B14" s="90"/>
      <c r="C14" s="90"/>
      <c r="D14" s="90"/>
      <c r="E14" s="90"/>
      <c r="F14" s="90" t="s">
        <v>149</v>
      </c>
      <c r="G14" s="90"/>
      <c r="H14" s="91">
        <f>acq</f>
        <v>44286</v>
      </c>
      <c r="I14" s="91">
        <f>EOMONTH(H14,1)</f>
        <v>44316</v>
      </c>
      <c r="J14" s="91">
        <f t="shared" ref="J14:BU14" si="6">EOMONTH(I14,1)</f>
        <v>44347</v>
      </c>
      <c r="K14" s="91">
        <f t="shared" si="6"/>
        <v>44377</v>
      </c>
      <c r="L14" s="91">
        <f t="shared" si="6"/>
        <v>44408</v>
      </c>
      <c r="M14" s="91">
        <f t="shared" si="6"/>
        <v>44439</v>
      </c>
      <c r="N14" s="91">
        <f t="shared" si="6"/>
        <v>44469</v>
      </c>
      <c r="O14" s="91">
        <f t="shared" si="6"/>
        <v>44500</v>
      </c>
      <c r="P14" s="91">
        <f t="shared" si="6"/>
        <v>44530</v>
      </c>
      <c r="Q14" s="91">
        <f t="shared" si="6"/>
        <v>44561</v>
      </c>
      <c r="R14" s="91">
        <f t="shared" si="6"/>
        <v>44592</v>
      </c>
      <c r="S14" s="91">
        <f t="shared" si="6"/>
        <v>44620</v>
      </c>
      <c r="T14" s="91">
        <f t="shared" si="6"/>
        <v>44651</v>
      </c>
      <c r="U14" s="91">
        <f t="shared" si="6"/>
        <v>44681</v>
      </c>
      <c r="V14" s="91">
        <f t="shared" si="6"/>
        <v>44712</v>
      </c>
      <c r="W14" s="91">
        <f t="shared" si="6"/>
        <v>44742</v>
      </c>
      <c r="X14" s="91">
        <f t="shared" si="6"/>
        <v>44773</v>
      </c>
      <c r="Y14" s="91">
        <f t="shared" si="6"/>
        <v>44804</v>
      </c>
      <c r="Z14" s="91">
        <f t="shared" si="6"/>
        <v>44834</v>
      </c>
      <c r="AA14" s="91">
        <f t="shared" si="6"/>
        <v>44865</v>
      </c>
      <c r="AB14" s="91">
        <f t="shared" si="6"/>
        <v>44895</v>
      </c>
      <c r="AC14" s="91">
        <f t="shared" si="6"/>
        <v>44926</v>
      </c>
      <c r="AD14" s="91">
        <f t="shared" si="6"/>
        <v>44957</v>
      </c>
      <c r="AE14" s="91">
        <f t="shared" si="6"/>
        <v>44985</v>
      </c>
      <c r="AF14" s="91">
        <f t="shared" si="6"/>
        <v>45016</v>
      </c>
      <c r="AG14" s="91">
        <f t="shared" si="6"/>
        <v>45046</v>
      </c>
      <c r="AH14" s="91">
        <f t="shared" si="6"/>
        <v>45077</v>
      </c>
      <c r="AI14" s="91">
        <f t="shared" si="6"/>
        <v>45107</v>
      </c>
      <c r="AJ14" s="91">
        <f t="shared" si="6"/>
        <v>45138</v>
      </c>
      <c r="AK14" s="91">
        <f t="shared" si="6"/>
        <v>45169</v>
      </c>
      <c r="AL14" s="91">
        <f t="shared" si="6"/>
        <v>45199</v>
      </c>
      <c r="AM14" s="91">
        <f t="shared" si="6"/>
        <v>45230</v>
      </c>
      <c r="AN14" s="91">
        <f t="shared" si="6"/>
        <v>45260</v>
      </c>
      <c r="AO14" s="91">
        <f t="shared" si="6"/>
        <v>45291</v>
      </c>
      <c r="AP14" s="91">
        <f t="shared" si="6"/>
        <v>45322</v>
      </c>
      <c r="AQ14" s="91">
        <f t="shared" si="6"/>
        <v>45351</v>
      </c>
      <c r="AR14" s="91">
        <f t="shared" si="6"/>
        <v>45382</v>
      </c>
      <c r="AS14" s="91">
        <f t="shared" si="6"/>
        <v>45412</v>
      </c>
      <c r="AT14" s="91">
        <f t="shared" si="6"/>
        <v>45443</v>
      </c>
      <c r="AU14" s="91">
        <f t="shared" si="6"/>
        <v>45473</v>
      </c>
      <c r="AV14" s="91">
        <f t="shared" si="6"/>
        <v>45504</v>
      </c>
      <c r="AW14" s="91">
        <f t="shared" si="6"/>
        <v>45535</v>
      </c>
      <c r="AX14" s="91">
        <f t="shared" si="6"/>
        <v>45565</v>
      </c>
      <c r="AY14" s="91">
        <f t="shared" si="6"/>
        <v>45596</v>
      </c>
      <c r="AZ14" s="91">
        <f t="shared" si="6"/>
        <v>45626</v>
      </c>
      <c r="BA14" s="91">
        <f t="shared" si="6"/>
        <v>45657</v>
      </c>
      <c r="BB14" s="91">
        <f t="shared" si="6"/>
        <v>45688</v>
      </c>
      <c r="BC14" s="91">
        <f t="shared" si="6"/>
        <v>45716</v>
      </c>
      <c r="BD14" s="91">
        <f t="shared" si="6"/>
        <v>45747</v>
      </c>
      <c r="BE14" s="91">
        <f t="shared" si="6"/>
        <v>45777</v>
      </c>
      <c r="BF14" s="91">
        <f t="shared" si="6"/>
        <v>45808</v>
      </c>
      <c r="BG14" s="91">
        <f t="shared" si="6"/>
        <v>45838</v>
      </c>
      <c r="BH14" s="91">
        <f t="shared" si="6"/>
        <v>45869</v>
      </c>
      <c r="BI14" s="91">
        <f t="shared" si="6"/>
        <v>45900</v>
      </c>
      <c r="BJ14" s="91">
        <f t="shared" si="6"/>
        <v>45930</v>
      </c>
      <c r="BK14" s="91">
        <f t="shared" si="6"/>
        <v>45961</v>
      </c>
      <c r="BL14" s="91">
        <f t="shared" si="6"/>
        <v>45991</v>
      </c>
      <c r="BM14" s="91">
        <f t="shared" si="6"/>
        <v>46022</v>
      </c>
      <c r="BN14" s="91">
        <f t="shared" si="6"/>
        <v>46053</v>
      </c>
      <c r="BO14" s="91">
        <f t="shared" si="6"/>
        <v>46081</v>
      </c>
      <c r="BP14" s="91">
        <f t="shared" si="6"/>
        <v>46112</v>
      </c>
      <c r="BQ14" s="91">
        <f t="shared" si="6"/>
        <v>46142</v>
      </c>
      <c r="BR14" s="91">
        <f t="shared" si="6"/>
        <v>46173</v>
      </c>
      <c r="BS14" s="91">
        <f t="shared" si="6"/>
        <v>46203</v>
      </c>
      <c r="BT14" s="91">
        <f t="shared" si="6"/>
        <v>46234</v>
      </c>
      <c r="BU14" s="91">
        <f t="shared" si="6"/>
        <v>46265</v>
      </c>
      <c r="BV14" s="91">
        <f t="shared" ref="BV14:BY14" si="7">EOMONTH(BU14,1)</f>
        <v>46295</v>
      </c>
      <c r="BW14" s="91">
        <f t="shared" si="7"/>
        <v>46326</v>
      </c>
      <c r="BX14" s="91">
        <f t="shared" si="7"/>
        <v>46356</v>
      </c>
      <c r="BY14" s="91">
        <f t="shared" si="7"/>
        <v>46387</v>
      </c>
    </row>
    <row r="15" spans="1:77" ht="13.5" customHeight="1">
      <c r="B15" s="90"/>
      <c r="C15" s="90"/>
      <c r="D15" s="90"/>
      <c r="E15" s="90"/>
      <c r="F15" s="90" t="s">
        <v>150</v>
      </c>
      <c r="G15" s="90"/>
      <c r="H15" s="92">
        <f>SUMIFS($I$8:$R$8,$I$9:$R$9,"&lt;="&amp;H$14,$I$10:$R$10,"&gt;="&amp;H$14)</f>
        <v>0</v>
      </c>
      <c r="I15" s="92">
        <f t="shared" ref="I15:BT15" si="8">SUMIFS($I$8:$R$8,$I$9:$R$9,"&lt;="&amp;I$14,$I$10:$R$10,"&gt;="&amp;I$14)</f>
        <v>1</v>
      </c>
      <c r="J15" s="92">
        <f t="shared" si="8"/>
        <v>1</v>
      </c>
      <c r="K15" s="92">
        <f t="shared" si="8"/>
        <v>1</v>
      </c>
      <c r="L15" s="92">
        <f t="shared" si="8"/>
        <v>1</v>
      </c>
      <c r="M15" s="92">
        <f t="shared" si="8"/>
        <v>1</v>
      </c>
      <c r="N15" s="92">
        <f t="shared" si="8"/>
        <v>1</v>
      </c>
      <c r="O15" s="92">
        <f t="shared" si="8"/>
        <v>2</v>
      </c>
      <c r="P15" s="92">
        <f t="shared" si="8"/>
        <v>2</v>
      </c>
      <c r="Q15" s="92">
        <f t="shared" si="8"/>
        <v>2</v>
      </c>
      <c r="R15" s="92">
        <f t="shared" si="8"/>
        <v>2</v>
      </c>
      <c r="S15" s="92">
        <f t="shared" si="8"/>
        <v>2</v>
      </c>
      <c r="T15" s="92">
        <f t="shared" si="8"/>
        <v>2</v>
      </c>
      <c r="U15" s="92">
        <f t="shared" si="8"/>
        <v>3</v>
      </c>
      <c r="V15" s="92">
        <f t="shared" si="8"/>
        <v>3</v>
      </c>
      <c r="W15" s="92">
        <f t="shared" si="8"/>
        <v>3</v>
      </c>
      <c r="X15" s="92">
        <f t="shared" si="8"/>
        <v>3</v>
      </c>
      <c r="Y15" s="92">
        <f t="shared" si="8"/>
        <v>3</v>
      </c>
      <c r="Z15" s="92">
        <f t="shared" si="8"/>
        <v>3</v>
      </c>
      <c r="AA15" s="92">
        <f t="shared" si="8"/>
        <v>4</v>
      </c>
      <c r="AB15" s="92">
        <f t="shared" si="8"/>
        <v>4</v>
      </c>
      <c r="AC15" s="92">
        <f t="shared" si="8"/>
        <v>4</v>
      </c>
      <c r="AD15" s="92">
        <f t="shared" si="8"/>
        <v>4</v>
      </c>
      <c r="AE15" s="92">
        <f t="shared" si="8"/>
        <v>4</v>
      </c>
      <c r="AF15" s="92">
        <f t="shared" si="8"/>
        <v>4</v>
      </c>
      <c r="AG15" s="92">
        <f t="shared" si="8"/>
        <v>5</v>
      </c>
      <c r="AH15" s="92">
        <f t="shared" si="8"/>
        <v>5</v>
      </c>
      <c r="AI15" s="92">
        <f t="shared" si="8"/>
        <v>5</v>
      </c>
      <c r="AJ15" s="92">
        <f t="shared" si="8"/>
        <v>5</v>
      </c>
      <c r="AK15" s="92">
        <f t="shared" si="8"/>
        <v>5</v>
      </c>
      <c r="AL15" s="92">
        <f t="shared" si="8"/>
        <v>5</v>
      </c>
      <c r="AM15" s="92">
        <f t="shared" si="8"/>
        <v>6</v>
      </c>
      <c r="AN15" s="92">
        <f t="shared" si="8"/>
        <v>6</v>
      </c>
      <c r="AO15" s="92">
        <f t="shared" si="8"/>
        <v>6</v>
      </c>
      <c r="AP15" s="92">
        <f t="shared" si="8"/>
        <v>6</v>
      </c>
      <c r="AQ15" s="92">
        <f t="shared" si="8"/>
        <v>6</v>
      </c>
      <c r="AR15" s="92">
        <f t="shared" si="8"/>
        <v>6</v>
      </c>
      <c r="AS15" s="92">
        <f t="shared" si="8"/>
        <v>7</v>
      </c>
      <c r="AT15" s="92">
        <f t="shared" si="8"/>
        <v>7</v>
      </c>
      <c r="AU15" s="92">
        <f t="shared" si="8"/>
        <v>7</v>
      </c>
      <c r="AV15" s="92">
        <f t="shared" si="8"/>
        <v>7</v>
      </c>
      <c r="AW15" s="92">
        <f t="shared" si="8"/>
        <v>7</v>
      </c>
      <c r="AX15" s="92">
        <f t="shared" si="8"/>
        <v>7</v>
      </c>
      <c r="AY15" s="92">
        <f t="shared" si="8"/>
        <v>8</v>
      </c>
      <c r="AZ15" s="92">
        <f t="shared" si="8"/>
        <v>8</v>
      </c>
      <c r="BA15" s="92">
        <f t="shared" si="8"/>
        <v>8</v>
      </c>
      <c r="BB15" s="92">
        <f t="shared" si="8"/>
        <v>8</v>
      </c>
      <c r="BC15" s="92">
        <f t="shared" si="8"/>
        <v>8</v>
      </c>
      <c r="BD15" s="92">
        <f t="shared" si="8"/>
        <v>8</v>
      </c>
      <c r="BE15" s="92">
        <f t="shared" si="8"/>
        <v>9</v>
      </c>
      <c r="BF15" s="92">
        <f t="shared" si="8"/>
        <v>9</v>
      </c>
      <c r="BG15" s="92">
        <f t="shared" si="8"/>
        <v>9</v>
      </c>
      <c r="BH15" s="92">
        <f t="shared" si="8"/>
        <v>9</v>
      </c>
      <c r="BI15" s="92">
        <f t="shared" si="8"/>
        <v>9</v>
      </c>
      <c r="BJ15" s="92">
        <f t="shared" si="8"/>
        <v>9</v>
      </c>
      <c r="BK15" s="92">
        <f t="shared" si="8"/>
        <v>10</v>
      </c>
      <c r="BL15" s="92">
        <f t="shared" si="8"/>
        <v>10</v>
      </c>
      <c r="BM15" s="92">
        <f t="shared" si="8"/>
        <v>10</v>
      </c>
      <c r="BN15" s="92">
        <f t="shared" si="8"/>
        <v>10</v>
      </c>
      <c r="BO15" s="92">
        <f t="shared" si="8"/>
        <v>10</v>
      </c>
      <c r="BP15" s="92">
        <f t="shared" si="8"/>
        <v>10</v>
      </c>
      <c r="BQ15" s="92">
        <f t="shared" si="8"/>
        <v>0</v>
      </c>
      <c r="BR15" s="92">
        <f t="shared" si="8"/>
        <v>0</v>
      </c>
      <c r="BS15" s="92">
        <f t="shared" si="8"/>
        <v>0</v>
      </c>
      <c r="BT15" s="92">
        <f t="shared" si="8"/>
        <v>0</v>
      </c>
      <c r="BU15" s="92">
        <f t="shared" ref="BU15:BY15" si="9">SUMIFS($I$8:$R$8,$I$9:$R$9,"&lt;="&amp;BU$14,$I$10:$R$10,"&gt;="&amp;BU$14)</f>
        <v>0</v>
      </c>
      <c r="BV15" s="92">
        <f t="shared" si="9"/>
        <v>0</v>
      </c>
      <c r="BW15" s="92">
        <f t="shared" si="9"/>
        <v>0</v>
      </c>
      <c r="BX15" s="92">
        <f t="shared" si="9"/>
        <v>0</v>
      </c>
      <c r="BY15" s="92">
        <f t="shared" si="9"/>
        <v>0</v>
      </c>
    </row>
    <row r="16" spans="1:77" ht="13.5" customHeight="1">
      <c r="B16" s="93"/>
      <c r="C16" s="93"/>
      <c r="D16" s="93"/>
      <c r="E16" s="93"/>
      <c r="F16" s="93" t="s">
        <v>151</v>
      </c>
      <c r="G16" s="93"/>
      <c r="H16" s="94">
        <f>SUM($H$13:H13)*H11</f>
        <v>0</v>
      </c>
      <c r="I16" s="94">
        <f>SUM($H$13:I13)*I11</f>
        <v>1</v>
      </c>
      <c r="J16" s="94">
        <f>SUM($H$13:J13)*J11</f>
        <v>1</v>
      </c>
      <c r="K16" s="94">
        <f>SUM($H$13:K13)*K11</f>
        <v>1</v>
      </c>
      <c r="L16" s="94">
        <f>SUM($H$13:L13)*L11</f>
        <v>1</v>
      </c>
      <c r="M16" s="94">
        <f>SUM($H$13:M13)*M11</f>
        <v>1</v>
      </c>
      <c r="N16" s="94">
        <f>SUM($H$13:N13)*N11</f>
        <v>1</v>
      </c>
      <c r="O16" s="94">
        <f>SUM($H$13:O13)*O11</f>
        <v>1</v>
      </c>
      <c r="P16" s="94">
        <f>SUM($H$13:P13)*P11</f>
        <v>1</v>
      </c>
      <c r="Q16" s="94">
        <f>SUM($H$13:Q13)*Q11</f>
        <v>1</v>
      </c>
      <c r="R16" s="94">
        <f>SUM($H$13:R13)*R11</f>
        <v>1</v>
      </c>
      <c r="S16" s="94">
        <f>SUM($H$13:S13)*S11</f>
        <v>1</v>
      </c>
      <c r="T16" s="94">
        <f>SUM($H$13:T13)*T11</f>
        <v>1</v>
      </c>
      <c r="U16" s="94">
        <f>SUM($H$13:U13)*U11</f>
        <v>2</v>
      </c>
      <c r="V16" s="94">
        <f>SUM($H$13:V13)*V11</f>
        <v>2</v>
      </c>
      <c r="W16" s="94">
        <f>SUM($H$13:W13)*W11</f>
        <v>2</v>
      </c>
      <c r="X16" s="94">
        <f>SUM($H$13:X13)*X11</f>
        <v>2</v>
      </c>
      <c r="Y16" s="94">
        <f>SUM($H$13:Y13)*Y11</f>
        <v>2</v>
      </c>
      <c r="Z16" s="94">
        <f>SUM($H$13:Z13)*Z11</f>
        <v>2</v>
      </c>
      <c r="AA16" s="94">
        <f>SUM($H$13:AA13)*AA11</f>
        <v>2</v>
      </c>
      <c r="AB16" s="94">
        <f>SUM($H$13:AB13)*AB11</f>
        <v>2</v>
      </c>
      <c r="AC16" s="94">
        <f>SUM($H$13:AC13)*AC11</f>
        <v>2</v>
      </c>
      <c r="AD16" s="94">
        <f>SUM($H$13:AD13)*AD11</f>
        <v>2</v>
      </c>
      <c r="AE16" s="94">
        <f>SUM($H$13:AE13)*AE11</f>
        <v>2</v>
      </c>
      <c r="AF16" s="94">
        <f>SUM($H$13:AF13)*AF11</f>
        <v>2</v>
      </c>
      <c r="AG16" s="94">
        <f>SUM($H$13:AG13)*AG11</f>
        <v>3</v>
      </c>
      <c r="AH16" s="94">
        <f>SUM($H$13:AH13)*AH11</f>
        <v>3</v>
      </c>
      <c r="AI16" s="94">
        <f>SUM($H$13:AI13)*AI11</f>
        <v>3</v>
      </c>
      <c r="AJ16" s="94">
        <f>SUM($H$13:AJ13)*AJ11</f>
        <v>3</v>
      </c>
      <c r="AK16" s="94">
        <f>SUM($H$13:AK13)*AK11</f>
        <v>3</v>
      </c>
      <c r="AL16" s="94">
        <f>SUM($H$13:AL13)*AL11</f>
        <v>3</v>
      </c>
      <c r="AM16" s="94">
        <f>SUM($H$13:AM13)*AM11</f>
        <v>3</v>
      </c>
      <c r="AN16" s="94">
        <f>SUM($H$13:AN13)*AN11</f>
        <v>3</v>
      </c>
      <c r="AO16" s="94">
        <f>SUM($H$13:AO13)*AO11</f>
        <v>3</v>
      </c>
      <c r="AP16" s="94">
        <f>SUM($H$13:AP13)*AP11</f>
        <v>3</v>
      </c>
      <c r="AQ16" s="94">
        <f>SUM($H$13:AQ13)*AQ11</f>
        <v>3</v>
      </c>
      <c r="AR16" s="94">
        <f>SUM($H$13:AR13)*AR11</f>
        <v>3</v>
      </c>
      <c r="AS16" s="94">
        <f>SUM($H$13:AS13)*AS11</f>
        <v>4</v>
      </c>
      <c r="AT16" s="94">
        <f>SUM($H$13:AT13)*AT11</f>
        <v>4</v>
      </c>
      <c r="AU16" s="94">
        <f>SUM($H$13:AU13)*AU11</f>
        <v>4</v>
      </c>
      <c r="AV16" s="94">
        <f>SUM($H$13:AV13)*AV11</f>
        <v>4</v>
      </c>
      <c r="AW16" s="94">
        <f>SUM($H$13:AW13)*AW11</f>
        <v>4</v>
      </c>
      <c r="AX16" s="94">
        <f>SUM($H$13:AX13)*AX11</f>
        <v>4</v>
      </c>
      <c r="AY16" s="94">
        <f>SUM($H$13:AY13)*AY11</f>
        <v>4</v>
      </c>
      <c r="AZ16" s="94">
        <f>SUM($H$13:AZ13)*AZ11</f>
        <v>4</v>
      </c>
      <c r="BA16" s="94">
        <f>SUM($H$13:BA13)*BA11</f>
        <v>4</v>
      </c>
      <c r="BB16" s="94">
        <f>SUM($H$13:BB13)*BB11</f>
        <v>4</v>
      </c>
      <c r="BC16" s="94">
        <f>SUM($H$13:BC13)*BC11</f>
        <v>4</v>
      </c>
      <c r="BD16" s="94">
        <f>SUM($H$13:BD13)*BD11</f>
        <v>4</v>
      </c>
      <c r="BE16" s="94">
        <f>SUM($H$13:BE13)*BE11</f>
        <v>5</v>
      </c>
      <c r="BF16" s="94">
        <f>SUM($H$13:BF13)*BF11</f>
        <v>5</v>
      </c>
      <c r="BG16" s="94">
        <f>SUM($H$13:BG13)*BG11</f>
        <v>5</v>
      </c>
      <c r="BH16" s="94">
        <f>SUM($H$13:BH13)*BH11</f>
        <v>5</v>
      </c>
      <c r="BI16" s="94">
        <f>SUM($H$13:BI13)*BI11</f>
        <v>5</v>
      </c>
      <c r="BJ16" s="94">
        <f>SUM($H$13:BJ13)*BJ11</f>
        <v>5</v>
      </c>
      <c r="BK16" s="94">
        <f>SUM($H$13:BK13)*BK11</f>
        <v>5</v>
      </c>
      <c r="BL16" s="94">
        <f>SUM($H$13:BL13)*BL11</f>
        <v>5</v>
      </c>
      <c r="BM16" s="94">
        <f>SUM($H$13:BM13)*BM11</f>
        <v>5</v>
      </c>
      <c r="BN16" s="94">
        <f>SUM($H$13:BN13)*BN11</f>
        <v>5</v>
      </c>
      <c r="BO16" s="94">
        <f>SUM($H$13:BO13)*BO11</f>
        <v>5</v>
      </c>
      <c r="BP16" s="94">
        <f>SUM($H$13:BP13)*BP11</f>
        <v>5</v>
      </c>
      <c r="BQ16" s="94">
        <f>SUM($H$13:BQ13)*BQ11</f>
        <v>0</v>
      </c>
      <c r="BR16" s="94">
        <f>SUM($H$13:BR13)*BR11</f>
        <v>0</v>
      </c>
      <c r="BS16" s="94">
        <f>SUM($H$13:BS13)*BS11</f>
        <v>0</v>
      </c>
      <c r="BT16" s="94">
        <f>SUM($H$13:BT13)*BT11</f>
        <v>0</v>
      </c>
      <c r="BU16" s="94">
        <f>SUM($H$13:BU13)*BU11</f>
        <v>0</v>
      </c>
      <c r="BV16" s="94">
        <f>SUM($H$13:BV13)*BV11</f>
        <v>0</v>
      </c>
      <c r="BW16" s="94">
        <f>SUM($H$13:BW13)*BW11</f>
        <v>0</v>
      </c>
      <c r="BX16" s="94">
        <f>SUM($H$13:BX13)*BX11</f>
        <v>0</v>
      </c>
      <c r="BY16" s="94">
        <f>SUM($H$13:BY13)*BY11</f>
        <v>0</v>
      </c>
    </row>
    <row r="17" spans="2:77" ht="13.5" customHeight="1">
      <c r="B17" s="1" t="s">
        <v>363</v>
      </c>
    </row>
    <row r="18" spans="2:77" ht="13.5" customHeight="1">
      <c r="C18" s="1" t="s">
        <v>12</v>
      </c>
      <c r="F18" s="1">
        <f ca="1">SUM(G18:XFD18)</f>
        <v>14586.15606639919</v>
      </c>
      <c r="H18" s="1">
        <f ca="1">운영수입!H328+운영수입!H329</f>
        <v>0</v>
      </c>
      <c r="I18" s="1">
        <f ca="1">운영수입!I328+운영수입!I329</f>
        <v>241.65600000000001</v>
      </c>
      <c r="J18" s="1">
        <f ca="1">운영수입!J328+운영수입!J329</f>
        <v>241.65600000000001</v>
      </c>
      <c r="K18" s="1">
        <f ca="1">운영수입!K328+운영수입!K329</f>
        <v>241.65600000000001</v>
      </c>
      <c r="L18" s="1">
        <f ca="1">운영수입!L328+운영수입!L329</f>
        <v>241.65600000000001</v>
      </c>
      <c r="M18" s="1">
        <f ca="1">운영수입!M328+운영수입!M329</f>
        <v>241.65600000000001</v>
      </c>
      <c r="N18" s="1">
        <f ca="1">운영수입!N328+운영수입!N329</f>
        <v>114.6</v>
      </c>
      <c r="O18" s="1">
        <f ca="1">운영수입!O328+운영수입!O329</f>
        <v>125.18799999999999</v>
      </c>
      <c r="P18" s="1">
        <f ca="1">운영수입!P328+운영수입!P329</f>
        <v>246.50883333333331</v>
      </c>
      <c r="Q18" s="1">
        <f ca="1">운영수입!Q328+운영수입!Q329</f>
        <v>246.50883333333331</v>
      </c>
      <c r="R18" s="1">
        <f ca="1">운영수입!R328+운영수입!R329</f>
        <v>246.50883333333331</v>
      </c>
      <c r="S18" s="1">
        <f ca="1">운영수입!S328+운영수입!S329</f>
        <v>246.50883333333331</v>
      </c>
      <c r="T18" s="1">
        <f ca="1">운영수입!T328+운영수입!T329</f>
        <v>246.50883333333331</v>
      </c>
      <c r="U18" s="1">
        <f ca="1">운영수입!U328+운영수입!U329</f>
        <v>246.50883333333331</v>
      </c>
      <c r="V18" s="1">
        <f ca="1">운영수입!V328+운영수입!V329</f>
        <v>246.50883333333331</v>
      </c>
      <c r="W18" s="1">
        <f ca="1">운영수입!W328+운영수입!W329</f>
        <v>246.50883333333331</v>
      </c>
      <c r="X18" s="1">
        <f ca="1">운영수입!X328+운영수입!X329</f>
        <v>246.50883333333331</v>
      </c>
      <c r="Y18" s="1">
        <f ca="1">운영수입!Y328+운영수입!Y329</f>
        <v>246.50883333333331</v>
      </c>
      <c r="Z18" s="1">
        <f ca="1">운영수입!Z328+운영수입!Z329</f>
        <v>246.50883333333331</v>
      </c>
      <c r="AA18" s="1">
        <f ca="1">운영수입!AA328+운영수입!AA329</f>
        <v>247.82792166666667</v>
      </c>
      <c r="AB18" s="1">
        <f ca="1">운영수입!AB328+운영수입!AB329</f>
        <v>247.82792166666667</v>
      </c>
      <c r="AC18" s="1">
        <f ca="1">운영수입!AC328+운영수입!AC329</f>
        <v>247.82792166666667</v>
      </c>
      <c r="AD18" s="1">
        <f ca="1">운영수입!AD328+운영수입!AD329</f>
        <v>247.82792166666667</v>
      </c>
      <c r="AE18" s="1">
        <f ca="1">운영수입!AE328+운영수입!AE329</f>
        <v>247.82792166666667</v>
      </c>
      <c r="AF18" s="1">
        <f ca="1">운영수입!AF328+운영수입!AF329</f>
        <v>247.82792166666667</v>
      </c>
      <c r="AG18" s="1">
        <f ca="1">운영수입!AG328+운영수입!AG329</f>
        <v>247.82792166666667</v>
      </c>
      <c r="AH18" s="1">
        <f ca="1">운영수입!AH328+운영수입!AH329</f>
        <v>247.82792166666667</v>
      </c>
      <c r="AI18" s="1">
        <f ca="1">운영수입!AI328+운영수입!AI329</f>
        <v>247.82792166666667</v>
      </c>
      <c r="AJ18" s="1">
        <f ca="1">운영수입!AJ328+운영수입!AJ329</f>
        <v>247.82792166666667</v>
      </c>
      <c r="AK18" s="1">
        <f ca="1">운영수입!AK328+운영수입!AK329</f>
        <v>247.82792166666667</v>
      </c>
      <c r="AL18" s="1">
        <f ca="1">운영수입!AL328+운영수입!AL329</f>
        <v>133.22792166666667</v>
      </c>
      <c r="AM18" s="1">
        <f ca="1">운영수입!AM328+운영수입!AM329</f>
        <v>144.67220088333332</v>
      </c>
      <c r="AN18" s="1">
        <f ca="1">운영수입!AN328+운영수입!AN329</f>
        <v>253.84170088333332</v>
      </c>
      <c r="AO18" s="1">
        <f ca="1">운영수입!AO328+운영수입!AO329</f>
        <v>253.84170088333332</v>
      </c>
      <c r="AP18" s="1">
        <f ca="1">운영수입!AP328+운영수입!AP329</f>
        <v>253.84170088333332</v>
      </c>
      <c r="AQ18" s="1">
        <f ca="1">운영수입!AQ328+운영수입!AQ329</f>
        <v>253.84170088333332</v>
      </c>
      <c r="AR18" s="1">
        <f ca="1">운영수입!AR328+운영수입!AR329</f>
        <v>253.84170088333332</v>
      </c>
      <c r="AS18" s="1">
        <f ca="1">운영수입!AS328+운영수입!AS329</f>
        <v>253.84170088333332</v>
      </c>
      <c r="AT18" s="1">
        <f ca="1">운영수입!AT328+운영수입!AT329</f>
        <v>253.84170088333332</v>
      </c>
      <c r="AU18" s="1">
        <f ca="1">운영수입!AU328+운영수입!AU329</f>
        <v>253.84170088333332</v>
      </c>
      <c r="AV18" s="1">
        <f ca="1">운영수입!AV328+운영수입!AV329</f>
        <v>253.84170088333332</v>
      </c>
      <c r="AW18" s="1">
        <f ca="1">운영수입!AW328+운영수입!AW329</f>
        <v>253.84170088333332</v>
      </c>
      <c r="AX18" s="1">
        <f ca="1">운영수입!AX328+운영수입!AX329</f>
        <v>253.84170088333332</v>
      </c>
      <c r="AY18" s="1">
        <f ca="1">운영수입!AY328+운영수입!AY329</f>
        <v>256.38011789216665</v>
      </c>
      <c r="AZ18" s="1">
        <f ca="1">운영수입!AZ328+운영수입!AZ329</f>
        <v>256.38011789216665</v>
      </c>
      <c r="BA18" s="1">
        <f ca="1">운영수입!BA328+운영수입!BA329</f>
        <v>256.38011789216665</v>
      </c>
      <c r="BB18" s="1">
        <f ca="1">운영수입!BB328+운영수입!BB329</f>
        <v>256.38011789216665</v>
      </c>
      <c r="BC18" s="1">
        <f ca="1">운영수입!BC328+운영수입!BC329</f>
        <v>256.38011789216665</v>
      </c>
      <c r="BD18" s="1">
        <f ca="1">운영수입!BD328+운영수입!BD329</f>
        <v>256.38011789216665</v>
      </c>
      <c r="BE18" s="1">
        <f ca="1">운영수입!BE328+운영수입!BE329</f>
        <v>256.38011789216665</v>
      </c>
      <c r="BF18" s="1">
        <f ca="1">운영수입!BF328+운영수입!BF329</f>
        <v>256.38011789216665</v>
      </c>
      <c r="BG18" s="1">
        <f ca="1">운영수입!BG328+운영수입!BG329</f>
        <v>256.38011789216665</v>
      </c>
      <c r="BH18" s="1">
        <f ca="1">운영수입!BH328+운영수입!BH329</f>
        <v>256.38011789216665</v>
      </c>
      <c r="BI18" s="1">
        <f ca="1">운영수입!BI328+운영수입!BI329</f>
        <v>256.38011789216665</v>
      </c>
      <c r="BJ18" s="1">
        <f ca="1">운영수입!BJ328+운영수입!BJ329</f>
        <v>256.38011789216665</v>
      </c>
      <c r="BK18" s="1">
        <f ca="1">운영수입!BK328+운영수입!BK329</f>
        <v>258.94391907108832</v>
      </c>
      <c r="BL18" s="1">
        <f ca="1">운영수입!BL328+운영수입!BL329</f>
        <v>258.94391907108832</v>
      </c>
      <c r="BM18" s="1">
        <f ca="1">운영수입!BM328+운영수입!BM329</f>
        <v>258.94391907108832</v>
      </c>
      <c r="BN18" s="1">
        <f ca="1">운영수입!BN328+운영수입!BN329</f>
        <v>258.94391907108832</v>
      </c>
      <c r="BO18" s="1">
        <f ca="1">운영수입!BO328+운영수입!BO329</f>
        <v>258.94391907108832</v>
      </c>
      <c r="BP18" s="1">
        <f ca="1">운영수입!BP328+운영수입!BP329</f>
        <v>258.94391907108832</v>
      </c>
      <c r="BQ18" s="1">
        <f ca="1">운영수입!BQ328+운영수입!BQ329</f>
        <v>0</v>
      </c>
      <c r="BR18" s="1">
        <f ca="1">운영수입!BR328+운영수입!BR329</f>
        <v>0</v>
      </c>
      <c r="BS18" s="1">
        <f ca="1">운영수입!BS328+운영수입!BS329</f>
        <v>0</v>
      </c>
      <c r="BT18" s="1">
        <f ca="1">운영수입!BT328+운영수입!BT329</f>
        <v>0</v>
      </c>
      <c r="BU18" s="1">
        <f ca="1">운영수입!BU328+운영수입!BU329</f>
        <v>0</v>
      </c>
      <c r="BV18" s="1">
        <f ca="1">운영수입!BV328+운영수입!BV329</f>
        <v>0</v>
      </c>
      <c r="BW18" s="1">
        <f ca="1">운영수입!BW328+운영수입!BW329</f>
        <v>0</v>
      </c>
      <c r="BX18" s="1">
        <f ca="1">운영수입!BX328+운영수입!BX329</f>
        <v>0</v>
      </c>
      <c r="BY18" s="1">
        <f ca="1">운영수입!BY328+운영수입!BY329</f>
        <v>0</v>
      </c>
    </row>
    <row r="19" spans="2:77" ht="13.5" customHeight="1">
      <c r="C19" s="1" t="s">
        <v>13</v>
      </c>
      <c r="F19" s="1">
        <f t="shared" ref="F19:F21" ca="1" si="10">SUM(G19:XFD19)</f>
        <v>-3611.5454598134493</v>
      </c>
      <c r="H19" s="1">
        <f ca="1">운영비용!H78*-1</f>
        <v>0</v>
      </c>
      <c r="I19" s="1">
        <f ca="1">운영비용!I78*-1</f>
        <v>-130.75663099999997</v>
      </c>
      <c r="J19" s="1">
        <f ca="1">운영비용!J78*-1</f>
        <v>-31.393366999999998</v>
      </c>
      <c r="K19" s="1">
        <f ca="1">운영비용!K78*-1</f>
        <v>-31.393366999999998</v>
      </c>
      <c r="L19" s="1">
        <f ca="1">운영비용!L78*-1</f>
        <v>-151.46718461597953</v>
      </c>
      <c r="M19" s="1">
        <f ca="1">운영비용!M78*-1</f>
        <v>-31.393366999999998</v>
      </c>
      <c r="N19" s="1">
        <f ca="1">운영비용!N78*-1</f>
        <v>-63.839086196000004</v>
      </c>
      <c r="O19" s="1">
        <f ca="1">운영비용!O78*-1</f>
        <v>-229.91836699999999</v>
      </c>
      <c r="P19" s="1">
        <f ca="1">운영비용!P78*-1</f>
        <v>-31.393366999999998</v>
      </c>
      <c r="Q19" s="1">
        <f ca="1">운영비용!Q78*-1</f>
        <v>-31.393366999999998</v>
      </c>
      <c r="R19" s="1">
        <f ca="1">운영비용!R78*-1</f>
        <v>-32.95690033333333</v>
      </c>
      <c r="S19" s="1">
        <f ca="1">운영비용!S78*-1</f>
        <v>-31.393366999999998</v>
      </c>
      <c r="T19" s="1">
        <f ca="1">운영비용!T78*-1</f>
        <v>-31.393366999999998</v>
      </c>
      <c r="U19" s="1">
        <f ca="1">운영비용!U78*-1</f>
        <v>-132.64298046499997</v>
      </c>
      <c r="V19" s="1">
        <f ca="1">운영비용!V78*-1</f>
        <v>-31.789267504999998</v>
      </c>
      <c r="W19" s="1">
        <f ca="1">운영비용!W78*-1</f>
        <v>-31.789267504999998</v>
      </c>
      <c r="X19" s="1">
        <f ca="1">운영비용!X78*-1</f>
        <v>-152.77487642452559</v>
      </c>
      <c r="Y19" s="1">
        <f ca="1">운영비용!Y78*-1</f>
        <v>-31.789267504999998</v>
      </c>
      <c r="Z19" s="1">
        <f ca="1">운영비용!Z78*-1</f>
        <v>-65.25155827687999</v>
      </c>
      <c r="AA19" s="1">
        <f ca="1">운영비용!AA78*-1</f>
        <v>-31.789267504999998</v>
      </c>
      <c r="AB19" s="1">
        <f ca="1">운영비용!AB78*-1</f>
        <v>-31.789267504999998</v>
      </c>
      <c r="AC19" s="1">
        <f ca="1">운영비용!AC78*-1</f>
        <v>-31.970718227239999</v>
      </c>
      <c r="AD19" s="1">
        <f ca="1">운영비용!AD78*-1</f>
        <v>-33.678287504999993</v>
      </c>
      <c r="AE19" s="1">
        <f ca="1">운영비용!AE78*-1</f>
        <v>-31.789267504999998</v>
      </c>
      <c r="AF19" s="1">
        <f ca="1">운영비용!AF78*-1</f>
        <v>-31.789267504999998</v>
      </c>
      <c r="AG19" s="1">
        <f ca="1">운영비용!AG78*-1</f>
        <v>-134.55762517197496</v>
      </c>
      <c r="AH19" s="1">
        <f ca="1">운영비용!AH78*-1</f>
        <v>-32.191106517574994</v>
      </c>
      <c r="AI19" s="1">
        <f ca="1">운영비용!AI78*-1</f>
        <v>-32.191106517574994</v>
      </c>
      <c r="AJ19" s="1">
        <f ca="1">운영비용!AJ78*-1</f>
        <v>-153.72148600500503</v>
      </c>
      <c r="AK19" s="1">
        <f ca="1">운영비용!AK78*-1</f>
        <v>-32.191106517574994</v>
      </c>
      <c r="AL19" s="1">
        <f ca="1">운영비용!AL78*-1</f>
        <v>-66.7004660126114</v>
      </c>
      <c r="AM19" s="1">
        <f ca="1">운영비용!AM78*-1</f>
        <v>-210.83210651757497</v>
      </c>
      <c r="AN19" s="1">
        <f ca="1">운영비용!AN78*-1</f>
        <v>-32.191106517574994</v>
      </c>
      <c r="AO19" s="1">
        <f ca="1">운영비용!AO78*-1</f>
        <v>-32.463282600934988</v>
      </c>
      <c r="AP19" s="1">
        <f ca="1">운영비용!AP78*-1</f>
        <v>-33.95204391757499</v>
      </c>
      <c r="AQ19" s="1">
        <f ca="1">운영비용!AQ78*-1</f>
        <v>-32.191106517574994</v>
      </c>
      <c r="AR19" s="1">
        <f ca="1">운영비용!AR78*-1</f>
        <v>-32.191106517574994</v>
      </c>
      <c r="AS19" s="1">
        <f ca="1">운영비용!AS78*-1</f>
        <v>-136.50098954955453</v>
      </c>
      <c r="AT19" s="1">
        <f ca="1">운영비용!AT78*-1</f>
        <v>-32.598973115338616</v>
      </c>
      <c r="AU19" s="1">
        <f ca="1">운영비용!AU78*-1</f>
        <v>-32.598973115338616</v>
      </c>
      <c r="AV19" s="1">
        <f ca="1">운영비용!AV78*-1</f>
        <v>-154.61482608471977</v>
      </c>
      <c r="AW19" s="1">
        <f ca="1">운영비용!AW78*-1</f>
        <v>-32.598973115338616</v>
      </c>
      <c r="AX19" s="1">
        <f ca="1">운영비용!AX78*-1</f>
        <v>-68.186813395226125</v>
      </c>
      <c r="AY19" s="1">
        <f ca="1">운영비용!AY78*-1</f>
        <v>-32.598973115338616</v>
      </c>
      <c r="AZ19" s="1">
        <f ca="1">운영비용!AZ78*-1</f>
        <v>-32.598973115338616</v>
      </c>
      <c r="BA19" s="1">
        <f ca="1">운영비용!BA78*-1</f>
        <v>-33.007237240378615</v>
      </c>
      <c r="BB19" s="1">
        <f ca="1">운영비용!BB78*-1</f>
        <v>-34.504171515338619</v>
      </c>
      <c r="BC19" s="1">
        <f ca="1">운영비용!BC78*-1</f>
        <v>-32.598973115338616</v>
      </c>
      <c r="BD19" s="1">
        <f ca="1">운영비용!BD78*-1</f>
        <v>-32.598973115338616</v>
      </c>
      <c r="BE19" s="1">
        <f ca="1">운영비용!BE78*-1</f>
        <v>-138.47350439279791</v>
      </c>
      <c r="BF19" s="1">
        <f ca="1">운영비용!BF78*-1</f>
        <v>-33.012957712068683</v>
      </c>
      <c r="BG19" s="1">
        <f ca="1">운영비용!BG78*-1</f>
        <v>-33.012957712068683</v>
      </c>
      <c r="BH19" s="1">
        <f ca="1">운영비용!BH78*-1</f>
        <v>-155.41761145477938</v>
      </c>
      <c r="BI19" s="1">
        <f ca="1">운영비용!BI78*-1</f>
        <v>-33.012957712068683</v>
      </c>
      <c r="BJ19" s="1">
        <f ca="1">운영비용!BJ78*-1</f>
        <v>-69.711633200352821</v>
      </c>
      <c r="BK19" s="1">
        <f ca="1">운영비용!BK78*-1</f>
        <v>-33.012957712068683</v>
      </c>
      <c r="BL19" s="1">
        <f ca="1">운영비용!BL78*-1</f>
        <v>-33.012957712068683</v>
      </c>
      <c r="BM19" s="1">
        <f ca="1">운영비용!BM78*-1</f>
        <v>-33.625353899628685</v>
      </c>
      <c r="BN19" s="1">
        <f ca="1">운영비용!BN78*-1</f>
        <v>-34.918156112068687</v>
      </c>
      <c r="BO19" s="1">
        <f ca="1">운영비용!BO78*-1</f>
        <v>-33.012957712068683</v>
      </c>
      <c r="BP19" s="1">
        <f ca="1">운영비용!BP78*-1</f>
        <v>-33.405923978735352</v>
      </c>
      <c r="BQ19" s="1">
        <f ca="1">운영비용!BQ78*-1</f>
        <v>0</v>
      </c>
      <c r="BR19" s="1">
        <f ca="1">운영비용!BR78*-1</f>
        <v>0</v>
      </c>
      <c r="BS19" s="1">
        <f ca="1">운영비용!BS78*-1</f>
        <v>0</v>
      </c>
      <c r="BT19" s="1">
        <f ca="1">운영비용!BT78*-1</f>
        <v>0</v>
      </c>
      <c r="BU19" s="1">
        <f ca="1">운영비용!BU78*-1</f>
        <v>0</v>
      </c>
      <c r="BV19" s="1">
        <f ca="1">운영비용!BV78*-1</f>
        <v>0</v>
      </c>
      <c r="BW19" s="1">
        <f ca="1">운영비용!BW78*-1</f>
        <v>0</v>
      </c>
      <c r="BX19" s="1">
        <f ca="1">운영비용!BX78*-1</f>
        <v>0</v>
      </c>
      <c r="BY19" s="1">
        <f ca="1">운영비용!BY78*-1</f>
        <v>0</v>
      </c>
    </row>
    <row r="20" spans="2:77" ht="13.5" customHeight="1">
      <c r="C20" s="1" t="s">
        <v>364</v>
      </c>
      <c r="F20" s="1">
        <f t="shared" ca="1" si="10"/>
        <v>-3612.7708725125872</v>
      </c>
      <c r="H20" s="1">
        <f t="shared" ref="H20:AM20" ca="1" si="11">IF(Cir=1,H105*-1,0)</f>
        <v>0</v>
      </c>
      <c r="I20" s="1">
        <f t="shared" ca="1" si="11"/>
        <v>-14.989340152133334</v>
      </c>
      <c r="J20" s="1">
        <f t="shared" ca="1" si="11"/>
        <v>-9.9928934347555547</v>
      </c>
      <c r="K20" s="1">
        <f t="shared" ca="1" si="11"/>
        <v>-217.6410694204144</v>
      </c>
      <c r="L20" s="1">
        <f t="shared" ca="1" si="11"/>
        <v>-9.9928934347555582</v>
      </c>
      <c r="M20" s="1">
        <f t="shared" ca="1" si="11"/>
        <v>-5.3717999056506063</v>
      </c>
      <c r="N20" s="1">
        <f t="shared" ca="1" si="11"/>
        <v>-179.10530656566678</v>
      </c>
      <c r="O20" s="1">
        <f t="shared" ca="1" si="11"/>
        <v>-0.74580253254351325</v>
      </c>
      <c r="P20" s="1">
        <f t="shared" ca="1" si="11"/>
        <v>0</v>
      </c>
      <c r="Q20" s="1">
        <f t="shared" ca="1" si="11"/>
        <v>-177.98415084485038</v>
      </c>
      <c r="R20" s="1">
        <f t="shared" ca="1" si="11"/>
        <v>0</v>
      </c>
      <c r="S20" s="1">
        <f t="shared" ca="1" si="11"/>
        <v>0</v>
      </c>
      <c r="T20" s="1">
        <f t="shared" ca="1" si="11"/>
        <v>-177.98415084485043</v>
      </c>
      <c r="U20" s="1">
        <f t="shared" ca="1" si="11"/>
        <v>0</v>
      </c>
      <c r="V20" s="1">
        <f t="shared" ca="1" si="11"/>
        <v>0</v>
      </c>
      <c r="W20" s="1">
        <f t="shared" ca="1" si="11"/>
        <v>-177.98415084485043</v>
      </c>
      <c r="X20" s="1">
        <f t="shared" ca="1" si="11"/>
        <v>0</v>
      </c>
      <c r="Y20" s="1">
        <f t="shared" ca="1" si="11"/>
        <v>0</v>
      </c>
      <c r="Z20" s="1">
        <f t="shared" ca="1" si="11"/>
        <v>-177.98415084485032</v>
      </c>
      <c r="AA20" s="1">
        <f t="shared" ca="1" si="11"/>
        <v>0</v>
      </c>
      <c r="AB20" s="1">
        <f t="shared" ca="1" si="11"/>
        <v>0</v>
      </c>
      <c r="AC20" s="1">
        <f t="shared" ca="1" si="11"/>
        <v>-177.98415084485077</v>
      </c>
      <c r="AD20" s="1">
        <f t="shared" ca="1" si="11"/>
        <v>0</v>
      </c>
      <c r="AE20" s="1">
        <f t="shared" ca="1" si="11"/>
        <v>0</v>
      </c>
      <c r="AF20" s="1">
        <f t="shared" ca="1" si="11"/>
        <v>-177.98415084485077</v>
      </c>
      <c r="AG20" s="1">
        <f t="shared" ca="1" si="11"/>
        <v>0</v>
      </c>
      <c r="AH20" s="1">
        <f t="shared" ca="1" si="11"/>
        <v>0</v>
      </c>
      <c r="AI20" s="1">
        <f t="shared" ca="1" si="11"/>
        <v>-177.98415084485077</v>
      </c>
      <c r="AJ20" s="1">
        <f t="shared" ca="1" si="11"/>
        <v>0</v>
      </c>
      <c r="AK20" s="1">
        <f t="shared" ca="1" si="11"/>
        <v>0</v>
      </c>
      <c r="AL20" s="1">
        <f t="shared" ca="1" si="11"/>
        <v>-178.42468934493257</v>
      </c>
      <c r="AM20" s="1">
        <f t="shared" ca="1" si="11"/>
        <v>-0.44053850008180184</v>
      </c>
      <c r="AN20" s="1">
        <f t="shared" ref="AN20:BS20" ca="1" si="12">IF(Cir=1,AN105*-1,0)</f>
        <v>0</v>
      </c>
      <c r="AO20" s="1">
        <f t="shared" ca="1" si="12"/>
        <v>-177.98415084485077</v>
      </c>
      <c r="AP20" s="1">
        <f t="shared" ca="1" si="12"/>
        <v>0</v>
      </c>
      <c r="AQ20" s="1">
        <f t="shared" ca="1" si="12"/>
        <v>0</v>
      </c>
      <c r="AR20" s="1">
        <f t="shared" ca="1" si="12"/>
        <v>-177.98415084485077</v>
      </c>
      <c r="AS20" s="1">
        <f t="shared" ca="1" si="12"/>
        <v>0</v>
      </c>
      <c r="AT20" s="1">
        <f t="shared" ca="1" si="12"/>
        <v>0</v>
      </c>
      <c r="AU20" s="1">
        <f t="shared" ca="1" si="12"/>
        <v>-177.98415084485077</v>
      </c>
      <c r="AV20" s="1">
        <f t="shared" ca="1" si="12"/>
        <v>0</v>
      </c>
      <c r="AW20" s="1">
        <f t="shared" ca="1" si="12"/>
        <v>0</v>
      </c>
      <c r="AX20" s="1">
        <f t="shared" ca="1" si="12"/>
        <v>-177.98415084485077</v>
      </c>
      <c r="AY20" s="1">
        <f t="shared" ca="1" si="12"/>
        <v>0</v>
      </c>
      <c r="AZ20" s="1">
        <f t="shared" ca="1" si="12"/>
        <v>0</v>
      </c>
      <c r="BA20" s="1">
        <f t="shared" ca="1" si="12"/>
        <v>-177.98415084485077</v>
      </c>
      <c r="BB20" s="1">
        <f t="shared" ca="1" si="12"/>
        <v>0</v>
      </c>
      <c r="BC20" s="1">
        <f t="shared" ca="1" si="12"/>
        <v>0</v>
      </c>
      <c r="BD20" s="1">
        <f t="shared" ca="1" si="12"/>
        <v>-177.98415084485077</v>
      </c>
      <c r="BE20" s="1">
        <f t="shared" ca="1" si="12"/>
        <v>0</v>
      </c>
      <c r="BF20" s="1">
        <f t="shared" ca="1" si="12"/>
        <v>0</v>
      </c>
      <c r="BG20" s="1">
        <f t="shared" ca="1" si="12"/>
        <v>-177.98415084485077</v>
      </c>
      <c r="BH20" s="1">
        <f t="shared" ca="1" si="12"/>
        <v>0</v>
      </c>
      <c r="BI20" s="1">
        <f t="shared" ca="1" si="12"/>
        <v>0</v>
      </c>
      <c r="BJ20" s="1">
        <f t="shared" ca="1" si="12"/>
        <v>-177.98415084485077</v>
      </c>
      <c r="BK20" s="1">
        <f t="shared" ca="1" si="12"/>
        <v>0</v>
      </c>
      <c r="BL20" s="1">
        <f t="shared" ca="1" si="12"/>
        <v>0</v>
      </c>
      <c r="BM20" s="1">
        <f t="shared" ca="1" si="12"/>
        <v>-177.98415084485077</v>
      </c>
      <c r="BN20" s="1">
        <f t="shared" ca="1" si="12"/>
        <v>0</v>
      </c>
      <c r="BO20" s="1">
        <f t="shared" ca="1" si="12"/>
        <v>0</v>
      </c>
      <c r="BP20" s="1">
        <f t="shared" ca="1" si="12"/>
        <v>-148.32012570404231</v>
      </c>
      <c r="BQ20" s="1">
        <f t="shared" ca="1" si="12"/>
        <v>0</v>
      </c>
      <c r="BR20" s="1">
        <f t="shared" ca="1" si="12"/>
        <v>0</v>
      </c>
      <c r="BS20" s="1">
        <f t="shared" ca="1" si="12"/>
        <v>0</v>
      </c>
      <c r="BT20" s="1">
        <f t="shared" ref="BT20:BY20" ca="1" si="13">IF(Cir=1,BT105*-1,0)</f>
        <v>0</v>
      </c>
      <c r="BU20" s="1">
        <f t="shared" ca="1" si="13"/>
        <v>0</v>
      </c>
      <c r="BV20" s="1">
        <f t="shared" ca="1" si="13"/>
        <v>0</v>
      </c>
      <c r="BW20" s="1">
        <f t="shared" ca="1" si="13"/>
        <v>0</v>
      </c>
      <c r="BX20" s="1">
        <f t="shared" ca="1" si="13"/>
        <v>0</v>
      </c>
      <c r="BY20" s="1">
        <f t="shared" ca="1" si="13"/>
        <v>0</v>
      </c>
    </row>
    <row r="21" spans="2:77" ht="13.5" customHeight="1">
      <c r="C21" s="1" t="s">
        <v>15</v>
      </c>
      <c r="F21" s="1">
        <f t="shared" ca="1" si="10"/>
        <v>-929.25213800745109</v>
      </c>
      <c r="H21" s="1">
        <f ca="1">펀드비용!H30*-1</f>
        <v>0</v>
      </c>
      <c r="I21" s="1">
        <f ca="1">펀드비용!I30*-1</f>
        <v>0</v>
      </c>
      <c r="J21" s="1">
        <f ca="1">펀드비용!J30*-1</f>
        <v>0</v>
      </c>
      <c r="K21" s="1">
        <f ca="1">펀드비용!K30*-1</f>
        <v>0</v>
      </c>
      <c r="L21" s="1">
        <f ca="1">펀드비용!L30*-1</f>
        <v>0</v>
      </c>
      <c r="M21" s="1">
        <f ca="1">펀드비용!M30*-1</f>
        <v>0</v>
      </c>
      <c r="N21" s="1">
        <f ca="1">펀드비용!N30*-1</f>
        <v>-92.925213800745126</v>
      </c>
      <c r="O21" s="1">
        <f ca="1">펀드비용!O30*-1</f>
        <v>0</v>
      </c>
      <c r="P21" s="1">
        <f ca="1">펀드비용!P30*-1</f>
        <v>0</v>
      </c>
      <c r="Q21" s="1">
        <f ca="1">펀드비용!Q30*-1</f>
        <v>0</v>
      </c>
      <c r="R21" s="1">
        <f ca="1">펀드비용!R30*-1</f>
        <v>0</v>
      </c>
      <c r="S21" s="1">
        <f ca="1">펀드비용!S30*-1</f>
        <v>0</v>
      </c>
      <c r="T21" s="1">
        <f ca="1">펀드비용!T30*-1</f>
        <v>-92.925213800745112</v>
      </c>
      <c r="U21" s="1">
        <f ca="1">펀드비용!U30*-1</f>
        <v>0</v>
      </c>
      <c r="V21" s="1">
        <f ca="1">펀드비용!V30*-1</f>
        <v>0</v>
      </c>
      <c r="W21" s="1">
        <f ca="1">펀드비용!W30*-1</f>
        <v>0</v>
      </c>
      <c r="X21" s="1">
        <f ca="1">펀드비용!X30*-1</f>
        <v>0</v>
      </c>
      <c r="Y21" s="1">
        <f ca="1">펀드비용!Y30*-1</f>
        <v>0</v>
      </c>
      <c r="Z21" s="1">
        <f ca="1">펀드비용!Z30*-1</f>
        <v>-92.925213800745126</v>
      </c>
      <c r="AA21" s="1">
        <f ca="1">펀드비용!AA30*-1</f>
        <v>0</v>
      </c>
      <c r="AB21" s="1">
        <f ca="1">펀드비용!AB30*-1</f>
        <v>0</v>
      </c>
      <c r="AC21" s="1">
        <f ca="1">펀드비용!AC30*-1</f>
        <v>0</v>
      </c>
      <c r="AD21" s="1">
        <f ca="1">펀드비용!AD30*-1</f>
        <v>0</v>
      </c>
      <c r="AE21" s="1">
        <f ca="1">펀드비용!AE30*-1</f>
        <v>0</v>
      </c>
      <c r="AF21" s="1">
        <f ca="1">펀드비용!AF30*-1</f>
        <v>-92.925213800745041</v>
      </c>
      <c r="AG21" s="1">
        <f ca="1">펀드비용!AG30*-1</f>
        <v>0</v>
      </c>
      <c r="AH21" s="1">
        <f ca="1">펀드비용!AH30*-1</f>
        <v>0</v>
      </c>
      <c r="AI21" s="1">
        <f ca="1">펀드비용!AI30*-1</f>
        <v>0</v>
      </c>
      <c r="AJ21" s="1">
        <f ca="1">펀드비용!AJ30*-1</f>
        <v>0</v>
      </c>
      <c r="AK21" s="1">
        <f ca="1">펀드비용!AK30*-1</f>
        <v>0</v>
      </c>
      <c r="AL21" s="1">
        <f ca="1">펀드비용!AL30*-1</f>
        <v>-92.925213800744956</v>
      </c>
      <c r="AM21" s="1">
        <f ca="1">펀드비용!AM30*-1</f>
        <v>0</v>
      </c>
      <c r="AN21" s="1">
        <f ca="1">펀드비용!AN30*-1</f>
        <v>0</v>
      </c>
      <c r="AO21" s="1">
        <f ca="1">펀드비용!AO30*-1</f>
        <v>0</v>
      </c>
      <c r="AP21" s="1">
        <f ca="1">펀드비용!AP30*-1</f>
        <v>0</v>
      </c>
      <c r="AQ21" s="1">
        <f ca="1">펀드비용!AQ30*-1</f>
        <v>0</v>
      </c>
      <c r="AR21" s="1">
        <f ca="1">펀드비용!AR30*-1</f>
        <v>-92.92521380074497</v>
      </c>
      <c r="AS21" s="1">
        <f ca="1">펀드비용!AS30*-1</f>
        <v>0</v>
      </c>
      <c r="AT21" s="1">
        <f ca="1">펀드비용!AT30*-1</f>
        <v>0</v>
      </c>
      <c r="AU21" s="1">
        <f ca="1">펀드비용!AU30*-1</f>
        <v>0</v>
      </c>
      <c r="AV21" s="1">
        <f ca="1">펀드비용!AV30*-1</f>
        <v>0</v>
      </c>
      <c r="AW21" s="1">
        <f ca="1">펀드비용!AW30*-1</f>
        <v>0</v>
      </c>
      <c r="AX21" s="1">
        <f ca="1">펀드비용!AX30*-1</f>
        <v>-92.925213800744984</v>
      </c>
      <c r="AY21" s="1">
        <f ca="1">펀드비용!AY30*-1</f>
        <v>0</v>
      </c>
      <c r="AZ21" s="1">
        <f ca="1">펀드비용!AZ30*-1</f>
        <v>0</v>
      </c>
      <c r="BA21" s="1">
        <f ca="1">펀드비용!BA30*-1</f>
        <v>0</v>
      </c>
      <c r="BB21" s="1">
        <f ca="1">펀드비용!BB30*-1</f>
        <v>0</v>
      </c>
      <c r="BC21" s="1">
        <f ca="1">펀드비용!BC30*-1</f>
        <v>0</v>
      </c>
      <c r="BD21" s="1">
        <f ca="1">펀드비용!BD30*-1</f>
        <v>-92.925213800745325</v>
      </c>
      <c r="BE21" s="1">
        <f ca="1">펀드비용!BE30*-1</f>
        <v>0</v>
      </c>
      <c r="BF21" s="1">
        <f ca="1">펀드비용!BF30*-1</f>
        <v>0</v>
      </c>
      <c r="BG21" s="1">
        <f ca="1">펀드비용!BG30*-1</f>
        <v>0</v>
      </c>
      <c r="BH21" s="1">
        <f ca="1">펀드비용!BH30*-1</f>
        <v>0</v>
      </c>
      <c r="BI21" s="1">
        <f ca="1">펀드비용!BI30*-1</f>
        <v>0</v>
      </c>
      <c r="BJ21" s="1">
        <f ca="1">펀드비용!BJ30*-1</f>
        <v>-92.925213800745325</v>
      </c>
      <c r="BK21" s="1">
        <f ca="1">펀드비용!BK30*-1</f>
        <v>0</v>
      </c>
      <c r="BL21" s="1">
        <f ca="1">펀드비용!BL30*-1</f>
        <v>0</v>
      </c>
      <c r="BM21" s="1">
        <f ca="1">펀드비용!BM30*-1</f>
        <v>0</v>
      </c>
      <c r="BN21" s="1">
        <f ca="1">펀드비용!BN30*-1</f>
        <v>0</v>
      </c>
      <c r="BO21" s="1">
        <f ca="1">펀드비용!BO30*-1</f>
        <v>0</v>
      </c>
      <c r="BP21" s="1">
        <f ca="1">펀드비용!BP30*-1</f>
        <v>-92.925213800745325</v>
      </c>
      <c r="BQ21" s="1">
        <f ca="1">펀드비용!BQ30*-1</f>
        <v>0</v>
      </c>
      <c r="BR21" s="1">
        <f ca="1">펀드비용!BR30*-1</f>
        <v>0</v>
      </c>
      <c r="BS21" s="1">
        <f ca="1">펀드비용!BS30*-1</f>
        <v>0</v>
      </c>
      <c r="BT21" s="1">
        <f ca="1">펀드비용!BT30*-1</f>
        <v>0</v>
      </c>
      <c r="BU21" s="1">
        <f ca="1">펀드비용!BU30*-1</f>
        <v>0</v>
      </c>
      <c r="BV21" s="1">
        <f ca="1">펀드비용!BV30*-1</f>
        <v>0</v>
      </c>
      <c r="BW21" s="1">
        <f ca="1">펀드비용!BW30*-1</f>
        <v>0</v>
      </c>
      <c r="BX21" s="1">
        <f ca="1">펀드비용!BX30*-1</f>
        <v>0</v>
      </c>
      <c r="BY21" s="1">
        <f ca="1">펀드비용!BY30*-1</f>
        <v>0</v>
      </c>
    </row>
    <row r="22" spans="2:77" ht="13.5" customHeight="1">
      <c r="C22" s="44" t="s">
        <v>365</v>
      </c>
      <c r="D22" s="44"/>
      <c r="E22" s="44"/>
      <c r="F22" s="44">
        <f t="shared" ref="F22" ca="1" si="14">SUM(G22:XFD22)</f>
        <v>6432.5875960657104</v>
      </c>
      <c r="G22" s="44"/>
      <c r="H22" s="44">
        <f ca="1">SUM(H18:H21)</f>
        <v>0</v>
      </c>
      <c r="I22" s="44">
        <f t="shared" ref="I22:BT22" ca="1" si="15">SUM(I18:I21)</f>
        <v>95.910028847866698</v>
      </c>
      <c r="J22" s="44">
        <f t="shared" ca="1" si="15"/>
        <v>200.26973956524444</v>
      </c>
      <c r="K22" s="44">
        <f t="shared" ca="1" si="15"/>
        <v>-7.3784364204144026</v>
      </c>
      <c r="L22" s="44">
        <f t="shared" ca="1" si="15"/>
        <v>80.195921949264914</v>
      </c>
      <c r="M22" s="44">
        <f t="shared" ca="1" si="15"/>
        <v>204.89083309434938</v>
      </c>
      <c r="N22" s="44">
        <f t="shared" ca="1" si="15"/>
        <v>-221.26960656241192</v>
      </c>
      <c r="O22" s="44">
        <f t="shared" ca="1" si="15"/>
        <v>-105.47616953254351</v>
      </c>
      <c r="P22" s="44">
        <f t="shared" ca="1" si="15"/>
        <v>215.1154663333333</v>
      </c>
      <c r="Q22" s="44">
        <f t="shared" ca="1" si="15"/>
        <v>37.131315488482926</v>
      </c>
      <c r="R22" s="44">
        <f t="shared" ca="1" si="15"/>
        <v>213.55193299999999</v>
      </c>
      <c r="S22" s="44">
        <f t="shared" ca="1" si="15"/>
        <v>215.1154663333333</v>
      </c>
      <c r="T22" s="44">
        <f t="shared" ca="1" si="15"/>
        <v>-55.793898312262243</v>
      </c>
      <c r="U22" s="44">
        <f t="shared" ca="1" si="15"/>
        <v>113.86585286833335</v>
      </c>
      <c r="V22" s="44">
        <f t="shared" ca="1" si="15"/>
        <v>214.71956582833332</v>
      </c>
      <c r="W22" s="44">
        <f t="shared" ca="1" si="15"/>
        <v>36.735414983482883</v>
      </c>
      <c r="X22" s="44">
        <f t="shared" ca="1" si="15"/>
        <v>93.733956908807727</v>
      </c>
      <c r="Y22" s="44">
        <f t="shared" ca="1" si="15"/>
        <v>214.71956582833332</v>
      </c>
      <c r="Z22" s="44">
        <f t="shared" ca="1" si="15"/>
        <v>-89.652089589142122</v>
      </c>
      <c r="AA22" s="44">
        <f t="shared" ca="1" si="15"/>
        <v>216.03865416166667</v>
      </c>
      <c r="AB22" s="44">
        <f t="shared" ca="1" si="15"/>
        <v>216.03865416166667</v>
      </c>
      <c r="AC22" s="44">
        <f t="shared" ca="1" si="15"/>
        <v>37.873052594575881</v>
      </c>
      <c r="AD22" s="44">
        <f t="shared" ca="1" si="15"/>
        <v>214.14963416166668</v>
      </c>
      <c r="AE22" s="44">
        <f t="shared" ca="1" si="15"/>
        <v>216.03865416166667</v>
      </c>
      <c r="AF22" s="44">
        <f t="shared" ca="1" si="15"/>
        <v>-54.870710483929145</v>
      </c>
      <c r="AG22" s="44">
        <f t="shared" ca="1" si="15"/>
        <v>113.27029649469171</v>
      </c>
      <c r="AH22" s="44">
        <f t="shared" ca="1" si="15"/>
        <v>215.63681514909166</v>
      </c>
      <c r="AI22" s="44">
        <f t="shared" ca="1" si="15"/>
        <v>37.652664304240886</v>
      </c>
      <c r="AJ22" s="44">
        <f t="shared" ca="1" si="15"/>
        <v>94.106435661661635</v>
      </c>
      <c r="AK22" s="44">
        <f t="shared" ca="1" si="15"/>
        <v>215.63681514909166</v>
      </c>
      <c r="AL22" s="44">
        <f t="shared" ca="1" si="15"/>
        <v>-204.82244749162226</v>
      </c>
      <c r="AM22" s="44">
        <f t="shared" ca="1" si="15"/>
        <v>-66.600444134323453</v>
      </c>
      <c r="AN22" s="44">
        <f t="shared" ca="1" si="15"/>
        <v>221.65059436575831</v>
      </c>
      <c r="AO22" s="44">
        <f t="shared" ca="1" si="15"/>
        <v>43.394267437547569</v>
      </c>
      <c r="AP22" s="44">
        <f t="shared" ca="1" si="15"/>
        <v>219.88965696575832</v>
      </c>
      <c r="AQ22" s="44">
        <f t="shared" ca="1" si="15"/>
        <v>221.65059436575831</v>
      </c>
      <c r="AR22" s="44">
        <f t="shared" ca="1" si="15"/>
        <v>-49.258770279837435</v>
      </c>
      <c r="AS22" s="44">
        <f t="shared" ca="1" si="15"/>
        <v>117.34071133377878</v>
      </c>
      <c r="AT22" s="44">
        <f t="shared" ca="1" si="15"/>
        <v>221.24272776799469</v>
      </c>
      <c r="AU22" s="44">
        <f t="shared" ca="1" si="15"/>
        <v>43.25857692314392</v>
      </c>
      <c r="AV22" s="44">
        <f t="shared" ca="1" si="15"/>
        <v>99.226874798613551</v>
      </c>
      <c r="AW22" s="44">
        <f t="shared" ca="1" si="15"/>
        <v>221.24272776799469</v>
      </c>
      <c r="AX22" s="44">
        <f t="shared" ca="1" si="15"/>
        <v>-85.254477157488566</v>
      </c>
      <c r="AY22" s="44">
        <f t="shared" ca="1" si="15"/>
        <v>223.78114477682803</v>
      </c>
      <c r="AZ22" s="44">
        <f t="shared" ca="1" si="15"/>
        <v>223.78114477682803</v>
      </c>
      <c r="BA22" s="44">
        <f t="shared" ca="1" si="15"/>
        <v>45.388729806937249</v>
      </c>
      <c r="BB22" s="44">
        <f t="shared" ca="1" si="15"/>
        <v>221.87594637682804</v>
      </c>
      <c r="BC22" s="44">
        <f t="shared" ca="1" si="15"/>
        <v>223.78114477682803</v>
      </c>
      <c r="BD22" s="44">
        <f t="shared" ca="1" si="15"/>
        <v>-47.12821986876807</v>
      </c>
      <c r="BE22" s="44">
        <f t="shared" ca="1" si="15"/>
        <v>117.90661349936875</v>
      </c>
      <c r="BF22" s="44">
        <f t="shared" ca="1" si="15"/>
        <v>223.36716018009798</v>
      </c>
      <c r="BG22" s="44">
        <f t="shared" ca="1" si="15"/>
        <v>45.383009335247209</v>
      </c>
      <c r="BH22" s="44">
        <f t="shared" ca="1" si="15"/>
        <v>100.96250643738728</v>
      </c>
      <c r="BI22" s="44">
        <f t="shared" ca="1" si="15"/>
        <v>223.36716018009798</v>
      </c>
      <c r="BJ22" s="44">
        <f t="shared" ca="1" si="15"/>
        <v>-84.240879953782269</v>
      </c>
      <c r="BK22" s="44">
        <f t="shared" ca="1" si="15"/>
        <v>225.93096135901965</v>
      </c>
      <c r="BL22" s="44">
        <f t="shared" ca="1" si="15"/>
        <v>225.93096135901965</v>
      </c>
      <c r="BM22" s="44">
        <f t="shared" ca="1" si="15"/>
        <v>47.334414326608851</v>
      </c>
      <c r="BN22" s="44">
        <f t="shared" ca="1" si="15"/>
        <v>224.02576295901963</v>
      </c>
      <c r="BO22" s="44">
        <f t="shared" ca="1" si="15"/>
        <v>225.93096135901965</v>
      </c>
      <c r="BP22" s="44">
        <f t="shared" ca="1" si="15"/>
        <v>-15.707344412434679</v>
      </c>
      <c r="BQ22" s="44">
        <f t="shared" ca="1" si="15"/>
        <v>0</v>
      </c>
      <c r="BR22" s="44">
        <f t="shared" ca="1" si="15"/>
        <v>0</v>
      </c>
      <c r="BS22" s="44">
        <f t="shared" ca="1" si="15"/>
        <v>0</v>
      </c>
      <c r="BT22" s="44">
        <f t="shared" ca="1" si="15"/>
        <v>0</v>
      </c>
      <c r="BU22" s="44">
        <f t="shared" ref="BU22:BY22" ca="1" si="16">SUM(BU18:BU21)</f>
        <v>0</v>
      </c>
      <c r="BV22" s="44">
        <f t="shared" ca="1" si="16"/>
        <v>0</v>
      </c>
      <c r="BW22" s="44">
        <f t="shared" ca="1" si="16"/>
        <v>0</v>
      </c>
      <c r="BX22" s="44">
        <f t="shared" ca="1" si="16"/>
        <v>0</v>
      </c>
      <c r="BY22" s="44">
        <f t="shared" ca="1" si="16"/>
        <v>0</v>
      </c>
    </row>
    <row r="24" spans="2:77" ht="13.5" customHeight="1">
      <c r="B24" s="1" t="s">
        <v>366</v>
      </c>
    </row>
    <row r="25" spans="2:77" ht="13.5" customHeight="1">
      <c r="C25" s="1" t="s">
        <v>367</v>
      </c>
      <c r="F25" s="1">
        <f ca="1">SUM(G25:XFD25)</f>
        <v>-51905.875293976729</v>
      </c>
      <c r="H25" s="1">
        <f ca="1">(H$14=acq)*'A&amp;R'!$E$73*-1</f>
        <v>-51905.875293976729</v>
      </c>
      <c r="I25" s="1">
        <f ca="1">(I$14=acq)*'A&amp;R'!$E$73*-1</f>
        <v>0</v>
      </c>
      <c r="J25" s="1">
        <f ca="1">(J$14=acq)*'A&amp;R'!$E$73*-1</f>
        <v>0</v>
      </c>
      <c r="K25" s="1">
        <f ca="1">(K$14=acq)*'A&amp;R'!$E$73*-1</f>
        <v>0</v>
      </c>
      <c r="L25" s="1">
        <f ca="1">(L$14=acq)*'A&amp;R'!$E$73*-1</f>
        <v>0</v>
      </c>
      <c r="M25" s="1">
        <f ca="1">(M$14=acq)*'A&amp;R'!$E$73*-1</f>
        <v>0</v>
      </c>
      <c r="N25" s="1">
        <f ca="1">(N$14=acq)*'A&amp;R'!$E$73*-1</f>
        <v>0</v>
      </c>
      <c r="O25" s="1">
        <f ca="1">(O$14=acq)*'A&amp;R'!$E$73*-1</f>
        <v>0</v>
      </c>
      <c r="P25" s="1">
        <f ca="1">(P$14=acq)*'A&amp;R'!$E$73*-1</f>
        <v>0</v>
      </c>
      <c r="Q25" s="1">
        <f ca="1">(Q$14=acq)*'A&amp;R'!$E$73*-1</f>
        <v>0</v>
      </c>
      <c r="R25" s="1">
        <f ca="1">(R$14=acq)*'A&amp;R'!$E$73*-1</f>
        <v>0</v>
      </c>
      <c r="S25" s="1">
        <f ca="1">(S$14=acq)*'A&amp;R'!$E$73*-1</f>
        <v>0</v>
      </c>
      <c r="T25" s="1">
        <f ca="1">(T$14=acq)*'A&amp;R'!$E$73*-1</f>
        <v>0</v>
      </c>
      <c r="U25" s="1">
        <f ca="1">(U$14=acq)*'A&amp;R'!$E$73*-1</f>
        <v>0</v>
      </c>
      <c r="V25" s="1">
        <f ca="1">(V$14=acq)*'A&amp;R'!$E$73*-1</f>
        <v>0</v>
      </c>
      <c r="W25" s="1">
        <f ca="1">(W$14=acq)*'A&amp;R'!$E$73*-1</f>
        <v>0</v>
      </c>
      <c r="X25" s="1">
        <f ca="1">(X$14=acq)*'A&amp;R'!$E$73*-1</f>
        <v>0</v>
      </c>
      <c r="Y25" s="1">
        <f ca="1">(Y$14=acq)*'A&amp;R'!$E$73*-1</f>
        <v>0</v>
      </c>
      <c r="Z25" s="1">
        <f ca="1">(Z$14=acq)*'A&amp;R'!$E$73*-1</f>
        <v>0</v>
      </c>
      <c r="AA25" s="1">
        <f ca="1">(AA$14=acq)*'A&amp;R'!$E$73*-1</f>
        <v>0</v>
      </c>
      <c r="AB25" s="1">
        <f ca="1">(AB$14=acq)*'A&amp;R'!$E$73*-1</f>
        <v>0</v>
      </c>
      <c r="AC25" s="1">
        <f ca="1">(AC$14=acq)*'A&amp;R'!$E$73*-1</f>
        <v>0</v>
      </c>
      <c r="AD25" s="1">
        <f ca="1">(AD$14=acq)*'A&amp;R'!$E$73*-1</f>
        <v>0</v>
      </c>
      <c r="AE25" s="1">
        <f ca="1">(AE$14=acq)*'A&amp;R'!$E$73*-1</f>
        <v>0</v>
      </c>
      <c r="AF25" s="1">
        <f ca="1">(AF$14=acq)*'A&amp;R'!$E$73*-1</f>
        <v>0</v>
      </c>
      <c r="AG25" s="1">
        <f ca="1">(AG$14=acq)*'A&amp;R'!$E$73*-1</f>
        <v>0</v>
      </c>
      <c r="AH25" s="1">
        <f ca="1">(AH$14=acq)*'A&amp;R'!$E$73*-1</f>
        <v>0</v>
      </c>
      <c r="AI25" s="1">
        <f ca="1">(AI$14=acq)*'A&amp;R'!$E$73*-1</f>
        <v>0</v>
      </c>
      <c r="AJ25" s="1">
        <f ca="1">(AJ$14=acq)*'A&amp;R'!$E$73*-1</f>
        <v>0</v>
      </c>
      <c r="AK25" s="1">
        <f ca="1">(AK$14=acq)*'A&amp;R'!$E$73*-1</f>
        <v>0</v>
      </c>
      <c r="AL25" s="1">
        <f ca="1">(AL$14=acq)*'A&amp;R'!$E$73*-1</f>
        <v>0</v>
      </c>
      <c r="AM25" s="1">
        <f ca="1">(AM$14=acq)*'A&amp;R'!$E$73*-1</f>
        <v>0</v>
      </c>
      <c r="AN25" s="1">
        <f ca="1">(AN$14=acq)*'A&amp;R'!$E$73*-1</f>
        <v>0</v>
      </c>
      <c r="AO25" s="1">
        <f ca="1">(AO$14=acq)*'A&amp;R'!$E$73*-1</f>
        <v>0</v>
      </c>
      <c r="AP25" s="1">
        <f ca="1">(AP$14=acq)*'A&amp;R'!$E$73*-1</f>
        <v>0</v>
      </c>
      <c r="AQ25" s="1">
        <f ca="1">(AQ$14=acq)*'A&amp;R'!$E$73*-1</f>
        <v>0</v>
      </c>
      <c r="AR25" s="1">
        <f ca="1">(AR$14=acq)*'A&amp;R'!$E$73*-1</f>
        <v>0</v>
      </c>
      <c r="AS25" s="1">
        <f ca="1">(AS$14=acq)*'A&amp;R'!$E$73*-1</f>
        <v>0</v>
      </c>
      <c r="AT25" s="1">
        <f ca="1">(AT$14=acq)*'A&amp;R'!$E$73*-1</f>
        <v>0</v>
      </c>
      <c r="AU25" s="1">
        <f ca="1">(AU$14=acq)*'A&amp;R'!$E$73*-1</f>
        <v>0</v>
      </c>
      <c r="AV25" s="1">
        <f ca="1">(AV$14=acq)*'A&amp;R'!$E$73*-1</f>
        <v>0</v>
      </c>
      <c r="AW25" s="1">
        <f ca="1">(AW$14=acq)*'A&amp;R'!$E$73*-1</f>
        <v>0</v>
      </c>
      <c r="AX25" s="1">
        <f ca="1">(AX$14=acq)*'A&amp;R'!$E$73*-1</f>
        <v>0</v>
      </c>
      <c r="AY25" s="1">
        <f ca="1">(AY$14=acq)*'A&amp;R'!$E$73*-1</f>
        <v>0</v>
      </c>
      <c r="AZ25" s="1">
        <f ca="1">(AZ$14=acq)*'A&amp;R'!$E$73*-1</f>
        <v>0</v>
      </c>
      <c r="BA25" s="1">
        <f ca="1">(BA$14=acq)*'A&amp;R'!$E$73*-1</f>
        <v>0</v>
      </c>
      <c r="BB25" s="1">
        <f ca="1">(BB$14=acq)*'A&amp;R'!$E$73*-1</f>
        <v>0</v>
      </c>
      <c r="BC25" s="1">
        <f ca="1">(BC$14=acq)*'A&amp;R'!$E$73*-1</f>
        <v>0</v>
      </c>
      <c r="BD25" s="1">
        <f ca="1">(BD$14=acq)*'A&amp;R'!$E$73*-1</f>
        <v>0</v>
      </c>
      <c r="BE25" s="1">
        <f ca="1">(BE$14=acq)*'A&amp;R'!$E$73*-1</f>
        <v>0</v>
      </c>
      <c r="BF25" s="1">
        <f ca="1">(BF$14=acq)*'A&amp;R'!$E$73*-1</f>
        <v>0</v>
      </c>
      <c r="BG25" s="1">
        <f ca="1">(BG$14=acq)*'A&amp;R'!$E$73*-1</f>
        <v>0</v>
      </c>
      <c r="BH25" s="1">
        <f ca="1">(BH$14=acq)*'A&amp;R'!$E$73*-1</f>
        <v>0</v>
      </c>
      <c r="BI25" s="1">
        <f ca="1">(BI$14=acq)*'A&amp;R'!$E$73*-1</f>
        <v>0</v>
      </c>
      <c r="BJ25" s="1">
        <f ca="1">(BJ$14=acq)*'A&amp;R'!$E$73*-1</f>
        <v>0</v>
      </c>
      <c r="BK25" s="1">
        <f ca="1">(BK$14=acq)*'A&amp;R'!$E$73*-1</f>
        <v>0</v>
      </c>
      <c r="BL25" s="1">
        <f ca="1">(BL$14=acq)*'A&amp;R'!$E$73*-1</f>
        <v>0</v>
      </c>
      <c r="BM25" s="1">
        <f ca="1">(BM$14=acq)*'A&amp;R'!$E$73*-1</f>
        <v>0</v>
      </c>
      <c r="BN25" s="1">
        <f ca="1">(BN$14=acq)*'A&amp;R'!$E$73*-1</f>
        <v>0</v>
      </c>
      <c r="BO25" s="1">
        <f ca="1">(BO$14=acq)*'A&amp;R'!$E$73*-1</f>
        <v>0</v>
      </c>
      <c r="BP25" s="1">
        <f ca="1">(BP$14=acq)*'A&amp;R'!$E$73*-1</f>
        <v>0</v>
      </c>
      <c r="BQ25" s="1">
        <f ca="1">(BQ$14=acq)*'A&amp;R'!$E$73*-1</f>
        <v>0</v>
      </c>
      <c r="BR25" s="1">
        <f ca="1">(BR$14=acq)*'A&amp;R'!$E$73*-1</f>
        <v>0</v>
      </c>
      <c r="BS25" s="1">
        <f ca="1">(BS$14=acq)*'A&amp;R'!$E$73*-1</f>
        <v>0</v>
      </c>
      <c r="BT25" s="1">
        <f ca="1">(BT$14=acq)*'A&amp;R'!$E$73*-1</f>
        <v>0</v>
      </c>
      <c r="BU25" s="1">
        <f ca="1">(BU$14=acq)*'A&amp;R'!$E$73*-1</f>
        <v>0</v>
      </c>
      <c r="BV25" s="1">
        <f ca="1">(BV$14=acq)*'A&amp;R'!$E$73*-1</f>
        <v>0</v>
      </c>
      <c r="BW25" s="1">
        <f ca="1">(BW$14=acq)*'A&amp;R'!$E$73*-1</f>
        <v>0</v>
      </c>
      <c r="BX25" s="1">
        <f ca="1">(BX$14=acq)*'A&amp;R'!$E$73*-1</f>
        <v>0</v>
      </c>
      <c r="BY25" s="1">
        <f ca="1">(BY$14=acq)*'A&amp;R'!$E$73*-1</f>
        <v>0</v>
      </c>
    </row>
    <row r="26" spans="2:77" ht="13.5" customHeight="1">
      <c r="C26" s="1" t="s">
        <v>368</v>
      </c>
      <c r="F26" s="1">
        <f t="shared" ref="F26:F29" ca="1" si="17">SUM(G26:XFD26)</f>
        <v>2997.8680304266668</v>
      </c>
      <c r="H26" s="1">
        <f ca="1">(H$14='A&amp;R'!$G$72)*'A&amp;R'!$E$72</f>
        <v>0</v>
      </c>
      <c r="I26" s="1">
        <f ca="1">(I$14='A&amp;R'!$G$72)*'A&amp;R'!$E$72</f>
        <v>0</v>
      </c>
      <c r="J26" s="1">
        <f ca="1">(J$14='A&amp;R'!$G$72)*'A&amp;R'!$E$72</f>
        <v>0</v>
      </c>
      <c r="K26" s="1">
        <f ca="1">(K$14='A&amp;R'!$G$72)*'A&amp;R'!$E$72</f>
        <v>0</v>
      </c>
      <c r="L26" s="1">
        <f ca="1">(L$14='A&amp;R'!$G$72)*'A&amp;R'!$E$72</f>
        <v>0</v>
      </c>
      <c r="M26" s="1">
        <f ca="1">(M$14='A&amp;R'!$G$72)*'A&amp;R'!$E$72</f>
        <v>2997.8680304266668</v>
      </c>
      <c r="N26" s="1">
        <f ca="1">(N$14='A&amp;R'!$G$72)*'A&amp;R'!$E$72</f>
        <v>0</v>
      </c>
      <c r="O26" s="1">
        <f ca="1">(O$14='A&amp;R'!$G$72)*'A&amp;R'!$E$72</f>
        <v>0</v>
      </c>
      <c r="P26" s="1">
        <f ca="1">(P$14='A&amp;R'!$G$72)*'A&amp;R'!$E$72</f>
        <v>0</v>
      </c>
      <c r="Q26" s="1">
        <f ca="1">(Q$14='A&amp;R'!$G$72)*'A&amp;R'!$E$72</f>
        <v>0</v>
      </c>
      <c r="R26" s="1">
        <f ca="1">(R$14='A&amp;R'!$G$72)*'A&amp;R'!$E$72</f>
        <v>0</v>
      </c>
      <c r="S26" s="1">
        <f ca="1">(S$14='A&amp;R'!$G$72)*'A&amp;R'!$E$72</f>
        <v>0</v>
      </c>
      <c r="T26" s="1">
        <f ca="1">(T$14='A&amp;R'!$G$72)*'A&amp;R'!$E$72</f>
        <v>0</v>
      </c>
      <c r="U26" s="1">
        <f ca="1">(U$14='A&amp;R'!$G$72)*'A&amp;R'!$E$72</f>
        <v>0</v>
      </c>
      <c r="V26" s="1">
        <f ca="1">(V$14='A&amp;R'!$G$72)*'A&amp;R'!$E$72</f>
        <v>0</v>
      </c>
      <c r="W26" s="1">
        <f ca="1">(W$14='A&amp;R'!$G$72)*'A&amp;R'!$E$72</f>
        <v>0</v>
      </c>
      <c r="X26" s="1">
        <f ca="1">(X$14='A&amp;R'!$G$72)*'A&amp;R'!$E$72</f>
        <v>0</v>
      </c>
      <c r="Y26" s="1">
        <f ca="1">(Y$14='A&amp;R'!$G$72)*'A&amp;R'!$E$72</f>
        <v>0</v>
      </c>
      <c r="Z26" s="1">
        <f ca="1">(Z$14='A&amp;R'!$G$72)*'A&amp;R'!$E$72</f>
        <v>0</v>
      </c>
      <c r="AA26" s="1">
        <f ca="1">(AA$14='A&amp;R'!$G$72)*'A&amp;R'!$E$72</f>
        <v>0</v>
      </c>
      <c r="AB26" s="1">
        <f ca="1">(AB$14='A&amp;R'!$G$72)*'A&amp;R'!$E$72</f>
        <v>0</v>
      </c>
      <c r="AC26" s="1">
        <f ca="1">(AC$14='A&amp;R'!$G$72)*'A&amp;R'!$E$72</f>
        <v>0</v>
      </c>
      <c r="AD26" s="1">
        <f ca="1">(AD$14='A&amp;R'!$G$72)*'A&amp;R'!$E$72</f>
        <v>0</v>
      </c>
      <c r="AE26" s="1">
        <f ca="1">(AE$14='A&amp;R'!$G$72)*'A&amp;R'!$E$72</f>
        <v>0</v>
      </c>
      <c r="AF26" s="1">
        <f ca="1">(AF$14='A&amp;R'!$G$72)*'A&amp;R'!$E$72</f>
        <v>0</v>
      </c>
      <c r="AG26" s="1">
        <f ca="1">(AG$14='A&amp;R'!$G$72)*'A&amp;R'!$E$72</f>
        <v>0</v>
      </c>
      <c r="AH26" s="1">
        <f ca="1">(AH$14='A&amp;R'!$G$72)*'A&amp;R'!$E$72</f>
        <v>0</v>
      </c>
      <c r="AI26" s="1">
        <f ca="1">(AI$14='A&amp;R'!$G$72)*'A&amp;R'!$E$72</f>
        <v>0</v>
      </c>
      <c r="AJ26" s="1">
        <f ca="1">(AJ$14='A&amp;R'!$G$72)*'A&amp;R'!$E$72</f>
        <v>0</v>
      </c>
      <c r="AK26" s="1">
        <f ca="1">(AK$14='A&amp;R'!$G$72)*'A&amp;R'!$E$72</f>
        <v>0</v>
      </c>
      <c r="AL26" s="1">
        <f ca="1">(AL$14='A&amp;R'!$G$72)*'A&amp;R'!$E$72</f>
        <v>0</v>
      </c>
      <c r="AM26" s="1">
        <f ca="1">(AM$14='A&amp;R'!$G$72)*'A&amp;R'!$E$72</f>
        <v>0</v>
      </c>
      <c r="AN26" s="1">
        <f ca="1">(AN$14='A&amp;R'!$G$72)*'A&amp;R'!$E$72</f>
        <v>0</v>
      </c>
      <c r="AO26" s="1">
        <f ca="1">(AO$14='A&amp;R'!$G$72)*'A&amp;R'!$E$72</f>
        <v>0</v>
      </c>
      <c r="AP26" s="1">
        <f ca="1">(AP$14='A&amp;R'!$G$72)*'A&amp;R'!$E$72</f>
        <v>0</v>
      </c>
      <c r="AQ26" s="1">
        <f ca="1">(AQ$14='A&amp;R'!$G$72)*'A&amp;R'!$E$72</f>
        <v>0</v>
      </c>
      <c r="AR26" s="1">
        <f ca="1">(AR$14='A&amp;R'!$G$72)*'A&amp;R'!$E$72</f>
        <v>0</v>
      </c>
      <c r="AS26" s="1">
        <f ca="1">(AS$14='A&amp;R'!$G$72)*'A&amp;R'!$E$72</f>
        <v>0</v>
      </c>
      <c r="AT26" s="1">
        <f ca="1">(AT$14='A&amp;R'!$G$72)*'A&amp;R'!$E$72</f>
        <v>0</v>
      </c>
      <c r="AU26" s="1">
        <f ca="1">(AU$14='A&amp;R'!$G$72)*'A&amp;R'!$E$72</f>
        <v>0</v>
      </c>
      <c r="AV26" s="1">
        <f ca="1">(AV$14='A&amp;R'!$G$72)*'A&amp;R'!$E$72</f>
        <v>0</v>
      </c>
      <c r="AW26" s="1">
        <f ca="1">(AW$14='A&amp;R'!$G$72)*'A&amp;R'!$E$72</f>
        <v>0</v>
      </c>
      <c r="AX26" s="1">
        <f ca="1">(AX$14='A&amp;R'!$G$72)*'A&amp;R'!$E$72</f>
        <v>0</v>
      </c>
      <c r="AY26" s="1">
        <f ca="1">(AY$14='A&amp;R'!$G$72)*'A&amp;R'!$E$72</f>
        <v>0</v>
      </c>
      <c r="AZ26" s="1">
        <f ca="1">(AZ$14='A&amp;R'!$G$72)*'A&amp;R'!$E$72</f>
        <v>0</v>
      </c>
      <c r="BA26" s="1">
        <f ca="1">(BA$14='A&amp;R'!$G$72)*'A&amp;R'!$E$72</f>
        <v>0</v>
      </c>
      <c r="BB26" s="1">
        <f ca="1">(BB$14='A&amp;R'!$G$72)*'A&amp;R'!$E$72</f>
        <v>0</v>
      </c>
      <c r="BC26" s="1">
        <f ca="1">(BC$14='A&amp;R'!$G$72)*'A&amp;R'!$E$72</f>
        <v>0</v>
      </c>
      <c r="BD26" s="1">
        <f ca="1">(BD$14='A&amp;R'!$G$72)*'A&amp;R'!$E$72</f>
        <v>0</v>
      </c>
      <c r="BE26" s="1">
        <f ca="1">(BE$14='A&amp;R'!$G$72)*'A&amp;R'!$E$72</f>
        <v>0</v>
      </c>
      <c r="BF26" s="1">
        <f ca="1">(BF$14='A&amp;R'!$G$72)*'A&amp;R'!$E$72</f>
        <v>0</v>
      </c>
      <c r="BG26" s="1">
        <f ca="1">(BG$14='A&amp;R'!$G$72)*'A&amp;R'!$E$72</f>
        <v>0</v>
      </c>
      <c r="BH26" s="1">
        <f ca="1">(BH$14='A&amp;R'!$G$72)*'A&amp;R'!$E$72</f>
        <v>0</v>
      </c>
      <c r="BI26" s="1">
        <f ca="1">(BI$14='A&amp;R'!$G$72)*'A&amp;R'!$E$72</f>
        <v>0</v>
      </c>
      <c r="BJ26" s="1">
        <f ca="1">(BJ$14='A&amp;R'!$G$72)*'A&amp;R'!$E$72</f>
        <v>0</v>
      </c>
      <c r="BK26" s="1">
        <f ca="1">(BK$14='A&amp;R'!$G$72)*'A&amp;R'!$E$72</f>
        <v>0</v>
      </c>
      <c r="BL26" s="1">
        <f ca="1">(BL$14='A&amp;R'!$G$72)*'A&amp;R'!$E$72</f>
        <v>0</v>
      </c>
      <c r="BM26" s="1">
        <f ca="1">(BM$14='A&amp;R'!$G$72)*'A&amp;R'!$E$72</f>
        <v>0</v>
      </c>
      <c r="BN26" s="1">
        <f ca="1">(BN$14='A&amp;R'!$G$72)*'A&amp;R'!$E$72</f>
        <v>0</v>
      </c>
      <c r="BO26" s="1">
        <f ca="1">(BO$14='A&amp;R'!$G$72)*'A&amp;R'!$E$72</f>
        <v>0</v>
      </c>
      <c r="BP26" s="1">
        <f ca="1">(BP$14='A&amp;R'!$G$72)*'A&amp;R'!$E$72</f>
        <v>0</v>
      </c>
      <c r="BQ26" s="1">
        <f ca="1">(BQ$14='A&amp;R'!$G$72)*'A&amp;R'!$E$72</f>
        <v>0</v>
      </c>
      <c r="BR26" s="1">
        <f ca="1">(BR$14='A&amp;R'!$G$72)*'A&amp;R'!$E$72</f>
        <v>0</v>
      </c>
      <c r="BS26" s="1">
        <f ca="1">(BS$14='A&amp;R'!$G$72)*'A&amp;R'!$E$72</f>
        <v>0</v>
      </c>
      <c r="BT26" s="1">
        <f ca="1">(BT$14='A&amp;R'!$G$72)*'A&amp;R'!$E$72</f>
        <v>0</v>
      </c>
      <c r="BU26" s="1">
        <f ca="1">(BU$14='A&amp;R'!$G$72)*'A&amp;R'!$E$72</f>
        <v>0</v>
      </c>
      <c r="BV26" s="1">
        <f ca="1">(BV$14='A&amp;R'!$G$72)*'A&amp;R'!$E$72</f>
        <v>0</v>
      </c>
      <c r="BW26" s="1">
        <f ca="1">(BW$14='A&amp;R'!$G$72)*'A&amp;R'!$E$72</f>
        <v>0</v>
      </c>
      <c r="BX26" s="1">
        <f ca="1">(BX$14='A&amp;R'!$G$72)*'A&amp;R'!$E$72</f>
        <v>0</v>
      </c>
      <c r="BY26" s="1">
        <f ca="1">(BY$14='A&amp;R'!$G$72)*'A&amp;R'!$E$72</f>
        <v>0</v>
      </c>
    </row>
    <row r="27" spans="2:77" ht="13.5" customHeight="1">
      <c r="C27" s="1" t="s">
        <v>369</v>
      </c>
      <c r="F27" s="1">
        <f t="shared" si="17"/>
        <v>-60</v>
      </c>
      <c r="H27" s="1">
        <f>운영비용!H80*-1</f>
        <v>0</v>
      </c>
      <c r="I27" s="1">
        <f>운영비용!I80*-1</f>
        <v>-1</v>
      </c>
      <c r="J27" s="1">
        <f>운영비용!J80*-1</f>
        <v>-1</v>
      </c>
      <c r="K27" s="1">
        <f>운영비용!K80*-1</f>
        <v>-1</v>
      </c>
      <c r="L27" s="1">
        <f>운영비용!L80*-1</f>
        <v>-1</v>
      </c>
      <c r="M27" s="1">
        <f>운영비용!M80*-1</f>
        <v>-1</v>
      </c>
      <c r="N27" s="1">
        <f>운영비용!N80*-1</f>
        <v>-1</v>
      </c>
      <c r="O27" s="1">
        <f>운영비용!O80*-1</f>
        <v>-1</v>
      </c>
      <c r="P27" s="1">
        <f>운영비용!P80*-1</f>
        <v>-1</v>
      </c>
      <c r="Q27" s="1">
        <f>운영비용!Q80*-1</f>
        <v>-1</v>
      </c>
      <c r="R27" s="1">
        <f>운영비용!R80*-1</f>
        <v>-1</v>
      </c>
      <c r="S27" s="1">
        <f>운영비용!S80*-1</f>
        <v>-1</v>
      </c>
      <c r="T27" s="1">
        <f>운영비용!T80*-1</f>
        <v>-1</v>
      </c>
      <c r="U27" s="1">
        <f>운영비용!U80*-1</f>
        <v>-1</v>
      </c>
      <c r="V27" s="1">
        <f>운영비용!V80*-1</f>
        <v>-1</v>
      </c>
      <c r="W27" s="1">
        <f>운영비용!W80*-1</f>
        <v>-1</v>
      </c>
      <c r="X27" s="1">
        <f>운영비용!X80*-1</f>
        <v>-1</v>
      </c>
      <c r="Y27" s="1">
        <f>운영비용!Y80*-1</f>
        <v>-1</v>
      </c>
      <c r="Z27" s="1">
        <f>운영비용!Z80*-1</f>
        <v>-1</v>
      </c>
      <c r="AA27" s="1">
        <f>운영비용!AA80*-1</f>
        <v>-1</v>
      </c>
      <c r="AB27" s="1">
        <f>운영비용!AB80*-1</f>
        <v>-1</v>
      </c>
      <c r="AC27" s="1">
        <f>운영비용!AC80*-1</f>
        <v>-1</v>
      </c>
      <c r="AD27" s="1">
        <f>운영비용!AD80*-1</f>
        <v>-1</v>
      </c>
      <c r="AE27" s="1">
        <f>운영비용!AE80*-1</f>
        <v>-1</v>
      </c>
      <c r="AF27" s="1">
        <f>운영비용!AF80*-1</f>
        <v>-1</v>
      </c>
      <c r="AG27" s="1">
        <f>운영비용!AG80*-1</f>
        <v>-1</v>
      </c>
      <c r="AH27" s="1">
        <f>운영비용!AH80*-1</f>
        <v>-1</v>
      </c>
      <c r="AI27" s="1">
        <f>운영비용!AI80*-1</f>
        <v>-1</v>
      </c>
      <c r="AJ27" s="1">
        <f>운영비용!AJ80*-1</f>
        <v>-1</v>
      </c>
      <c r="AK27" s="1">
        <f>운영비용!AK80*-1</f>
        <v>-1</v>
      </c>
      <c r="AL27" s="1">
        <f>운영비용!AL80*-1</f>
        <v>-1</v>
      </c>
      <c r="AM27" s="1">
        <f>운영비용!AM80*-1</f>
        <v>-1</v>
      </c>
      <c r="AN27" s="1">
        <f>운영비용!AN80*-1</f>
        <v>-1</v>
      </c>
      <c r="AO27" s="1">
        <f>운영비용!AO80*-1</f>
        <v>-1</v>
      </c>
      <c r="AP27" s="1">
        <f>운영비용!AP80*-1</f>
        <v>-1</v>
      </c>
      <c r="AQ27" s="1">
        <f>운영비용!AQ80*-1</f>
        <v>-1</v>
      </c>
      <c r="AR27" s="1">
        <f>운영비용!AR80*-1</f>
        <v>-1</v>
      </c>
      <c r="AS27" s="1">
        <f>운영비용!AS80*-1</f>
        <v>-1</v>
      </c>
      <c r="AT27" s="1">
        <f>운영비용!AT80*-1</f>
        <v>-1</v>
      </c>
      <c r="AU27" s="1">
        <f>운영비용!AU80*-1</f>
        <v>-1</v>
      </c>
      <c r="AV27" s="1">
        <f>운영비용!AV80*-1</f>
        <v>-1</v>
      </c>
      <c r="AW27" s="1">
        <f>운영비용!AW80*-1</f>
        <v>-1</v>
      </c>
      <c r="AX27" s="1">
        <f>운영비용!AX80*-1</f>
        <v>-1</v>
      </c>
      <c r="AY27" s="1">
        <f>운영비용!AY80*-1</f>
        <v>-1</v>
      </c>
      <c r="AZ27" s="1">
        <f>운영비용!AZ80*-1</f>
        <v>-1</v>
      </c>
      <c r="BA27" s="1">
        <f>운영비용!BA80*-1</f>
        <v>-1</v>
      </c>
      <c r="BB27" s="1">
        <f>운영비용!BB80*-1</f>
        <v>-1</v>
      </c>
      <c r="BC27" s="1">
        <f>운영비용!BC80*-1</f>
        <v>-1</v>
      </c>
      <c r="BD27" s="1">
        <f>운영비용!BD80*-1</f>
        <v>-1</v>
      </c>
      <c r="BE27" s="1">
        <f>운영비용!BE80*-1</f>
        <v>-1</v>
      </c>
      <c r="BF27" s="1">
        <f>운영비용!BF80*-1</f>
        <v>-1</v>
      </c>
      <c r="BG27" s="1">
        <f>운영비용!BG80*-1</f>
        <v>-1</v>
      </c>
      <c r="BH27" s="1">
        <f>운영비용!BH80*-1</f>
        <v>-1</v>
      </c>
      <c r="BI27" s="1">
        <f>운영비용!BI80*-1</f>
        <v>-1</v>
      </c>
      <c r="BJ27" s="1">
        <f>운영비용!BJ80*-1</f>
        <v>-1</v>
      </c>
      <c r="BK27" s="1">
        <f>운영비용!BK80*-1</f>
        <v>-1</v>
      </c>
      <c r="BL27" s="1">
        <f>운영비용!BL80*-1</f>
        <v>-1</v>
      </c>
      <c r="BM27" s="1">
        <f>운영비용!BM80*-1</f>
        <v>-1</v>
      </c>
      <c r="BN27" s="1">
        <f>운영비용!BN80*-1</f>
        <v>-1</v>
      </c>
      <c r="BO27" s="1">
        <f>운영비용!BO80*-1</f>
        <v>-1</v>
      </c>
      <c r="BP27" s="1">
        <f>운영비용!BP80*-1</f>
        <v>-1</v>
      </c>
      <c r="BQ27" s="1">
        <f>운영비용!BQ80*-1</f>
        <v>0</v>
      </c>
      <c r="BR27" s="1">
        <f>운영비용!BR80*-1</f>
        <v>0</v>
      </c>
      <c r="BS27" s="1">
        <f>운영비용!BS80*-1</f>
        <v>0</v>
      </c>
      <c r="BT27" s="1">
        <f>운영비용!BT80*-1</f>
        <v>0</v>
      </c>
      <c r="BU27" s="1">
        <f>운영비용!BU80*-1</f>
        <v>0</v>
      </c>
      <c r="BV27" s="1">
        <f>운영비용!BV80*-1</f>
        <v>0</v>
      </c>
      <c r="BW27" s="1">
        <f>운영비용!BW80*-1</f>
        <v>0</v>
      </c>
      <c r="BX27" s="1">
        <f>운영비용!BX80*-1</f>
        <v>0</v>
      </c>
      <c r="BY27" s="1">
        <f>운영비용!BY80*-1</f>
        <v>0</v>
      </c>
    </row>
    <row r="28" spans="2:77" ht="13.5" customHeight="1">
      <c r="C28" s="1" t="s">
        <v>370</v>
      </c>
      <c r="F28" s="1">
        <f t="shared" ca="1" si="17"/>
        <v>52450.741025376243</v>
      </c>
      <c r="H28" s="1">
        <f ca="1">(H14=exit)*'A&amp;R'!$AC$83</f>
        <v>0</v>
      </c>
      <c r="I28" s="1">
        <f ca="1">(I14=exit)*'A&amp;R'!$AC$83</f>
        <v>0</v>
      </c>
      <c r="J28" s="1">
        <f ca="1">(J14=exit)*'A&amp;R'!$AC$83</f>
        <v>0</v>
      </c>
      <c r="K28" s="1">
        <f ca="1">(K14=exit)*'A&amp;R'!$AC$83</f>
        <v>0</v>
      </c>
      <c r="L28" s="1">
        <f ca="1">(L14=exit)*'A&amp;R'!$AC$83</f>
        <v>0</v>
      </c>
      <c r="M28" s="1">
        <f ca="1">(M14=exit)*'A&amp;R'!$AC$83</f>
        <v>0</v>
      </c>
      <c r="N28" s="1">
        <f ca="1">(N14=exit)*'A&amp;R'!$AC$83</f>
        <v>0</v>
      </c>
      <c r="O28" s="1">
        <f ca="1">(O14=exit)*'A&amp;R'!$AC$83</f>
        <v>0</v>
      </c>
      <c r="P28" s="1">
        <f ca="1">(P14=exit)*'A&amp;R'!$AC$83</f>
        <v>0</v>
      </c>
      <c r="Q28" s="1">
        <f ca="1">(Q14=exit)*'A&amp;R'!$AC$83</f>
        <v>0</v>
      </c>
      <c r="R28" s="1">
        <f ca="1">(R14=exit)*'A&amp;R'!$AC$83</f>
        <v>0</v>
      </c>
      <c r="S28" s="1">
        <f ca="1">(S14=exit)*'A&amp;R'!$AC$83</f>
        <v>0</v>
      </c>
      <c r="T28" s="1">
        <f ca="1">(T14=exit)*'A&amp;R'!$AC$83</f>
        <v>0</v>
      </c>
      <c r="U28" s="1">
        <f ca="1">(U14=exit)*'A&amp;R'!$AC$83</f>
        <v>0</v>
      </c>
      <c r="V28" s="1">
        <f ca="1">(V14=exit)*'A&amp;R'!$AC$83</f>
        <v>0</v>
      </c>
      <c r="W28" s="1">
        <f ca="1">(W14=exit)*'A&amp;R'!$AC$83</f>
        <v>0</v>
      </c>
      <c r="X28" s="1">
        <f ca="1">(X14=exit)*'A&amp;R'!$AC$83</f>
        <v>0</v>
      </c>
      <c r="Y28" s="1">
        <f ca="1">(Y14=exit)*'A&amp;R'!$AC$83</f>
        <v>0</v>
      </c>
      <c r="Z28" s="1">
        <f ca="1">(Z14=exit)*'A&amp;R'!$AC$83</f>
        <v>0</v>
      </c>
      <c r="AA28" s="1">
        <f ca="1">(AA14=exit)*'A&amp;R'!$AC$83</f>
        <v>0</v>
      </c>
      <c r="AB28" s="1">
        <f ca="1">(AB14=exit)*'A&amp;R'!$AC$83</f>
        <v>0</v>
      </c>
      <c r="AC28" s="1">
        <f ca="1">(AC14=exit)*'A&amp;R'!$AC$83</f>
        <v>0</v>
      </c>
      <c r="AD28" s="1">
        <f ca="1">(AD14=exit)*'A&amp;R'!$AC$83</f>
        <v>0</v>
      </c>
      <c r="AE28" s="1">
        <f ca="1">(AE14=exit)*'A&amp;R'!$AC$83</f>
        <v>0</v>
      </c>
      <c r="AF28" s="1">
        <f ca="1">(AF14=exit)*'A&amp;R'!$AC$83</f>
        <v>0</v>
      </c>
      <c r="AG28" s="1">
        <f ca="1">(AG14=exit)*'A&amp;R'!$AC$83</f>
        <v>0</v>
      </c>
      <c r="AH28" s="1">
        <f ca="1">(AH14=exit)*'A&amp;R'!$AC$83</f>
        <v>0</v>
      </c>
      <c r="AI28" s="1">
        <f ca="1">(AI14=exit)*'A&amp;R'!$AC$83</f>
        <v>0</v>
      </c>
      <c r="AJ28" s="1">
        <f ca="1">(AJ14=exit)*'A&amp;R'!$AC$83</f>
        <v>0</v>
      </c>
      <c r="AK28" s="1">
        <f ca="1">(AK14=exit)*'A&amp;R'!$AC$83</f>
        <v>0</v>
      </c>
      <c r="AL28" s="1">
        <f ca="1">(AL14=exit)*'A&amp;R'!$AC$83</f>
        <v>0</v>
      </c>
      <c r="AM28" s="1">
        <f ca="1">(AM14=exit)*'A&amp;R'!$AC$83</f>
        <v>0</v>
      </c>
      <c r="AN28" s="1">
        <f ca="1">(AN14=exit)*'A&amp;R'!$AC$83</f>
        <v>0</v>
      </c>
      <c r="AO28" s="1">
        <f ca="1">(AO14=exit)*'A&amp;R'!$AC$83</f>
        <v>0</v>
      </c>
      <c r="AP28" s="1">
        <f ca="1">(AP14=exit)*'A&amp;R'!$AC$83</f>
        <v>0</v>
      </c>
      <c r="AQ28" s="1">
        <f ca="1">(AQ14=exit)*'A&amp;R'!$AC$83</f>
        <v>0</v>
      </c>
      <c r="AR28" s="1">
        <f ca="1">(AR14=exit)*'A&amp;R'!$AC$83</f>
        <v>0</v>
      </c>
      <c r="AS28" s="1">
        <f ca="1">(AS14=exit)*'A&amp;R'!$AC$83</f>
        <v>0</v>
      </c>
      <c r="AT28" s="1">
        <f ca="1">(AT14=exit)*'A&amp;R'!$AC$83</f>
        <v>0</v>
      </c>
      <c r="AU28" s="1">
        <f ca="1">(AU14=exit)*'A&amp;R'!$AC$83</f>
        <v>0</v>
      </c>
      <c r="AV28" s="1">
        <f ca="1">(AV14=exit)*'A&amp;R'!$AC$83</f>
        <v>0</v>
      </c>
      <c r="AW28" s="1">
        <f ca="1">(AW14=exit)*'A&amp;R'!$AC$83</f>
        <v>0</v>
      </c>
      <c r="AX28" s="1">
        <f ca="1">(AX14=exit)*'A&amp;R'!$AC$83</f>
        <v>0</v>
      </c>
      <c r="AY28" s="1">
        <f ca="1">(AY14=exit)*'A&amp;R'!$AC$83</f>
        <v>0</v>
      </c>
      <c r="AZ28" s="1">
        <f ca="1">(AZ14=exit)*'A&amp;R'!$AC$83</f>
        <v>0</v>
      </c>
      <c r="BA28" s="1">
        <f ca="1">(BA14=exit)*'A&amp;R'!$AC$83</f>
        <v>0</v>
      </c>
      <c r="BB28" s="1">
        <f ca="1">(BB14=exit)*'A&amp;R'!$AC$83</f>
        <v>0</v>
      </c>
      <c r="BC28" s="1">
        <f ca="1">(BC14=exit)*'A&amp;R'!$AC$83</f>
        <v>0</v>
      </c>
      <c r="BD28" s="1">
        <f ca="1">(BD14=exit)*'A&amp;R'!$AC$83</f>
        <v>0</v>
      </c>
      <c r="BE28" s="1">
        <f ca="1">(BE14=exit)*'A&amp;R'!$AC$83</f>
        <v>0</v>
      </c>
      <c r="BF28" s="1">
        <f ca="1">(BF14=exit)*'A&amp;R'!$AC$83</f>
        <v>0</v>
      </c>
      <c r="BG28" s="1">
        <f ca="1">(BG14=exit)*'A&amp;R'!$AC$83</f>
        <v>0</v>
      </c>
      <c r="BH28" s="1">
        <f ca="1">(BH14=exit)*'A&amp;R'!$AC$83</f>
        <v>0</v>
      </c>
      <c r="BI28" s="1">
        <f ca="1">(BI14=exit)*'A&amp;R'!$AC$83</f>
        <v>0</v>
      </c>
      <c r="BJ28" s="1">
        <f ca="1">(BJ14=exit)*'A&amp;R'!$AC$83</f>
        <v>0</v>
      </c>
      <c r="BK28" s="1">
        <f ca="1">(BK14=exit)*'A&amp;R'!$AC$83</f>
        <v>0</v>
      </c>
      <c r="BL28" s="1">
        <f ca="1">(BL14=exit)*'A&amp;R'!$AC$83</f>
        <v>0</v>
      </c>
      <c r="BM28" s="1">
        <f ca="1">(BM14=exit)*'A&amp;R'!$AC$83</f>
        <v>0</v>
      </c>
      <c r="BN28" s="1">
        <f ca="1">(BN14=exit)*'A&amp;R'!$AC$83</f>
        <v>0</v>
      </c>
      <c r="BO28" s="1">
        <f ca="1">(BO14=exit)*'A&amp;R'!$AC$83</f>
        <v>0</v>
      </c>
      <c r="BP28" s="1">
        <f ca="1">(BP14=exit)*'A&amp;R'!$AC$83</f>
        <v>52450.741025376243</v>
      </c>
      <c r="BQ28" s="1">
        <f ca="1">(BQ14=exit)*'A&amp;R'!$AC$83</f>
        <v>0</v>
      </c>
      <c r="BR28" s="1">
        <f ca="1">(BR14=exit)*'A&amp;R'!$AC$83</f>
        <v>0</v>
      </c>
      <c r="BS28" s="1">
        <f ca="1">(BS14=exit)*'A&amp;R'!$AC$83</f>
        <v>0</v>
      </c>
      <c r="BT28" s="1">
        <f ca="1">(BT14=exit)*'A&amp;R'!$AC$83</f>
        <v>0</v>
      </c>
      <c r="BU28" s="1">
        <f ca="1">(BU14=exit)*'A&amp;R'!$AC$83</f>
        <v>0</v>
      </c>
      <c r="BV28" s="1">
        <f ca="1">(BV14=exit)*'A&amp;R'!$AC$83</f>
        <v>0</v>
      </c>
      <c r="BW28" s="1">
        <f ca="1">(BW14=exit)*'A&amp;R'!$AC$83</f>
        <v>0</v>
      </c>
      <c r="BX28" s="1">
        <f ca="1">(BX14=exit)*'A&amp;R'!$AC$83</f>
        <v>0</v>
      </c>
      <c r="BY28" s="1">
        <f ca="1">(BY14=exit)*'A&amp;R'!$AC$83</f>
        <v>0</v>
      </c>
    </row>
    <row r="29" spans="2:77" ht="13.5" customHeight="1">
      <c r="C29" s="44" t="s">
        <v>371</v>
      </c>
      <c r="D29" s="44"/>
      <c r="E29" s="44"/>
      <c r="F29" s="44">
        <f t="shared" ca="1" si="17"/>
        <v>3482.7337618261809</v>
      </c>
      <c r="G29" s="44"/>
      <c r="H29" s="44">
        <f ca="1">SUM(H25:H28)</f>
        <v>-51905.875293976729</v>
      </c>
      <c r="I29" s="44">
        <f t="shared" ref="I29:BT29" ca="1" si="18">SUM(I25:I28)</f>
        <v>-1</v>
      </c>
      <c r="J29" s="44">
        <f t="shared" ca="1" si="18"/>
        <v>-1</v>
      </c>
      <c r="K29" s="44">
        <f t="shared" ca="1" si="18"/>
        <v>-1</v>
      </c>
      <c r="L29" s="44">
        <f t="shared" ca="1" si="18"/>
        <v>-1</v>
      </c>
      <c r="M29" s="44">
        <f t="shared" ca="1" si="18"/>
        <v>2996.8680304266668</v>
      </c>
      <c r="N29" s="44">
        <f t="shared" ca="1" si="18"/>
        <v>-1</v>
      </c>
      <c r="O29" s="44">
        <f t="shared" ca="1" si="18"/>
        <v>-1</v>
      </c>
      <c r="P29" s="44">
        <f t="shared" ca="1" si="18"/>
        <v>-1</v>
      </c>
      <c r="Q29" s="44">
        <f t="shared" ca="1" si="18"/>
        <v>-1</v>
      </c>
      <c r="R29" s="44">
        <f t="shared" ca="1" si="18"/>
        <v>-1</v>
      </c>
      <c r="S29" s="44">
        <f t="shared" ca="1" si="18"/>
        <v>-1</v>
      </c>
      <c r="T29" s="44">
        <f t="shared" ca="1" si="18"/>
        <v>-1</v>
      </c>
      <c r="U29" s="44">
        <f t="shared" ca="1" si="18"/>
        <v>-1</v>
      </c>
      <c r="V29" s="44">
        <f t="shared" ca="1" si="18"/>
        <v>-1</v>
      </c>
      <c r="W29" s="44">
        <f t="shared" ca="1" si="18"/>
        <v>-1</v>
      </c>
      <c r="X29" s="44">
        <f t="shared" ca="1" si="18"/>
        <v>-1</v>
      </c>
      <c r="Y29" s="44">
        <f t="shared" ca="1" si="18"/>
        <v>-1</v>
      </c>
      <c r="Z29" s="44">
        <f t="shared" ca="1" si="18"/>
        <v>-1</v>
      </c>
      <c r="AA29" s="44">
        <f t="shared" ca="1" si="18"/>
        <v>-1</v>
      </c>
      <c r="AB29" s="44">
        <f t="shared" ca="1" si="18"/>
        <v>-1</v>
      </c>
      <c r="AC29" s="44">
        <f t="shared" ca="1" si="18"/>
        <v>-1</v>
      </c>
      <c r="AD29" s="44">
        <f t="shared" ca="1" si="18"/>
        <v>-1</v>
      </c>
      <c r="AE29" s="44">
        <f t="shared" ca="1" si="18"/>
        <v>-1</v>
      </c>
      <c r="AF29" s="44">
        <f t="shared" ca="1" si="18"/>
        <v>-1</v>
      </c>
      <c r="AG29" s="44">
        <f t="shared" ca="1" si="18"/>
        <v>-1</v>
      </c>
      <c r="AH29" s="44">
        <f t="shared" ca="1" si="18"/>
        <v>-1</v>
      </c>
      <c r="AI29" s="44">
        <f t="shared" ca="1" si="18"/>
        <v>-1</v>
      </c>
      <c r="AJ29" s="44">
        <f t="shared" ca="1" si="18"/>
        <v>-1</v>
      </c>
      <c r="AK29" s="44">
        <f t="shared" ca="1" si="18"/>
        <v>-1</v>
      </c>
      <c r="AL29" s="44">
        <f t="shared" ca="1" si="18"/>
        <v>-1</v>
      </c>
      <c r="AM29" s="44">
        <f t="shared" ca="1" si="18"/>
        <v>-1</v>
      </c>
      <c r="AN29" s="44">
        <f t="shared" ca="1" si="18"/>
        <v>-1</v>
      </c>
      <c r="AO29" s="44">
        <f t="shared" ca="1" si="18"/>
        <v>-1</v>
      </c>
      <c r="AP29" s="44">
        <f t="shared" ca="1" si="18"/>
        <v>-1</v>
      </c>
      <c r="AQ29" s="44">
        <f t="shared" ca="1" si="18"/>
        <v>-1</v>
      </c>
      <c r="AR29" s="44">
        <f t="shared" ca="1" si="18"/>
        <v>-1</v>
      </c>
      <c r="AS29" s="44">
        <f t="shared" ca="1" si="18"/>
        <v>-1</v>
      </c>
      <c r="AT29" s="44">
        <f t="shared" ca="1" si="18"/>
        <v>-1</v>
      </c>
      <c r="AU29" s="44">
        <f t="shared" ca="1" si="18"/>
        <v>-1</v>
      </c>
      <c r="AV29" s="44">
        <f t="shared" ca="1" si="18"/>
        <v>-1</v>
      </c>
      <c r="AW29" s="44">
        <f t="shared" ca="1" si="18"/>
        <v>-1</v>
      </c>
      <c r="AX29" s="44">
        <f t="shared" ca="1" si="18"/>
        <v>-1</v>
      </c>
      <c r="AY29" s="44">
        <f t="shared" ca="1" si="18"/>
        <v>-1</v>
      </c>
      <c r="AZ29" s="44">
        <f t="shared" ca="1" si="18"/>
        <v>-1</v>
      </c>
      <c r="BA29" s="44">
        <f t="shared" ca="1" si="18"/>
        <v>-1</v>
      </c>
      <c r="BB29" s="44">
        <f t="shared" ca="1" si="18"/>
        <v>-1</v>
      </c>
      <c r="BC29" s="44">
        <f t="shared" ca="1" si="18"/>
        <v>-1</v>
      </c>
      <c r="BD29" s="44">
        <f t="shared" ca="1" si="18"/>
        <v>-1</v>
      </c>
      <c r="BE29" s="44">
        <f t="shared" ca="1" si="18"/>
        <v>-1</v>
      </c>
      <c r="BF29" s="44">
        <f t="shared" ca="1" si="18"/>
        <v>-1</v>
      </c>
      <c r="BG29" s="44">
        <f t="shared" ca="1" si="18"/>
        <v>-1</v>
      </c>
      <c r="BH29" s="44">
        <f t="shared" ca="1" si="18"/>
        <v>-1</v>
      </c>
      <c r="BI29" s="44">
        <f t="shared" ca="1" si="18"/>
        <v>-1</v>
      </c>
      <c r="BJ29" s="44">
        <f t="shared" ca="1" si="18"/>
        <v>-1</v>
      </c>
      <c r="BK29" s="44">
        <f t="shared" ca="1" si="18"/>
        <v>-1</v>
      </c>
      <c r="BL29" s="44">
        <f t="shared" ca="1" si="18"/>
        <v>-1</v>
      </c>
      <c r="BM29" s="44">
        <f t="shared" ca="1" si="18"/>
        <v>-1</v>
      </c>
      <c r="BN29" s="44">
        <f t="shared" ca="1" si="18"/>
        <v>-1</v>
      </c>
      <c r="BO29" s="44">
        <f t="shared" ca="1" si="18"/>
        <v>-1</v>
      </c>
      <c r="BP29" s="44">
        <f t="shared" ca="1" si="18"/>
        <v>52449.741025376243</v>
      </c>
      <c r="BQ29" s="44">
        <f t="shared" ca="1" si="18"/>
        <v>0</v>
      </c>
      <c r="BR29" s="44">
        <f t="shared" ca="1" si="18"/>
        <v>0</v>
      </c>
      <c r="BS29" s="44">
        <f t="shared" ca="1" si="18"/>
        <v>0</v>
      </c>
      <c r="BT29" s="44">
        <f t="shared" ca="1" si="18"/>
        <v>0</v>
      </c>
      <c r="BU29" s="44">
        <f t="shared" ref="BU29:BY29" ca="1" si="19">SUM(BU25:BU28)</f>
        <v>0</v>
      </c>
      <c r="BV29" s="44">
        <f t="shared" ca="1" si="19"/>
        <v>0</v>
      </c>
      <c r="BW29" s="44">
        <f t="shared" ca="1" si="19"/>
        <v>0</v>
      </c>
      <c r="BX29" s="44">
        <f t="shared" ca="1" si="19"/>
        <v>0</v>
      </c>
      <c r="BY29" s="44">
        <f t="shared" ca="1" si="19"/>
        <v>0</v>
      </c>
    </row>
    <row r="31" spans="2:77" ht="13.5" customHeight="1">
      <c r="B31" s="1" t="s">
        <v>372</v>
      </c>
    </row>
    <row r="32" spans="2:77" ht="13.5" customHeight="1">
      <c r="C32" s="1" t="s">
        <v>373</v>
      </c>
    </row>
    <row r="33" spans="3:77" ht="13.5" customHeight="1">
      <c r="D33" s="30" t="str">
        <f>'A&amp;R'!C76</f>
        <v>보통주</v>
      </c>
      <c r="E33" s="41"/>
      <c r="F33" s="41">
        <f>SUM(G33:XFD33)</f>
        <v>5000</v>
      </c>
      <c r="G33" s="41"/>
      <c r="H33" s="41">
        <f>(H$14='A&amp;R'!$F76)*'A&amp;R'!$E76</f>
        <v>5000</v>
      </c>
      <c r="I33" s="41">
        <f>(I$14='A&amp;R'!$F76)*'A&amp;R'!$E76</f>
        <v>0</v>
      </c>
      <c r="J33" s="41">
        <f>(J$14='A&amp;R'!$F76)*'A&amp;R'!$E76</f>
        <v>0</v>
      </c>
      <c r="K33" s="41">
        <f>(K$14='A&amp;R'!$F76)*'A&amp;R'!$E76</f>
        <v>0</v>
      </c>
      <c r="L33" s="41">
        <f>(L$14='A&amp;R'!$F76)*'A&amp;R'!$E76</f>
        <v>0</v>
      </c>
      <c r="M33" s="41">
        <f>(M$14='A&amp;R'!$F76)*'A&amp;R'!$E76</f>
        <v>0</v>
      </c>
      <c r="N33" s="41">
        <f>(N$14='A&amp;R'!$F76)*'A&amp;R'!$E76</f>
        <v>0</v>
      </c>
      <c r="O33" s="41">
        <f>(O$14='A&amp;R'!$F76)*'A&amp;R'!$E76</f>
        <v>0</v>
      </c>
      <c r="P33" s="41">
        <f>(P$14='A&amp;R'!$F76)*'A&amp;R'!$E76</f>
        <v>0</v>
      </c>
      <c r="Q33" s="41">
        <f>(Q$14='A&amp;R'!$F76)*'A&amp;R'!$E76</f>
        <v>0</v>
      </c>
      <c r="R33" s="41">
        <f>(R$14='A&amp;R'!$F76)*'A&amp;R'!$E76</f>
        <v>0</v>
      </c>
      <c r="S33" s="41">
        <f>(S$14='A&amp;R'!$F76)*'A&amp;R'!$E76</f>
        <v>0</v>
      </c>
      <c r="T33" s="41">
        <f>(T$14='A&amp;R'!$F76)*'A&amp;R'!$E76</f>
        <v>0</v>
      </c>
      <c r="U33" s="41">
        <f>(U$14='A&amp;R'!$F76)*'A&amp;R'!$E76</f>
        <v>0</v>
      </c>
      <c r="V33" s="41">
        <f>(V$14='A&amp;R'!$F76)*'A&amp;R'!$E76</f>
        <v>0</v>
      </c>
      <c r="W33" s="41">
        <f>(W$14='A&amp;R'!$F76)*'A&amp;R'!$E76</f>
        <v>0</v>
      </c>
      <c r="X33" s="41">
        <f>(X$14='A&amp;R'!$F76)*'A&amp;R'!$E76</f>
        <v>0</v>
      </c>
      <c r="Y33" s="41">
        <f>(Y$14='A&amp;R'!$F76)*'A&amp;R'!$E76</f>
        <v>0</v>
      </c>
      <c r="Z33" s="41">
        <f>(Z$14='A&amp;R'!$F76)*'A&amp;R'!$E76</f>
        <v>0</v>
      </c>
      <c r="AA33" s="41">
        <f>(AA$14='A&amp;R'!$F76)*'A&amp;R'!$E76</f>
        <v>0</v>
      </c>
      <c r="AB33" s="41">
        <f>(AB$14='A&amp;R'!$F76)*'A&amp;R'!$E76</f>
        <v>0</v>
      </c>
      <c r="AC33" s="41">
        <f>(AC$14='A&amp;R'!$F76)*'A&amp;R'!$E76</f>
        <v>0</v>
      </c>
      <c r="AD33" s="41">
        <f>(AD$14='A&amp;R'!$F76)*'A&amp;R'!$E76</f>
        <v>0</v>
      </c>
      <c r="AE33" s="41">
        <f>(AE$14='A&amp;R'!$F76)*'A&amp;R'!$E76</f>
        <v>0</v>
      </c>
      <c r="AF33" s="41">
        <f>(AF$14='A&amp;R'!$F76)*'A&amp;R'!$E76</f>
        <v>0</v>
      </c>
      <c r="AG33" s="41">
        <f>(AG$14='A&amp;R'!$F76)*'A&amp;R'!$E76</f>
        <v>0</v>
      </c>
      <c r="AH33" s="41">
        <f>(AH$14='A&amp;R'!$F76)*'A&amp;R'!$E76</f>
        <v>0</v>
      </c>
      <c r="AI33" s="41">
        <f>(AI$14='A&amp;R'!$F76)*'A&amp;R'!$E76</f>
        <v>0</v>
      </c>
      <c r="AJ33" s="41">
        <f>(AJ$14='A&amp;R'!$F76)*'A&amp;R'!$E76</f>
        <v>0</v>
      </c>
      <c r="AK33" s="41">
        <f>(AK$14='A&amp;R'!$F76)*'A&amp;R'!$E76</f>
        <v>0</v>
      </c>
      <c r="AL33" s="41">
        <f>(AL$14='A&amp;R'!$F76)*'A&amp;R'!$E76</f>
        <v>0</v>
      </c>
      <c r="AM33" s="41">
        <f>(AM$14='A&amp;R'!$F76)*'A&amp;R'!$E76</f>
        <v>0</v>
      </c>
      <c r="AN33" s="41">
        <f>(AN$14='A&amp;R'!$F76)*'A&amp;R'!$E76</f>
        <v>0</v>
      </c>
      <c r="AO33" s="41">
        <f>(AO$14='A&amp;R'!$F76)*'A&amp;R'!$E76</f>
        <v>0</v>
      </c>
      <c r="AP33" s="41">
        <f>(AP$14='A&amp;R'!$F76)*'A&amp;R'!$E76</f>
        <v>0</v>
      </c>
      <c r="AQ33" s="41">
        <f>(AQ$14='A&amp;R'!$F76)*'A&amp;R'!$E76</f>
        <v>0</v>
      </c>
      <c r="AR33" s="41">
        <f>(AR$14='A&amp;R'!$F76)*'A&amp;R'!$E76</f>
        <v>0</v>
      </c>
      <c r="AS33" s="41">
        <f>(AS$14='A&amp;R'!$F76)*'A&amp;R'!$E76</f>
        <v>0</v>
      </c>
      <c r="AT33" s="41">
        <f>(AT$14='A&amp;R'!$F76)*'A&amp;R'!$E76</f>
        <v>0</v>
      </c>
      <c r="AU33" s="41">
        <f>(AU$14='A&amp;R'!$F76)*'A&amp;R'!$E76</f>
        <v>0</v>
      </c>
      <c r="AV33" s="41">
        <f>(AV$14='A&amp;R'!$F76)*'A&amp;R'!$E76</f>
        <v>0</v>
      </c>
      <c r="AW33" s="41">
        <f>(AW$14='A&amp;R'!$F76)*'A&amp;R'!$E76</f>
        <v>0</v>
      </c>
      <c r="AX33" s="41">
        <f>(AX$14='A&amp;R'!$F76)*'A&amp;R'!$E76</f>
        <v>0</v>
      </c>
      <c r="AY33" s="41">
        <f>(AY$14='A&amp;R'!$F76)*'A&amp;R'!$E76</f>
        <v>0</v>
      </c>
      <c r="AZ33" s="41">
        <f>(AZ$14='A&amp;R'!$F76)*'A&amp;R'!$E76</f>
        <v>0</v>
      </c>
      <c r="BA33" s="41">
        <f>(BA$14='A&amp;R'!$F76)*'A&amp;R'!$E76</f>
        <v>0</v>
      </c>
      <c r="BB33" s="41">
        <f>(BB$14='A&amp;R'!$F76)*'A&amp;R'!$E76</f>
        <v>0</v>
      </c>
      <c r="BC33" s="41">
        <f>(BC$14='A&amp;R'!$F76)*'A&amp;R'!$E76</f>
        <v>0</v>
      </c>
      <c r="BD33" s="41">
        <f>(BD$14='A&amp;R'!$F76)*'A&amp;R'!$E76</f>
        <v>0</v>
      </c>
      <c r="BE33" s="41">
        <f>(BE$14='A&amp;R'!$F76)*'A&amp;R'!$E76</f>
        <v>0</v>
      </c>
      <c r="BF33" s="41">
        <f>(BF$14='A&amp;R'!$F76)*'A&amp;R'!$E76</f>
        <v>0</v>
      </c>
      <c r="BG33" s="41">
        <f>(BG$14='A&amp;R'!$F76)*'A&amp;R'!$E76</f>
        <v>0</v>
      </c>
      <c r="BH33" s="41">
        <f>(BH$14='A&amp;R'!$F76)*'A&amp;R'!$E76</f>
        <v>0</v>
      </c>
      <c r="BI33" s="41">
        <f>(BI$14='A&amp;R'!$F76)*'A&amp;R'!$E76</f>
        <v>0</v>
      </c>
      <c r="BJ33" s="41">
        <f>(BJ$14='A&amp;R'!$F76)*'A&amp;R'!$E76</f>
        <v>0</v>
      </c>
      <c r="BK33" s="41">
        <f>(BK$14='A&amp;R'!$F76)*'A&amp;R'!$E76</f>
        <v>0</v>
      </c>
      <c r="BL33" s="41">
        <f>(BL$14='A&amp;R'!$F76)*'A&amp;R'!$E76</f>
        <v>0</v>
      </c>
      <c r="BM33" s="41">
        <f>(BM$14='A&amp;R'!$F76)*'A&amp;R'!$E76</f>
        <v>0</v>
      </c>
      <c r="BN33" s="41">
        <f>(BN$14='A&amp;R'!$F76)*'A&amp;R'!$E76</f>
        <v>0</v>
      </c>
      <c r="BO33" s="41">
        <f>(BO$14='A&amp;R'!$F76)*'A&amp;R'!$E76</f>
        <v>0</v>
      </c>
      <c r="BP33" s="41">
        <f>(BP$14='A&amp;R'!$F76)*'A&amp;R'!$E76</f>
        <v>0</v>
      </c>
      <c r="BQ33" s="41">
        <f>(BQ$14='A&amp;R'!$F76)*'A&amp;R'!$E76</f>
        <v>0</v>
      </c>
      <c r="BR33" s="41">
        <f>(BR$14='A&amp;R'!$F76)*'A&amp;R'!$E76</f>
        <v>0</v>
      </c>
      <c r="BS33" s="41">
        <f>(BS$14='A&amp;R'!$F76)*'A&amp;R'!$E76</f>
        <v>0</v>
      </c>
      <c r="BT33" s="41">
        <f>(BT$14='A&amp;R'!$F76)*'A&amp;R'!$E76</f>
        <v>0</v>
      </c>
      <c r="BU33" s="41">
        <f>(BU$14='A&amp;R'!$F76)*'A&amp;R'!$E76</f>
        <v>0</v>
      </c>
      <c r="BV33" s="41">
        <f>(BV$14='A&amp;R'!$F76)*'A&amp;R'!$E76</f>
        <v>0</v>
      </c>
      <c r="BW33" s="41">
        <f>(BW$14='A&amp;R'!$F76)*'A&amp;R'!$E76</f>
        <v>0</v>
      </c>
      <c r="BX33" s="41">
        <f>(BX$14='A&amp;R'!$F76)*'A&amp;R'!$E76</f>
        <v>0</v>
      </c>
      <c r="BY33" s="41">
        <f>(BY$14='A&amp;R'!$F76)*'A&amp;R'!$E76</f>
        <v>0</v>
      </c>
    </row>
    <row r="34" spans="3:77" ht="13.5" customHeight="1">
      <c r="C34" s="34"/>
      <c r="D34" s="36" t="str">
        <f>'A&amp;R'!C77</f>
        <v>우선주</v>
      </c>
      <c r="E34" s="42"/>
      <c r="F34" s="42">
        <f t="shared" ref="F34" si="20">SUM(G34:XFD34)</f>
        <v>17000</v>
      </c>
      <c r="G34" s="42"/>
      <c r="H34" s="42">
        <f>(H$14='A&amp;R'!$F77)*'A&amp;R'!$E77</f>
        <v>17000</v>
      </c>
      <c r="I34" s="42">
        <f>(I$14='A&amp;R'!$F77)*'A&amp;R'!$E77</f>
        <v>0</v>
      </c>
      <c r="J34" s="42">
        <f>(J$14='A&amp;R'!$F77)*'A&amp;R'!$E77</f>
        <v>0</v>
      </c>
      <c r="K34" s="42">
        <f>(K$14='A&amp;R'!$F77)*'A&amp;R'!$E77</f>
        <v>0</v>
      </c>
      <c r="L34" s="42">
        <f>(L$14='A&amp;R'!$F77)*'A&amp;R'!$E77</f>
        <v>0</v>
      </c>
      <c r="M34" s="42">
        <f>(M$14='A&amp;R'!$F77)*'A&amp;R'!$E77</f>
        <v>0</v>
      </c>
      <c r="N34" s="42">
        <f>(N$14='A&amp;R'!$F77)*'A&amp;R'!$E77</f>
        <v>0</v>
      </c>
      <c r="O34" s="42">
        <f>(O$14='A&amp;R'!$F77)*'A&amp;R'!$E77</f>
        <v>0</v>
      </c>
      <c r="P34" s="42">
        <f>(P$14='A&amp;R'!$F77)*'A&amp;R'!$E77</f>
        <v>0</v>
      </c>
      <c r="Q34" s="42">
        <f>(Q$14='A&amp;R'!$F77)*'A&amp;R'!$E77</f>
        <v>0</v>
      </c>
      <c r="R34" s="42">
        <f>(R$14='A&amp;R'!$F77)*'A&amp;R'!$E77</f>
        <v>0</v>
      </c>
      <c r="S34" s="42">
        <f>(S$14='A&amp;R'!$F77)*'A&amp;R'!$E77</f>
        <v>0</v>
      </c>
      <c r="T34" s="42">
        <f>(T$14='A&amp;R'!$F77)*'A&amp;R'!$E77</f>
        <v>0</v>
      </c>
      <c r="U34" s="42">
        <f>(U$14='A&amp;R'!$F77)*'A&amp;R'!$E77</f>
        <v>0</v>
      </c>
      <c r="V34" s="42">
        <f>(V$14='A&amp;R'!$F77)*'A&amp;R'!$E77</f>
        <v>0</v>
      </c>
      <c r="W34" s="42">
        <f>(W$14='A&amp;R'!$F77)*'A&amp;R'!$E77</f>
        <v>0</v>
      </c>
      <c r="X34" s="42">
        <f>(X$14='A&amp;R'!$F77)*'A&amp;R'!$E77</f>
        <v>0</v>
      </c>
      <c r="Y34" s="42">
        <f>(Y$14='A&amp;R'!$F77)*'A&amp;R'!$E77</f>
        <v>0</v>
      </c>
      <c r="Z34" s="42">
        <f>(Z$14='A&amp;R'!$F77)*'A&amp;R'!$E77</f>
        <v>0</v>
      </c>
      <c r="AA34" s="42">
        <f>(AA$14='A&amp;R'!$F77)*'A&amp;R'!$E77</f>
        <v>0</v>
      </c>
      <c r="AB34" s="42">
        <f>(AB$14='A&amp;R'!$F77)*'A&amp;R'!$E77</f>
        <v>0</v>
      </c>
      <c r="AC34" s="42">
        <f>(AC$14='A&amp;R'!$F77)*'A&amp;R'!$E77</f>
        <v>0</v>
      </c>
      <c r="AD34" s="42">
        <f>(AD$14='A&amp;R'!$F77)*'A&amp;R'!$E77</f>
        <v>0</v>
      </c>
      <c r="AE34" s="42">
        <f>(AE$14='A&amp;R'!$F77)*'A&amp;R'!$E77</f>
        <v>0</v>
      </c>
      <c r="AF34" s="42">
        <f>(AF$14='A&amp;R'!$F77)*'A&amp;R'!$E77</f>
        <v>0</v>
      </c>
      <c r="AG34" s="42">
        <f>(AG$14='A&amp;R'!$F77)*'A&amp;R'!$E77</f>
        <v>0</v>
      </c>
      <c r="AH34" s="42">
        <f>(AH$14='A&amp;R'!$F77)*'A&amp;R'!$E77</f>
        <v>0</v>
      </c>
      <c r="AI34" s="42">
        <f>(AI$14='A&amp;R'!$F77)*'A&amp;R'!$E77</f>
        <v>0</v>
      </c>
      <c r="AJ34" s="42">
        <f>(AJ$14='A&amp;R'!$F77)*'A&amp;R'!$E77</f>
        <v>0</v>
      </c>
      <c r="AK34" s="42">
        <f>(AK$14='A&amp;R'!$F77)*'A&amp;R'!$E77</f>
        <v>0</v>
      </c>
      <c r="AL34" s="42">
        <f>(AL$14='A&amp;R'!$F77)*'A&amp;R'!$E77</f>
        <v>0</v>
      </c>
      <c r="AM34" s="42">
        <f>(AM$14='A&amp;R'!$F77)*'A&amp;R'!$E77</f>
        <v>0</v>
      </c>
      <c r="AN34" s="42">
        <f>(AN$14='A&amp;R'!$F77)*'A&amp;R'!$E77</f>
        <v>0</v>
      </c>
      <c r="AO34" s="42">
        <f>(AO$14='A&amp;R'!$F77)*'A&amp;R'!$E77</f>
        <v>0</v>
      </c>
      <c r="AP34" s="42">
        <f>(AP$14='A&amp;R'!$F77)*'A&amp;R'!$E77</f>
        <v>0</v>
      </c>
      <c r="AQ34" s="42">
        <f>(AQ$14='A&amp;R'!$F77)*'A&amp;R'!$E77</f>
        <v>0</v>
      </c>
      <c r="AR34" s="42">
        <f>(AR$14='A&amp;R'!$F77)*'A&amp;R'!$E77</f>
        <v>0</v>
      </c>
      <c r="AS34" s="42">
        <f>(AS$14='A&amp;R'!$F77)*'A&amp;R'!$E77</f>
        <v>0</v>
      </c>
      <c r="AT34" s="42">
        <f>(AT$14='A&amp;R'!$F77)*'A&amp;R'!$E77</f>
        <v>0</v>
      </c>
      <c r="AU34" s="42">
        <f>(AU$14='A&amp;R'!$F77)*'A&amp;R'!$E77</f>
        <v>0</v>
      </c>
      <c r="AV34" s="42">
        <f>(AV$14='A&amp;R'!$F77)*'A&amp;R'!$E77</f>
        <v>0</v>
      </c>
      <c r="AW34" s="42">
        <f>(AW$14='A&amp;R'!$F77)*'A&amp;R'!$E77</f>
        <v>0</v>
      </c>
      <c r="AX34" s="42">
        <f>(AX$14='A&amp;R'!$F77)*'A&amp;R'!$E77</f>
        <v>0</v>
      </c>
      <c r="AY34" s="42">
        <f>(AY$14='A&amp;R'!$F77)*'A&amp;R'!$E77</f>
        <v>0</v>
      </c>
      <c r="AZ34" s="42">
        <f>(AZ$14='A&amp;R'!$F77)*'A&amp;R'!$E77</f>
        <v>0</v>
      </c>
      <c r="BA34" s="42">
        <f>(BA$14='A&amp;R'!$F77)*'A&amp;R'!$E77</f>
        <v>0</v>
      </c>
      <c r="BB34" s="42">
        <f>(BB$14='A&amp;R'!$F77)*'A&amp;R'!$E77</f>
        <v>0</v>
      </c>
      <c r="BC34" s="42">
        <f>(BC$14='A&amp;R'!$F77)*'A&amp;R'!$E77</f>
        <v>0</v>
      </c>
      <c r="BD34" s="42">
        <f>(BD$14='A&amp;R'!$F77)*'A&amp;R'!$E77</f>
        <v>0</v>
      </c>
      <c r="BE34" s="42">
        <f>(BE$14='A&amp;R'!$F77)*'A&amp;R'!$E77</f>
        <v>0</v>
      </c>
      <c r="BF34" s="42">
        <f>(BF$14='A&amp;R'!$F77)*'A&amp;R'!$E77</f>
        <v>0</v>
      </c>
      <c r="BG34" s="42">
        <f>(BG$14='A&amp;R'!$F77)*'A&amp;R'!$E77</f>
        <v>0</v>
      </c>
      <c r="BH34" s="42">
        <f>(BH$14='A&amp;R'!$F77)*'A&amp;R'!$E77</f>
        <v>0</v>
      </c>
      <c r="BI34" s="42">
        <f>(BI$14='A&amp;R'!$F77)*'A&amp;R'!$E77</f>
        <v>0</v>
      </c>
      <c r="BJ34" s="42">
        <f>(BJ$14='A&amp;R'!$F77)*'A&amp;R'!$E77</f>
        <v>0</v>
      </c>
      <c r="BK34" s="42">
        <f>(BK$14='A&amp;R'!$F77)*'A&amp;R'!$E77</f>
        <v>0</v>
      </c>
      <c r="BL34" s="42">
        <f>(BL$14='A&amp;R'!$F77)*'A&amp;R'!$E77</f>
        <v>0</v>
      </c>
      <c r="BM34" s="42">
        <f>(BM$14='A&amp;R'!$F77)*'A&amp;R'!$E77</f>
        <v>0</v>
      </c>
      <c r="BN34" s="42">
        <f>(BN$14='A&amp;R'!$F77)*'A&amp;R'!$E77</f>
        <v>0</v>
      </c>
      <c r="BO34" s="42">
        <f>(BO$14='A&amp;R'!$F77)*'A&amp;R'!$E77</f>
        <v>0</v>
      </c>
      <c r="BP34" s="42">
        <f>(BP$14='A&amp;R'!$F77)*'A&amp;R'!$E77</f>
        <v>0</v>
      </c>
      <c r="BQ34" s="42">
        <f>(BQ$14='A&amp;R'!$F77)*'A&amp;R'!$E77</f>
        <v>0</v>
      </c>
      <c r="BR34" s="42">
        <f>(BR$14='A&amp;R'!$F77)*'A&amp;R'!$E77</f>
        <v>0</v>
      </c>
      <c r="BS34" s="42">
        <f>(BS$14='A&amp;R'!$F77)*'A&amp;R'!$E77</f>
        <v>0</v>
      </c>
      <c r="BT34" s="42">
        <f>(BT$14='A&amp;R'!$F77)*'A&amp;R'!$E77</f>
        <v>0</v>
      </c>
      <c r="BU34" s="42">
        <f>(BU$14='A&amp;R'!$F77)*'A&amp;R'!$E77</f>
        <v>0</v>
      </c>
      <c r="BV34" s="42">
        <f>(BV$14='A&amp;R'!$F77)*'A&amp;R'!$E77</f>
        <v>0</v>
      </c>
      <c r="BW34" s="42">
        <f>(BW$14='A&amp;R'!$F77)*'A&amp;R'!$E77</f>
        <v>0</v>
      </c>
      <c r="BX34" s="42">
        <f>(BX$14='A&amp;R'!$F77)*'A&amp;R'!$E77</f>
        <v>0</v>
      </c>
      <c r="BY34" s="42">
        <f>(BY$14='A&amp;R'!$F77)*'A&amp;R'!$E77</f>
        <v>0</v>
      </c>
    </row>
    <row r="35" spans="3:77" ht="13.5" customHeight="1">
      <c r="C35" s="1" t="s">
        <v>374</v>
      </c>
    </row>
    <row r="36" spans="3:77" ht="13.5" customHeight="1">
      <c r="D36" s="30" t="str">
        <f>'A&amp;R'!C80</f>
        <v>담보대출</v>
      </c>
      <c r="E36" s="41"/>
      <c r="F36" s="41">
        <f ca="1">SUM(G36:XFD36)</f>
        <v>25426.307263550061</v>
      </c>
      <c r="G36" s="41"/>
      <c r="H36" s="41">
        <f ca="1">(H$14='A&amp;R'!$F80)*'A&amp;R'!$E80</f>
        <v>25426.307263550061</v>
      </c>
      <c r="I36" s="41">
        <f ca="1">(I$14='A&amp;R'!$F80)*'A&amp;R'!$E80</f>
        <v>0</v>
      </c>
      <c r="J36" s="41">
        <f ca="1">(J$14='A&amp;R'!$F80)*'A&amp;R'!$E80</f>
        <v>0</v>
      </c>
      <c r="K36" s="41">
        <f ca="1">(K$14='A&amp;R'!$F80)*'A&amp;R'!$E80</f>
        <v>0</v>
      </c>
      <c r="L36" s="41">
        <f ca="1">(L$14='A&amp;R'!$F80)*'A&amp;R'!$E80</f>
        <v>0</v>
      </c>
      <c r="M36" s="41">
        <f ca="1">(M$14='A&amp;R'!$F80)*'A&amp;R'!$E80</f>
        <v>0</v>
      </c>
      <c r="N36" s="41">
        <f ca="1">(N$14='A&amp;R'!$F80)*'A&amp;R'!$E80</f>
        <v>0</v>
      </c>
      <c r="O36" s="41">
        <f ca="1">(O$14='A&amp;R'!$F80)*'A&amp;R'!$E80</f>
        <v>0</v>
      </c>
      <c r="P36" s="41">
        <f ca="1">(P$14='A&amp;R'!$F80)*'A&amp;R'!$E80</f>
        <v>0</v>
      </c>
      <c r="Q36" s="41">
        <f ca="1">(Q$14='A&amp;R'!$F80)*'A&amp;R'!$E80</f>
        <v>0</v>
      </c>
      <c r="R36" s="41">
        <f ca="1">(R$14='A&amp;R'!$F80)*'A&amp;R'!$E80</f>
        <v>0</v>
      </c>
      <c r="S36" s="41">
        <f ca="1">(S$14='A&amp;R'!$F80)*'A&amp;R'!$E80</f>
        <v>0</v>
      </c>
      <c r="T36" s="41">
        <f ca="1">(T$14='A&amp;R'!$F80)*'A&amp;R'!$E80</f>
        <v>0</v>
      </c>
      <c r="U36" s="41">
        <f ca="1">(U$14='A&amp;R'!$F80)*'A&amp;R'!$E80</f>
        <v>0</v>
      </c>
      <c r="V36" s="41">
        <f ca="1">(V$14='A&amp;R'!$F80)*'A&amp;R'!$E80</f>
        <v>0</v>
      </c>
      <c r="W36" s="41">
        <f ca="1">(W$14='A&amp;R'!$F80)*'A&amp;R'!$E80</f>
        <v>0</v>
      </c>
      <c r="X36" s="41">
        <f ca="1">(X$14='A&amp;R'!$F80)*'A&amp;R'!$E80</f>
        <v>0</v>
      </c>
      <c r="Y36" s="41">
        <f ca="1">(Y$14='A&amp;R'!$F80)*'A&amp;R'!$E80</f>
        <v>0</v>
      </c>
      <c r="Z36" s="41">
        <f ca="1">(Z$14='A&amp;R'!$F80)*'A&amp;R'!$E80</f>
        <v>0</v>
      </c>
      <c r="AA36" s="41">
        <f ca="1">(AA$14='A&amp;R'!$F80)*'A&amp;R'!$E80</f>
        <v>0</v>
      </c>
      <c r="AB36" s="41">
        <f ca="1">(AB$14='A&amp;R'!$F80)*'A&amp;R'!$E80</f>
        <v>0</v>
      </c>
      <c r="AC36" s="41">
        <f ca="1">(AC$14='A&amp;R'!$F80)*'A&amp;R'!$E80</f>
        <v>0</v>
      </c>
      <c r="AD36" s="41">
        <f ca="1">(AD$14='A&amp;R'!$F80)*'A&amp;R'!$E80</f>
        <v>0</v>
      </c>
      <c r="AE36" s="41">
        <f ca="1">(AE$14='A&amp;R'!$F80)*'A&amp;R'!$E80</f>
        <v>0</v>
      </c>
      <c r="AF36" s="41">
        <f ca="1">(AF$14='A&amp;R'!$F80)*'A&amp;R'!$E80</f>
        <v>0</v>
      </c>
      <c r="AG36" s="41">
        <f ca="1">(AG$14='A&amp;R'!$F80)*'A&amp;R'!$E80</f>
        <v>0</v>
      </c>
      <c r="AH36" s="41">
        <f ca="1">(AH$14='A&amp;R'!$F80)*'A&amp;R'!$E80</f>
        <v>0</v>
      </c>
      <c r="AI36" s="41">
        <f ca="1">(AI$14='A&amp;R'!$F80)*'A&amp;R'!$E80</f>
        <v>0</v>
      </c>
      <c r="AJ36" s="41">
        <f ca="1">(AJ$14='A&amp;R'!$F80)*'A&amp;R'!$E80</f>
        <v>0</v>
      </c>
      <c r="AK36" s="41">
        <f ca="1">(AK$14='A&amp;R'!$F80)*'A&amp;R'!$E80</f>
        <v>0</v>
      </c>
      <c r="AL36" s="41">
        <f ca="1">(AL$14='A&amp;R'!$F80)*'A&amp;R'!$E80</f>
        <v>0</v>
      </c>
      <c r="AM36" s="41">
        <f ca="1">(AM$14='A&amp;R'!$F80)*'A&amp;R'!$E80</f>
        <v>0</v>
      </c>
      <c r="AN36" s="41">
        <f ca="1">(AN$14='A&amp;R'!$F80)*'A&amp;R'!$E80</f>
        <v>0</v>
      </c>
      <c r="AO36" s="41">
        <f ca="1">(AO$14='A&amp;R'!$F80)*'A&amp;R'!$E80</f>
        <v>0</v>
      </c>
      <c r="AP36" s="41">
        <f ca="1">(AP$14='A&amp;R'!$F80)*'A&amp;R'!$E80</f>
        <v>0</v>
      </c>
      <c r="AQ36" s="41">
        <f ca="1">(AQ$14='A&amp;R'!$F80)*'A&amp;R'!$E80</f>
        <v>0</v>
      </c>
      <c r="AR36" s="41">
        <f ca="1">(AR$14='A&amp;R'!$F80)*'A&amp;R'!$E80</f>
        <v>0</v>
      </c>
      <c r="AS36" s="41">
        <f ca="1">(AS$14='A&amp;R'!$F80)*'A&amp;R'!$E80</f>
        <v>0</v>
      </c>
      <c r="AT36" s="41">
        <f ca="1">(AT$14='A&amp;R'!$F80)*'A&amp;R'!$E80</f>
        <v>0</v>
      </c>
      <c r="AU36" s="41">
        <f ca="1">(AU$14='A&amp;R'!$F80)*'A&amp;R'!$E80</f>
        <v>0</v>
      </c>
      <c r="AV36" s="41">
        <f ca="1">(AV$14='A&amp;R'!$F80)*'A&amp;R'!$E80</f>
        <v>0</v>
      </c>
      <c r="AW36" s="41">
        <f ca="1">(AW$14='A&amp;R'!$F80)*'A&amp;R'!$E80</f>
        <v>0</v>
      </c>
      <c r="AX36" s="41">
        <f ca="1">(AX$14='A&amp;R'!$F80)*'A&amp;R'!$E80</f>
        <v>0</v>
      </c>
      <c r="AY36" s="41">
        <f ca="1">(AY$14='A&amp;R'!$F80)*'A&amp;R'!$E80</f>
        <v>0</v>
      </c>
      <c r="AZ36" s="41">
        <f ca="1">(AZ$14='A&amp;R'!$F80)*'A&amp;R'!$E80</f>
        <v>0</v>
      </c>
      <c r="BA36" s="41">
        <f ca="1">(BA$14='A&amp;R'!$F80)*'A&amp;R'!$E80</f>
        <v>0</v>
      </c>
      <c r="BB36" s="41">
        <f ca="1">(BB$14='A&amp;R'!$F80)*'A&amp;R'!$E80</f>
        <v>0</v>
      </c>
      <c r="BC36" s="41">
        <f ca="1">(BC$14='A&amp;R'!$F80)*'A&amp;R'!$E80</f>
        <v>0</v>
      </c>
      <c r="BD36" s="41">
        <f ca="1">(BD$14='A&amp;R'!$F80)*'A&amp;R'!$E80</f>
        <v>0</v>
      </c>
      <c r="BE36" s="41">
        <f ca="1">(BE$14='A&amp;R'!$F80)*'A&amp;R'!$E80</f>
        <v>0</v>
      </c>
      <c r="BF36" s="41">
        <f ca="1">(BF$14='A&amp;R'!$F80)*'A&amp;R'!$E80</f>
        <v>0</v>
      </c>
      <c r="BG36" s="41">
        <f ca="1">(BG$14='A&amp;R'!$F80)*'A&amp;R'!$E80</f>
        <v>0</v>
      </c>
      <c r="BH36" s="41">
        <f ca="1">(BH$14='A&amp;R'!$F80)*'A&amp;R'!$E80</f>
        <v>0</v>
      </c>
      <c r="BI36" s="41">
        <f ca="1">(BI$14='A&amp;R'!$F80)*'A&amp;R'!$E80</f>
        <v>0</v>
      </c>
      <c r="BJ36" s="41">
        <f ca="1">(BJ$14='A&amp;R'!$F80)*'A&amp;R'!$E80</f>
        <v>0</v>
      </c>
      <c r="BK36" s="41">
        <f ca="1">(BK$14='A&amp;R'!$F80)*'A&amp;R'!$E80</f>
        <v>0</v>
      </c>
      <c r="BL36" s="41">
        <f ca="1">(BL$14='A&amp;R'!$F80)*'A&amp;R'!$E80</f>
        <v>0</v>
      </c>
      <c r="BM36" s="41">
        <f ca="1">(BM$14='A&amp;R'!$F80)*'A&amp;R'!$E80</f>
        <v>0</v>
      </c>
      <c r="BN36" s="41">
        <f ca="1">(BN$14='A&amp;R'!$F80)*'A&amp;R'!$E80</f>
        <v>0</v>
      </c>
      <c r="BO36" s="41">
        <f ca="1">(BO$14='A&amp;R'!$F80)*'A&amp;R'!$E80</f>
        <v>0</v>
      </c>
      <c r="BP36" s="41">
        <f ca="1">(BP$14='A&amp;R'!$F80)*'A&amp;R'!$E80</f>
        <v>0</v>
      </c>
      <c r="BQ36" s="41">
        <f ca="1">(BQ$14='A&amp;R'!$F80)*'A&amp;R'!$E80</f>
        <v>0</v>
      </c>
      <c r="BR36" s="41">
        <f ca="1">(BR$14='A&amp;R'!$F80)*'A&amp;R'!$E80</f>
        <v>0</v>
      </c>
      <c r="BS36" s="41">
        <f ca="1">(BS$14='A&amp;R'!$F80)*'A&amp;R'!$E80</f>
        <v>0</v>
      </c>
      <c r="BT36" s="41">
        <f ca="1">(BT$14='A&amp;R'!$F80)*'A&amp;R'!$E80</f>
        <v>0</v>
      </c>
      <c r="BU36" s="41">
        <f ca="1">(BU$14='A&amp;R'!$F80)*'A&amp;R'!$E80</f>
        <v>0</v>
      </c>
      <c r="BV36" s="41">
        <f ca="1">(BV$14='A&amp;R'!$F80)*'A&amp;R'!$E80</f>
        <v>0</v>
      </c>
      <c r="BW36" s="41">
        <f ca="1">(BW$14='A&amp;R'!$F80)*'A&amp;R'!$E80</f>
        <v>0</v>
      </c>
      <c r="BX36" s="41">
        <f ca="1">(BX$14='A&amp;R'!$F80)*'A&amp;R'!$E80</f>
        <v>0</v>
      </c>
      <c r="BY36" s="41">
        <f ca="1">(BY$14='A&amp;R'!$F80)*'A&amp;R'!$E80</f>
        <v>0</v>
      </c>
    </row>
    <row r="37" spans="3:77" ht="13.5" customHeight="1">
      <c r="D37" s="33" t="str">
        <f>'A&amp;R'!C81</f>
        <v>VAT Loan</v>
      </c>
      <c r="E37" s="43"/>
      <c r="F37" s="43">
        <f t="shared" ref="F37:F38" ca="1" si="21">SUM(G37:XFD37)</f>
        <v>2997.8680304266668</v>
      </c>
      <c r="G37" s="43"/>
      <c r="H37" s="43">
        <f ca="1">(H$14='A&amp;R'!$F81)*'A&amp;R'!$E81</f>
        <v>2997.8680304266668</v>
      </c>
      <c r="I37" s="43">
        <f ca="1">(I$14='A&amp;R'!$F81)*'A&amp;R'!$E81</f>
        <v>0</v>
      </c>
      <c r="J37" s="43">
        <f ca="1">(J$14='A&amp;R'!$F81)*'A&amp;R'!$E81</f>
        <v>0</v>
      </c>
      <c r="K37" s="43">
        <f ca="1">(K$14='A&amp;R'!$F81)*'A&amp;R'!$E81</f>
        <v>0</v>
      </c>
      <c r="L37" s="43">
        <f ca="1">(L$14='A&amp;R'!$F81)*'A&amp;R'!$E81</f>
        <v>0</v>
      </c>
      <c r="M37" s="43">
        <f ca="1">(M$14='A&amp;R'!$F81)*'A&amp;R'!$E81</f>
        <v>0</v>
      </c>
      <c r="N37" s="43">
        <f ca="1">(N$14='A&amp;R'!$F81)*'A&amp;R'!$E81</f>
        <v>0</v>
      </c>
      <c r="O37" s="43">
        <f ca="1">(O$14='A&amp;R'!$F81)*'A&amp;R'!$E81</f>
        <v>0</v>
      </c>
      <c r="P37" s="43">
        <f ca="1">(P$14='A&amp;R'!$F81)*'A&amp;R'!$E81</f>
        <v>0</v>
      </c>
      <c r="Q37" s="43">
        <f ca="1">(Q$14='A&amp;R'!$F81)*'A&amp;R'!$E81</f>
        <v>0</v>
      </c>
      <c r="R37" s="43">
        <f ca="1">(R$14='A&amp;R'!$F81)*'A&amp;R'!$E81</f>
        <v>0</v>
      </c>
      <c r="S37" s="43">
        <f ca="1">(S$14='A&amp;R'!$F81)*'A&amp;R'!$E81</f>
        <v>0</v>
      </c>
      <c r="T37" s="43">
        <f ca="1">(T$14='A&amp;R'!$F81)*'A&amp;R'!$E81</f>
        <v>0</v>
      </c>
      <c r="U37" s="43">
        <f ca="1">(U$14='A&amp;R'!$F81)*'A&amp;R'!$E81</f>
        <v>0</v>
      </c>
      <c r="V37" s="43">
        <f ca="1">(V$14='A&amp;R'!$F81)*'A&amp;R'!$E81</f>
        <v>0</v>
      </c>
      <c r="W37" s="43">
        <f ca="1">(W$14='A&amp;R'!$F81)*'A&amp;R'!$E81</f>
        <v>0</v>
      </c>
      <c r="X37" s="43">
        <f ca="1">(X$14='A&amp;R'!$F81)*'A&amp;R'!$E81</f>
        <v>0</v>
      </c>
      <c r="Y37" s="43">
        <f ca="1">(Y$14='A&amp;R'!$F81)*'A&amp;R'!$E81</f>
        <v>0</v>
      </c>
      <c r="Z37" s="43">
        <f ca="1">(Z$14='A&amp;R'!$F81)*'A&amp;R'!$E81</f>
        <v>0</v>
      </c>
      <c r="AA37" s="43">
        <f ca="1">(AA$14='A&amp;R'!$F81)*'A&amp;R'!$E81</f>
        <v>0</v>
      </c>
      <c r="AB37" s="43">
        <f ca="1">(AB$14='A&amp;R'!$F81)*'A&amp;R'!$E81</f>
        <v>0</v>
      </c>
      <c r="AC37" s="43">
        <f ca="1">(AC$14='A&amp;R'!$F81)*'A&amp;R'!$E81</f>
        <v>0</v>
      </c>
      <c r="AD37" s="43">
        <f ca="1">(AD$14='A&amp;R'!$F81)*'A&amp;R'!$E81</f>
        <v>0</v>
      </c>
      <c r="AE37" s="43">
        <f ca="1">(AE$14='A&amp;R'!$F81)*'A&amp;R'!$E81</f>
        <v>0</v>
      </c>
      <c r="AF37" s="43">
        <f ca="1">(AF$14='A&amp;R'!$F81)*'A&amp;R'!$E81</f>
        <v>0</v>
      </c>
      <c r="AG37" s="43">
        <f ca="1">(AG$14='A&amp;R'!$F81)*'A&amp;R'!$E81</f>
        <v>0</v>
      </c>
      <c r="AH37" s="43">
        <f ca="1">(AH$14='A&amp;R'!$F81)*'A&amp;R'!$E81</f>
        <v>0</v>
      </c>
      <c r="AI37" s="43">
        <f ca="1">(AI$14='A&amp;R'!$F81)*'A&amp;R'!$E81</f>
        <v>0</v>
      </c>
      <c r="AJ37" s="43">
        <f ca="1">(AJ$14='A&amp;R'!$F81)*'A&amp;R'!$E81</f>
        <v>0</v>
      </c>
      <c r="AK37" s="43">
        <f ca="1">(AK$14='A&amp;R'!$F81)*'A&amp;R'!$E81</f>
        <v>0</v>
      </c>
      <c r="AL37" s="43">
        <f ca="1">(AL$14='A&amp;R'!$F81)*'A&amp;R'!$E81</f>
        <v>0</v>
      </c>
      <c r="AM37" s="43">
        <f ca="1">(AM$14='A&amp;R'!$F81)*'A&amp;R'!$E81</f>
        <v>0</v>
      </c>
      <c r="AN37" s="43">
        <f ca="1">(AN$14='A&amp;R'!$F81)*'A&amp;R'!$E81</f>
        <v>0</v>
      </c>
      <c r="AO37" s="43">
        <f ca="1">(AO$14='A&amp;R'!$F81)*'A&amp;R'!$E81</f>
        <v>0</v>
      </c>
      <c r="AP37" s="43">
        <f ca="1">(AP$14='A&amp;R'!$F81)*'A&amp;R'!$E81</f>
        <v>0</v>
      </c>
      <c r="AQ37" s="43">
        <f ca="1">(AQ$14='A&amp;R'!$F81)*'A&amp;R'!$E81</f>
        <v>0</v>
      </c>
      <c r="AR37" s="43">
        <f ca="1">(AR$14='A&amp;R'!$F81)*'A&amp;R'!$E81</f>
        <v>0</v>
      </c>
      <c r="AS37" s="43">
        <f ca="1">(AS$14='A&amp;R'!$F81)*'A&amp;R'!$E81</f>
        <v>0</v>
      </c>
      <c r="AT37" s="43">
        <f ca="1">(AT$14='A&amp;R'!$F81)*'A&amp;R'!$E81</f>
        <v>0</v>
      </c>
      <c r="AU37" s="43">
        <f ca="1">(AU$14='A&amp;R'!$F81)*'A&amp;R'!$E81</f>
        <v>0</v>
      </c>
      <c r="AV37" s="43">
        <f ca="1">(AV$14='A&amp;R'!$F81)*'A&amp;R'!$E81</f>
        <v>0</v>
      </c>
      <c r="AW37" s="43">
        <f ca="1">(AW$14='A&amp;R'!$F81)*'A&amp;R'!$E81</f>
        <v>0</v>
      </c>
      <c r="AX37" s="43">
        <f ca="1">(AX$14='A&amp;R'!$F81)*'A&amp;R'!$E81</f>
        <v>0</v>
      </c>
      <c r="AY37" s="43">
        <f ca="1">(AY$14='A&amp;R'!$F81)*'A&amp;R'!$E81</f>
        <v>0</v>
      </c>
      <c r="AZ37" s="43">
        <f ca="1">(AZ$14='A&amp;R'!$F81)*'A&amp;R'!$E81</f>
        <v>0</v>
      </c>
      <c r="BA37" s="43">
        <f ca="1">(BA$14='A&amp;R'!$F81)*'A&amp;R'!$E81</f>
        <v>0</v>
      </c>
      <c r="BB37" s="43">
        <f ca="1">(BB$14='A&amp;R'!$F81)*'A&amp;R'!$E81</f>
        <v>0</v>
      </c>
      <c r="BC37" s="43">
        <f ca="1">(BC$14='A&amp;R'!$F81)*'A&amp;R'!$E81</f>
        <v>0</v>
      </c>
      <c r="BD37" s="43">
        <f ca="1">(BD$14='A&amp;R'!$F81)*'A&amp;R'!$E81</f>
        <v>0</v>
      </c>
      <c r="BE37" s="43">
        <f ca="1">(BE$14='A&amp;R'!$F81)*'A&amp;R'!$E81</f>
        <v>0</v>
      </c>
      <c r="BF37" s="43">
        <f ca="1">(BF$14='A&amp;R'!$F81)*'A&amp;R'!$E81</f>
        <v>0</v>
      </c>
      <c r="BG37" s="43">
        <f ca="1">(BG$14='A&amp;R'!$F81)*'A&amp;R'!$E81</f>
        <v>0</v>
      </c>
      <c r="BH37" s="43">
        <f ca="1">(BH$14='A&amp;R'!$F81)*'A&amp;R'!$E81</f>
        <v>0</v>
      </c>
      <c r="BI37" s="43">
        <f ca="1">(BI$14='A&amp;R'!$F81)*'A&amp;R'!$E81</f>
        <v>0</v>
      </c>
      <c r="BJ37" s="43">
        <f ca="1">(BJ$14='A&amp;R'!$F81)*'A&amp;R'!$E81</f>
        <v>0</v>
      </c>
      <c r="BK37" s="43">
        <f ca="1">(BK$14='A&amp;R'!$F81)*'A&amp;R'!$E81</f>
        <v>0</v>
      </c>
      <c r="BL37" s="43">
        <f ca="1">(BL$14='A&amp;R'!$F81)*'A&amp;R'!$E81</f>
        <v>0</v>
      </c>
      <c r="BM37" s="43">
        <f ca="1">(BM$14='A&amp;R'!$F81)*'A&amp;R'!$E81</f>
        <v>0</v>
      </c>
      <c r="BN37" s="43">
        <f ca="1">(BN$14='A&amp;R'!$F81)*'A&amp;R'!$E81</f>
        <v>0</v>
      </c>
      <c r="BO37" s="43">
        <f ca="1">(BO$14='A&amp;R'!$F81)*'A&amp;R'!$E81</f>
        <v>0</v>
      </c>
      <c r="BP37" s="43">
        <f ca="1">(BP$14='A&amp;R'!$F81)*'A&amp;R'!$E81</f>
        <v>0</v>
      </c>
      <c r="BQ37" s="43">
        <f ca="1">(BQ$14='A&amp;R'!$F81)*'A&amp;R'!$E81</f>
        <v>0</v>
      </c>
      <c r="BR37" s="43">
        <f ca="1">(BR$14='A&amp;R'!$F81)*'A&amp;R'!$E81</f>
        <v>0</v>
      </c>
      <c r="BS37" s="43">
        <f ca="1">(BS$14='A&amp;R'!$F81)*'A&amp;R'!$E81</f>
        <v>0</v>
      </c>
      <c r="BT37" s="43">
        <f ca="1">(BT$14='A&amp;R'!$F81)*'A&amp;R'!$E81</f>
        <v>0</v>
      </c>
      <c r="BU37" s="43">
        <f ca="1">(BU$14='A&amp;R'!$F81)*'A&amp;R'!$E81</f>
        <v>0</v>
      </c>
      <c r="BV37" s="43">
        <f ca="1">(BV$14='A&amp;R'!$F81)*'A&amp;R'!$E81</f>
        <v>0</v>
      </c>
      <c r="BW37" s="43">
        <f ca="1">(BW$14='A&amp;R'!$F81)*'A&amp;R'!$E81</f>
        <v>0</v>
      </c>
      <c r="BX37" s="43">
        <f ca="1">(BX$14='A&amp;R'!$F81)*'A&amp;R'!$E81</f>
        <v>0</v>
      </c>
      <c r="BY37" s="43">
        <f ca="1">(BY$14='A&amp;R'!$F81)*'A&amp;R'!$E81</f>
        <v>0</v>
      </c>
    </row>
    <row r="38" spans="3:77" ht="13.5" customHeight="1">
      <c r="C38" s="34"/>
      <c r="D38" s="36" t="str">
        <f>'A&amp;R'!C82</f>
        <v>보증금</v>
      </c>
      <c r="E38" s="42"/>
      <c r="F38" s="42">
        <f t="shared" si="21"/>
        <v>1481.7</v>
      </c>
      <c r="G38" s="42"/>
      <c r="H38" s="42">
        <f>(H$14='A&amp;R'!$F82)*'A&amp;R'!$E82</f>
        <v>1481.7</v>
      </c>
      <c r="I38" s="42">
        <f>(I$14='A&amp;R'!$F82)*'A&amp;R'!$E82</f>
        <v>0</v>
      </c>
      <c r="J38" s="42">
        <f>(J$14='A&amp;R'!$F82)*'A&amp;R'!$E82</f>
        <v>0</v>
      </c>
      <c r="K38" s="42">
        <f>(K$14='A&amp;R'!$F82)*'A&amp;R'!$E82</f>
        <v>0</v>
      </c>
      <c r="L38" s="42">
        <f>(L$14='A&amp;R'!$F82)*'A&amp;R'!$E82</f>
        <v>0</v>
      </c>
      <c r="M38" s="42">
        <f>(M$14='A&amp;R'!$F82)*'A&amp;R'!$E82</f>
        <v>0</v>
      </c>
      <c r="N38" s="42">
        <f>(N$14='A&amp;R'!$F82)*'A&amp;R'!$E82</f>
        <v>0</v>
      </c>
      <c r="O38" s="42">
        <f>(O$14='A&amp;R'!$F82)*'A&amp;R'!$E82</f>
        <v>0</v>
      </c>
      <c r="P38" s="42">
        <f>(P$14='A&amp;R'!$F82)*'A&amp;R'!$E82</f>
        <v>0</v>
      </c>
      <c r="Q38" s="42">
        <f>(Q$14='A&amp;R'!$F82)*'A&amp;R'!$E82</f>
        <v>0</v>
      </c>
      <c r="R38" s="42">
        <f>(R$14='A&amp;R'!$F82)*'A&amp;R'!$E82</f>
        <v>0</v>
      </c>
      <c r="S38" s="42">
        <f>(S$14='A&amp;R'!$F82)*'A&amp;R'!$E82</f>
        <v>0</v>
      </c>
      <c r="T38" s="42">
        <f>(T$14='A&amp;R'!$F82)*'A&amp;R'!$E82</f>
        <v>0</v>
      </c>
      <c r="U38" s="42">
        <f>(U$14='A&amp;R'!$F82)*'A&amp;R'!$E82</f>
        <v>0</v>
      </c>
      <c r="V38" s="42">
        <f>(V$14='A&amp;R'!$F82)*'A&amp;R'!$E82</f>
        <v>0</v>
      </c>
      <c r="W38" s="42">
        <f>(W$14='A&amp;R'!$F82)*'A&amp;R'!$E82</f>
        <v>0</v>
      </c>
      <c r="X38" s="42">
        <f>(X$14='A&amp;R'!$F82)*'A&amp;R'!$E82</f>
        <v>0</v>
      </c>
      <c r="Y38" s="42">
        <f>(Y$14='A&amp;R'!$F82)*'A&amp;R'!$E82</f>
        <v>0</v>
      </c>
      <c r="Z38" s="42">
        <f>(Z$14='A&amp;R'!$F82)*'A&amp;R'!$E82</f>
        <v>0</v>
      </c>
      <c r="AA38" s="42">
        <f>(AA$14='A&amp;R'!$F82)*'A&amp;R'!$E82</f>
        <v>0</v>
      </c>
      <c r="AB38" s="42">
        <f>(AB$14='A&amp;R'!$F82)*'A&amp;R'!$E82</f>
        <v>0</v>
      </c>
      <c r="AC38" s="42">
        <f>(AC$14='A&amp;R'!$F82)*'A&amp;R'!$E82</f>
        <v>0</v>
      </c>
      <c r="AD38" s="42">
        <f>(AD$14='A&amp;R'!$F82)*'A&amp;R'!$E82</f>
        <v>0</v>
      </c>
      <c r="AE38" s="42">
        <f>(AE$14='A&amp;R'!$F82)*'A&amp;R'!$E82</f>
        <v>0</v>
      </c>
      <c r="AF38" s="42">
        <f>(AF$14='A&amp;R'!$F82)*'A&amp;R'!$E82</f>
        <v>0</v>
      </c>
      <c r="AG38" s="42">
        <f>(AG$14='A&amp;R'!$F82)*'A&amp;R'!$E82</f>
        <v>0</v>
      </c>
      <c r="AH38" s="42">
        <f>(AH$14='A&amp;R'!$F82)*'A&amp;R'!$E82</f>
        <v>0</v>
      </c>
      <c r="AI38" s="42">
        <f>(AI$14='A&amp;R'!$F82)*'A&amp;R'!$E82</f>
        <v>0</v>
      </c>
      <c r="AJ38" s="42">
        <f>(AJ$14='A&amp;R'!$F82)*'A&amp;R'!$E82</f>
        <v>0</v>
      </c>
      <c r="AK38" s="42">
        <f>(AK$14='A&amp;R'!$F82)*'A&amp;R'!$E82</f>
        <v>0</v>
      </c>
      <c r="AL38" s="42">
        <f>(AL$14='A&amp;R'!$F82)*'A&amp;R'!$E82</f>
        <v>0</v>
      </c>
      <c r="AM38" s="42">
        <f>(AM$14='A&amp;R'!$F82)*'A&amp;R'!$E82</f>
        <v>0</v>
      </c>
      <c r="AN38" s="42">
        <f>(AN$14='A&amp;R'!$F82)*'A&amp;R'!$E82</f>
        <v>0</v>
      </c>
      <c r="AO38" s="42">
        <f>(AO$14='A&amp;R'!$F82)*'A&amp;R'!$E82</f>
        <v>0</v>
      </c>
      <c r="AP38" s="42">
        <f>(AP$14='A&amp;R'!$F82)*'A&amp;R'!$E82</f>
        <v>0</v>
      </c>
      <c r="AQ38" s="42">
        <f>(AQ$14='A&amp;R'!$F82)*'A&amp;R'!$E82</f>
        <v>0</v>
      </c>
      <c r="AR38" s="42">
        <f>(AR$14='A&amp;R'!$F82)*'A&amp;R'!$E82</f>
        <v>0</v>
      </c>
      <c r="AS38" s="42">
        <f>(AS$14='A&amp;R'!$F82)*'A&amp;R'!$E82</f>
        <v>0</v>
      </c>
      <c r="AT38" s="42">
        <f>(AT$14='A&amp;R'!$F82)*'A&amp;R'!$E82</f>
        <v>0</v>
      </c>
      <c r="AU38" s="42">
        <f>(AU$14='A&amp;R'!$F82)*'A&amp;R'!$E82</f>
        <v>0</v>
      </c>
      <c r="AV38" s="42">
        <f>(AV$14='A&amp;R'!$F82)*'A&amp;R'!$E82</f>
        <v>0</v>
      </c>
      <c r="AW38" s="42">
        <f>(AW$14='A&amp;R'!$F82)*'A&amp;R'!$E82</f>
        <v>0</v>
      </c>
      <c r="AX38" s="42">
        <f>(AX$14='A&amp;R'!$F82)*'A&amp;R'!$E82</f>
        <v>0</v>
      </c>
      <c r="AY38" s="42">
        <f>(AY$14='A&amp;R'!$F82)*'A&amp;R'!$E82</f>
        <v>0</v>
      </c>
      <c r="AZ38" s="42">
        <f>(AZ$14='A&amp;R'!$F82)*'A&amp;R'!$E82</f>
        <v>0</v>
      </c>
      <c r="BA38" s="42">
        <f>(BA$14='A&amp;R'!$F82)*'A&amp;R'!$E82</f>
        <v>0</v>
      </c>
      <c r="BB38" s="42">
        <f>(BB$14='A&amp;R'!$F82)*'A&amp;R'!$E82</f>
        <v>0</v>
      </c>
      <c r="BC38" s="42">
        <f>(BC$14='A&amp;R'!$F82)*'A&amp;R'!$E82</f>
        <v>0</v>
      </c>
      <c r="BD38" s="42">
        <f>(BD$14='A&amp;R'!$F82)*'A&amp;R'!$E82</f>
        <v>0</v>
      </c>
      <c r="BE38" s="42">
        <f>(BE$14='A&amp;R'!$F82)*'A&amp;R'!$E82</f>
        <v>0</v>
      </c>
      <c r="BF38" s="42">
        <f>(BF$14='A&amp;R'!$F82)*'A&amp;R'!$E82</f>
        <v>0</v>
      </c>
      <c r="BG38" s="42">
        <f>(BG$14='A&amp;R'!$F82)*'A&amp;R'!$E82</f>
        <v>0</v>
      </c>
      <c r="BH38" s="42">
        <f>(BH$14='A&amp;R'!$F82)*'A&amp;R'!$E82</f>
        <v>0</v>
      </c>
      <c r="BI38" s="42">
        <f>(BI$14='A&amp;R'!$F82)*'A&amp;R'!$E82</f>
        <v>0</v>
      </c>
      <c r="BJ38" s="42">
        <f>(BJ$14='A&amp;R'!$F82)*'A&amp;R'!$E82</f>
        <v>0</v>
      </c>
      <c r="BK38" s="42">
        <f>(BK$14='A&amp;R'!$F82)*'A&amp;R'!$E82</f>
        <v>0</v>
      </c>
      <c r="BL38" s="42">
        <f>(BL$14='A&amp;R'!$F82)*'A&amp;R'!$E82</f>
        <v>0</v>
      </c>
      <c r="BM38" s="42">
        <f>(BM$14='A&amp;R'!$F82)*'A&amp;R'!$E82</f>
        <v>0</v>
      </c>
      <c r="BN38" s="42">
        <f>(BN$14='A&amp;R'!$F82)*'A&amp;R'!$E82</f>
        <v>0</v>
      </c>
      <c r="BO38" s="42">
        <f>(BO$14='A&amp;R'!$F82)*'A&amp;R'!$E82</f>
        <v>0</v>
      </c>
      <c r="BP38" s="42">
        <f>(BP$14='A&amp;R'!$F82)*'A&amp;R'!$E82</f>
        <v>0</v>
      </c>
      <c r="BQ38" s="42">
        <f>(BQ$14='A&amp;R'!$F82)*'A&amp;R'!$E82</f>
        <v>0</v>
      </c>
      <c r="BR38" s="42">
        <f>(BR$14='A&amp;R'!$F82)*'A&amp;R'!$E82</f>
        <v>0</v>
      </c>
      <c r="BS38" s="42">
        <f>(BS$14='A&amp;R'!$F82)*'A&amp;R'!$E82</f>
        <v>0</v>
      </c>
      <c r="BT38" s="42">
        <f>(BT$14='A&amp;R'!$F82)*'A&amp;R'!$E82</f>
        <v>0</v>
      </c>
      <c r="BU38" s="42">
        <f>(BU$14='A&amp;R'!$F82)*'A&amp;R'!$E82</f>
        <v>0</v>
      </c>
      <c r="BV38" s="42">
        <f>(BV$14='A&amp;R'!$F82)*'A&amp;R'!$E82</f>
        <v>0</v>
      </c>
      <c r="BW38" s="42">
        <f>(BW$14='A&amp;R'!$F82)*'A&amp;R'!$E82</f>
        <v>0</v>
      </c>
      <c r="BX38" s="42">
        <f>(BX$14='A&amp;R'!$F82)*'A&amp;R'!$E82</f>
        <v>0</v>
      </c>
      <c r="BY38" s="42">
        <f>(BY$14='A&amp;R'!$F82)*'A&amp;R'!$E82</f>
        <v>0</v>
      </c>
    </row>
    <row r="39" spans="3:77" ht="13.5" customHeight="1">
      <c r="C39" s="1" t="s">
        <v>375</v>
      </c>
    </row>
    <row r="40" spans="3:77" ht="13.5" customHeight="1">
      <c r="D40" s="30" t="str">
        <f>D33</f>
        <v>보통주</v>
      </c>
      <c r="E40" s="41"/>
      <c r="F40" s="41">
        <f ca="1">SUM(G40:XFD40)</f>
        <v>-5568.3407939072104</v>
      </c>
      <c r="G40" s="41"/>
      <c r="H40" s="41">
        <f>IF(Cir=1,SUMIF(배당!$66:$66,현금흐름!H$14,배당!90:90)*-1,0)</f>
        <v>0</v>
      </c>
      <c r="I40" s="41">
        <f>IF(Cir=1,SUMIF(배당!$66:$66,현금흐름!I$14,배당!90:90)*-1,0)</f>
        <v>0</v>
      </c>
      <c r="J40" s="41">
        <f>IF(Cir=1,SUMIF(배당!$66:$66,현금흐름!J$14,배당!90:90)*-1,0)</f>
        <v>0</v>
      </c>
      <c r="K40" s="41">
        <f>IF(Cir=1,SUMIF(배당!$66:$66,현금흐름!K$14,배당!90:90)*-1,0)</f>
        <v>0</v>
      </c>
      <c r="L40" s="41">
        <f>IF(Cir=1,SUMIF(배당!$66:$66,현금흐름!L$14,배당!90:90)*-1,0)</f>
        <v>0</v>
      </c>
      <c r="M40" s="41">
        <f>IF(Cir=1,SUMIF(배당!$66:$66,현금흐름!M$14,배당!90:90)*-1,0)</f>
        <v>0</v>
      </c>
      <c r="N40" s="41">
        <f ca="1">IF(Cir=1,SUMIF(배당!$66:$66,현금흐름!N$14,배당!90:90)*-1,0)</f>
        <v>0</v>
      </c>
      <c r="O40" s="41">
        <f>IF(Cir=1,SUMIF(배당!$66:$66,현금흐름!O$14,배당!90:90)*-1,0)</f>
        <v>0</v>
      </c>
      <c r="P40" s="41">
        <f>IF(Cir=1,SUMIF(배당!$66:$66,현금흐름!P$14,배당!90:90)*-1,0)</f>
        <v>0</v>
      </c>
      <c r="Q40" s="41">
        <f>IF(Cir=1,SUMIF(배당!$66:$66,현금흐름!Q$14,배당!90:90)*-1,0)</f>
        <v>0</v>
      </c>
      <c r="R40" s="41">
        <f>IF(Cir=1,SUMIF(배당!$66:$66,현금흐름!R$14,배당!90:90)*-1,0)</f>
        <v>0</v>
      </c>
      <c r="S40" s="41">
        <f>IF(Cir=1,SUMIF(배당!$66:$66,현금흐름!S$14,배당!90:90)*-1,0)</f>
        <v>0</v>
      </c>
      <c r="T40" s="41">
        <f ca="1">IF(Cir=1,SUMIF(배당!$66:$66,현금흐름!T$14,배당!90:90)*-1,0)</f>
        <v>0</v>
      </c>
      <c r="U40" s="41">
        <f>IF(Cir=1,SUMIF(배당!$66:$66,현금흐름!U$14,배당!90:90)*-1,0)</f>
        <v>0</v>
      </c>
      <c r="V40" s="41">
        <f>IF(Cir=1,SUMIF(배당!$66:$66,현금흐름!V$14,배당!90:90)*-1,0)</f>
        <v>0</v>
      </c>
      <c r="W40" s="41">
        <f>IF(Cir=1,SUMIF(배당!$66:$66,현금흐름!W$14,배당!90:90)*-1,0)</f>
        <v>0</v>
      </c>
      <c r="X40" s="41">
        <f>IF(Cir=1,SUMIF(배당!$66:$66,현금흐름!X$14,배당!90:90)*-1,0)</f>
        <v>0</v>
      </c>
      <c r="Y40" s="41">
        <f>IF(Cir=1,SUMIF(배당!$66:$66,현금흐름!Y$14,배당!90:90)*-1,0)</f>
        <v>0</v>
      </c>
      <c r="Z40" s="41">
        <f ca="1">IF(Cir=1,SUMIF(배당!$66:$66,현금흐름!Z$14,배당!90:90)*-1,0)</f>
        <v>0</v>
      </c>
      <c r="AA40" s="41">
        <f>IF(Cir=1,SUMIF(배당!$66:$66,현금흐름!AA$14,배당!90:90)*-1,0)</f>
        <v>0</v>
      </c>
      <c r="AB40" s="41">
        <f>IF(Cir=1,SUMIF(배당!$66:$66,현금흐름!AB$14,배당!90:90)*-1,0)</f>
        <v>0</v>
      </c>
      <c r="AC40" s="41">
        <f>IF(Cir=1,SUMIF(배당!$66:$66,현금흐름!AC$14,배당!90:90)*-1,0)</f>
        <v>0</v>
      </c>
      <c r="AD40" s="41">
        <f>IF(Cir=1,SUMIF(배당!$66:$66,현금흐름!AD$14,배당!90:90)*-1,0)</f>
        <v>0</v>
      </c>
      <c r="AE40" s="41">
        <f>IF(Cir=1,SUMIF(배당!$66:$66,현금흐름!AE$14,배당!90:90)*-1,0)</f>
        <v>0</v>
      </c>
      <c r="AF40" s="41">
        <f ca="1">IF(Cir=1,SUMIF(배당!$66:$66,현금흐름!AF$14,배당!90:90)*-1,0)</f>
        <v>0</v>
      </c>
      <c r="AG40" s="41">
        <f>IF(Cir=1,SUMIF(배당!$66:$66,현금흐름!AG$14,배당!90:90)*-1,0)</f>
        <v>0</v>
      </c>
      <c r="AH40" s="41">
        <f>IF(Cir=1,SUMIF(배당!$66:$66,현금흐름!AH$14,배당!90:90)*-1,0)</f>
        <v>0</v>
      </c>
      <c r="AI40" s="41">
        <f>IF(Cir=1,SUMIF(배당!$66:$66,현금흐름!AI$14,배당!90:90)*-1,0)</f>
        <v>0</v>
      </c>
      <c r="AJ40" s="41">
        <f>IF(Cir=1,SUMIF(배당!$66:$66,현금흐름!AJ$14,배당!90:90)*-1,0)</f>
        <v>0</v>
      </c>
      <c r="AK40" s="41">
        <f>IF(Cir=1,SUMIF(배당!$66:$66,현금흐름!AK$14,배당!90:90)*-1,0)</f>
        <v>0</v>
      </c>
      <c r="AL40" s="41">
        <f ca="1">IF(Cir=1,SUMIF(배당!$66:$66,현금흐름!AL$14,배당!90:90)*-1,0)</f>
        <v>0</v>
      </c>
      <c r="AM40" s="41">
        <f>IF(Cir=1,SUMIF(배당!$66:$66,현금흐름!AM$14,배당!90:90)*-1,0)</f>
        <v>0</v>
      </c>
      <c r="AN40" s="41">
        <f>IF(Cir=1,SUMIF(배당!$66:$66,현금흐름!AN$14,배당!90:90)*-1,0)</f>
        <v>0</v>
      </c>
      <c r="AO40" s="41">
        <f>IF(Cir=1,SUMIF(배당!$66:$66,현금흐름!AO$14,배당!90:90)*-1,0)</f>
        <v>0</v>
      </c>
      <c r="AP40" s="41">
        <f>IF(Cir=1,SUMIF(배당!$66:$66,현금흐름!AP$14,배당!90:90)*-1,0)</f>
        <v>0</v>
      </c>
      <c r="AQ40" s="41">
        <f>IF(Cir=1,SUMIF(배당!$66:$66,현금흐름!AQ$14,배당!90:90)*-1,0)</f>
        <v>0</v>
      </c>
      <c r="AR40" s="41">
        <f ca="1">IF(Cir=1,SUMIF(배당!$66:$66,현금흐름!AR$14,배당!90:90)*-1,0)</f>
        <v>0</v>
      </c>
      <c r="AS40" s="41">
        <f>IF(Cir=1,SUMIF(배당!$66:$66,현금흐름!AS$14,배당!90:90)*-1,0)</f>
        <v>0</v>
      </c>
      <c r="AT40" s="41">
        <f>IF(Cir=1,SUMIF(배당!$66:$66,현금흐름!AT$14,배당!90:90)*-1,0)</f>
        <v>0</v>
      </c>
      <c r="AU40" s="41">
        <f>IF(Cir=1,SUMIF(배당!$66:$66,현금흐름!AU$14,배당!90:90)*-1,0)</f>
        <v>0</v>
      </c>
      <c r="AV40" s="41">
        <f>IF(Cir=1,SUMIF(배당!$66:$66,현금흐름!AV$14,배당!90:90)*-1,0)</f>
        <v>0</v>
      </c>
      <c r="AW40" s="41">
        <f>IF(Cir=1,SUMIF(배당!$66:$66,현금흐름!AW$14,배당!90:90)*-1,0)</f>
        <v>0</v>
      </c>
      <c r="AX40" s="41">
        <f ca="1">IF(Cir=1,SUMIF(배당!$66:$66,현금흐름!AX$14,배당!90:90)*-1,0)</f>
        <v>0</v>
      </c>
      <c r="AY40" s="41">
        <f>IF(Cir=1,SUMIF(배당!$66:$66,현금흐름!AY$14,배당!90:90)*-1,0)</f>
        <v>0</v>
      </c>
      <c r="AZ40" s="41">
        <f>IF(Cir=1,SUMIF(배당!$66:$66,현금흐름!AZ$14,배당!90:90)*-1,0)</f>
        <v>0</v>
      </c>
      <c r="BA40" s="41">
        <f>IF(Cir=1,SUMIF(배당!$66:$66,현금흐름!BA$14,배당!90:90)*-1,0)</f>
        <v>0</v>
      </c>
      <c r="BB40" s="41">
        <f>IF(Cir=1,SUMIF(배당!$66:$66,현금흐름!BB$14,배당!90:90)*-1,0)</f>
        <v>0</v>
      </c>
      <c r="BC40" s="41">
        <f>IF(Cir=1,SUMIF(배당!$66:$66,현금흐름!BC$14,배당!90:90)*-1,0)</f>
        <v>0</v>
      </c>
      <c r="BD40" s="41">
        <f ca="1">IF(Cir=1,SUMIF(배당!$66:$66,현금흐름!BD$14,배당!90:90)*-1,0)</f>
        <v>0</v>
      </c>
      <c r="BE40" s="41">
        <f>IF(Cir=1,SUMIF(배당!$66:$66,현금흐름!BE$14,배당!90:90)*-1,0)</f>
        <v>0</v>
      </c>
      <c r="BF40" s="41">
        <f>IF(Cir=1,SUMIF(배당!$66:$66,현금흐름!BF$14,배당!90:90)*-1,0)</f>
        <v>0</v>
      </c>
      <c r="BG40" s="41">
        <f>IF(Cir=1,SUMIF(배당!$66:$66,현금흐름!BG$14,배당!90:90)*-1,0)</f>
        <v>0</v>
      </c>
      <c r="BH40" s="41">
        <f>IF(Cir=1,SUMIF(배당!$66:$66,현금흐름!BH$14,배당!90:90)*-1,0)</f>
        <v>0</v>
      </c>
      <c r="BI40" s="41">
        <f>IF(Cir=1,SUMIF(배당!$66:$66,현금흐름!BI$14,배당!90:90)*-1,0)</f>
        <v>0</v>
      </c>
      <c r="BJ40" s="41">
        <f ca="1">IF(Cir=1,SUMIF(배당!$66:$66,현금흐름!BJ$14,배당!90:90)*-1,0)</f>
        <v>0</v>
      </c>
      <c r="BK40" s="41">
        <f>IF(Cir=1,SUMIF(배당!$66:$66,현금흐름!BK$14,배당!90:90)*-1,0)</f>
        <v>0</v>
      </c>
      <c r="BL40" s="41">
        <f>IF(Cir=1,SUMIF(배당!$66:$66,현금흐름!BL$14,배당!90:90)*-1,0)</f>
        <v>0</v>
      </c>
      <c r="BM40" s="41">
        <f>IF(Cir=1,SUMIF(배당!$66:$66,현금흐름!BM$14,배당!90:90)*-1,0)</f>
        <v>0</v>
      </c>
      <c r="BN40" s="41">
        <f>IF(Cir=1,SUMIF(배당!$66:$66,현금흐름!BN$14,배당!90:90)*-1,0)</f>
        <v>0</v>
      </c>
      <c r="BO40" s="41">
        <f>IF(Cir=1,SUMIF(배당!$66:$66,현금흐름!BO$14,배당!90:90)*-1,0)</f>
        <v>0</v>
      </c>
      <c r="BP40" s="41">
        <f ca="1">IF(Cir=1,SUMIF(배당!$66:$66,현금흐름!BP$14,배당!90:90)*-1,0)</f>
        <v>-5568.3407939072104</v>
      </c>
      <c r="BQ40" s="41">
        <f>IF(Cir=1,SUMIF(배당!$66:$66,현금흐름!BQ$14,배당!90:90)*-1,0)</f>
        <v>0</v>
      </c>
      <c r="BR40" s="41">
        <f>IF(Cir=1,SUMIF(배당!$66:$66,현금흐름!BR$14,배당!90:90)*-1,0)</f>
        <v>0</v>
      </c>
      <c r="BS40" s="41">
        <f>IF(Cir=1,SUMIF(배당!$66:$66,현금흐름!BS$14,배당!90:90)*-1,0)</f>
        <v>0</v>
      </c>
      <c r="BT40" s="41">
        <f>IF(Cir=1,SUMIF(배당!$66:$66,현금흐름!BT$14,배당!90:90)*-1,0)</f>
        <v>0</v>
      </c>
      <c r="BU40" s="41">
        <f>IF(Cir=1,SUMIF(배당!$66:$66,현금흐름!BU$14,배당!90:90)*-1,0)</f>
        <v>0</v>
      </c>
      <c r="BV40" s="41">
        <f>IF(Cir=1,SUMIF(배당!$66:$66,현금흐름!BV$14,배당!90:90)*-1,0)</f>
        <v>0</v>
      </c>
      <c r="BW40" s="41">
        <f>IF(Cir=1,SUMIF(배당!$66:$66,현금흐름!BW$14,배당!90:90)*-1,0)</f>
        <v>0</v>
      </c>
      <c r="BX40" s="41">
        <f>IF(Cir=1,SUMIF(배당!$66:$66,현금흐름!BX$14,배당!90:90)*-1,0)</f>
        <v>0</v>
      </c>
      <c r="BY40" s="41">
        <f>IF(Cir=1,SUMIF(배당!$66:$66,현금흐름!BY$14,배당!90:90)*-1,0)</f>
        <v>0</v>
      </c>
    </row>
    <row r="41" spans="3:77" ht="13.5" customHeight="1">
      <c r="C41" s="34"/>
      <c r="D41" s="36" t="str">
        <f t="shared" ref="D41" si="22">D34</f>
        <v>우선주</v>
      </c>
      <c r="E41" s="42"/>
      <c r="F41" s="42">
        <f t="shared" ref="F41" ca="1" si="23">SUM(G41:XFD41)</f>
        <v>-17000</v>
      </c>
      <c r="G41" s="42"/>
      <c r="H41" s="42">
        <f>IF(Cir=1,SUMIF(배당!$66:$66,현금흐름!H$14,배당!91:91)*-1,0)</f>
        <v>0</v>
      </c>
      <c r="I41" s="42">
        <f>IF(Cir=1,SUMIF(배당!$66:$66,현금흐름!I$14,배당!91:91)*-1,0)</f>
        <v>0</v>
      </c>
      <c r="J41" s="42">
        <f>IF(Cir=1,SUMIF(배당!$66:$66,현금흐름!J$14,배당!91:91)*-1,0)</f>
        <v>0</v>
      </c>
      <c r="K41" s="42">
        <f>IF(Cir=1,SUMIF(배당!$66:$66,현금흐름!K$14,배당!91:91)*-1,0)</f>
        <v>0</v>
      </c>
      <c r="L41" s="42">
        <f>IF(Cir=1,SUMIF(배당!$66:$66,현금흐름!L$14,배당!91:91)*-1,0)</f>
        <v>0</v>
      </c>
      <c r="M41" s="42">
        <f>IF(Cir=1,SUMIF(배당!$66:$66,현금흐름!M$14,배당!91:91)*-1,0)</f>
        <v>0</v>
      </c>
      <c r="N41" s="42">
        <f ca="1">IF(Cir=1,SUMIF(배당!$66:$66,현금흐름!N$14,배당!91:91)*-1,0)</f>
        <v>0</v>
      </c>
      <c r="O41" s="42">
        <f>IF(Cir=1,SUMIF(배당!$66:$66,현금흐름!O$14,배당!91:91)*-1,0)</f>
        <v>0</v>
      </c>
      <c r="P41" s="42">
        <f>IF(Cir=1,SUMIF(배당!$66:$66,현금흐름!P$14,배당!91:91)*-1,0)</f>
        <v>0</v>
      </c>
      <c r="Q41" s="42">
        <f>IF(Cir=1,SUMIF(배당!$66:$66,현금흐름!Q$14,배당!91:91)*-1,0)</f>
        <v>0</v>
      </c>
      <c r="R41" s="42">
        <f>IF(Cir=1,SUMIF(배당!$66:$66,현금흐름!R$14,배당!91:91)*-1,0)</f>
        <v>0</v>
      </c>
      <c r="S41" s="42">
        <f>IF(Cir=1,SUMIF(배당!$66:$66,현금흐름!S$14,배당!91:91)*-1,0)</f>
        <v>0</v>
      </c>
      <c r="T41" s="42">
        <f ca="1">IF(Cir=1,SUMIF(배당!$66:$66,현금흐름!T$14,배당!91:91)*-1,0)</f>
        <v>0</v>
      </c>
      <c r="U41" s="42">
        <f>IF(Cir=1,SUMIF(배당!$66:$66,현금흐름!U$14,배당!91:91)*-1,0)</f>
        <v>0</v>
      </c>
      <c r="V41" s="42">
        <f>IF(Cir=1,SUMIF(배당!$66:$66,현금흐름!V$14,배당!91:91)*-1,0)</f>
        <v>0</v>
      </c>
      <c r="W41" s="42">
        <f>IF(Cir=1,SUMIF(배당!$66:$66,현금흐름!W$14,배당!91:91)*-1,0)</f>
        <v>0</v>
      </c>
      <c r="X41" s="42">
        <f>IF(Cir=1,SUMIF(배당!$66:$66,현금흐름!X$14,배당!91:91)*-1,0)</f>
        <v>0</v>
      </c>
      <c r="Y41" s="42">
        <f>IF(Cir=1,SUMIF(배당!$66:$66,현금흐름!Y$14,배당!91:91)*-1,0)</f>
        <v>0</v>
      </c>
      <c r="Z41" s="42">
        <f ca="1">IF(Cir=1,SUMIF(배당!$66:$66,현금흐름!Z$14,배당!91:91)*-1,0)</f>
        <v>0</v>
      </c>
      <c r="AA41" s="42">
        <f>IF(Cir=1,SUMIF(배당!$66:$66,현금흐름!AA$14,배당!91:91)*-1,0)</f>
        <v>0</v>
      </c>
      <c r="AB41" s="42">
        <f>IF(Cir=1,SUMIF(배당!$66:$66,현금흐름!AB$14,배당!91:91)*-1,0)</f>
        <v>0</v>
      </c>
      <c r="AC41" s="42">
        <f>IF(Cir=1,SUMIF(배당!$66:$66,현금흐름!AC$14,배당!91:91)*-1,0)</f>
        <v>0</v>
      </c>
      <c r="AD41" s="42">
        <f>IF(Cir=1,SUMIF(배당!$66:$66,현금흐름!AD$14,배당!91:91)*-1,0)</f>
        <v>0</v>
      </c>
      <c r="AE41" s="42">
        <f>IF(Cir=1,SUMIF(배당!$66:$66,현금흐름!AE$14,배당!91:91)*-1,0)</f>
        <v>0</v>
      </c>
      <c r="AF41" s="42">
        <f ca="1">IF(Cir=1,SUMIF(배당!$66:$66,현금흐름!AF$14,배당!91:91)*-1,0)</f>
        <v>0</v>
      </c>
      <c r="AG41" s="42">
        <f>IF(Cir=1,SUMIF(배당!$66:$66,현금흐름!AG$14,배당!91:91)*-1,0)</f>
        <v>0</v>
      </c>
      <c r="AH41" s="42">
        <f>IF(Cir=1,SUMIF(배당!$66:$66,현금흐름!AH$14,배당!91:91)*-1,0)</f>
        <v>0</v>
      </c>
      <c r="AI41" s="42">
        <f>IF(Cir=1,SUMIF(배당!$66:$66,현금흐름!AI$14,배당!91:91)*-1,0)</f>
        <v>0</v>
      </c>
      <c r="AJ41" s="42">
        <f>IF(Cir=1,SUMIF(배당!$66:$66,현금흐름!AJ$14,배당!91:91)*-1,0)</f>
        <v>0</v>
      </c>
      <c r="AK41" s="42">
        <f>IF(Cir=1,SUMIF(배당!$66:$66,현금흐름!AK$14,배당!91:91)*-1,0)</f>
        <v>0</v>
      </c>
      <c r="AL41" s="42">
        <f ca="1">IF(Cir=1,SUMIF(배당!$66:$66,현금흐름!AL$14,배당!91:91)*-1,0)</f>
        <v>0</v>
      </c>
      <c r="AM41" s="42">
        <f>IF(Cir=1,SUMIF(배당!$66:$66,현금흐름!AM$14,배당!91:91)*-1,0)</f>
        <v>0</v>
      </c>
      <c r="AN41" s="42">
        <f>IF(Cir=1,SUMIF(배당!$66:$66,현금흐름!AN$14,배당!91:91)*-1,0)</f>
        <v>0</v>
      </c>
      <c r="AO41" s="42">
        <f>IF(Cir=1,SUMIF(배당!$66:$66,현금흐름!AO$14,배당!91:91)*-1,0)</f>
        <v>0</v>
      </c>
      <c r="AP41" s="42">
        <f>IF(Cir=1,SUMIF(배당!$66:$66,현금흐름!AP$14,배당!91:91)*-1,0)</f>
        <v>0</v>
      </c>
      <c r="AQ41" s="42">
        <f>IF(Cir=1,SUMIF(배당!$66:$66,현금흐름!AQ$14,배당!91:91)*-1,0)</f>
        <v>0</v>
      </c>
      <c r="AR41" s="42">
        <f ca="1">IF(Cir=1,SUMIF(배당!$66:$66,현금흐름!AR$14,배당!91:91)*-1,0)</f>
        <v>0</v>
      </c>
      <c r="AS41" s="42">
        <f>IF(Cir=1,SUMIF(배당!$66:$66,현금흐름!AS$14,배당!91:91)*-1,0)</f>
        <v>0</v>
      </c>
      <c r="AT41" s="42">
        <f>IF(Cir=1,SUMIF(배당!$66:$66,현금흐름!AT$14,배당!91:91)*-1,0)</f>
        <v>0</v>
      </c>
      <c r="AU41" s="42">
        <f>IF(Cir=1,SUMIF(배당!$66:$66,현금흐름!AU$14,배당!91:91)*-1,0)</f>
        <v>0</v>
      </c>
      <c r="AV41" s="42">
        <f>IF(Cir=1,SUMIF(배당!$66:$66,현금흐름!AV$14,배당!91:91)*-1,0)</f>
        <v>0</v>
      </c>
      <c r="AW41" s="42">
        <f>IF(Cir=1,SUMIF(배당!$66:$66,현금흐름!AW$14,배당!91:91)*-1,0)</f>
        <v>0</v>
      </c>
      <c r="AX41" s="42">
        <f ca="1">IF(Cir=1,SUMIF(배당!$66:$66,현금흐름!AX$14,배당!91:91)*-1,0)</f>
        <v>0</v>
      </c>
      <c r="AY41" s="42">
        <f>IF(Cir=1,SUMIF(배당!$66:$66,현금흐름!AY$14,배당!91:91)*-1,0)</f>
        <v>0</v>
      </c>
      <c r="AZ41" s="42">
        <f>IF(Cir=1,SUMIF(배당!$66:$66,현금흐름!AZ$14,배당!91:91)*-1,0)</f>
        <v>0</v>
      </c>
      <c r="BA41" s="42">
        <f>IF(Cir=1,SUMIF(배당!$66:$66,현금흐름!BA$14,배당!91:91)*-1,0)</f>
        <v>0</v>
      </c>
      <c r="BB41" s="42">
        <f>IF(Cir=1,SUMIF(배당!$66:$66,현금흐름!BB$14,배당!91:91)*-1,0)</f>
        <v>0</v>
      </c>
      <c r="BC41" s="42">
        <f>IF(Cir=1,SUMIF(배당!$66:$66,현금흐름!BC$14,배당!91:91)*-1,0)</f>
        <v>0</v>
      </c>
      <c r="BD41" s="42">
        <f ca="1">IF(Cir=1,SUMIF(배당!$66:$66,현금흐름!BD$14,배당!91:91)*-1,0)</f>
        <v>0</v>
      </c>
      <c r="BE41" s="42">
        <f>IF(Cir=1,SUMIF(배당!$66:$66,현금흐름!BE$14,배당!91:91)*-1,0)</f>
        <v>0</v>
      </c>
      <c r="BF41" s="42">
        <f>IF(Cir=1,SUMIF(배당!$66:$66,현금흐름!BF$14,배당!91:91)*-1,0)</f>
        <v>0</v>
      </c>
      <c r="BG41" s="42">
        <f>IF(Cir=1,SUMIF(배당!$66:$66,현금흐름!BG$14,배당!91:91)*-1,0)</f>
        <v>0</v>
      </c>
      <c r="BH41" s="42">
        <f>IF(Cir=1,SUMIF(배당!$66:$66,현금흐름!BH$14,배당!91:91)*-1,0)</f>
        <v>0</v>
      </c>
      <c r="BI41" s="42">
        <f>IF(Cir=1,SUMIF(배당!$66:$66,현금흐름!BI$14,배당!91:91)*-1,0)</f>
        <v>0</v>
      </c>
      <c r="BJ41" s="42">
        <f ca="1">IF(Cir=1,SUMIF(배당!$66:$66,현금흐름!BJ$14,배당!91:91)*-1,0)</f>
        <v>0</v>
      </c>
      <c r="BK41" s="42">
        <f>IF(Cir=1,SUMIF(배당!$66:$66,현금흐름!BK$14,배당!91:91)*-1,0)</f>
        <v>0</v>
      </c>
      <c r="BL41" s="42">
        <f>IF(Cir=1,SUMIF(배당!$66:$66,현금흐름!BL$14,배당!91:91)*-1,0)</f>
        <v>0</v>
      </c>
      <c r="BM41" s="42">
        <f>IF(Cir=1,SUMIF(배당!$66:$66,현금흐름!BM$14,배당!91:91)*-1,0)</f>
        <v>0</v>
      </c>
      <c r="BN41" s="42">
        <f>IF(Cir=1,SUMIF(배당!$66:$66,현금흐름!BN$14,배당!91:91)*-1,0)</f>
        <v>0</v>
      </c>
      <c r="BO41" s="42">
        <f>IF(Cir=1,SUMIF(배당!$66:$66,현금흐름!BO$14,배당!91:91)*-1,0)</f>
        <v>0</v>
      </c>
      <c r="BP41" s="42">
        <f ca="1">IF(Cir=1,SUMIF(배당!$66:$66,현금흐름!BP$14,배당!91:91)*-1,0)</f>
        <v>-17000</v>
      </c>
      <c r="BQ41" s="42">
        <f>IF(Cir=1,SUMIF(배당!$66:$66,현금흐름!BQ$14,배당!91:91)*-1,0)</f>
        <v>0</v>
      </c>
      <c r="BR41" s="42">
        <f>IF(Cir=1,SUMIF(배당!$66:$66,현금흐름!BR$14,배당!91:91)*-1,0)</f>
        <v>0</v>
      </c>
      <c r="BS41" s="42">
        <f>IF(Cir=1,SUMIF(배당!$66:$66,현금흐름!BS$14,배당!91:91)*-1,0)</f>
        <v>0</v>
      </c>
      <c r="BT41" s="42">
        <f>IF(Cir=1,SUMIF(배당!$66:$66,현금흐름!BT$14,배당!91:91)*-1,0)</f>
        <v>0</v>
      </c>
      <c r="BU41" s="42">
        <f>IF(Cir=1,SUMIF(배당!$66:$66,현금흐름!BU$14,배당!91:91)*-1,0)</f>
        <v>0</v>
      </c>
      <c r="BV41" s="42">
        <f>IF(Cir=1,SUMIF(배당!$66:$66,현금흐름!BV$14,배당!91:91)*-1,0)</f>
        <v>0</v>
      </c>
      <c r="BW41" s="42">
        <f>IF(Cir=1,SUMIF(배당!$66:$66,현금흐름!BW$14,배당!91:91)*-1,0)</f>
        <v>0</v>
      </c>
      <c r="BX41" s="42">
        <f>IF(Cir=1,SUMIF(배당!$66:$66,현금흐름!BX$14,배당!91:91)*-1,0)</f>
        <v>0</v>
      </c>
      <c r="BY41" s="42">
        <f>IF(Cir=1,SUMIF(배당!$66:$66,현금흐름!BY$14,배당!91:91)*-1,0)</f>
        <v>0</v>
      </c>
    </row>
    <row r="42" spans="3:77" ht="13.5" customHeight="1">
      <c r="C42" s="1" t="s">
        <v>376</v>
      </c>
    </row>
    <row r="43" spans="3:77" ht="13.5" customHeight="1">
      <c r="D43" s="30" t="str">
        <f>'A&amp;R'!C80</f>
        <v>담보대출</v>
      </c>
      <c r="E43" s="41"/>
      <c r="F43" s="41">
        <f ca="1">SUM(G43:XFD43)</f>
        <v>-25426.307263550061</v>
      </c>
      <c r="G43" s="41"/>
      <c r="H43" s="41">
        <f ca="1">(H$14='A&amp;R'!$G80)*'A&amp;R'!$E80*-1</f>
        <v>0</v>
      </c>
      <c r="I43" s="41">
        <f ca="1">(I$14='A&amp;R'!$G80)*'A&amp;R'!$E80*-1</f>
        <v>0</v>
      </c>
      <c r="J43" s="41">
        <f ca="1">(J$14='A&amp;R'!$G80)*'A&amp;R'!$E80*-1</f>
        <v>0</v>
      </c>
      <c r="K43" s="41">
        <f ca="1">(K$14='A&amp;R'!$G80)*'A&amp;R'!$E80*-1</f>
        <v>0</v>
      </c>
      <c r="L43" s="41">
        <f ca="1">(L$14='A&amp;R'!$G80)*'A&amp;R'!$E80*-1</f>
        <v>0</v>
      </c>
      <c r="M43" s="41">
        <f ca="1">(M$14='A&amp;R'!$G80)*'A&amp;R'!$E80*-1</f>
        <v>0</v>
      </c>
      <c r="N43" s="41">
        <f ca="1">(N$14='A&amp;R'!$G80)*'A&amp;R'!$E80*-1</f>
        <v>0</v>
      </c>
      <c r="O43" s="41">
        <f ca="1">(O$14='A&amp;R'!$G80)*'A&amp;R'!$E80*-1</f>
        <v>0</v>
      </c>
      <c r="P43" s="41">
        <f ca="1">(P$14='A&amp;R'!$G80)*'A&amp;R'!$E80*-1</f>
        <v>0</v>
      </c>
      <c r="Q43" s="41">
        <f ca="1">(Q$14='A&amp;R'!$G80)*'A&amp;R'!$E80*-1</f>
        <v>0</v>
      </c>
      <c r="R43" s="41">
        <f ca="1">(R$14='A&amp;R'!$G80)*'A&amp;R'!$E80*-1</f>
        <v>0</v>
      </c>
      <c r="S43" s="41">
        <f ca="1">(S$14='A&amp;R'!$G80)*'A&amp;R'!$E80*-1</f>
        <v>0</v>
      </c>
      <c r="T43" s="41">
        <f ca="1">(T$14='A&amp;R'!$G80)*'A&amp;R'!$E80*-1</f>
        <v>0</v>
      </c>
      <c r="U43" s="41">
        <f ca="1">(U$14='A&amp;R'!$G80)*'A&amp;R'!$E80*-1</f>
        <v>0</v>
      </c>
      <c r="V43" s="41">
        <f ca="1">(V$14='A&amp;R'!$G80)*'A&amp;R'!$E80*-1</f>
        <v>0</v>
      </c>
      <c r="W43" s="41">
        <f ca="1">(W$14='A&amp;R'!$G80)*'A&amp;R'!$E80*-1</f>
        <v>0</v>
      </c>
      <c r="X43" s="41">
        <f ca="1">(X$14='A&amp;R'!$G80)*'A&amp;R'!$E80*-1</f>
        <v>0</v>
      </c>
      <c r="Y43" s="41">
        <f ca="1">(Y$14='A&amp;R'!$G80)*'A&amp;R'!$E80*-1</f>
        <v>0</v>
      </c>
      <c r="Z43" s="41">
        <f ca="1">(Z$14='A&amp;R'!$G80)*'A&amp;R'!$E80*-1</f>
        <v>0</v>
      </c>
      <c r="AA43" s="41">
        <f ca="1">(AA$14='A&amp;R'!$G80)*'A&amp;R'!$E80*-1</f>
        <v>0</v>
      </c>
      <c r="AB43" s="41">
        <f ca="1">(AB$14='A&amp;R'!$G80)*'A&amp;R'!$E80*-1</f>
        <v>0</v>
      </c>
      <c r="AC43" s="41">
        <f ca="1">(AC$14='A&amp;R'!$G80)*'A&amp;R'!$E80*-1</f>
        <v>0</v>
      </c>
      <c r="AD43" s="41">
        <f ca="1">(AD$14='A&amp;R'!$G80)*'A&amp;R'!$E80*-1</f>
        <v>0</v>
      </c>
      <c r="AE43" s="41">
        <f ca="1">(AE$14='A&amp;R'!$G80)*'A&amp;R'!$E80*-1</f>
        <v>0</v>
      </c>
      <c r="AF43" s="41">
        <f ca="1">(AF$14='A&amp;R'!$G80)*'A&amp;R'!$E80*-1</f>
        <v>0</v>
      </c>
      <c r="AG43" s="41">
        <f ca="1">(AG$14='A&amp;R'!$G80)*'A&amp;R'!$E80*-1</f>
        <v>0</v>
      </c>
      <c r="AH43" s="41">
        <f ca="1">(AH$14='A&amp;R'!$G80)*'A&amp;R'!$E80*-1</f>
        <v>0</v>
      </c>
      <c r="AI43" s="41">
        <f ca="1">(AI$14='A&amp;R'!$G80)*'A&amp;R'!$E80*-1</f>
        <v>0</v>
      </c>
      <c r="AJ43" s="41">
        <f ca="1">(AJ$14='A&amp;R'!$G80)*'A&amp;R'!$E80*-1</f>
        <v>0</v>
      </c>
      <c r="AK43" s="41">
        <f ca="1">(AK$14='A&amp;R'!$G80)*'A&amp;R'!$E80*-1</f>
        <v>0</v>
      </c>
      <c r="AL43" s="41">
        <f ca="1">(AL$14='A&amp;R'!$G80)*'A&amp;R'!$E80*-1</f>
        <v>0</v>
      </c>
      <c r="AM43" s="41">
        <f ca="1">(AM$14='A&amp;R'!$G80)*'A&amp;R'!$E80*-1</f>
        <v>0</v>
      </c>
      <c r="AN43" s="41">
        <f ca="1">(AN$14='A&amp;R'!$G80)*'A&amp;R'!$E80*-1</f>
        <v>0</v>
      </c>
      <c r="AO43" s="41">
        <f ca="1">(AO$14='A&amp;R'!$G80)*'A&amp;R'!$E80*-1</f>
        <v>0</v>
      </c>
      <c r="AP43" s="41">
        <f ca="1">(AP$14='A&amp;R'!$G80)*'A&amp;R'!$E80*-1</f>
        <v>0</v>
      </c>
      <c r="AQ43" s="41">
        <f ca="1">(AQ$14='A&amp;R'!$G80)*'A&amp;R'!$E80*-1</f>
        <v>0</v>
      </c>
      <c r="AR43" s="41">
        <f ca="1">(AR$14='A&amp;R'!$G80)*'A&amp;R'!$E80*-1</f>
        <v>0</v>
      </c>
      <c r="AS43" s="41">
        <f ca="1">(AS$14='A&amp;R'!$G80)*'A&amp;R'!$E80*-1</f>
        <v>0</v>
      </c>
      <c r="AT43" s="41">
        <f ca="1">(AT$14='A&amp;R'!$G80)*'A&amp;R'!$E80*-1</f>
        <v>0</v>
      </c>
      <c r="AU43" s="41">
        <f ca="1">(AU$14='A&amp;R'!$G80)*'A&amp;R'!$E80*-1</f>
        <v>0</v>
      </c>
      <c r="AV43" s="41">
        <f ca="1">(AV$14='A&amp;R'!$G80)*'A&amp;R'!$E80*-1</f>
        <v>0</v>
      </c>
      <c r="AW43" s="41">
        <f ca="1">(AW$14='A&amp;R'!$G80)*'A&amp;R'!$E80*-1</f>
        <v>0</v>
      </c>
      <c r="AX43" s="41">
        <f ca="1">(AX$14='A&amp;R'!$G80)*'A&amp;R'!$E80*-1</f>
        <v>0</v>
      </c>
      <c r="AY43" s="41">
        <f ca="1">(AY$14='A&amp;R'!$G80)*'A&amp;R'!$E80*-1</f>
        <v>0</v>
      </c>
      <c r="AZ43" s="41">
        <f ca="1">(AZ$14='A&amp;R'!$G80)*'A&amp;R'!$E80*-1</f>
        <v>0</v>
      </c>
      <c r="BA43" s="41">
        <f ca="1">(BA$14='A&amp;R'!$G80)*'A&amp;R'!$E80*-1</f>
        <v>0</v>
      </c>
      <c r="BB43" s="41">
        <f ca="1">(BB$14='A&amp;R'!$G80)*'A&amp;R'!$E80*-1</f>
        <v>0</v>
      </c>
      <c r="BC43" s="41">
        <f ca="1">(BC$14='A&amp;R'!$G80)*'A&amp;R'!$E80*-1</f>
        <v>0</v>
      </c>
      <c r="BD43" s="41">
        <f ca="1">(BD$14='A&amp;R'!$G80)*'A&amp;R'!$E80*-1</f>
        <v>0</v>
      </c>
      <c r="BE43" s="41">
        <f ca="1">(BE$14='A&amp;R'!$G80)*'A&amp;R'!$E80*-1</f>
        <v>0</v>
      </c>
      <c r="BF43" s="41">
        <f ca="1">(BF$14='A&amp;R'!$G80)*'A&amp;R'!$E80*-1</f>
        <v>0</v>
      </c>
      <c r="BG43" s="41">
        <f ca="1">(BG$14='A&amp;R'!$G80)*'A&amp;R'!$E80*-1</f>
        <v>0</v>
      </c>
      <c r="BH43" s="41">
        <f ca="1">(BH$14='A&amp;R'!$G80)*'A&amp;R'!$E80*-1</f>
        <v>0</v>
      </c>
      <c r="BI43" s="41">
        <f ca="1">(BI$14='A&amp;R'!$G80)*'A&amp;R'!$E80*-1</f>
        <v>0</v>
      </c>
      <c r="BJ43" s="41">
        <f ca="1">(BJ$14='A&amp;R'!$G80)*'A&amp;R'!$E80*-1</f>
        <v>0</v>
      </c>
      <c r="BK43" s="41">
        <f ca="1">(BK$14='A&amp;R'!$G80)*'A&amp;R'!$E80*-1</f>
        <v>0</v>
      </c>
      <c r="BL43" s="41">
        <f ca="1">(BL$14='A&amp;R'!$G80)*'A&amp;R'!$E80*-1</f>
        <v>0</v>
      </c>
      <c r="BM43" s="41">
        <f ca="1">(BM$14='A&amp;R'!$G80)*'A&amp;R'!$E80*-1</f>
        <v>0</v>
      </c>
      <c r="BN43" s="41">
        <f ca="1">(BN$14='A&amp;R'!$G80)*'A&amp;R'!$E80*-1</f>
        <v>0</v>
      </c>
      <c r="BO43" s="41">
        <f ca="1">(BO$14='A&amp;R'!$G80)*'A&amp;R'!$E80*-1</f>
        <v>0</v>
      </c>
      <c r="BP43" s="41">
        <f ca="1">(BP$14='A&amp;R'!$G80)*'A&amp;R'!$E80*-1</f>
        <v>-25426.307263550061</v>
      </c>
      <c r="BQ43" s="41">
        <f ca="1">(BQ$14='A&amp;R'!$G80)*'A&amp;R'!$E80*-1</f>
        <v>0</v>
      </c>
      <c r="BR43" s="41">
        <f ca="1">(BR$14='A&amp;R'!$G80)*'A&amp;R'!$E80*-1</f>
        <v>0</v>
      </c>
      <c r="BS43" s="41">
        <f ca="1">(BS$14='A&amp;R'!$G80)*'A&amp;R'!$E80*-1</f>
        <v>0</v>
      </c>
      <c r="BT43" s="41">
        <f ca="1">(BT$14='A&amp;R'!$G80)*'A&amp;R'!$E80*-1</f>
        <v>0</v>
      </c>
      <c r="BU43" s="41">
        <f ca="1">(BU$14='A&amp;R'!$G80)*'A&amp;R'!$E80*-1</f>
        <v>0</v>
      </c>
      <c r="BV43" s="41">
        <f ca="1">(BV$14='A&amp;R'!$G80)*'A&amp;R'!$E80*-1</f>
        <v>0</v>
      </c>
      <c r="BW43" s="41">
        <f ca="1">(BW$14='A&amp;R'!$G80)*'A&amp;R'!$E80*-1</f>
        <v>0</v>
      </c>
      <c r="BX43" s="41">
        <f ca="1">(BX$14='A&amp;R'!$G80)*'A&amp;R'!$E80*-1</f>
        <v>0</v>
      </c>
      <c r="BY43" s="41">
        <f ca="1">(BY$14='A&amp;R'!$G80)*'A&amp;R'!$E80*-1</f>
        <v>0</v>
      </c>
    </row>
    <row r="44" spans="3:77" ht="13.5" customHeight="1">
      <c r="D44" s="33" t="str">
        <f>'A&amp;R'!C81</f>
        <v>VAT Loan</v>
      </c>
      <c r="E44" s="43"/>
      <c r="F44" s="43">
        <f t="shared" ref="F44:F45" ca="1" si="24">SUM(G44:XFD44)</f>
        <v>-2997.8680304266668</v>
      </c>
      <c r="G44" s="43"/>
      <c r="H44" s="43">
        <f ca="1">(H$14='A&amp;R'!$G81)*'A&amp;R'!$E81*-1</f>
        <v>0</v>
      </c>
      <c r="I44" s="43">
        <f ca="1">(I$14='A&amp;R'!$G81)*'A&amp;R'!$E81*-1</f>
        <v>0</v>
      </c>
      <c r="J44" s="43">
        <f ca="1">(J$14='A&amp;R'!$G81)*'A&amp;R'!$E81*-1</f>
        <v>0</v>
      </c>
      <c r="K44" s="43">
        <f ca="1">(K$14='A&amp;R'!$G81)*'A&amp;R'!$E81*-1</f>
        <v>0</v>
      </c>
      <c r="L44" s="43">
        <f ca="1">(L$14='A&amp;R'!$G81)*'A&amp;R'!$E81*-1</f>
        <v>0</v>
      </c>
      <c r="M44" s="43">
        <f ca="1">(M$14='A&amp;R'!$G81)*'A&amp;R'!$E81*-1</f>
        <v>-2997.8680304266668</v>
      </c>
      <c r="N44" s="43">
        <f ca="1">(N$14='A&amp;R'!$G81)*'A&amp;R'!$E81*-1</f>
        <v>0</v>
      </c>
      <c r="O44" s="43">
        <f ca="1">(O$14='A&amp;R'!$G81)*'A&amp;R'!$E81*-1</f>
        <v>0</v>
      </c>
      <c r="P44" s="43">
        <f ca="1">(P$14='A&amp;R'!$G81)*'A&amp;R'!$E81*-1</f>
        <v>0</v>
      </c>
      <c r="Q44" s="43">
        <f ca="1">(Q$14='A&amp;R'!$G81)*'A&amp;R'!$E81*-1</f>
        <v>0</v>
      </c>
      <c r="R44" s="43">
        <f ca="1">(R$14='A&amp;R'!$G81)*'A&amp;R'!$E81*-1</f>
        <v>0</v>
      </c>
      <c r="S44" s="43">
        <f ca="1">(S$14='A&amp;R'!$G81)*'A&amp;R'!$E81*-1</f>
        <v>0</v>
      </c>
      <c r="T44" s="43">
        <f ca="1">(T$14='A&amp;R'!$G81)*'A&amp;R'!$E81*-1</f>
        <v>0</v>
      </c>
      <c r="U44" s="43">
        <f ca="1">(U$14='A&amp;R'!$G81)*'A&amp;R'!$E81*-1</f>
        <v>0</v>
      </c>
      <c r="V44" s="43">
        <f ca="1">(V$14='A&amp;R'!$G81)*'A&amp;R'!$E81*-1</f>
        <v>0</v>
      </c>
      <c r="W44" s="43">
        <f ca="1">(W$14='A&amp;R'!$G81)*'A&amp;R'!$E81*-1</f>
        <v>0</v>
      </c>
      <c r="X44" s="43">
        <f ca="1">(X$14='A&amp;R'!$G81)*'A&amp;R'!$E81*-1</f>
        <v>0</v>
      </c>
      <c r="Y44" s="43">
        <f ca="1">(Y$14='A&amp;R'!$G81)*'A&amp;R'!$E81*-1</f>
        <v>0</v>
      </c>
      <c r="Z44" s="43">
        <f ca="1">(Z$14='A&amp;R'!$G81)*'A&amp;R'!$E81*-1</f>
        <v>0</v>
      </c>
      <c r="AA44" s="43">
        <f ca="1">(AA$14='A&amp;R'!$G81)*'A&amp;R'!$E81*-1</f>
        <v>0</v>
      </c>
      <c r="AB44" s="43">
        <f ca="1">(AB$14='A&amp;R'!$G81)*'A&amp;R'!$E81*-1</f>
        <v>0</v>
      </c>
      <c r="AC44" s="43">
        <f ca="1">(AC$14='A&amp;R'!$G81)*'A&amp;R'!$E81*-1</f>
        <v>0</v>
      </c>
      <c r="AD44" s="43">
        <f ca="1">(AD$14='A&amp;R'!$G81)*'A&amp;R'!$E81*-1</f>
        <v>0</v>
      </c>
      <c r="AE44" s="43">
        <f ca="1">(AE$14='A&amp;R'!$G81)*'A&amp;R'!$E81*-1</f>
        <v>0</v>
      </c>
      <c r="AF44" s="43">
        <f ca="1">(AF$14='A&amp;R'!$G81)*'A&amp;R'!$E81*-1</f>
        <v>0</v>
      </c>
      <c r="AG44" s="43">
        <f ca="1">(AG$14='A&amp;R'!$G81)*'A&amp;R'!$E81*-1</f>
        <v>0</v>
      </c>
      <c r="AH44" s="43">
        <f ca="1">(AH$14='A&amp;R'!$G81)*'A&amp;R'!$E81*-1</f>
        <v>0</v>
      </c>
      <c r="AI44" s="43">
        <f ca="1">(AI$14='A&amp;R'!$G81)*'A&amp;R'!$E81*-1</f>
        <v>0</v>
      </c>
      <c r="AJ44" s="43">
        <f ca="1">(AJ$14='A&amp;R'!$G81)*'A&amp;R'!$E81*-1</f>
        <v>0</v>
      </c>
      <c r="AK44" s="43">
        <f ca="1">(AK$14='A&amp;R'!$G81)*'A&amp;R'!$E81*-1</f>
        <v>0</v>
      </c>
      <c r="AL44" s="43">
        <f ca="1">(AL$14='A&amp;R'!$G81)*'A&amp;R'!$E81*-1</f>
        <v>0</v>
      </c>
      <c r="AM44" s="43">
        <f ca="1">(AM$14='A&amp;R'!$G81)*'A&amp;R'!$E81*-1</f>
        <v>0</v>
      </c>
      <c r="AN44" s="43">
        <f ca="1">(AN$14='A&amp;R'!$G81)*'A&amp;R'!$E81*-1</f>
        <v>0</v>
      </c>
      <c r="AO44" s="43">
        <f ca="1">(AO$14='A&amp;R'!$G81)*'A&amp;R'!$E81*-1</f>
        <v>0</v>
      </c>
      <c r="AP44" s="43">
        <f ca="1">(AP$14='A&amp;R'!$G81)*'A&amp;R'!$E81*-1</f>
        <v>0</v>
      </c>
      <c r="AQ44" s="43">
        <f ca="1">(AQ$14='A&amp;R'!$G81)*'A&amp;R'!$E81*-1</f>
        <v>0</v>
      </c>
      <c r="AR44" s="43">
        <f ca="1">(AR$14='A&amp;R'!$G81)*'A&amp;R'!$E81*-1</f>
        <v>0</v>
      </c>
      <c r="AS44" s="43">
        <f ca="1">(AS$14='A&amp;R'!$G81)*'A&amp;R'!$E81*-1</f>
        <v>0</v>
      </c>
      <c r="AT44" s="43">
        <f ca="1">(AT$14='A&amp;R'!$G81)*'A&amp;R'!$E81*-1</f>
        <v>0</v>
      </c>
      <c r="AU44" s="43">
        <f ca="1">(AU$14='A&amp;R'!$G81)*'A&amp;R'!$E81*-1</f>
        <v>0</v>
      </c>
      <c r="AV44" s="43">
        <f ca="1">(AV$14='A&amp;R'!$G81)*'A&amp;R'!$E81*-1</f>
        <v>0</v>
      </c>
      <c r="AW44" s="43">
        <f ca="1">(AW$14='A&amp;R'!$G81)*'A&amp;R'!$E81*-1</f>
        <v>0</v>
      </c>
      <c r="AX44" s="43">
        <f ca="1">(AX$14='A&amp;R'!$G81)*'A&amp;R'!$E81*-1</f>
        <v>0</v>
      </c>
      <c r="AY44" s="43">
        <f ca="1">(AY$14='A&amp;R'!$G81)*'A&amp;R'!$E81*-1</f>
        <v>0</v>
      </c>
      <c r="AZ44" s="43">
        <f ca="1">(AZ$14='A&amp;R'!$G81)*'A&amp;R'!$E81*-1</f>
        <v>0</v>
      </c>
      <c r="BA44" s="43">
        <f ca="1">(BA$14='A&amp;R'!$G81)*'A&amp;R'!$E81*-1</f>
        <v>0</v>
      </c>
      <c r="BB44" s="43">
        <f ca="1">(BB$14='A&amp;R'!$G81)*'A&amp;R'!$E81*-1</f>
        <v>0</v>
      </c>
      <c r="BC44" s="43">
        <f ca="1">(BC$14='A&amp;R'!$G81)*'A&amp;R'!$E81*-1</f>
        <v>0</v>
      </c>
      <c r="BD44" s="43">
        <f ca="1">(BD$14='A&amp;R'!$G81)*'A&amp;R'!$E81*-1</f>
        <v>0</v>
      </c>
      <c r="BE44" s="43">
        <f ca="1">(BE$14='A&amp;R'!$G81)*'A&amp;R'!$E81*-1</f>
        <v>0</v>
      </c>
      <c r="BF44" s="43">
        <f ca="1">(BF$14='A&amp;R'!$G81)*'A&amp;R'!$E81*-1</f>
        <v>0</v>
      </c>
      <c r="BG44" s="43">
        <f ca="1">(BG$14='A&amp;R'!$G81)*'A&amp;R'!$E81*-1</f>
        <v>0</v>
      </c>
      <c r="BH44" s="43">
        <f ca="1">(BH$14='A&amp;R'!$G81)*'A&amp;R'!$E81*-1</f>
        <v>0</v>
      </c>
      <c r="BI44" s="43">
        <f ca="1">(BI$14='A&amp;R'!$G81)*'A&amp;R'!$E81*-1</f>
        <v>0</v>
      </c>
      <c r="BJ44" s="43">
        <f ca="1">(BJ$14='A&amp;R'!$G81)*'A&amp;R'!$E81*-1</f>
        <v>0</v>
      </c>
      <c r="BK44" s="43">
        <f ca="1">(BK$14='A&amp;R'!$G81)*'A&amp;R'!$E81*-1</f>
        <v>0</v>
      </c>
      <c r="BL44" s="43">
        <f ca="1">(BL$14='A&amp;R'!$G81)*'A&amp;R'!$E81*-1</f>
        <v>0</v>
      </c>
      <c r="BM44" s="43">
        <f ca="1">(BM$14='A&amp;R'!$G81)*'A&amp;R'!$E81*-1</f>
        <v>0</v>
      </c>
      <c r="BN44" s="43">
        <f ca="1">(BN$14='A&amp;R'!$G81)*'A&amp;R'!$E81*-1</f>
        <v>0</v>
      </c>
      <c r="BO44" s="43">
        <f ca="1">(BO$14='A&amp;R'!$G81)*'A&amp;R'!$E81*-1</f>
        <v>0</v>
      </c>
      <c r="BP44" s="43">
        <f ca="1">(BP$14='A&amp;R'!$G81)*'A&amp;R'!$E81*-1</f>
        <v>0</v>
      </c>
      <c r="BQ44" s="43">
        <f ca="1">(BQ$14='A&amp;R'!$G81)*'A&amp;R'!$E81*-1</f>
        <v>0</v>
      </c>
      <c r="BR44" s="43">
        <f ca="1">(BR$14='A&amp;R'!$G81)*'A&amp;R'!$E81*-1</f>
        <v>0</v>
      </c>
      <c r="BS44" s="43">
        <f ca="1">(BS$14='A&amp;R'!$G81)*'A&amp;R'!$E81*-1</f>
        <v>0</v>
      </c>
      <c r="BT44" s="43">
        <f ca="1">(BT$14='A&amp;R'!$G81)*'A&amp;R'!$E81*-1</f>
        <v>0</v>
      </c>
      <c r="BU44" s="43">
        <f ca="1">(BU$14='A&amp;R'!$G81)*'A&amp;R'!$E81*-1</f>
        <v>0</v>
      </c>
      <c r="BV44" s="43">
        <f ca="1">(BV$14='A&amp;R'!$G81)*'A&amp;R'!$E81*-1</f>
        <v>0</v>
      </c>
      <c r="BW44" s="43">
        <f ca="1">(BW$14='A&amp;R'!$G81)*'A&amp;R'!$E81*-1</f>
        <v>0</v>
      </c>
      <c r="BX44" s="43">
        <f ca="1">(BX$14='A&amp;R'!$G81)*'A&amp;R'!$E81*-1</f>
        <v>0</v>
      </c>
      <c r="BY44" s="43">
        <f ca="1">(BY$14='A&amp;R'!$G81)*'A&amp;R'!$E81*-1</f>
        <v>0</v>
      </c>
    </row>
    <row r="45" spans="3:77" ht="13.5" customHeight="1">
      <c r="C45" s="34"/>
      <c r="D45" s="36" t="str">
        <f>'A&amp;R'!C82</f>
        <v>보증금</v>
      </c>
      <c r="E45" s="42"/>
      <c r="F45" s="42">
        <f t="shared" ca="1" si="24"/>
        <v>-1481.7</v>
      </c>
      <c r="G45" s="42"/>
      <c r="H45" s="42">
        <f ca="1">운영수입!H330</f>
        <v>0</v>
      </c>
      <c r="I45" s="42">
        <f ca="1">운영수입!I330</f>
        <v>0</v>
      </c>
      <c r="J45" s="42">
        <f ca="1">운영수입!J330</f>
        <v>0</v>
      </c>
      <c r="K45" s="42">
        <f ca="1">운영수입!K330</f>
        <v>0</v>
      </c>
      <c r="L45" s="42">
        <f ca="1">운영수입!L330</f>
        <v>0</v>
      </c>
      <c r="M45" s="42">
        <f ca="1">운영수입!M330</f>
        <v>-794.1</v>
      </c>
      <c r="N45" s="42">
        <f ca="1">운영수입!N330</f>
        <v>0</v>
      </c>
      <c r="O45" s="42">
        <f ca="1">운영수입!O330</f>
        <v>794.1</v>
      </c>
      <c r="P45" s="42">
        <f ca="1">운영수입!P330</f>
        <v>0</v>
      </c>
      <c r="Q45" s="42">
        <f ca="1">운영수입!Q330</f>
        <v>0</v>
      </c>
      <c r="R45" s="42">
        <f ca="1">운영수입!R330</f>
        <v>0</v>
      </c>
      <c r="S45" s="42">
        <f ca="1">운영수입!S330</f>
        <v>0</v>
      </c>
      <c r="T45" s="42">
        <f ca="1">운영수입!T330</f>
        <v>0</v>
      </c>
      <c r="U45" s="42">
        <f ca="1">운영수입!U330</f>
        <v>0</v>
      </c>
      <c r="V45" s="42">
        <f ca="1">운영수입!V330</f>
        <v>0</v>
      </c>
      <c r="W45" s="42">
        <f ca="1">운영수입!W330</f>
        <v>0</v>
      </c>
      <c r="X45" s="42">
        <f ca="1">운영수입!X330</f>
        <v>0</v>
      </c>
      <c r="Y45" s="42">
        <f ca="1">운영수입!Y330</f>
        <v>0</v>
      </c>
      <c r="Z45" s="42">
        <f ca="1">운영수입!Z330</f>
        <v>0</v>
      </c>
      <c r="AA45" s="42">
        <f ca="1">운영수입!AA330</f>
        <v>0</v>
      </c>
      <c r="AB45" s="42">
        <f ca="1">운영수입!AB330</f>
        <v>0</v>
      </c>
      <c r="AC45" s="42">
        <f ca="1">운영수입!AC330</f>
        <v>0</v>
      </c>
      <c r="AD45" s="42">
        <f ca="1">운영수입!AD330</f>
        <v>0</v>
      </c>
      <c r="AE45" s="42">
        <f ca="1">운영수입!AE330</f>
        <v>0</v>
      </c>
      <c r="AF45" s="42">
        <f ca="1">운영수입!AF330</f>
        <v>0</v>
      </c>
      <c r="AG45" s="42">
        <f ca="1">운영수입!AG330</f>
        <v>0</v>
      </c>
      <c r="AH45" s="42">
        <f ca="1">운영수입!AH330</f>
        <v>0</v>
      </c>
      <c r="AI45" s="42">
        <f ca="1">운영수입!AI330</f>
        <v>0</v>
      </c>
      <c r="AJ45" s="42">
        <f ca="1">운영수입!AJ330</f>
        <v>0</v>
      </c>
      <c r="AK45" s="42">
        <f ca="1">운영수입!AK330</f>
        <v>-687.6</v>
      </c>
      <c r="AL45" s="42">
        <f ca="1">운영수입!AL330</f>
        <v>0</v>
      </c>
      <c r="AM45" s="42">
        <f ca="1">운영수입!AM330</f>
        <v>714.56399999999996</v>
      </c>
      <c r="AN45" s="42">
        <f ca="1">운영수입!AN330</f>
        <v>0</v>
      </c>
      <c r="AO45" s="42">
        <f ca="1">운영수입!AO330</f>
        <v>0</v>
      </c>
      <c r="AP45" s="42">
        <f ca="1">운영수입!AP330</f>
        <v>0</v>
      </c>
      <c r="AQ45" s="42">
        <f ca="1">운영수입!AQ330</f>
        <v>0</v>
      </c>
      <c r="AR45" s="42">
        <f ca="1">운영수입!AR330</f>
        <v>0</v>
      </c>
      <c r="AS45" s="42">
        <f ca="1">운영수입!AS330</f>
        <v>0</v>
      </c>
      <c r="AT45" s="42">
        <f ca="1">운영수입!AT330</f>
        <v>0</v>
      </c>
      <c r="AU45" s="42">
        <f ca="1">운영수입!AU330</f>
        <v>0</v>
      </c>
      <c r="AV45" s="42">
        <f ca="1">운영수입!AV330</f>
        <v>0</v>
      </c>
      <c r="AW45" s="42">
        <f ca="1">운영수입!AW330</f>
        <v>0</v>
      </c>
      <c r="AX45" s="42">
        <f ca="1">운영수입!AX330</f>
        <v>0</v>
      </c>
      <c r="AY45" s="42">
        <f ca="1">운영수입!AY330</f>
        <v>0</v>
      </c>
      <c r="AZ45" s="42">
        <f ca="1">운영수입!AZ330</f>
        <v>0</v>
      </c>
      <c r="BA45" s="42">
        <f ca="1">운영수입!BA330</f>
        <v>0</v>
      </c>
      <c r="BB45" s="42">
        <f ca="1">운영수입!BB330</f>
        <v>0</v>
      </c>
      <c r="BC45" s="42">
        <f ca="1">운영수입!BC330</f>
        <v>0</v>
      </c>
      <c r="BD45" s="42">
        <f ca="1">운영수입!BD330</f>
        <v>0</v>
      </c>
      <c r="BE45" s="42">
        <f ca="1">운영수입!BE330</f>
        <v>0</v>
      </c>
      <c r="BF45" s="42">
        <f ca="1">운영수입!BF330</f>
        <v>0</v>
      </c>
      <c r="BG45" s="42">
        <f ca="1">운영수입!BG330</f>
        <v>0</v>
      </c>
      <c r="BH45" s="42">
        <f ca="1">운영수입!BH330</f>
        <v>0</v>
      </c>
      <c r="BI45" s="42">
        <f ca="1">운영수입!BI330</f>
        <v>0</v>
      </c>
      <c r="BJ45" s="42">
        <f ca="1">운영수입!BJ330</f>
        <v>0</v>
      </c>
      <c r="BK45" s="42">
        <f ca="1">운영수입!BK330</f>
        <v>0</v>
      </c>
      <c r="BL45" s="42">
        <f ca="1">운영수입!BL330</f>
        <v>0</v>
      </c>
      <c r="BM45" s="42">
        <f ca="1">운영수입!BM330</f>
        <v>0</v>
      </c>
      <c r="BN45" s="42">
        <f ca="1">운영수입!BN330</f>
        <v>0</v>
      </c>
      <c r="BO45" s="42">
        <f ca="1">운영수입!BO330</f>
        <v>0</v>
      </c>
      <c r="BP45" s="42">
        <f ca="1">운영수입!BP330</f>
        <v>-1508.664</v>
      </c>
      <c r="BQ45" s="42">
        <f ca="1">운영수입!BQ330</f>
        <v>0</v>
      </c>
      <c r="BR45" s="42">
        <f ca="1">운영수입!BR330</f>
        <v>0</v>
      </c>
      <c r="BS45" s="42">
        <f ca="1">운영수입!BS330</f>
        <v>0</v>
      </c>
      <c r="BT45" s="42">
        <f ca="1">운영수입!BT330</f>
        <v>0</v>
      </c>
      <c r="BU45" s="42">
        <f ca="1">운영수입!BU330</f>
        <v>0</v>
      </c>
      <c r="BV45" s="42">
        <f ca="1">운영수입!BV330</f>
        <v>0</v>
      </c>
      <c r="BW45" s="42">
        <f ca="1">운영수입!BW330</f>
        <v>0</v>
      </c>
      <c r="BX45" s="42">
        <f ca="1">운영수입!BX330</f>
        <v>0</v>
      </c>
      <c r="BY45" s="42">
        <f ca="1">운영수입!BY330</f>
        <v>0</v>
      </c>
    </row>
    <row r="46" spans="3:77" ht="13.5" customHeight="1">
      <c r="C46" s="51" t="s">
        <v>437</v>
      </c>
      <c r="D46" s="51"/>
      <c r="E46" s="51"/>
      <c r="F46" s="51">
        <f ca="1">SUM(G46:XFD46)</f>
        <v>0</v>
      </c>
      <c r="G46" s="51"/>
      <c r="H46" s="51">
        <f t="shared" ref="H46:AM46" ca="1" si="25">IF(Cir=1,H100,0)</f>
        <v>0</v>
      </c>
      <c r="I46" s="51">
        <f t="shared" ca="1" si="25"/>
        <v>0</v>
      </c>
      <c r="J46" s="51">
        <f t="shared" ca="1" si="25"/>
        <v>0</v>
      </c>
      <c r="K46" s="51">
        <f t="shared" ca="1" si="25"/>
        <v>0</v>
      </c>
      <c r="L46" s="51">
        <f t="shared" ca="1" si="25"/>
        <v>0</v>
      </c>
      <c r="M46" s="51">
        <f t="shared" ca="1" si="25"/>
        <v>225.21191296369602</v>
      </c>
      <c r="N46" s="51">
        <f t="shared" ca="1" si="25"/>
        <v>222.26960656241192</v>
      </c>
      <c r="O46" s="51">
        <f t="shared" ca="1" si="25"/>
        <v>-447.48151952610795</v>
      </c>
      <c r="P46" s="51">
        <f t="shared" ca="1" si="25"/>
        <v>0</v>
      </c>
      <c r="Q46" s="51">
        <f t="shared" ca="1" si="25"/>
        <v>0</v>
      </c>
      <c r="R46" s="51">
        <f t="shared" ca="1" si="25"/>
        <v>0</v>
      </c>
      <c r="S46" s="51">
        <f t="shared" ca="1" si="25"/>
        <v>0</v>
      </c>
      <c r="T46" s="51">
        <f t="shared" ca="1" si="25"/>
        <v>0</v>
      </c>
      <c r="U46" s="51">
        <f t="shared" ca="1" si="25"/>
        <v>0</v>
      </c>
      <c r="V46" s="51">
        <f t="shared" ca="1" si="25"/>
        <v>0</v>
      </c>
      <c r="W46" s="51">
        <f t="shared" ca="1" si="25"/>
        <v>0</v>
      </c>
      <c r="X46" s="51">
        <f t="shared" ca="1" si="25"/>
        <v>0</v>
      </c>
      <c r="Y46" s="51">
        <f t="shared" ca="1" si="25"/>
        <v>0</v>
      </c>
      <c r="Z46" s="51">
        <f t="shared" ca="1" si="25"/>
        <v>0</v>
      </c>
      <c r="AA46" s="51">
        <f t="shared" ca="1" si="25"/>
        <v>0</v>
      </c>
      <c r="AB46" s="51">
        <f t="shared" ca="1" si="25"/>
        <v>0</v>
      </c>
      <c r="AC46" s="51">
        <f t="shared" ca="1" si="25"/>
        <v>0</v>
      </c>
      <c r="AD46" s="51">
        <f t="shared" ca="1" si="25"/>
        <v>0</v>
      </c>
      <c r="AE46" s="51">
        <f t="shared" ca="1" si="25"/>
        <v>0</v>
      </c>
      <c r="AF46" s="51">
        <f t="shared" ca="1" si="25"/>
        <v>0</v>
      </c>
      <c r="AG46" s="51">
        <f t="shared" ca="1" si="25"/>
        <v>0</v>
      </c>
      <c r="AH46" s="51">
        <f t="shared" ca="1" si="25"/>
        <v>0</v>
      </c>
      <c r="AI46" s="51">
        <f t="shared" ca="1" si="25"/>
        <v>0</v>
      </c>
      <c r="AJ46" s="51">
        <f t="shared" ca="1" si="25"/>
        <v>0</v>
      </c>
      <c r="AK46" s="51">
        <f t="shared" ca="1" si="25"/>
        <v>0</v>
      </c>
      <c r="AL46" s="51">
        <f t="shared" ca="1" si="25"/>
        <v>264.32310004908112</v>
      </c>
      <c r="AM46" s="51">
        <f t="shared" ca="1" si="25"/>
        <v>-264.32310004908112</v>
      </c>
      <c r="AN46" s="51">
        <f t="shared" ref="AN46:BS46" ca="1" si="26">IF(Cir=1,AN100,0)</f>
        <v>0</v>
      </c>
      <c r="AO46" s="51">
        <f t="shared" ca="1" si="26"/>
        <v>0</v>
      </c>
      <c r="AP46" s="51">
        <f t="shared" ca="1" si="26"/>
        <v>0</v>
      </c>
      <c r="AQ46" s="51">
        <f t="shared" ca="1" si="26"/>
        <v>0</v>
      </c>
      <c r="AR46" s="51">
        <f t="shared" ca="1" si="26"/>
        <v>0</v>
      </c>
      <c r="AS46" s="51">
        <f t="shared" ca="1" si="26"/>
        <v>0</v>
      </c>
      <c r="AT46" s="51">
        <f t="shared" ca="1" si="26"/>
        <v>0</v>
      </c>
      <c r="AU46" s="51">
        <f t="shared" ca="1" si="26"/>
        <v>0</v>
      </c>
      <c r="AV46" s="51">
        <f t="shared" ca="1" si="26"/>
        <v>0</v>
      </c>
      <c r="AW46" s="51">
        <f t="shared" ca="1" si="26"/>
        <v>0</v>
      </c>
      <c r="AX46" s="51">
        <f t="shared" ca="1" si="26"/>
        <v>0</v>
      </c>
      <c r="AY46" s="51">
        <f t="shared" ca="1" si="26"/>
        <v>0</v>
      </c>
      <c r="AZ46" s="51">
        <f t="shared" ca="1" si="26"/>
        <v>0</v>
      </c>
      <c r="BA46" s="51">
        <f t="shared" ca="1" si="26"/>
        <v>0</v>
      </c>
      <c r="BB46" s="51">
        <f t="shared" ca="1" si="26"/>
        <v>0</v>
      </c>
      <c r="BC46" s="51">
        <f t="shared" ca="1" si="26"/>
        <v>0</v>
      </c>
      <c r="BD46" s="51">
        <f t="shared" ca="1" si="26"/>
        <v>0</v>
      </c>
      <c r="BE46" s="51">
        <f t="shared" ca="1" si="26"/>
        <v>0</v>
      </c>
      <c r="BF46" s="51">
        <f t="shared" ca="1" si="26"/>
        <v>0</v>
      </c>
      <c r="BG46" s="51">
        <f t="shared" ca="1" si="26"/>
        <v>0</v>
      </c>
      <c r="BH46" s="51">
        <f t="shared" ca="1" si="26"/>
        <v>0</v>
      </c>
      <c r="BI46" s="51">
        <f t="shared" ca="1" si="26"/>
        <v>0</v>
      </c>
      <c r="BJ46" s="51">
        <f t="shared" ca="1" si="26"/>
        <v>0</v>
      </c>
      <c r="BK46" s="51">
        <f t="shared" ca="1" si="26"/>
        <v>0</v>
      </c>
      <c r="BL46" s="51">
        <f t="shared" ca="1" si="26"/>
        <v>0</v>
      </c>
      <c r="BM46" s="51">
        <f t="shared" ca="1" si="26"/>
        <v>0</v>
      </c>
      <c r="BN46" s="51">
        <f t="shared" ca="1" si="26"/>
        <v>0</v>
      </c>
      <c r="BO46" s="51">
        <f t="shared" ca="1" si="26"/>
        <v>0</v>
      </c>
      <c r="BP46" s="51">
        <f t="shared" ca="1" si="26"/>
        <v>0</v>
      </c>
      <c r="BQ46" s="51">
        <f t="shared" ca="1" si="26"/>
        <v>0</v>
      </c>
      <c r="BR46" s="51">
        <f t="shared" ca="1" si="26"/>
        <v>0</v>
      </c>
      <c r="BS46" s="51">
        <f t="shared" ca="1" si="26"/>
        <v>0</v>
      </c>
      <c r="BT46" s="51">
        <f t="shared" ref="BT46:BY46" ca="1" si="27">IF(Cir=1,BT100,0)</f>
        <v>0</v>
      </c>
      <c r="BU46" s="51">
        <f t="shared" ca="1" si="27"/>
        <v>0</v>
      </c>
      <c r="BV46" s="51">
        <f t="shared" ca="1" si="27"/>
        <v>0</v>
      </c>
      <c r="BW46" s="51">
        <f t="shared" ca="1" si="27"/>
        <v>0</v>
      </c>
      <c r="BX46" s="51">
        <f t="shared" ca="1" si="27"/>
        <v>0</v>
      </c>
      <c r="BY46" s="51">
        <f t="shared" ca="1" si="27"/>
        <v>0</v>
      </c>
    </row>
    <row r="47" spans="3:77" ht="13.5" customHeight="1">
      <c r="C47" s="1" t="s">
        <v>377</v>
      </c>
    </row>
    <row r="48" spans="3:77" ht="13.5" customHeight="1">
      <c r="D48" s="30" t="str">
        <f>D40</f>
        <v>보통주</v>
      </c>
      <c r="E48" s="41"/>
      <c r="F48" s="41">
        <f ca="1">SUM(G48:XFD48)</f>
        <v>-704.2468021584973</v>
      </c>
      <c r="G48" s="41"/>
      <c r="H48" s="41">
        <f>IF(Cir=1,SUMIF(배당!$10:$10,현금흐름!H$14,배당!$61:$61)*-1,0)</f>
        <v>0</v>
      </c>
      <c r="I48" s="41">
        <f>IF(Cir=1,SUMIF(배당!$10:$10,현금흐름!I$14,배당!$61:$61)*-1,0)</f>
        <v>0</v>
      </c>
      <c r="J48" s="41">
        <f>IF(Cir=1,SUMIF(배당!$10:$10,현금흐름!J$14,배당!$61:$61)*-1,0)</f>
        <v>0</v>
      </c>
      <c r="K48" s="41">
        <f>IF(Cir=1,SUMIF(배당!$10:$10,현금흐름!K$14,배당!$61:$61)*-1,0)</f>
        <v>0</v>
      </c>
      <c r="L48" s="41">
        <f>IF(Cir=1,SUMIF(배당!$10:$10,현금흐름!L$14,배당!$61:$61)*-1,0)</f>
        <v>0</v>
      </c>
      <c r="M48" s="41">
        <f>IF(Cir=1,SUMIF(배당!$10:$10,현금흐름!M$14,배당!$61:$61)*-1,0)</f>
        <v>0</v>
      </c>
      <c r="N48" s="41">
        <f ca="1">IF(Cir=1,SUMIF(배당!$10:$10,현금흐름!N$14,배당!$61:$61)*-1,0)</f>
        <v>0</v>
      </c>
      <c r="O48" s="41">
        <f>IF(Cir=1,SUMIF(배당!$10:$10,현금흐름!O$14,배당!$61:$61)*-1,0)</f>
        <v>0</v>
      </c>
      <c r="P48" s="41">
        <f>IF(Cir=1,SUMIF(배당!$10:$10,현금흐름!P$14,배당!$61:$61)*-1,0)</f>
        <v>0</v>
      </c>
      <c r="Q48" s="41">
        <f>IF(Cir=1,SUMIF(배당!$10:$10,현금흐름!Q$14,배당!$61:$61)*-1,0)</f>
        <v>0</v>
      </c>
      <c r="R48" s="41">
        <f>IF(Cir=1,SUMIF(배당!$10:$10,현금흐름!R$14,배당!$61:$61)*-1,0)</f>
        <v>0</v>
      </c>
      <c r="S48" s="41">
        <f>IF(Cir=1,SUMIF(배당!$10:$10,현금흐름!S$14,배당!$61:$61)*-1,0)</f>
        <v>0</v>
      </c>
      <c r="T48" s="41">
        <f ca="1">IF(Cir=1,SUMIF(배당!$10:$10,현금흐름!T$14,배당!$61:$61)*-1,0)</f>
        <v>0</v>
      </c>
      <c r="U48" s="41">
        <f>IF(Cir=1,SUMIF(배당!$10:$10,현금흐름!U$14,배당!$61:$61)*-1,0)</f>
        <v>0</v>
      </c>
      <c r="V48" s="41">
        <f>IF(Cir=1,SUMIF(배당!$10:$10,현금흐름!V$14,배당!$61:$61)*-1,0)</f>
        <v>0</v>
      </c>
      <c r="W48" s="41">
        <f>IF(Cir=1,SUMIF(배당!$10:$10,현금흐름!W$14,배당!$61:$61)*-1,0)</f>
        <v>0</v>
      </c>
      <c r="X48" s="41">
        <f>IF(Cir=1,SUMIF(배당!$10:$10,현금흐름!X$14,배당!$61:$61)*-1,0)</f>
        <v>0</v>
      </c>
      <c r="Y48" s="41">
        <f>IF(Cir=1,SUMIF(배당!$10:$10,현금흐름!Y$14,배당!$61:$61)*-1,0)</f>
        <v>0</v>
      </c>
      <c r="Z48" s="41">
        <f ca="1">IF(Cir=1,SUMIF(배당!$10:$10,현금흐름!Z$14,배당!$61:$61)*-1,0)</f>
        <v>0</v>
      </c>
      <c r="AA48" s="41">
        <f>IF(Cir=1,SUMIF(배당!$10:$10,현금흐름!AA$14,배당!$61:$61)*-1,0)</f>
        <v>0</v>
      </c>
      <c r="AB48" s="41">
        <f>IF(Cir=1,SUMIF(배당!$10:$10,현금흐름!AB$14,배당!$61:$61)*-1,0)</f>
        <v>0</v>
      </c>
      <c r="AC48" s="41">
        <f>IF(Cir=1,SUMIF(배당!$10:$10,현금흐름!AC$14,배당!$61:$61)*-1,0)</f>
        <v>0</v>
      </c>
      <c r="AD48" s="41">
        <f>IF(Cir=1,SUMIF(배당!$10:$10,현금흐름!AD$14,배당!$61:$61)*-1,0)</f>
        <v>0</v>
      </c>
      <c r="AE48" s="41">
        <f>IF(Cir=1,SUMIF(배당!$10:$10,현금흐름!AE$14,배당!$61:$61)*-1,0)</f>
        <v>0</v>
      </c>
      <c r="AF48" s="41">
        <f ca="1">IF(Cir=1,SUMIF(배당!$10:$10,현금흐름!AF$14,배당!$61:$61)*-1,0)</f>
        <v>0</v>
      </c>
      <c r="AG48" s="41">
        <f>IF(Cir=1,SUMIF(배당!$10:$10,현금흐름!AG$14,배당!$61:$61)*-1,0)</f>
        <v>0</v>
      </c>
      <c r="AH48" s="41">
        <f>IF(Cir=1,SUMIF(배당!$10:$10,현금흐름!AH$14,배당!$61:$61)*-1,0)</f>
        <v>0</v>
      </c>
      <c r="AI48" s="41">
        <f>IF(Cir=1,SUMIF(배당!$10:$10,현금흐름!AI$14,배당!$61:$61)*-1,0)</f>
        <v>0</v>
      </c>
      <c r="AJ48" s="41">
        <f>IF(Cir=1,SUMIF(배당!$10:$10,현금흐름!AJ$14,배당!$61:$61)*-1,0)</f>
        <v>0</v>
      </c>
      <c r="AK48" s="41">
        <f>IF(Cir=1,SUMIF(배당!$10:$10,현금흐름!AK$14,배당!$61:$61)*-1,0)</f>
        <v>0</v>
      </c>
      <c r="AL48" s="41">
        <f ca="1">IF(Cir=1,SUMIF(배당!$10:$10,현금흐름!AL$14,배당!$61:$61)*-1,0)</f>
        <v>0</v>
      </c>
      <c r="AM48" s="41">
        <f>IF(Cir=1,SUMIF(배당!$10:$10,현금흐름!AM$14,배당!$61:$61)*-1,0)</f>
        <v>0</v>
      </c>
      <c r="AN48" s="41">
        <f>IF(Cir=1,SUMIF(배당!$10:$10,현금흐름!AN$14,배당!$61:$61)*-1,0)</f>
        <v>0</v>
      </c>
      <c r="AO48" s="41">
        <f>IF(Cir=1,SUMIF(배당!$10:$10,현금흐름!AO$14,배당!$61:$61)*-1,0)</f>
        <v>0</v>
      </c>
      <c r="AP48" s="41">
        <f>IF(Cir=1,SUMIF(배당!$10:$10,현금흐름!AP$14,배당!$61:$61)*-1,0)</f>
        <v>0</v>
      </c>
      <c r="AQ48" s="41">
        <f>IF(Cir=1,SUMIF(배당!$10:$10,현금흐름!AQ$14,배당!$61:$61)*-1,0)</f>
        <v>0</v>
      </c>
      <c r="AR48" s="41">
        <f ca="1">IF(Cir=1,SUMIF(배당!$10:$10,현금흐름!AR$14,배당!$61:$61)*-1,0)</f>
        <v>0</v>
      </c>
      <c r="AS48" s="41">
        <f>IF(Cir=1,SUMIF(배당!$10:$10,현금흐름!AS$14,배당!$61:$61)*-1,0)</f>
        <v>0</v>
      </c>
      <c r="AT48" s="41">
        <f>IF(Cir=1,SUMIF(배당!$10:$10,현금흐름!AT$14,배당!$61:$61)*-1,0)</f>
        <v>0</v>
      </c>
      <c r="AU48" s="41">
        <f>IF(Cir=1,SUMIF(배당!$10:$10,현금흐름!AU$14,배당!$61:$61)*-1,0)</f>
        <v>0</v>
      </c>
      <c r="AV48" s="41">
        <f>IF(Cir=1,SUMIF(배당!$10:$10,현금흐름!AV$14,배당!$61:$61)*-1,0)</f>
        <v>0</v>
      </c>
      <c r="AW48" s="41">
        <f>IF(Cir=1,SUMIF(배당!$10:$10,현금흐름!AW$14,배당!$61:$61)*-1,0)</f>
        <v>0</v>
      </c>
      <c r="AX48" s="41">
        <f ca="1">IF(Cir=1,SUMIF(배당!$10:$10,현금흐름!AX$14,배당!$61:$61)*-1,0)</f>
        <v>0</v>
      </c>
      <c r="AY48" s="41">
        <f>IF(Cir=1,SUMIF(배당!$10:$10,현금흐름!AY$14,배당!$61:$61)*-1,0)</f>
        <v>0</v>
      </c>
      <c r="AZ48" s="41">
        <f>IF(Cir=1,SUMIF(배당!$10:$10,현금흐름!AZ$14,배당!$61:$61)*-1,0)</f>
        <v>0</v>
      </c>
      <c r="BA48" s="41">
        <f>IF(Cir=1,SUMIF(배당!$10:$10,현금흐름!BA$14,배당!$61:$61)*-1,0)</f>
        <v>0</v>
      </c>
      <c r="BB48" s="41">
        <f>IF(Cir=1,SUMIF(배당!$10:$10,현금흐름!BB$14,배당!$61:$61)*-1,0)</f>
        <v>0</v>
      </c>
      <c r="BC48" s="41">
        <f>IF(Cir=1,SUMIF(배당!$10:$10,현금흐름!BC$14,배당!$61:$61)*-1,0)</f>
        <v>0</v>
      </c>
      <c r="BD48" s="41">
        <f ca="1">IF(Cir=1,SUMIF(배당!$10:$10,현금흐름!BD$14,배당!$61:$61)*-1,0)</f>
        <v>-212.32087165162898</v>
      </c>
      <c r="BE48" s="41">
        <f>IF(Cir=1,SUMIF(배당!$10:$10,현금흐름!BE$14,배당!$61:$61)*-1,0)</f>
        <v>0</v>
      </c>
      <c r="BF48" s="41">
        <f>IF(Cir=1,SUMIF(배당!$10:$10,현금흐름!BF$14,배당!$61:$61)*-1,0)</f>
        <v>0</v>
      </c>
      <c r="BG48" s="41">
        <f>IF(Cir=1,SUMIF(배당!$10:$10,현금흐름!BG$14,배당!$61:$61)*-1,0)</f>
        <v>0</v>
      </c>
      <c r="BH48" s="41">
        <f>IF(Cir=1,SUMIF(배당!$10:$10,현금흐름!BH$14,배당!$61:$61)*-1,0)</f>
        <v>0</v>
      </c>
      <c r="BI48" s="41">
        <f>IF(Cir=1,SUMIF(배당!$10:$10,현금흐름!BI$14,배당!$61:$61)*-1,0)</f>
        <v>0</v>
      </c>
      <c r="BJ48" s="41">
        <f ca="1">IF(Cir=1,SUMIF(배당!$10:$10,현금흐름!BJ$14,배당!$61:$61)*-1,0)</f>
        <v>-142.93713956767328</v>
      </c>
      <c r="BK48" s="41">
        <f>IF(Cir=1,SUMIF(배당!$10:$10,현금흐름!BK$14,배당!$61:$61)*-1,0)</f>
        <v>0</v>
      </c>
      <c r="BL48" s="41">
        <f>IF(Cir=1,SUMIF(배당!$10:$10,현금흐름!BL$14,배당!$61:$61)*-1,0)</f>
        <v>0</v>
      </c>
      <c r="BM48" s="41">
        <f>IF(Cir=1,SUMIF(배당!$10:$10,현금흐름!BM$14,배당!$61:$61)*-1,0)</f>
        <v>0</v>
      </c>
      <c r="BN48" s="41">
        <f>IF(Cir=1,SUMIF(배당!$10:$10,현금흐름!BN$14,배당!$61:$61)*-1,0)</f>
        <v>0</v>
      </c>
      <c r="BO48" s="41">
        <f>IF(Cir=1,SUMIF(배당!$10:$10,현금흐름!BO$14,배당!$61:$61)*-1,0)</f>
        <v>0</v>
      </c>
      <c r="BP48" s="41">
        <f ca="1">IF(Cir=1,SUMIF(배당!$10:$10,현금흐름!BP$14,배당!$61:$61)*-1,0)</f>
        <v>-348.98879093919504</v>
      </c>
      <c r="BQ48" s="41">
        <f>IF(Cir=1,SUMIF(배당!$10:$10,현금흐름!BQ$14,배당!$61:$61)*-1,0)</f>
        <v>0</v>
      </c>
      <c r="BR48" s="41">
        <f>IF(Cir=1,SUMIF(배당!$10:$10,현금흐름!BR$14,배당!$61:$61)*-1,0)</f>
        <v>0</v>
      </c>
      <c r="BS48" s="41">
        <f>IF(Cir=1,SUMIF(배당!$10:$10,현금흐름!BS$14,배당!$61:$61)*-1,0)</f>
        <v>0</v>
      </c>
      <c r="BT48" s="41">
        <f>IF(Cir=1,SUMIF(배당!$10:$10,현금흐름!BT$14,배당!$61:$61)*-1,0)</f>
        <v>0</v>
      </c>
      <c r="BU48" s="41">
        <f>IF(Cir=1,SUMIF(배당!$10:$10,현금흐름!BU$14,배당!$61:$61)*-1,0)</f>
        <v>0</v>
      </c>
      <c r="BV48" s="41">
        <f>IF(Cir=1,SUMIF(배당!$10:$10,현금흐름!BV$14,배당!$61:$61)*-1,0)</f>
        <v>0</v>
      </c>
      <c r="BW48" s="41">
        <f>IF(Cir=1,SUMIF(배당!$10:$10,현금흐름!BW$14,배당!$61:$61)*-1,0)</f>
        <v>0</v>
      </c>
      <c r="BX48" s="41">
        <f>IF(Cir=1,SUMIF(배당!$10:$10,현금흐름!BX$14,배당!$61:$61)*-1,0)</f>
        <v>0</v>
      </c>
      <c r="BY48" s="41">
        <f>IF(Cir=1,SUMIF(배당!$10:$10,현금흐름!BY$14,배당!$61:$61)*-1,0)</f>
        <v>0</v>
      </c>
    </row>
    <row r="49" spans="2:77" ht="13.5" customHeight="1">
      <c r="C49" s="34"/>
      <c r="D49" s="36" t="str">
        <f t="shared" ref="D49" si="28">D41</f>
        <v>우선주</v>
      </c>
      <c r="E49" s="42"/>
      <c r="F49" s="42">
        <f t="shared" ref="F49" ca="1" si="29">SUM(G49:XFD49)</f>
        <v>-5100</v>
      </c>
      <c r="G49" s="42"/>
      <c r="H49" s="42">
        <f>IF(Cir=1,SUMIF(배당!$10:$10,현금흐름!H$14,배당!$57:$57)*-1,0)</f>
        <v>0</v>
      </c>
      <c r="I49" s="42">
        <f>IF(Cir=1,SUMIF(배당!$10:$10,현금흐름!I$14,배당!$57:$57)*-1,0)</f>
        <v>0</v>
      </c>
      <c r="J49" s="42">
        <f>IF(Cir=1,SUMIF(배당!$10:$10,현금흐름!J$14,배당!$57:$57)*-1,0)</f>
        <v>0</v>
      </c>
      <c r="K49" s="42">
        <f>IF(Cir=1,SUMIF(배당!$10:$10,현금흐름!K$14,배당!$57:$57)*-1,0)</f>
        <v>0</v>
      </c>
      <c r="L49" s="42">
        <f>IF(Cir=1,SUMIF(배당!$10:$10,현금흐름!L$14,배당!$57:$57)*-1,0)</f>
        <v>0</v>
      </c>
      <c r="M49" s="42">
        <f>IF(Cir=1,SUMIF(배당!$10:$10,현금흐름!M$14,배당!$57:$57)*-1,0)</f>
        <v>0</v>
      </c>
      <c r="N49" s="42">
        <f ca="1">IF(Cir=1,SUMIF(배당!$10:$10,현금흐름!N$14,배당!$57:$57)*-1,0)</f>
        <v>0</v>
      </c>
      <c r="O49" s="42">
        <f>IF(Cir=1,SUMIF(배당!$10:$10,현금흐름!O$14,배당!$57:$57)*-1,0)</f>
        <v>0</v>
      </c>
      <c r="P49" s="42">
        <f>IF(Cir=1,SUMIF(배당!$10:$10,현금흐름!P$14,배당!$57:$57)*-1,0)</f>
        <v>0</v>
      </c>
      <c r="Q49" s="42">
        <f>IF(Cir=1,SUMIF(배당!$10:$10,현금흐름!Q$14,배당!$57:$57)*-1,0)</f>
        <v>0</v>
      </c>
      <c r="R49" s="42">
        <f>IF(Cir=1,SUMIF(배당!$10:$10,현금흐름!R$14,배당!$57:$57)*-1,0)</f>
        <v>0</v>
      </c>
      <c r="S49" s="42">
        <f>IF(Cir=1,SUMIF(배당!$10:$10,현금흐름!S$14,배당!$57:$57)*-1,0)</f>
        <v>0</v>
      </c>
      <c r="T49" s="42">
        <f ca="1">IF(Cir=1,SUMIF(배당!$10:$10,현금흐름!T$14,배당!$57:$57)*-1,0)</f>
        <v>-444.75039238012704</v>
      </c>
      <c r="U49" s="42">
        <f>IF(Cir=1,SUMIF(배당!$10:$10,현금흐름!U$14,배당!$57:$57)*-1,0)</f>
        <v>0</v>
      </c>
      <c r="V49" s="42">
        <f>IF(Cir=1,SUMIF(배당!$10:$10,현금흐름!V$14,배당!$57:$57)*-1,0)</f>
        <v>0</v>
      </c>
      <c r="W49" s="42">
        <f>IF(Cir=1,SUMIF(배당!$10:$10,현금흐름!W$14,배당!$57:$57)*-1,0)</f>
        <v>0</v>
      </c>
      <c r="X49" s="42">
        <f>IF(Cir=1,SUMIF(배당!$10:$10,현금흐름!X$14,배당!$57:$57)*-1,0)</f>
        <v>0</v>
      </c>
      <c r="Y49" s="42">
        <f>IF(Cir=1,SUMIF(배당!$10:$10,현금흐름!Y$14,배당!$57:$57)*-1,0)</f>
        <v>0</v>
      </c>
      <c r="Z49" s="42">
        <f ca="1">IF(Cir=1,SUMIF(배당!$10:$10,현금흐름!Z$14,배당!$57:$57)*-1,0)</f>
        <v>-608.44136532235825</v>
      </c>
      <c r="AA49" s="42">
        <f>IF(Cir=1,SUMIF(배당!$10:$10,현금흐름!AA$14,배당!$57:$57)*-1,0)</f>
        <v>0</v>
      </c>
      <c r="AB49" s="42">
        <f>IF(Cir=1,SUMIF(배당!$10:$10,현금흐름!AB$14,배당!$57:$57)*-1,0)</f>
        <v>0</v>
      </c>
      <c r="AC49" s="42">
        <f>IF(Cir=1,SUMIF(배당!$10:$10,현금흐름!AC$14,배당!$57:$57)*-1,0)</f>
        <v>0</v>
      </c>
      <c r="AD49" s="42">
        <f>IF(Cir=1,SUMIF(배당!$10:$10,현금흐름!AD$14,배당!$57:$57)*-1,0)</f>
        <v>0</v>
      </c>
      <c r="AE49" s="42">
        <f>IF(Cir=1,SUMIF(배당!$10:$10,현금흐름!AE$14,배당!$57:$57)*-1,0)</f>
        <v>0</v>
      </c>
      <c r="AF49" s="42">
        <f ca="1">IF(Cir=1,SUMIF(배당!$10:$10,현금흐름!AF$14,배당!$57:$57)*-1,0)</f>
        <v>-770.09622573600359</v>
      </c>
      <c r="AG49" s="42">
        <f>IF(Cir=1,SUMIF(배당!$10:$10,현금흐름!AG$14,배당!$57:$57)*-1,0)</f>
        <v>0</v>
      </c>
      <c r="AH49" s="42">
        <f>IF(Cir=1,SUMIF(배당!$10:$10,현금흐름!AH$14,배당!$57:$57)*-1,0)</f>
        <v>0</v>
      </c>
      <c r="AI49" s="42">
        <f>IF(Cir=1,SUMIF(배당!$10:$10,현금흐름!AI$14,배당!$57:$57)*-1,0)</f>
        <v>0</v>
      </c>
      <c r="AJ49" s="42">
        <f>IF(Cir=1,SUMIF(배당!$10:$10,현금흐름!AJ$14,배당!$57:$57)*-1,0)</f>
        <v>0</v>
      </c>
      <c r="AK49" s="42">
        <f>IF(Cir=1,SUMIF(배당!$10:$10,현금흐름!AK$14,배당!$57:$57)*-1,0)</f>
        <v>0</v>
      </c>
      <c r="AL49" s="42">
        <f ca="1">IF(Cir=1,SUMIF(배당!$10:$10,현금흐름!AL$14,배당!$57:$57)*-1,0)</f>
        <v>-496.5684952474457</v>
      </c>
      <c r="AM49" s="42">
        <f>IF(Cir=1,SUMIF(배당!$10:$10,현금흐름!AM$14,배당!$57:$57)*-1,0)</f>
        <v>0</v>
      </c>
      <c r="AN49" s="42">
        <f>IF(Cir=1,SUMIF(배당!$10:$10,현금흐름!AN$14,배당!$57:$57)*-1,0)</f>
        <v>0</v>
      </c>
      <c r="AO49" s="42">
        <f>IF(Cir=1,SUMIF(배당!$10:$10,현금흐름!AO$14,배당!$57:$57)*-1,0)</f>
        <v>0</v>
      </c>
      <c r="AP49" s="42">
        <f>IF(Cir=1,SUMIF(배당!$10:$10,현금흐름!AP$14,배당!$57:$57)*-1,0)</f>
        <v>0</v>
      </c>
      <c r="AQ49" s="42">
        <f>IF(Cir=1,SUMIF(배당!$10:$10,현금흐름!AQ$14,배당!$57:$57)*-1,0)</f>
        <v>0</v>
      </c>
      <c r="AR49" s="42">
        <f ca="1">IF(Cir=1,SUMIF(배당!$10:$10,현금흐름!AR$14,배당!$57:$57)*-1,0)</f>
        <v>-514.77997541327272</v>
      </c>
      <c r="AS49" s="42">
        <f>IF(Cir=1,SUMIF(배당!$10:$10,현금흐름!AS$14,배당!$57:$57)*-1,0)</f>
        <v>0</v>
      </c>
      <c r="AT49" s="42">
        <f>IF(Cir=1,SUMIF(배당!$10:$10,현금흐름!AT$14,배당!$57:$57)*-1,0)</f>
        <v>0</v>
      </c>
      <c r="AU49" s="42">
        <f>IF(Cir=1,SUMIF(배당!$10:$10,현금흐름!AU$14,배당!$57:$57)*-1,0)</f>
        <v>0</v>
      </c>
      <c r="AV49" s="42">
        <f>IF(Cir=1,SUMIF(배당!$10:$10,현금흐름!AV$14,배당!$57:$57)*-1,0)</f>
        <v>0</v>
      </c>
      <c r="AW49" s="42">
        <f>IF(Cir=1,SUMIF(배당!$10:$10,현금흐름!AW$14,배당!$57:$57)*-1,0)</f>
        <v>0</v>
      </c>
      <c r="AX49" s="42">
        <f ca="1">IF(Cir=1,SUMIF(배당!$10:$10,현금흐름!AX$14,배당!$57:$57)*-1,0)</f>
        <v>-642.67357826255648</v>
      </c>
      <c r="AY49" s="42">
        <f>IF(Cir=1,SUMIF(배당!$10:$10,현금흐름!AY$14,배당!$57:$57)*-1,0)</f>
        <v>0</v>
      </c>
      <c r="AZ49" s="42">
        <f>IF(Cir=1,SUMIF(배당!$10:$10,현금흐름!AZ$14,배당!$57:$57)*-1,0)</f>
        <v>0</v>
      </c>
      <c r="BA49" s="42">
        <f>IF(Cir=1,SUMIF(배당!$10:$10,현금흐름!BA$14,배당!$57:$57)*-1,0)</f>
        <v>0</v>
      </c>
      <c r="BB49" s="42">
        <f>IF(Cir=1,SUMIF(배당!$10:$10,현금흐름!BB$14,배당!$57:$57)*-1,0)</f>
        <v>0</v>
      </c>
      <c r="BC49" s="42">
        <f>IF(Cir=1,SUMIF(배당!$10:$10,현금흐름!BC$14,배당!$57:$57)*-1,0)</f>
        <v>0</v>
      </c>
      <c r="BD49" s="42">
        <f ca="1">IF(Cir=1,SUMIF(배당!$10:$10,현금흐름!BD$14,배당!$57:$57)*-1,0)</f>
        <v>-602.68996763823611</v>
      </c>
      <c r="BE49" s="42">
        <f>IF(Cir=1,SUMIF(배당!$10:$10,현금흐름!BE$14,배당!$57:$57)*-1,0)</f>
        <v>0</v>
      </c>
      <c r="BF49" s="42">
        <f>IF(Cir=1,SUMIF(배당!$10:$10,현금흐름!BF$14,배당!$57:$57)*-1,0)</f>
        <v>0</v>
      </c>
      <c r="BG49" s="42">
        <f>IF(Cir=1,SUMIF(배당!$10:$10,현금흐름!BG$14,배당!$57:$57)*-1,0)</f>
        <v>0</v>
      </c>
      <c r="BH49" s="42">
        <f>IF(Cir=1,SUMIF(배당!$10:$10,현금흐름!BH$14,배당!$57:$57)*-1,0)</f>
        <v>0</v>
      </c>
      <c r="BI49" s="42">
        <f>IF(Cir=1,SUMIF(배당!$10:$10,현금흐름!BI$14,배당!$57:$57)*-1,0)</f>
        <v>0</v>
      </c>
      <c r="BJ49" s="42">
        <f ca="1">IF(Cir=1,SUMIF(배당!$10:$10,현금흐름!BJ$14,배당!$57:$57)*-1,0)</f>
        <v>-510</v>
      </c>
      <c r="BK49" s="42">
        <f>IF(Cir=1,SUMIF(배당!$10:$10,현금흐름!BK$14,배당!$57:$57)*-1,0)</f>
        <v>0</v>
      </c>
      <c r="BL49" s="42">
        <f>IF(Cir=1,SUMIF(배당!$10:$10,현금흐름!BL$14,배당!$57:$57)*-1,0)</f>
        <v>0</v>
      </c>
      <c r="BM49" s="42">
        <f>IF(Cir=1,SUMIF(배당!$10:$10,현금흐름!BM$14,배당!$57:$57)*-1,0)</f>
        <v>0</v>
      </c>
      <c r="BN49" s="42">
        <f>IF(Cir=1,SUMIF(배당!$10:$10,현금흐름!BN$14,배당!$57:$57)*-1,0)</f>
        <v>0</v>
      </c>
      <c r="BO49" s="42">
        <f>IF(Cir=1,SUMIF(배당!$10:$10,현금흐름!BO$14,배당!$57:$57)*-1,0)</f>
        <v>0</v>
      </c>
      <c r="BP49" s="42">
        <f ca="1">IF(Cir=1,SUMIF(배당!$10:$10,현금흐름!BP$14,배당!$57:$57)*-1,0)</f>
        <v>-510</v>
      </c>
      <c r="BQ49" s="42">
        <f>IF(Cir=1,SUMIF(배당!$10:$10,현금흐름!BQ$14,배당!$57:$57)*-1,0)</f>
        <v>0</v>
      </c>
      <c r="BR49" s="42">
        <f>IF(Cir=1,SUMIF(배당!$10:$10,현금흐름!BR$14,배당!$57:$57)*-1,0)</f>
        <v>0</v>
      </c>
      <c r="BS49" s="42">
        <f>IF(Cir=1,SUMIF(배당!$10:$10,현금흐름!BS$14,배당!$57:$57)*-1,0)</f>
        <v>0</v>
      </c>
      <c r="BT49" s="42">
        <f>IF(Cir=1,SUMIF(배당!$10:$10,현금흐름!BT$14,배당!$57:$57)*-1,0)</f>
        <v>0</v>
      </c>
      <c r="BU49" s="42">
        <f>IF(Cir=1,SUMIF(배당!$10:$10,현금흐름!BU$14,배당!$57:$57)*-1,0)</f>
        <v>0</v>
      </c>
      <c r="BV49" s="42">
        <f>IF(Cir=1,SUMIF(배당!$10:$10,현금흐름!BV$14,배당!$57:$57)*-1,0)</f>
        <v>0</v>
      </c>
      <c r="BW49" s="42">
        <f>IF(Cir=1,SUMIF(배당!$10:$10,현금흐름!BW$14,배당!$57:$57)*-1,0)</f>
        <v>0</v>
      </c>
      <c r="BX49" s="42">
        <f>IF(Cir=1,SUMIF(배당!$10:$10,현금흐름!BX$14,배당!$57:$57)*-1,0)</f>
        <v>0</v>
      </c>
      <c r="BY49" s="42">
        <f>IF(Cir=1,SUMIF(배당!$10:$10,현금흐름!BY$14,배당!$57:$57)*-1,0)</f>
        <v>0</v>
      </c>
    </row>
    <row r="50" spans="2:77" ht="13.5" customHeight="1">
      <c r="C50" s="1" t="s">
        <v>378</v>
      </c>
    </row>
    <row r="51" spans="2:77" ht="13.5" customHeight="1">
      <c r="D51" s="30" t="str">
        <f>D48</f>
        <v>보통주</v>
      </c>
      <c r="E51" s="41"/>
      <c r="F51" s="41">
        <f ca="1">SUM(G51:XFD51)</f>
        <v>-2479.9136332783264</v>
      </c>
      <c r="G51" s="41"/>
      <c r="H51" s="41">
        <f>IF(Cir=1,SUMIF(배당!$66:$66,현금흐름!H$14,배당!87:87)*-1,0)</f>
        <v>0</v>
      </c>
      <c r="I51" s="41">
        <f>IF(Cir=1,SUMIF(배당!$66:$66,현금흐름!I$14,배당!87:87)*-1,0)</f>
        <v>0</v>
      </c>
      <c r="J51" s="41">
        <f>IF(Cir=1,SUMIF(배당!$66:$66,현금흐름!J$14,배당!87:87)*-1,0)</f>
        <v>0</v>
      </c>
      <c r="K51" s="41">
        <f>IF(Cir=1,SUMIF(배당!$66:$66,현금흐름!K$14,배당!87:87)*-1,0)</f>
        <v>0</v>
      </c>
      <c r="L51" s="41">
        <f>IF(Cir=1,SUMIF(배당!$66:$66,현금흐름!L$14,배당!87:87)*-1,0)</f>
        <v>0</v>
      </c>
      <c r="M51" s="41">
        <f>IF(Cir=1,SUMIF(배당!$66:$66,현금흐름!M$14,배당!87:87)*-1,0)</f>
        <v>0</v>
      </c>
      <c r="N51" s="41">
        <f ca="1">IF(Cir=1,SUMIF(배당!$66:$66,현금흐름!N$14,배당!87:87)*-1,0)</f>
        <v>0</v>
      </c>
      <c r="O51" s="41">
        <f>IF(Cir=1,SUMIF(배당!$66:$66,현금흐름!O$14,배당!87:87)*-1,0)</f>
        <v>0</v>
      </c>
      <c r="P51" s="41">
        <f>IF(Cir=1,SUMIF(배당!$66:$66,현금흐름!P$14,배당!87:87)*-1,0)</f>
        <v>0</v>
      </c>
      <c r="Q51" s="41">
        <f>IF(Cir=1,SUMIF(배당!$66:$66,현금흐름!Q$14,배당!87:87)*-1,0)</f>
        <v>0</v>
      </c>
      <c r="R51" s="41">
        <f>IF(Cir=1,SUMIF(배당!$66:$66,현금흐름!R$14,배당!87:87)*-1,0)</f>
        <v>0</v>
      </c>
      <c r="S51" s="41">
        <f>IF(Cir=1,SUMIF(배당!$66:$66,현금흐름!S$14,배당!87:87)*-1,0)</f>
        <v>0</v>
      </c>
      <c r="T51" s="41">
        <f ca="1">IF(Cir=1,SUMIF(배당!$66:$66,현금흐름!T$14,배당!87:87)*-1,0)</f>
        <v>0</v>
      </c>
      <c r="U51" s="41">
        <f>IF(Cir=1,SUMIF(배당!$66:$66,현금흐름!U$14,배당!87:87)*-1,0)</f>
        <v>0</v>
      </c>
      <c r="V51" s="41">
        <f>IF(Cir=1,SUMIF(배당!$66:$66,현금흐름!V$14,배당!87:87)*-1,0)</f>
        <v>0</v>
      </c>
      <c r="W51" s="41">
        <f>IF(Cir=1,SUMIF(배당!$66:$66,현금흐름!W$14,배당!87:87)*-1,0)</f>
        <v>0</v>
      </c>
      <c r="X51" s="41">
        <f>IF(Cir=1,SUMIF(배당!$66:$66,현금흐름!X$14,배당!87:87)*-1,0)</f>
        <v>0</v>
      </c>
      <c r="Y51" s="41">
        <f>IF(Cir=1,SUMIF(배당!$66:$66,현금흐름!Y$14,배당!87:87)*-1,0)</f>
        <v>0</v>
      </c>
      <c r="Z51" s="41">
        <f ca="1">IF(Cir=1,SUMIF(배당!$66:$66,현금흐름!Z$14,배당!87:87)*-1,0)</f>
        <v>0</v>
      </c>
      <c r="AA51" s="41">
        <f>IF(Cir=1,SUMIF(배당!$66:$66,현금흐름!AA$14,배당!87:87)*-1,0)</f>
        <v>0</v>
      </c>
      <c r="AB51" s="41">
        <f>IF(Cir=1,SUMIF(배당!$66:$66,현금흐름!AB$14,배당!87:87)*-1,0)</f>
        <v>0</v>
      </c>
      <c r="AC51" s="41">
        <f>IF(Cir=1,SUMIF(배당!$66:$66,현금흐름!AC$14,배당!87:87)*-1,0)</f>
        <v>0</v>
      </c>
      <c r="AD51" s="41">
        <f>IF(Cir=1,SUMIF(배당!$66:$66,현금흐름!AD$14,배당!87:87)*-1,0)</f>
        <v>0</v>
      </c>
      <c r="AE51" s="41">
        <f>IF(Cir=1,SUMIF(배당!$66:$66,현금흐름!AE$14,배당!87:87)*-1,0)</f>
        <v>0</v>
      </c>
      <c r="AF51" s="41">
        <f ca="1">IF(Cir=1,SUMIF(배당!$66:$66,현금흐름!AF$14,배당!87:87)*-1,0)</f>
        <v>0</v>
      </c>
      <c r="AG51" s="41">
        <f>IF(Cir=1,SUMIF(배당!$66:$66,현금흐름!AG$14,배당!87:87)*-1,0)</f>
        <v>0</v>
      </c>
      <c r="AH51" s="41">
        <f>IF(Cir=1,SUMIF(배당!$66:$66,현금흐름!AH$14,배당!87:87)*-1,0)</f>
        <v>0</v>
      </c>
      <c r="AI51" s="41">
        <f>IF(Cir=1,SUMIF(배당!$66:$66,현금흐름!AI$14,배당!87:87)*-1,0)</f>
        <v>0</v>
      </c>
      <c r="AJ51" s="41">
        <f>IF(Cir=1,SUMIF(배당!$66:$66,현금흐름!AJ$14,배당!87:87)*-1,0)</f>
        <v>0</v>
      </c>
      <c r="AK51" s="41">
        <f>IF(Cir=1,SUMIF(배당!$66:$66,현금흐름!AK$14,배당!87:87)*-1,0)</f>
        <v>0</v>
      </c>
      <c r="AL51" s="41">
        <f ca="1">IF(Cir=1,SUMIF(배당!$66:$66,현금흐름!AL$14,배당!87:87)*-1,0)</f>
        <v>0</v>
      </c>
      <c r="AM51" s="41">
        <f>IF(Cir=1,SUMIF(배당!$66:$66,현금흐름!AM$14,배당!87:87)*-1,0)</f>
        <v>0</v>
      </c>
      <c r="AN51" s="41">
        <f>IF(Cir=1,SUMIF(배당!$66:$66,현금흐름!AN$14,배당!87:87)*-1,0)</f>
        <v>0</v>
      </c>
      <c r="AO51" s="41">
        <f>IF(Cir=1,SUMIF(배당!$66:$66,현금흐름!AO$14,배당!87:87)*-1,0)</f>
        <v>0</v>
      </c>
      <c r="AP51" s="41">
        <f>IF(Cir=1,SUMIF(배당!$66:$66,현금흐름!AP$14,배당!87:87)*-1,0)</f>
        <v>0</v>
      </c>
      <c r="AQ51" s="41">
        <f>IF(Cir=1,SUMIF(배당!$66:$66,현금흐름!AQ$14,배당!87:87)*-1,0)</f>
        <v>0</v>
      </c>
      <c r="AR51" s="41">
        <f ca="1">IF(Cir=1,SUMIF(배당!$66:$66,현금흐름!AR$14,배당!87:87)*-1,0)</f>
        <v>0</v>
      </c>
      <c r="AS51" s="41">
        <f>IF(Cir=1,SUMIF(배당!$66:$66,현금흐름!AS$14,배당!87:87)*-1,0)</f>
        <v>0</v>
      </c>
      <c r="AT51" s="41">
        <f>IF(Cir=1,SUMIF(배당!$66:$66,현금흐름!AT$14,배당!87:87)*-1,0)</f>
        <v>0</v>
      </c>
      <c r="AU51" s="41">
        <f>IF(Cir=1,SUMIF(배당!$66:$66,현금흐름!AU$14,배당!87:87)*-1,0)</f>
        <v>0</v>
      </c>
      <c r="AV51" s="41">
        <f>IF(Cir=1,SUMIF(배당!$66:$66,현금흐름!AV$14,배당!87:87)*-1,0)</f>
        <v>0</v>
      </c>
      <c r="AW51" s="41">
        <f>IF(Cir=1,SUMIF(배당!$66:$66,현금흐름!AW$14,배당!87:87)*-1,0)</f>
        <v>0</v>
      </c>
      <c r="AX51" s="41">
        <f ca="1">IF(Cir=1,SUMIF(배당!$66:$66,현금흐름!AX$14,배당!87:87)*-1,0)</f>
        <v>0</v>
      </c>
      <c r="AY51" s="41">
        <f>IF(Cir=1,SUMIF(배당!$66:$66,현금흐름!AY$14,배당!87:87)*-1,0)</f>
        <v>0</v>
      </c>
      <c r="AZ51" s="41">
        <f>IF(Cir=1,SUMIF(배당!$66:$66,현금흐름!AZ$14,배당!87:87)*-1,0)</f>
        <v>0</v>
      </c>
      <c r="BA51" s="41">
        <f>IF(Cir=1,SUMIF(배당!$66:$66,현금흐름!BA$14,배당!87:87)*-1,0)</f>
        <v>0</v>
      </c>
      <c r="BB51" s="41">
        <f>IF(Cir=1,SUMIF(배당!$66:$66,현금흐름!BB$14,배당!87:87)*-1,0)</f>
        <v>0</v>
      </c>
      <c r="BC51" s="41">
        <f>IF(Cir=1,SUMIF(배당!$66:$66,현금흐름!BC$14,배당!87:87)*-1,0)</f>
        <v>0</v>
      </c>
      <c r="BD51" s="41">
        <f ca="1">IF(Cir=1,SUMIF(배당!$66:$66,현금흐름!BD$14,배당!87:87)*-1,0)</f>
        <v>0</v>
      </c>
      <c r="BE51" s="41">
        <f>IF(Cir=1,SUMIF(배당!$66:$66,현금흐름!BE$14,배당!87:87)*-1,0)</f>
        <v>0</v>
      </c>
      <c r="BF51" s="41">
        <f>IF(Cir=1,SUMIF(배당!$66:$66,현금흐름!BF$14,배당!87:87)*-1,0)</f>
        <v>0</v>
      </c>
      <c r="BG51" s="41">
        <f>IF(Cir=1,SUMIF(배당!$66:$66,현금흐름!BG$14,배당!87:87)*-1,0)</f>
        <v>0</v>
      </c>
      <c r="BH51" s="41">
        <f>IF(Cir=1,SUMIF(배당!$66:$66,현금흐름!BH$14,배당!87:87)*-1,0)</f>
        <v>0</v>
      </c>
      <c r="BI51" s="41">
        <f>IF(Cir=1,SUMIF(배당!$66:$66,현금흐름!BI$14,배당!87:87)*-1,0)</f>
        <v>0</v>
      </c>
      <c r="BJ51" s="41">
        <f ca="1">IF(Cir=1,SUMIF(배당!$66:$66,현금흐름!BJ$14,배당!87:87)*-1,0)</f>
        <v>0</v>
      </c>
      <c r="BK51" s="41">
        <f>IF(Cir=1,SUMIF(배당!$66:$66,현금흐름!BK$14,배당!87:87)*-1,0)</f>
        <v>0</v>
      </c>
      <c r="BL51" s="41">
        <f>IF(Cir=1,SUMIF(배당!$66:$66,현금흐름!BL$14,배당!87:87)*-1,0)</f>
        <v>0</v>
      </c>
      <c r="BM51" s="41">
        <f>IF(Cir=1,SUMIF(배당!$66:$66,현금흐름!BM$14,배당!87:87)*-1,0)</f>
        <v>0</v>
      </c>
      <c r="BN51" s="41">
        <f>IF(Cir=1,SUMIF(배당!$66:$66,현금흐름!BN$14,배당!87:87)*-1,0)</f>
        <v>0</v>
      </c>
      <c r="BO51" s="41">
        <f>IF(Cir=1,SUMIF(배당!$66:$66,현금흐름!BO$14,배당!87:87)*-1,0)</f>
        <v>0</v>
      </c>
      <c r="BP51" s="41">
        <f ca="1">IF(Cir=1,SUMIF(배당!$66:$66,현금흐름!BP$14,배당!87:87)*-1,0)</f>
        <v>-2479.9136332783264</v>
      </c>
      <c r="BQ51" s="41">
        <f>IF(Cir=1,SUMIF(배당!$66:$66,현금흐름!BQ$14,배당!87:87)*-1,0)</f>
        <v>0</v>
      </c>
      <c r="BR51" s="41">
        <f>IF(Cir=1,SUMIF(배당!$66:$66,현금흐름!BR$14,배당!87:87)*-1,0)</f>
        <v>0</v>
      </c>
      <c r="BS51" s="41">
        <f>IF(Cir=1,SUMIF(배당!$66:$66,현금흐름!BS$14,배당!87:87)*-1,0)</f>
        <v>0</v>
      </c>
      <c r="BT51" s="41">
        <f>IF(Cir=1,SUMIF(배당!$66:$66,현금흐름!BT$14,배당!87:87)*-1,0)</f>
        <v>0</v>
      </c>
      <c r="BU51" s="41">
        <f>IF(Cir=1,SUMIF(배당!$66:$66,현금흐름!BU$14,배당!87:87)*-1,0)</f>
        <v>0</v>
      </c>
      <c r="BV51" s="41">
        <f>IF(Cir=1,SUMIF(배당!$66:$66,현금흐름!BV$14,배당!87:87)*-1,0)</f>
        <v>0</v>
      </c>
      <c r="BW51" s="41">
        <f>IF(Cir=1,SUMIF(배당!$66:$66,현금흐름!BW$14,배당!87:87)*-1,0)</f>
        <v>0</v>
      </c>
      <c r="BX51" s="41">
        <f>IF(Cir=1,SUMIF(배당!$66:$66,현금흐름!BX$14,배당!87:87)*-1,0)</f>
        <v>0</v>
      </c>
      <c r="BY51" s="41">
        <f>IF(Cir=1,SUMIF(배당!$66:$66,현금흐름!BY$14,배당!87:87)*-1,0)</f>
        <v>0</v>
      </c>
    </row>
    <row r="52" spans="2:77" ht="13.5" customHeight="1">
      <c r="C52" s="34"/>
      <c r="D52" s="36" t="str">
        <f t="shared" ref="D52" si="30">D49</f>
        <v>우선주</v>
      </c>
      <c r="E52" s="42"/>
      <c r="F52" s="42">
        <f t="shared" ref="F52" ca="1" si="31">SUM(G52:XFD52)</f>
        <v>-1062.8201285478542</v>
      </c>
      <c r="G52" s="42"/>
      <c r="H52" s="42">
        <f>IF(Cir=1,SUMIF(배당!$66:$66,현금흐름!H$14,배당!88:88)*-1,0)</f>
        <v>0</v>
      </c>
      <c r="I52" s="42">
        <f>IF(Cir=1,SUMIF(배당!$66:$66,현금흐름!I$14,배당!88:88)*-1,0)</f>
        <v>0</v>
      </c>
      <c r="J52" s="42">
        <f>IF(Cir=1,SUMIF(배당!$66:$66,현금흐름!J$14,배당!88:88)*-1,0)</f>
        <v>0</v>
      </c>
      <c r="K52" s="42">
        <f>IF(Cir=1,SUMIF(배당!$66:$66,현금흐름!K$14,배당!88:88)*-1,0)</f>
        <v>0</v>
      </c>
      <c r="L52" s="42">
        <f>IF(Cir=1,SUMIF(배당!$66:$66,현금흐름!L$14,배당!88:88)*-1,0)</f>
        <v>0</v>
      </c>
      <c r="M52" s="42">
        <f>IF(Cir=1,SUMIF(배당!$66:$66,현금흐름!M$14,배당!88:88)*-1,0)</f>
        <v>0</v>
      </c>
      <c r="N52" s="42">
        <f ca="1">IF(Cir=1,SUMIF(배당!$66:$66,현금흐름!N$14,배당!88:88)*-1,0)</f>
        <v>0</v>
      </c>
      <c r="O52" s="42">
        <f>IF(Cir=1,SUMIF(배당!$66:$66,현금흐름!O$14,배당!88:88)*-1,0)</f>
        <v>0</v>
      </c>
      <c r="P52" s="42">
        <f>IF(Cir=1,SUMIF(배당!$66:$66,현금흐름!P$14,배당!88:88)*-1,0)</f>
        <v>0</v>
      </c>
      <c r="Q52" s="42">
        <f>IF(Cir=1,SUMIF(배당!$66:$66,현금흐름!Q$14,배당!88:88)*-1,0)</f>
        <v>0</v>
      </c>
      <c r="R52" s="42">
        <f>IF(Cir=1,SUMIF(배당!$66:$66,현금흐름!R$14,배당!88:88)*-1,0)</f>
        <v>0</v>
      </c>
      <c r="S52" s="42">
        <f>IF(Cir=1,SUMIF(배당!$66:$66,현금흐름!S$14,배당!88:88)*-1,0)</f>
        <v>0</v>
      </c>
      <c r="T52" s="42">
        <f ca="1">IF(Cir=1,SUMIF(배당!$66:$66,현금흐름!T$14,배당!88:88)*-1,0)</f>
        <v>0</v>
      </c>
      <c r="U52" s="42">
        <f>IF(Cir=1,SUMIF(배당!$66:$66,현금흐름!U$14,배당!88:88)*-1,0)</f>
        <v>0</v>
      </c>
      <c r="V52" s="42">
        <f>IF(Cir=1,SUMIF(배당!$66:$66,현금흐름!V$14,배당!88:88)*-1,0)</f>
        <v>0</v>
      </c>
      <c r="W52" s="42">
        <f>IF(Cir=1,SUMIF(배당!$66:$66,현금흐름!W$14,배당!88:88)*-1,0)</f>
        <v>0</v>
      </c>
      <c r="X52" s="42">
        <f>IF(Cir=1,SUMIF(배당!$66:$66,현금흐름!X$14,배당!88:88)*-1,0)</f>
        <v>0</v>
      </c>
      <c r="Y52" s="42">
        <f>IF(Cir=1,SUMIF(배당!$66:$66,현금흐름!Y$14,배당!88:88)*-1,0)</f>
        <v>0</v>
      </c>
      <c r="Z52" s="42">
        <f ca="1">IF(Cir=1,SUMIF(배당!$66:$66,현금흐름!Z$14,배당!88:88)*-1,0)</f>
        <v>0</v>
      </c>
      <c r="AA52" s="42">
        <f>IF(Cir=1,SUMIF(배당!$66:$66,현금흐름!AA$14,배당!88:88)*-1,0)</f>
        <v>0</v>
      </c>
      <c r="AB52" s="42">
        <f>IF(Cir=1,SUMIF(배당!$66:$66,현금흐름!AB$14,배당!88:88)*-1,0)</f>
        <v>0</v>
      </c>
      <c r="AC52" s="42">
        <f>IF(Cir=1,SUMIF(배당!$66:$66,현금흐름!AC$14,배당!88:88)*-1,0)</f>
        <v>0</v>
      </c>
      <c r="AD52" s="42">
        <f>IF(Cir=1,SUMIF(배당!$66:$66,현금흐름!AD$14,배당!88:88)*-1,0)</f>
        <v>0</v>
      </c>
      <c r="AE52" s="42">
        <f>IF(Cir=1,SUMIF(배당!$66:$66,현금흐름!AE$14,배당!88:88)*-1,0)</f>
        <v>0</v>
      </c>
      <c r="AF52" s="42">
        <f ca="1">IF(Cir=1,SUMIF(배당!$66:$66,현금흐름!AF$14,배당!88:88)*-1,0)</f>
        <v>0</v>
      </c>
      <c r="AG52" s="42">
        <f>IF(Cir=1,SUMIF(배당!$66:$66,현금흐름!AG$14,배당!88:88)*-1,0)</f>
        <v>0</v>
      </c>
      <c r="AH52" s="42">
        <f>IF(Cir=1,SUMIF(배당!$66:$66,현금흐름!AH$14,배당!88:88)*-1,0)</f>
        <v>0</v>
      </c>
      <c r="AI52" s="42">
        <f>IF(Cir=1,SUMIF(배당!$66:$66,현금흐름!AI$14,배당!88:88)*-1,0)</f>
        <v>0</v>
      </c>
      <c r="AJ52" s="42">
        <f>IF(Cir=1,SUMIF(배당!$66:$66,현금흐름!AJ$14,배당!88:88)*-1,0)</f>
        <v>0</v>
      </c>
      <c r="AK52" s="42">
        <f>IF(Cir=1,SUMIF(배당!$66:$66,현금흐름!AK$14,배당!88:88)*-1,0)</f>
        <v>0</v>
      </c>
      <c r="AL52" s="42">
        <f ca="1">IF(Cir=1,SUMIF(배당!$66:$66,현금흐름!AL$14,배당!88:88)*-1,0)</f>
        <v>0</v>
      </c>
      <c r="AM52" s="42">
        <f>IF(Cir=1,SUMIF(배당!$66:$66,현금흐름!AM$14,배당!88:88)*-1,0)</f>
        <v>0</v>
      </c>
      <c r="AN52" s="42">
        <f>IF(Cir=1,SUMIF(배당!$66:$66,현금흐름!AN$14,배당!88:88)*-1,0)</f>
        <v>0</v>
      </c>
      <c r="AO52" s="42">
        <f>IF(Cir=1,SUMIF(배당!$66:$66,현금흐름!AO$14,배당!88:88)*-1,0)</f>
        <v>0</v>
      </c>
      <c r="AP52" s="42">
        <f>IF(Cir=1,SUMIF(배당!$66:$66,현금흐름!AP$14,배당!88:88)*-1,0)</f>
        <v>0</v>
      </c>
      <c r="AQ52" s="42">
        <f>IF(Cir=1,SUMIF(배당!$66:$66,현금흐름!AQ$14,배당!88:88)*-1,0)</f>
        <v>0</v>
      </c>
      <c r="AR52" s="42">
        <f ca="1">IF(Cir=1,SUMIF(배당!$66:$66,현금흐름!AR$14,배당!88:88)*-1,0)</f>
        <v>0</v>
      </c>
      <c r="AS52" s="42">
        <f>IF(Cir=1,SUMIF(배당!$66:$66,현금흐름!AS$14,배당!88:88)*-1,0)</f>
        <v>0</v>
      </c>
      <c r="AT52" s="42">
        <f>IF(Cir=1,SUMIF(배당!$66:$66,현금흐름!AT$14,배당!88:88)*-1,0)</f>
        <v>0</v>
      </c>
      <c r="AU52" s="42">
        <f>IF(Cir=1,SUMIF(배당!$66:$66,현금흐름!AU$14,배당!88:88)*-1,0)</f>
        <v>0</v>
      </c>
      <c r="AV52" s="42">
        <f>IF(Cir=1,SUMIF(배당!$66:$66,현금흐름!AV$14,배당!88:88)*-1,0)</f>
        <v>0</v>
      </c>
      <c r="AW52" s="42">
        <f>IF(Cir=1,SUMIF(배당!$66:$66,현금흐름!AW$14,배당!88:88)*-1,0)</f>
        <v>0</v>
      </c>
      <c r="AX52" s="42">
        <f ca="1">IF(Cir=1,SUMIF(배당!$66:$66,현금흐름!AX$14,배당!88:88)*-1,0)</f>
        <v>0</v>
      </c>
      <c r="AY52" s="42">
        <f>IF(Cir=1,SUMIF(배당!$66:$66,현금흐름!AY$14,배당!88:88)*-1,0)</f>
        <v>0</v>
      </c>
      <c r="AZ52" s="42">
        <f>IF(Cir=1,SUMIF(배당!$66:$66,현금흐름!AZ$14,배당!88:88)*-1,0)</f>
        <v>0</v>
      </c>
      <c r="BA52" s="42">
        <f>IF(Cir=1,SUMIF(배당!$66:$66,현금흐름!BA$14,배당!88:88)*-1,0)</f>
        <v>0</v>
      </c>
      <c r="BB52" s="42">
        <f>IF(Cir=1,SUMIF(배당!$66:$66,현금흐름!BB$14,배당!88:88)*-1,0)</f>
        <v>0</v>
      </c>
      <c r="BC52" s="42">
        <f>IF(Cir=1,SUMIF(배당!$66:$66,현금흐름!BC$14,배당!88:88)*-1,0)</f>
        <v>0</v>
      </c>
      <c r="BD52" s="42">
        <f ca="1">IF(Cir=1,SUMIF(배당!$66:$66,현금흐름!BD$14,배당!88:88)*-1,0)</f>
        <v>0</v>
      </c>
      <c r="BE52" s="42">
        <f>IF(Cir=1,SUMIF(배당!$66:$66,현금흐름!BE$14,배당!88:88)*-1,0)</f>
        <v>0</v>
      </c>
      <c r="BF52" s="42">
        <f>IF(Cir=1,SUMIF(배당!$66:$66,현금흐름!BF$14,배당!88:88)*-1,0)</f>
        <v>0</v>
      </c>
      <c r="BG52" s="42">
        <f>IF(Cir=1,SUMIF(배당!$66:$66,현금흐름!BG$14,배당!88:88)*-1,0)</f>
        <v>0</v>
      </c>
      <c r="BH52" s="42">
        <f>IF(Cir=1,SUMIF(배당!$66:$66,현금흐름!BH$14,배당!88:88)*-1,0)</f>
        <v>0</v>
      </c>
      <c r="BI52" s="42">
        <f>IF(Cir=1,SUMIF(배당!$66:$66,현금흐름!BI$14,배당!88:88)*-1,0)</f>
        <v>0</v>
      </c>
      <c r="BJ52" s="42">
        <f ca="1">IF(Cir=1,SUMIF(배당!$66:$66,현금흐름!BJ$14,배당!88:88)*-1,0)</f>
        <v>0</v>
      </c>
      <c r="BK52" s="42">
        <f>IF(Cir=1,SUMIF(배당!$66:$66,현금흐름!BK$14,배당!88:88)*-1,0)</f>
        <v>0</v>
      </c>
      <c r="BL52" s="42">
        <f>IF(Cir=1,SUMIF(배당!$66:$66,현금흐름!BL$14,배당!88:88)*-1,0)</f>
        <v>0</v>
      </c>
      <c r="BM52" s="42">
        <f>IF(Cir=1,SUMIF(배당!$66:$66,현금흐름!BM$14,배당!88:88)*-1,0)</f>
        <v>0</v>
      </c>
      <c r="BN52" s="42">
        <f>IF(Cir=1,SUMIF(배당!$66:$66,현금흐름!BN$14,배당!88:88)*-1,0)</f>
        <v>0</v>
      </c>
      <c r="BO52" s="42">
        <f>IF(Cir=1,SUMIF(배당!$66:$66,현금흐름!BO$14,배당!88:88)*-1,0)</f>
        <v>0</v>
      </c>
      <c r="BP52" s="42">
        <f ca="1">IF(Cir=1,SUMIF(배당!$66:$66,현금흐름!BP$14,배당!88:88)*-1,0)</f>
        <v>-1062.8201285478542</v>
      </c>
      <c r="BQ52" s="42">
        <f>IF(Cir=1,SUMIF(배당!$66:$66,현금흐름!BQ$14,배당!88:88)*-1,0)</f>
        <v>0</v>
      </c>
      <c r="BR52" s="42">
        <f>IF(Cir=1,SUMIF(배당!$66:$66,현금흐름!BR$14,배당!88:88)*-1,0)</f>
        <v>0</v>
      </c>
      <c r="BS52" s="42">
        <f>IF(Cir=1,SUMIF(배당!$66:$66,현금흐름!BS$14,배당!88:88)*-1,0)</f>
        <v>0</v>
      </c>
      <c r="BT52" s="42">
        <f>IF(Cir=1,SUMIF(배당!$66:$66,현금흐름!BT$14,배당!88:88)*-1,0)</f>
        <v>0</v>
      </c>
      <c r="BU52" s="42">
        <f>IF(Cir=1,SUMIF(배당!$66:$66,현금흐름!BU$14,배당!88:88)*-1,0)</f>
        <v>0</v>
      </c>
      <c r="BV52" s="42">
        <f>IF(Cir=1,SUMIF(배당!$66:$66,현금흐름!BV$14,배당!88:88)*-1,0)</f>
        <v>0</v>
      </c>
      <c r="BW52" s="42">
        <f>IF(Cir=1,SUMIF(배당!$66:$66,현금흐름!BW$14,배당!88:88)*-1,0)</f>
        <v>0</v>
      </c>
      <c r="BX52" s="42">
        <f>IF(Cir=1,SUMIF(배당!$66:$66,현금흐름!BX$14,배당!88:88)*-1,0)</f>
        <v>0</v>
      </c>
      <c r="BY52" s="42">
        <f>IF(Cir=1,SUMIF(배당!$66:$66,현금흐름!BY$14,배당!88:88)*-1,0)</f>
        <v>0</v>
      </c>
    </row>
    <row r="53" spans="2:77" ht="13.5" customHeight="1">
      <c r="C53" s="44" t="s">
        <v>379</v>
      </c>
      <c r="D53" s="44"/>
      <c r="E53" s="44"/>
      <c r="F53" s="44">
        <f ca="1">SUM(G53:XFD53)</f>
        <v>-9915.3213578918803</v>
      </c>
      <c r="G53" s="44"/>
      <c r="H53" s="44">
        <f ca="1">SUM(H33:H52)</f>
        <v>51905.875293976722</v>
      </c>
      <c r="I53" s="44">
        <f t="shared" ref="I53:BT53" ca="1" si="32">SUM(I33:I52)</f>
        <v>0</v>
      </c>
      <c r="J53" s="44">
        <f t="shared" ca="1" si="32"/>
        <v>0</v>
      </c>
      <c r="K53" s="44">
        <f t="shared" ca="1" si="32"/>
        <v>0</v>
      </c>
      <c r="L53" s="44">
        <f t="shared" ca="1" si="32"/>
        <v>0</v>
      </c>
      <c r="M53" s="44">
        <f t="shared" ca="1" si="32"/>
        <v>-3566.7561174629709</v>
      </c>
      <c r="N53" s="44">
        <f t="shared" ca="1" si="32"/>
        <v>222.26960656241192</v>
      </c>
      <c r="O53" s="44">
        <f t="shared" ca="1" si="32"/>
        <v>346.61848047389208</v>
      </c>
      <c r="P53" s="44">
        <f t="shared" ca="1" si="32"/>
        <v>0</v>
      </c>
      <c r="Q53" s="44">
        <f t="shared" ca="1" si="32"/>
        <v>0</v>
      </c>
      <c r="R53" s="44">
        <f t="shared" ca="1" si="32"/>
        <v>0</v>
      </c>
      <c r="S53" s="44">
        <f t="shared" ca="1" si="32"/>
        <v>0</v>
      </c>
      <c r="T53" s="44">
        <f t="shared" ca="1" si="32"/>
        <v>-444.75039238012704</v>
      </c>
      <c r="U53" s="44">
        <f t="shared" ca="1" si="32"/>
        <v>0</v>
      </c>
      <c r="V53" s="44">
        <f t="shared" ca="1" si="32"/>
        <v>0</v>
      </c>
      <c r="W53" s="44">
        <f t="shared" ca="1" si="32"/>
        <v>0</v>
      </c>
      <c r="X53" s="44">
        <f t="shared" ca="1" si="32"/>
        <v>0</v>
      </c>
      <c r="Y53" s="44">
        <f t="shared" ca="1" si="32"/>
        <v>0</v>
      </c>
      <c r="Z53" s="44">
        <f t="shared" ca="1" si="32"/>
        <v>-608.44136532235825</v>
      </c>
      <c r="AA53" s="44">
        <f t="shared" ca="1" si="32"/>
        <v>0</v>
      </c>
      <c r="AB53" s="44">
        <f t="shared" ca="1" si="32"/>
        <v>0</v>
      </c>
      <c r="AC53" s="44">
        <f t="shared" ca="1" si="32"/>
        <v>0</v>
      </c>
      <c r="AD53" s="44">
        <f t="shared" ca="1" si="32"/>
        <v>0</v>
      </c>
      <c r="AE53" s="44">
        <f t="shared" ca="1" si="32"/>
        <v>0</v>
      </c>
      <c r="AF53" s="44">
        <f t="shared" ca="1" si="32"/>
        <v>-770.09622573600359</v>
      </c>
      <c r="AG53" s="44">
        <f t="shared" ca="1" si="32"/>
        <v>0</v>
      </c>
      <c r="AH53" s="44">
        <f t="shared" ca="1" si="32"/>
        <v>0</v>
      </c>
      <c r="AI53" s="44">
        <f t="shared" ca="1" si="32"/>
        <v>0</v>
      </c>
      <c r="AJ53" s="44">
        <f t="shared" ca="1" si="32"/>
        <v>0</v>
      </c>
      <c r="AK53" s="44">
        <f t="shared" ca="1" si="32"/>
        <v>-687.6</v>
      </c>
      <c r="AL53" s="44">
        <f t="shared" ca="1" si="32"/>
        <v>-232.24539519836458</v>
      </c>
      <c r="AM53" s="44">
        <f t="shared" ca="1" si="32"/>
        <v>450.24089995091884</v>
      </c>
      <c r="AN53" s="44">
        <f t="shared" ca="1" si="32"/>
        <v>0</v>
      </c>
      <c r="AO53" s="44">
        <f t="shared" ca="1" si="32"/>
        <v>0</v>
      </c>
      <c r="AP53" s="44">
        <f t="shared" ca="1" si="32"/>
        <v>0</v>
      </c>
      <c r="AQ53" s="44">
        <f t="shared" ca="1" si="32"/>
        <v>0</v>
      </c>
      <c r="AR53" s="44">
        <f t="shared" ca="1" si="32"/>
        <v>-514.77997541327272</v>
      </c>
      <c r="AS53" s="44">
        <f t="shared" ca="1" si="32"/>
        <v>0</v>
      </c>
      <c r="AT53" s="44">
        <f t="shared" ca="1" si="32"/>
        <v>0</v>
      </c>
      <c r="AU53" s="44">
        <f t="shared" ca="1" si="32"/>
        <v>0</v>
      </c>
      <c r="AV53" s="44">
        <f t="shared" ca="1" si="32"/>
        <v>0</v>
      </c>
      <c r="AW53" s="44">
        <f t="shared" ca="1" si="32"/>
        <v>0</v>
      </c>
      <c r="AX53" s="44">
        <f t="shared" ca="1" si="32"/>
        <v>-642.67357826255648</v>
      </c>
      <c r="AY53" s="44">
        <f t="shared" ca="1" si="32"/>
        <v>0</v>
      </c>
      <c r="AZ53" s="44">
        <f t="shared" ca="1" si="32"/>
        <v>0</v>
      </c>
      <c r="BA53" s="44">
        <f t="shared" ca="1" si="32"/>
        <v>0</v>
      </c>
      <c r="BB53" s="44">
        <f t="shared" ca="1" si="32"/>
        <v>0</v>
      </c>
      <c r="BC53" s="44">
        <f t="shared" ca="1" si="32"/>
        <v>0</v>
      </c>
      <c r="BD53" s="44">
        <f t="shared" ca="1" si="32"/>
        <v>-815.01083928986509</v>
      </c>
      <c r="BE53" s="44">
        <f t="shared" ca="1" si="32"/>
        <v>0</v>
      </c>
      <c r="BF53" s="44">
        <f t="shared" ca="1" si="32"/>
        <v>0</v>
      </c>
      <c r="BG53" s="44">
        <f t="shared" ca="1" si="32"/>
        <v>0</v>
      </c>
      <c r="BH53" s="44">
        <f t="shared" ca="1" si="32"/>
        <v>0</v>
      </c>
      <c r="BI53" s="44">
        <f t="shared" ca="1" si="32"/>
        <v>0</v>
      </c>
      <c r="BJ53" s="44">
        <f t="shared" ca="1" si="32"/>
        <v>-652.93713956767328</v>
      </c>
      <c r="BK53" s="44">
        <f t="shared" ca="1" si="32"/>
        <v>0</v>
      </c>
      <c r="BL53" s="44">
        <f t="shared" ca="1" si="32"/>
        <v>0</v>
      </c>
      <c r="BM53" s="44">
        <f t="shared" ca="1" si="32"/>
        <v>0</v>
      </c>
      <c r="BN53" s="44">
        <f t="shared" ca="1" si="32"/>
        <v>0</v>
      </c>
      <c r="BO53" s="44">
        <f t="shared" ca="1" si="32"/>
        <v>0</v>
      </c>
      <c r="BP53" s="44">
        <f t="shared" ca="1" si="32"/>
        <v>-53905.034610222647</v>
      </c>
      <c r="BQ53" s="44">
        <f t="shared" ca="1" si="32"/>
        <v>0</v>
      </c>
      <c r="BR53" s="44">
        <f t="shared" ca="1" si="32"/>
        <v>0</v>
      </c>
      <c r="BS53" s="44">
        <f t="shared" ca="1" si="32"/>
        <v>0</v>
      </c>
      <c r="BT53" s="44">
        <f t="shared" ca="1" si="32"/>
        <v>0</v>
      </c>
      <c r="BU53" s="44">
        <f t="shared" ref="BU53:BY53" ca="1" si="33">SUM(BU33:BU52)</f>
        <v>0</v>
      </c>
      <c r="BV53" s="44">
        <f t="shared" ca="1" si="33"/>
        <v>0</v>
      </c>
      <c r="BW53" s="44">
        <f t="shared" ca="1" si="33"/>
        <v>0</v>
      </c>
      <c r="BX53" s="44">
        <f t="shared" ca="1" si="33"/>
        <v>0</v>
      </c>
      <c r="BY53" s="44">
        <f t="shared" ca="1" si="33"/>
        <v>0</v>
      </c>
    </row>
    <row r="55" spans="2:77" s="136" customFormat="1" ht="13.5" customHeight="1">
      <c r="B55" s="173" t="s">
        <v>380</v>
      </c>
      <c r="C55" s="173"/>
      <c r="D55" s="173"/>
      <c r="E55" s="173"/>
      <c r="F55" s="173">
        <f ca="1">SUM(G55:XFD55)</f>
        <v>-3.865352482534945E-12</v>
      </c>
      <c r="G55" s="173"/>
      <c r="H55" s="173">
        <f ca="1">H53+H29+H22</f>
        <v>-7.2759576141834259E-12</v>
      </c>
      <c r="I55" s="173">
        <f t="shared" ref="I55:BT55" ca="1" si="34">I53+I29+I22</f>
        <v>94.910028847866698</v>
      </c>
      <c r="J55" s="173">
        <f t="shared" ca="1" si="34"/>
        <v>199.26973956524444</v>
      </c>
      <c r="K55" s="173">
        <f t="shared" ca="1" si="34"/>
        <v>-8.3784364204144026</v>
      </c>
      <c r="L55" s="173">
        <f t="shared" ca="1" si="34"/>
        <v>79.195921949264914</v>
      </c>
      <c r="M55" s="173">
        <f t="shared" ca="1" si="34"/>
        <v>-364.99725394195474</v>
      </c>
      <c r="N55" s="173">
        <f t="shared" ca="1" si="34"/>
        <v>0</v>
      </c>
      <c r="O55" s="173">
        <f t="shared" ca="1" si="34"/>
        <v>240.14231094134857</v>
      </c>
      <c r="P55" s="173">
        <f t="shared" ca="1" si="34"/>
        <v>214.1154663333333</v>
      </c>
      <c r="Q55" s="173">
        <f t="shared" ca="1" si="34"/>
        <v>36.131315488482926</v>
      </c>
      <c r="R55" s="173">
        <f t="shared" ca="1" si="34"/>
        <v>212.55193299999999</v>
      </c>
      <c r="S55" s="173">
        <f t="shared" ca="1" si="34"/>
        <v>214.1154663333333</v>
      </c>
      <c r="T55" s="173">
        <f t="shared" ca="1" si="34"/>
        <v>-501.54429069238927</v>
      </c>
      <c r="U55" s="173">
        <f t="shared" ca="1" si="34"/>
        <v>112.86585286833335</v>
      </c>
      <c r="V55" s="173">
        <f t="shared" ca="1" si="34"/>
        <v>213.71956582833332</v>
      </c>
      <c r="W55" s="173">
        <f t="shared" ca="1" si="34"/>
        <v>35.735414983482883</v>
      </c>
      <c r="X55" s="173">
        <f t="shared" ca="1" si="34"/>
        <v>92.733956908807727</v>
      </c>
      <c r="Y55" s="173">
        <f t="shared" ca="1" si="34"/>
        <v>213.71956582833332</v>
      </c>
      <c r="Z55" s="173">
        <f t="shared" ca="1" si="34"/>
        <v>-699.09345491150043</v>
      </c>
      <c r="AA55" s="173">
        <f t="shared" ca="1" si="34"/>
        <v>215.03865416166667</v>
      </c>
      <c r="AB55" s="173">
        <f t="shared" ca="1" si="34"/>
        <v>215.03865416166667</v>
      </c>
      <c r="AC55" s="173">
        <f t="shared" ca="1" si="34"/>
        <v>36.873052594575881</v>
      </c>
      <c r="AD55" s="173">
        <f t="shared" ca="1" si="34"/>
        <v>213.14963416166668</v>
      </c>
      <c r="AE55" s="173">
        <f t="shared" ca="1" si="34"/>
        <v>215.03865416166667</v>
      </c>
      <c r="AF55" s="173">
        <f t="shared" ca="1" si="34"/>
        <v>-825.96693621993268</v>
      </c>
      <c r="AG55" s="173">
        <f t="shared" ca="1" si="34"/>
        <v>112.27029649469171</v>
      </c>
      <c r="AH55" s="173">
        <f t="shared" ca="1" si="34"/>
        <v>214.63681514909166</v>
      </c>
      <c r="AI55" s="173">
        <f t="shared" ca="1" si="34"/>
        <v>36.652664304240886</v>
      </c>
      <c r="AJ55" s="173">
        <f t="shared" ca="1" si="34"/>
        <v>93.106435661661635</v>
      </c>
      <c r="AK55" s="173">
        <f t="shared" ca="1" si="34"/>
        <v>-472.96318485090836</v>
      </c>
      <c r="AL55" s="173">
        <f t="shared" ca="1" si="34"/>
        <v>-438.06784268998683</v>
      </c>
      <c r="AM55" s="173">
        <f t="shared" ca="1" si="34"/>
        <v>382.64045581659536</v>
      </c>
      <c r="AN55" s="173">
        <f t="shared" ca="1" si="34"/>
        <v>220.65059436575831</v>
      </c>
      <c r="AO55" s="173">
        <f t="shared" ca="1" si="34"/>
        <v>42.394267437547569</v>
      </c>
      <c r="AP55" s="173">
        <f t="shared" ca="1" si="34"/>
        <v>218.88965696575832</v>
      </c>
      <c r="AQ55" s="173">
        <f t="shared" ca="1" si="34"/>
        <v>220.65059436575831</v>
      </c>
      <c r="AR55" s="173">
        <f t="shared" ca="1" si="34"/>
        <v>-565.03874569311017</v>
      </c>
      <c r="AS55" s="173">
        <f t="shared" ca="1" si="34"/>
        <v>116.34071133377878</v>
      </c>
      <c r="AT55" s="173">
        <f t="shared" ca="1" si="34"/>
        <v>220.24272776799469</v>
      </c>
      <c r="AU55" s="173">
        <f t="shared" ca="1" si="34"/>
        <v>42.25857692314392</v>
      </c>
      <c r="AV55" s="173">
        <f t="shared" ca="1" si="34"/>
        <v>98.226874798613551</v>
      </c>
      <c r="AW55" s="173">
        <f t="shared" ca="1" si="34"/>
        <v>220.24272776799469</v>
      </c>
      <c r="AX55" s="173">
        <f t="shared" ca="1" si="34"/>
        <v>-728.92805542004498</v>
      </c>
      <c r="AY55" s="173">
        <f t="shared" ca="1" si="34"/>
        <v>222.78114477682803</v>
      </c>
      <c r="AZ55" s="173">
        <f t="shared" ca="1" si="34"/>
        <v>222.78114477682803</v>
      </c>
      <c r="BA55" s="173">
        <f t="shared" ca="1" si="34"/>
        <v>44.388729806937249</v>
      </c>
      <c r="BB55" s="173">
        <f t="shared" ca="1" si="34"/>
        <v>220.87594637682804</v>
      </c>
      <c r="BC55" s="173">
        <f t="shared" ca="1" si="34"/>
        <v>222.78114477682803</v>
      </c>
      <c r="BD55" s="173">
        <f t="shared" ca="1" si="34"/>
        <v>-863.13905915863313</v>
      </c>
      <c r="BE55" s="173">
        <f t="shared" ca="1" si="34"/>
        <v>116.90661349936875</v>
      </c>
      <c r="BF55" s="173">
        <f t="shared" ca="1" si="34"/>
        <v>222.36716018009798</v>
      </c>
      <c r="BG55" s="173">
        <f t="shared" ca="1" si="34"/>
        <v>44.383009335247209</v>
      </c>
      <c r="BH55" s="173">
        <f t="shared" ca="1" si="34"/>
        <v>99.962506437387276</v>
      </c>
      <c r="BI55" s="173">
        <f t="shared" ca="1" si="34"/>
        <v>222.36716018009798</v>
      </c>
      <c r="BJ55" s="173">
        <f t="shared" ca="1" si="34"/>
        <v>-738.17801952145555</v>
      </c>
      <c r="BK55" s="173">
        <f t="shared" ca="1" si="34"/>
        <v>224.93096135901965</v>
      </c>
      <c r="BL55" s="173">
        <f t="shared" ca="1" si="34"/>
        <v>224.93096135901965</v>
      </c>
      <c r="BM55" s="173">
        <f t="shared" ca="1" si="34"/>
        <v>46.334414326608851</v>
      </c>
      <c r="BN55" s="173">
        <f t="shared" ca="1" si="34"/>
        <v>223.02576295901963</v>
      </c>
      <c r="BO55" s="173">
        <f t="shared" ca="1" si="34"/>
        <v>224.93096135901965</v>
      </c>
      <c r="BP55" s="173">
        <f t="shared" ca="1" si="34"/>
        <v>-1471.0009292588386</v>
      </c>
      <c r="BQ55" s="173">
        <f t="shared" ca="1" si="34"/>
        <v>0</v>
      </c>
      <c r="BR55" s="173">
        <f t="shared" ca="1" si="34"/>
        <v>0</v>
      </c>
      <c r="BS55" s="173">
        <f t="shared" ca="1" si="34"/>
        <v>0</v>
      </c>
      <c r="BT55" s="173">
        <f t="shared" ca="1" si="34"/>
        <v>0</v>
      </c>
      <c r="BU55" s="173">
        <f t="shared" ref="BU55:BY55" ca="1" si="35">BU53+BU29+BU22</f>
        <v>0</v>
      </c>
      <c r="BV55" s="173">
        <f t="shared" ca="1" si="35"/>
        <v>0</v>
      </c>
      <c r="BW55" s="173">
        <f t="shared" ca="1" si="35"/>
        <v>0</v>
      </c>
      <c r="BX55" s="173">
        <f t="shared" ca="1" si="35"/>
        <v>0</v>
      </c>
      <c r="BY55" s="173">
        <f t="shared" ca="1" si="35"/>
        <v>0</v>
      </c>
    </row>
    <row r="56" spans="2:77" ht="13.5" customHeight="1">
      <c r="C56" s="174" t="s">
        <v>381</v>
      </c>
      <c r="D56" s="175"/>
      <c r="E56" s="175"/>
      <c r="F56" s="175"/>
      <c r="G56" s="175"/>
      <c r="H56" s="175">
        <v>0</v>
      </c>
      <c r="I56" s="175">
        <f ca="1">H57</f>
        <v>-7.2759576141834259E-12</v>
      </c>
      <c r="J56" s="175">
        <f t="shared" ref="J56:BU56" ca="1" si="36">I57</f>
        <v>94.910028847859422</v>
      </c>
      <c r="K56" s="175">
        <f t="shared" ca="1" si="36"/>
        <v>294.17976841310383</v>
      </c>
      <c r="L56" s="175">
        <f t="shared" ca="1" si="36"/>
        <v>285.80133199268943</v>
      </c>
      <c r="M56" s="175">
        <f t="shared" ca="1" si="36"/>
        <v>364.99725394195434</v>
      </c>
      <c r="N56" s="175">
        <f t="shared" ca="1" si="36"/>
        <v>0</v>
      </c>
      <c r="O56" s="175">
        <f t="shared" ca="1" si="36"/>
        <v>0</v>
      </c>
      <c r="P56" s="175">
        <f t="shared" ca="1" si="36"/>
        <v>240.14231094134857</v>
      </c>
      <c r="Q56" s="175">
        <f t="shared" ca="1" si="36"/>
        <v>454.25777727468187</v>
      </c>
      <c r="R56" s="175">
        <f t="shared" ca="1" si="36"/>
        <v>490.3890927631648</v>
      </c>
      <c r="S56" s="175">
        <f t="shared" ca="1" si="36"/>
        <v>702.94102576316482</v>
      </c>
      <c r="T56" s="175">
        <f t="shared" ca="1" si="36"/>
        <v>917.05649209649812</v>
      </c>
      <c r="U56" s="175">
        <f t="shared" ca="1" si="36"/>
        <v>415.51220140410885</v>
      </c>
      <c r="V56" s="175">
        <f t="shared" ca="1" si="36"/>
        <v>528.37805427244223</v>
      </c>
      <c r="W56" s="175">
        <f t="shared" ca="1" si="36"/>
        <v>742.09762010077554</v>
      </c>
      <c r="X56" s="175">
        <f t="shared" ca="1" si="36"/>
        <v>777.83303508425843</v>
      </c>
      <c r="Y56" s="175">
        <f t="shared" ca="1" si="36"/>
        <v>870.56699199306615</v>
      </c>
      <c r="Z56" s="175">
        <f t="shared" ca="1" si="36"/>
        <v>1084.2865578213996</v>
      </c>
      <c r="AA56" s="175">
        <f t="shared" ca="1" si="36"/>
        <v>385.19310290989915</v>
      </c>
      <c r="AB56" s="175">
        <f t="shared" ca="1" si="36"/>
        <v>600.23175707156588</v>
      </c>
      <c r="AC56" s="175">
        <f t="shared" ca="1" si="36"/>
        <v>815.27041123323261</v>
      </c>
      <c r="AD56" s="175">
        <f t="shared" ca="1" si="36"/>
        <v>852.14346382780855</v>
      </c>
      <c r="AE56" s="175">
        <f t="shared" ca="1" si="36"/>
        <v>1065.2930979894752</v>
      </c>
      <c r="AF56" s="175">
        <f t="shared" ca="1" si="36"/>
        <v>1280.3317521511419</v>
      </c>
      <c r="AG56" s="175">
        <f t="shared" ca="1" si="36"/>
        <v>454.36481593120925</v>
      </c>
      <c r="AH56" s="175">
        <f t="shared" ca="1" si="36"/>
        <v>566.63511242590096</v>
      </c>
      <c r="AI56" s="175">
        <f t="shared" ca="1" si="36"/>
        <v>781.27192757499256</v>
      </c>
      <c r="AJ56" s="175">
        <f t="shared" ca="1" si="36"/>
        <v>817.9245918792335</v>
      </c>
      <c r="AK56" s="175">
        <f t="shared" ca="1" si="36"/>
        <v>911.03102754089514</v>
      </c>
      <c r="AL56" s="175">
        <f t="shared" ca="1" si="36"/>
        <v>438.06784268998678</v>
      </c>
      <c r="AM56" s="175">
        <f t="shared" ca="1" si="36"/>
        <v>0</v>
      </c>
      <c r="AN56" s="175">
        <f t="shared" ca="1" si="36"/>
        <v>382.64045581659536</v>
      </c>
      <c r="AO56" s="175">
        <f t="shared" ca="1" si="36"/>
        <v>603.29105018235373</v>
      </c>
      <c r="AP56" s="175">
        <f t="shared" ca="1" si="36"/>
        <v>645.6853176199013</v>
      </c>
      <c r="AQ56" s="175">
        <f t="shared" ca="1" si="36"/>
        <v>864.57497458565967</v>
      </c>
      <c r="AR56" s="175">
        <f t="shared" ca="1" si="36"/>
        <v>1085.2255689514179</v>
      </c>
      <c r="AS56" s="175">
        <f t="shared" ca="1" si="36"/>
        <v>520.18682325830775</v>
      </c>
      <c r="AT56" s="175">
        <f t="shared" ca="1" si="36"/>
        <v>636.52753459208657</v>
      </c>
      <c r="AU56" s="175">
        <f t="shared" ca="1" si="36"/>
        <v>856.77026236008123</v>
      </c>
      <c r="AV56" s="175">
        <f t="shared" ca="1" si="36"/>
        <v>899.02883928322512</v>
      </c>
      <c r="AW56" s="175">
        <f t="shared" ca="1" si="36"/>
        <v>997.25571408183873</v>
      </c>
      <c r="AX56" s="175">
        <f t="shared" ca="1" si="36"/>
        <v>1217.4984418498334</v>
      </c>
      <c r="AY56" s="175">
        <f t="shared" ca="1" si="36"/>
        <v>488.57038642978841</v>
      </c>
      <c r="AZ56" s="175">
        <f t="shared" ca="1" si="36"/>
        <v>711.35153120661641</v>
      </c>
      <c r="BA56" s="175">
        <f t="shared" ca="1" si="36"/>
        <v>934.13267598344441</v>
      </c>
      <c r="BB56" s="175">
        <f t="shared" ca="1" si="36"/>
        <v>978.52140579038166</v>
      </c>
      <c r="BC56" s="175">
        <f t="shared" ca="1" si="36"/>
        <v>1199.3973521672096</v>
      </c>
      <c r="BD56" s="175">
        <f t="shared" ca="1" si="36"/>
        <v>1422.1784969440378</v>
      </c>
      <c r="BE56" s="175">
        <f t="shared" ca="1" si="36"/>
        <v>559.03943778540463</v>
      </c>
      <c r="BF56" s="175">
        <f t="shared" ca="1" si="36"/>
        <v>675.94605128477338</v>
      </c>
      <c r="BG56" s="175">
        <f t="shared" ca="1" si="36"/>
        <v>898.3132114648713</v>
      </c>
      <c r="BH56" s="175">
        <f t="shared" ca="1" si="36"/>
        <v>942.69622080011845</v>
      </c>
      <c r="BI56" s="175">
        <f t="shared" ca="1" si="36"/>
        <v>1042.6587272375057</v>
      </c>
      <c r="BJ56" s="175">
        <f t="shared" ca="1" si="36"/>
        <v>1265.0258874176036</v>
      </c>
      <c r="BK56" s="175">
        <f t="shared" ca="1" si="36"/>
        <v>526.84786789614805</v>
      </c>
      <c r="BL56" s="175">
        <f t="shared" ca="1" si="36"/>
        <v>751.77882925516769</v>
      </c>
      <c r="BM56" s="175">
        <f t="shared" ca="1" si="36"/>
        <v>976.70979061418734</v>
      </c>
      <c r="BN56" s="175">
        <f t="shared" ca="1" si="36"/>
        <v>1023.0442049407961</v>
      </c>
      <c r="BO56" s="175">
        <f t="shared" ca="1" si="36"/>
        <v>1246.0699678998158</v>
      </c>
      <c r="BP56" s="175">
        <f t="shared" ca="1" si="36"/>
        <v>1471.0009292588354</v>
      </c>
      <c r="BQ56" s="175">
        <f t="shared" ca="1" si="36"/>
        <v>-3.1832314562052488E-12</v>
      </c>
      <c r="BR56" s="175">
        <f t="shared" ca="1" si="36"/>
        <v>-3.1832314562052488E-12</v>
      </c>
      <c r="BS56" s="175">
        <f t="shared" ca="1" si="36"/>
        <v>-3.1832314562052488E-12</v>
      </c>
      <c r="BT56" s="175">
        <f t="shared" ca="1" si="36"/>
        <v>-3.1832314562052488E-12</v>
      </c>
      <c r="BU56" s="175">
        <f t="shared" ca="1" si="36"/>
        <v>-3.1832314562052488E-12</v>
      </c>
      <c r="BV56" s="175">
        <f t="shared" ref="BV56:BY56" ca="1" si="37">BU57</f>
        <v>-3.1832314562052488E-12</v>
      </c>
      <c r="BW56" s="175">
        <f t="shared" ca="1" si="37"/>
        <v>-3.1832314562052488E-12</v>
      </c>
      <c r="BX56" s="175">
        <f t="shared" ca="1" si="37"/>
        <v>-3.1832314562052488E-12</v>
      </c>
      <c r="BY56" s="175">
        <f t="shared" ca="1" si="37"/>
        <v>-3.1832314562052488E-12</v>
      </c>
    </row>
    <row r="57" spans="2:77" ht="13.5" customHeight="1">
      <c r="B57" s="178"/>
      <c r="C57" s="176" t="s">
        <v>382</v>
      </c>
      <c r="D57" s="177"/>
      <c r="E57" s="177"/>
      <c r="F57" s="242" t="b">
        <f ca="1">MIN(H57:XFD57)&gt;-0.0001</f>
        <v>1</v>
      </c>
      <c r="G57" s="177"/>
      <c r="H57" s="177">
        <f ca="1">SUM(H55:H56)</f>
        <v>-7.2759576141834259E-12</v>
      </c>
      <c r="I57" s="177">
        <f ca="1">I55+I56</f>
        <v>94.910028847859422</v>
      </c>
      <c r="J57" s="177">
        <f t="shared" ref="J57:BU57" ca="1" si="38">J55+J56</f>
        <v>294.17976841310383</v>
      </c>
      <c r="K57" s="177">
        <f t="shared" ca="1" si="38"/>
        <v>285.80133199268943</v>
      </c>
      <c r="L57" s="177">
        <f t="shared" ca="1" si="38"/>
        <v>364.99725394195434</v>
      </c>
      <c r="M57" s="177">
        <f t="shared" ca="1" si="38"/>
        <v>0</v>
      </c>
      <c r="N57" s="177">
        <f t="shared" ca="1" si="38"/>
        <v>0</v>
      </c>
      <c r="O57" s="177">
        <f t="shared" ca="1" si="38"/>
        <v>240.14231094134857</v>
      </c>
      <c r="P57" s="177">
        <f t="shared" ca="1" si="38"/>
        <v>454.25777727468187</v>
      </c>
      <c r="Q57" s="177">
        <f t="shared" ca="1" si="38"/>
        <v>490.3890927631648</v>
      </c>
      <c r="R57" s="177">
        <f t="shared" ca="1" si="38"/>
        <v>702.94102576316482</v>
      </c>
      <c r="S57" s="177">
        <f t="shared" ca="1" si="38"/>
        <v>917.05649209649812</v>
      </c>
      <c r="T57" s="177">
        <f t="shared" ca="1" si="38"/>
        <v>415.51220140410885</v>
      </c>
      <c r="U57" s="177">
        <f t="shared" ca="1" si="38"/>
        <v>528.37805427244223</v>
      </c>
      <c r="V57" s="177">
        <f t="shared" ca="1" si="38"/>
        <v>742.09762010077554</v>
      </c>
      <c r="W57" s="177">
        <f t="shared" ca="1" si="38"/>
        <v>777.83303508425843</v>
      </c>
      <c r="X57" s="177">
        <f t="shared" ca="1" si="38"/>
        <v>870.56699199306615</v>
      </c>
      <c r="Y57" s="177">
        <f t="shared" ca="1" si="38"/>
        <v>1084.2865578213996</v>
      </c>
      <c r="Z57" s="177">
        <f t="shared" ca="1" si="38"/>
        <v>385.19310290989915</v>
      </c>
      <c r="AA57" s="177">
        <f t="shared" ca="1" si="38"/>
        <v>600.23175707156588</v>
      </c>
      <c r="AB57" s="177">
        <f t="shared" ca="1" si="38"/>
        <v>815.27041123323261</v>
      </c>
      <c r="AC57" s="177">
        <f t="shared" ca="1" si="38"/>
        <v>852.14346382780855</v>
      </c>
      <c r="AD57" s="177">
        <f t="shared" ca="1" si="38"/>
        <v>1065.2930979894752</v>
      </c>
      <c r="AE57" s="177">
        <f t="shared" ca="1" si="38"/>
        <v>1280.3317521511419</v>
      </c>
      <c r="AF57" s="177">
        <f t="shared" ca="1" si="38"/>
        <v>454.36481593120925</v>
      </c>
      <c r="AG57" s="177">
        <f t="shared" ca="1" si="38"/>
        <v>566.63511242590096</v>
      </c>
      <c r="AH57" s="177">
        <f t="shared" ca="1" si="38"/>
        <v>781.27192757499256</v>
      </c>
      <c r="AI57" s="177">
        <f t="shared" ca="1" si="38"/>
        <v>817.9245918792335</v>
      </c>
      <c r="AJ57" s="177">
        <f t="shared" ca="1" si="38"/>
        <v>911.03102754089514</v>
      </c>
      <c r="AK57" s="177">
        <f t="shared" ca="1" si="38"/>
        <v>438.06784268998678</v>
      </c>
      <c r="AL57" s="177">
        <f t="shared" ca="1" si="38"/>
        <v>0</v>
      </c>
      <c r="AM57" s="177">
        <f t="shared" ca="1" si="38"/>
        <v>382.64045581659536</v>
      </c>
      <c r="AN57" s="177">
        <f t="shared" ca="1" si="38"/>
        <v>603.29105018235373</v>
      </c>
      <c r="AO57" s="177">
        <f t="shared" ca="1" si="38"/>
        <v>645.6853176199013</v>
      </c>
      <c r="AP57" s="177">
        <f t="shared" ca="1" si="38"/>
        <v>864.57497458565967</v>
      </c>
      <c r="AQ57" s="177">
        <f t="shared" ca="1" si="38"/>
        <v>1085.2255689514179</v>
      </c>
      <c r="AR57" s="177">
        <f t="shared" ca="1" si="38"/>
        <v>520.18682325830775</v>
      </c>
      <c r="AS57" s="177">
        <f t="shared" ca="1" si="38"/>
        <v>636.52753459208657</v>
      </c>
      <c r="AT57" s="177">
        <f t="shared" ca="1" si="38"/>
        <v>856.77026236008123</v>
      </c>
      <c r="AU57" s="177">
        <f t="shared" ca="1" si="38"/>
        <v>899.02883928322512</v>
      </c>
      <c r="AV57" s="177">
        <f t="shared" ca="1" si="38"/>
        <v>997.25571408183873</v>
      </c>
      <c r="AW57" s="177">
        <f t="shared" ca="1" si="38"/>
        <v>1217.4984418498334</v>
      </c>
      <c r="AX57" s="177">
        <f t="shared" ca="1" si="38"/>
        <v>488.57038642978841</v>
      </c>
      <c r="AY57" s="177">
        <f t="shared" ca="1" si="38"/>
        <v>711.35153120661641</v>
      </c>
      <c r="AZ57" s="177">
        <f t="shared" ca="1" si="38"/>
        <v>934.13267598344441</v>
      </c>
      <c r="BA57" s="177">
        <f t="shared" ca="1" si="38"/>
        <v>978.52140579038166</v>
      </c>
      <c r="BB57" s="177">
        <f t="shared" ca="1" si="38"/>
        <v>1199.3973521672096</v>
      </c>
      <c r="BC57" s="177">
        <f t="shared" ca="1" si="38"/>
        <v>1422.1784969440378</v>
      </c>
      <c r="BD57" s="177">
        <f t="shared" ca="1" si="38"/>
        <v>559.03943778540463</v>
      </c>
      <c r="BE57" s="177">
        <f t="shared" ca="1" si="38"/>
        <v>675.94605128477338</v>
      </c>
      <c r="BF57" s="177">
        <f t="shared" ca="1" si="38"/>
        <v>898.3132114648713</v>
      </c>
      <c r="BG57" s="177">
        <f t="shared" ca="1" si="38"/>
        <v>942.69622080011845</v>
      </c>
      <c r="BH57" s="177">
        <f t="shared" ca="1" si="38"/>
        <v>1042.6587272375057</v>
      </c>
      <c r="BI57" s="177">
        <f t="shared" ca="1" si="38"/>
        <v>1265.0258874176036</v>
      </c>
      <c r="BJ57" s="177">
        <f t="shared" ca="1" si="38"/>
        <v>526.84786789614805</v>
      </c>
      <c r="BK57" s="177">
        <f t="shared" ca="1" si="38"/>
        <v>751.77882925516769</v>
      </c>
      <c r="BL57" s="177">
        <f t="shared" ca="1" si="38"/>
        <v>976.70979061418734</v>
      </c>
      <c r="BM57" s="177">
        <f t="shared" ca="1" si="38"/>
        <v>1023.0442049407961</v>
      </c>
      <c r="BN57" s="177">
        <f t="shared" ca="1" si="38"/>
        <v>1246.0699678998158</v>
      </c>
      <c r="BO57" s="177">
        <f t="shared" ca="1" si="38"/>
        <v>1471.0009292588354</v>
      </c>
      <c r="BP57" s="177">
        <f t="shared" ca="1" si="38"/>
        <v>-3.1832314562052488E-12</v>
      </c>
      <c r="BQ57" s="177">
        <f t="shared" ca="1" si="38"/>
        <v>-3.1832314562052488E-12</v>
      </c>
      <c r="BR57" s="177">
        <f t="shared" ca="1" si="38"/>
        <v>-3.1832314562052488E-12</v>
      </c>
      <c r="BS57" s="177">
        <f t="shared" ca="1" si="38"/>
        <v>-3.1832314562052488E-12</v>
      </c>
      <c r="BT57" s="177">
        <f t="shared" ca="1" si="38"/>
        <v>-3.1832314562052488E-12</v>
      </c>
      <c r="BU57" s="177">
        <f t="shared" ca="1" si="38"/>
        <v>-3.1832314562052488E-12</v>
      </c>
      <c r="BV57" s="177">
        <f t="shared" ref="BV57:BY57" ca="1" si="39">BV55+BV56</f>
        <v>-3.1832314562052488E-12</v>
      </c>
      <c r="BW57" s="177">
        <f t="shared" ca="1" si="39"/>
        <v>-3.1832314562052488E-12</v>
      </c>
      <c r="BX57" s="177">
        <f t="shared" ca="1" si="39"/>
        <v>-3.1832314562052488E-12</v>
      </c>
      <c r="BY57" s="177">
        <f t="shared" ca="1" si="39"/>
        <v>-3.1832314562052488E-12</v>
      </c>
    </row>
    <row r="58" spans="2:77" s="11" customFormat="1" ht="13.5" customHeight="1" outlineLevel="1">
      <c r="C58" s="11" t="s">
        <v>479</v>
      </c>
      <c r="H58" s="11">
        <f t="shared" ref="H58:BO58" ca="1" si="40">H56+H22+H29+SUM(H33:H38,H43:H49)</f>
        <v>0</v>
      </c>
      <c r="I58" s="11">
        <f t="shared" ca="1" si="40"/>
        <v>94.910028847859422</v>
      </c>
      <c r="J58" s="11">
        <f t="shared" ca="1" si="40"/>
        <v>294.17976841310383</v>
      </c>
      <c r="K58" s="11">
        <f t="shared" ca="1" si="40"/>
        <v>285.80133199268943</v>
      </c>
      <c r="L58" s="11">
        <f t="shared" ca="1" si="40"/>
        <v>364.99725394195434</v>
      </c>
      <c r="M58" s="11">
        <f t="shared" ca="1" si="40"/>
        <v>0</v>
      </c>
      <c r="N58" s="11">
        <f t="shared" ca="1" si="40"/>
        <v>0</v>
      </c>
      <c r="O58" s="11">
        <f t="shared" ca="1" si="40"/>
        <v>240.14231094134857</v>
      </c>
      <c r="P58" s="11">
        <f t="shared" ca="1" si="40"/>
        <v>454.25777727468187</v>
      </c>
      <c r="Q58" s="11">
        <f t="shared" ca="1" si="40"/>
        <v>490.3890927631648</v>
      </c>
      <c r="R58" s="11">
        <f t="shared" ca="1" si="40"/>
        <v>702.94102576316482</v>
      </c>
      <c r="S58" s="11">
        <f t="shared" ca="1" si="40"/>
        <v>917.05649209649812</v>
      </c>
      <c r="T58" s="11">
        <f t="shared" ca="1" si="40"/>
        <v>415.51220140410879</v>
      </c>
      <c r="U58" s="11">
        <f t="shared" ca="1" si="40"/>
        <v>528.37805427244223</v>
      </c>
      <c r="V58" s="11">
        <f t="shared" ca="1" si="40"/>
        <v>742.09762010077554</v>
      </c>
      <c r="W58" s="11">
        <f t="shared" ca="1" si="40"/>
        <v>777.83303508425843</v>
      </c>
      <c r="X58" s="11">
        <f t="shared" ca="1" si="40"/>
        <v>870.56699199306615</v>
      </c>
      <c r="Y58" s="11">
        <f t="shared" ca="1" si="40"/>
        <v>1084.2865578213996</v>
      </c>
      <c r="Z58" s="11">
        <f t="shared" ca="1" si="40"/>
        <v>385.19310290989915</v>
      </c>
      <c r="AA58" s="11">
        <f t="shared" ca="1" si="40"/>
        <v>600.23175707156588</v>
      </c>
      <c r="AB58" s="11">
        <f t="shared" ca="1" si="40"/>
        <v>815.27041123323261</v>
      </c>
      <c r="AC58" s="11">
        <f t="shared" ca="1" si="40"/>
        <v>852.14346382780855</v>
      </c>
      <c r="AD58" s="11">
        <f t="shared" ca="1" si="40"/>
        <v>1065.2930979894752</v>
      </c>
      <c r="AE58" s="11">
        <f t="shared" ca="1" si="40"/>
        <v>1280.3317521511419</v>
      </c>
      <c r="AF58" s="11">
        <f t="shared" ca="1" si="40"/>
        <v>454.36481593120925</v>
      </c>
      <c r="AG58" s="11">
        <f t="shared" ca="1" si="40"/>
        <v>566.63511242590096</v>
      </c>
      <c r="AH58" s="11">
        <f t="shared" ca="1" si="40"/>
        <v>781.27192757499256</v>
      </c>
      <c r="AI58" s="11">
        <f t="shared" ca="1" si="40"/>
        <v>817.9245918792335</v>
      </c>
      <c r="AJ58" s="11">
        <f t="shared" ca="1" si="40"/>
        <v>911.03102754089514</v>
      </c>
      <c r="AK58" s="11">
        <f t="shared" ca="1" si="40"/>
        <v>438.06784268998683</v>
      </c>
      <c r="AL58" s="11">
        <f t="shared" ca="1" si="40"/>
        <v>0</v>
      </c>
      <c r="AM58" s="11">
        <f t="shared" ca="1" si="40"/>
        <v>382.64045581659536</v>
      </c>
      <c r="AN58" s="11">
        <f t="shared" ca="1" si="40"/>
        <v>603.29105018235373</v>
      </c>
      <c r="AO58" s="11">
        <f t="shared" ca="1" si="40"/>
        <v>645.6853176199013</v>
      </c>
      <c r="AP58" s="11">
        <f t="shared" ca="1" si="40"/>
        <v>864.57497458565967</v>
      </c>
      <c r="AQ58" s="11">
        <f t="shared" ca="1" si="40"/>
        <v>1085.2255689514179</v>
      </c>
      <c r="AR58" s="11">
        <f t="shared" ca="1" si="40"/>
        <v>520.18682325830787</v>
      </c>
      <c r="AS58" s="11">
        <f t="shared" ca="1" si="40"/>
        <v>636.52753459208657</v>
      </c>
      <c r="AT58" s="11">
        <f t="shared" ca="1" si="40"/>
        <v>856.77026236008123</v>
      </c>
      <c r="AU58" s="11">
        <f t="shared" ca="1" si="40"/>
        <v>899.02883928322512</v>
      </c>
      <c r="AV58" s="11">
        <f t="shared" ca="1" si="40"/>
        <v>997.25571408183873</v>
      </c>
      <c r="AW58" s="11">
        <f t="shared" ca="1" si="40"/>
        <v>1217.4984418498334</v>
      </c>
      <c r="AX58" s="11">
        <f t="shared" ca="1" si="40"/>
        <v>488.57038642978841</v>
      </c>
      <c r="AY58" s="11">
        <f t="shared" ca="1" si="40"/>
        <v>711.35153120661641</v>
      </c>
      <c r="AZ58" s="11">
        <f t="shared" ca="1" si="40"/>
        <v>934.13267598344441</v>
      </c>
      <c r="BA58" s="11">
        <f t="shared" ca="1" si="40"/>
        <v>978.52140579038166</v>
      </c>
      <c r="BB58" s="11">
        <f t="shared" ca="1" si="40"/>
        <v>1199.3973521672096</v>
      </c>
      <c r="BC58" s="11">
        <f t="shared" ca="1" si="40"/>
        <v>1422.1784969440378</v>
      </c>
      <c r="BD58" s="11">
        <f t="shared" ca="1" si="40"/>
        <v>559.03943778540452</v>
      </c>
      <c r="BE58" s="11">
        <f t="shared" ca="1" si="40"/>
        <v>675.94605128477338</v>
      </c>
      <c r="BF58" s="11">
        <f t="shared" ca="1" si="40"/>
        <v>898.3132114648713</v>
      </c>
      <c r="BG58" s="11">
        <f t="shared" ca="1" si="40"/>
        <v>942.69622080011845</v>
      </c>
      <c r="BH58" s="11">
        <f t="shared" ca="1" si="40"/>
        <v>1042.6587272375057</v>
      </c>
      <c r="BI58" s="11">
        <f t="shared" ca="1" si="40"/>
        <v>1265.0258874176036</v>
      </c>
      <c r="BJ58" s="11">
        <f t="shared" ca="1" si="40"/>
        <v>526.84786789614805</v>
      </c>
      <c r="BK58" s="11">
        <f t="shared" ca="1" si="40"/>
        <v>751.77882925516769</v>
      </c>
      <c r="BL58" s="11">
        <f t="shared" ca="1" si="40"/>
        <v>976.70979061418734</v>
      </c>
      <c r="BM58" s="11">
        <f t="shared" ca="1" si="40"/>
        <v>1023.0442049407961</v>
      </c>
      <c r="BN58" s="11">
        <f t="shared" ca="1" si="40"/>
        <v>1246.0699678998158</v>
      </c>
      <c r="BO58" s="11">
        <f t="shared" ca="1" si="40"/>
        <v>1471.0009292588354</v>
      </c>
      <c r="BP58" s="11">
        <f ca="1">BP56+BP22+BP29+SUM(BP33:BP38,BP43:BP49)</f>
        <v>26111.07455573339</v>
      </c>
      <c r="BQ58" s="11">
        <f t="shared" ref="BQ58:BY58" ca="1" si="41">BQ56+BQ22+BQ29+SUM(BQ33:BQ38,BQ43:BQ49)</f>
        <v>-3.1832314562052488E-12</v>
      </c>
      <c r="BR58" s="11">
        <f t="shared" ca="1" si="41"/>
        <v>-3.1832314562052488E-12</v>
      </c>
      <c r="BS58" s="11">
        <f t="shared" ca="1" si="41"/>
        <v>-3.1832314562052488E-12</v>
      </c>
      <c r="BT58" s="11">
        <f t="shared" ca="1" si="41"/>
        <v>-3.1832314562052488E-12</v>
      </c>
      <c r="BU58" s="11">
        <f t="shared" ca="1" si="41"/>
        <v>-3.1832314562052488E-12</v>
      </c>
      <c r="BV58" s="11">
        <f t="shared" ca="1" si="41"/>
        <v>-3.1832314562052488E-12</v>
      </c>
      <c r="BW58" s="11">
        <f t="shared" ca="1" si="41"/>
        <v>-3.1832314562052488E-12</v>
      </c>
      <c r="BX58" s="11">
        <f t="shared" ca="1" si="41"/>
        <v>-3.1832314562052488E-12</v>
      </c>
      <c r="BY58" s="11">
        <f t="shared" ca="1" si="41"/>
        <v>-3.1832314562052488E-12</v>
      </c>
    </row>
    <row r="60" spans="2:77" ht="13.5" customHeight="1">
      <c r="B60" s="1" t="s">
        <v>383</v>
      </c>
    </row>
    <row r="61" spans="2:77" ht="13.5" customHeight="1">
      <c r="C61" s="1" t="s">
        <v>384</v>
      </c>
    </row>
    <row r="62" spans="2:77" ht="13.5" customHeight="1" outlineLevel="1">
      <c r="E62" s="95" t="s">
        <v>141</v>
      </c>
      <c r="F62" s="100">
        <f>'A&amp;R'!F80</f>
        <v>44286</v>
      </c>
    </row>
    <row r="63" spans="2:77" ht="13.5" customHeight="1" outlineLevel="1">
      <c r="E63" s="96" t="s">
        <v>142</v>
      </c>
      <c r="F63" s="117">
        <f>'A&amp;R'!G80</f>
        <v>46112</v>
      </c>
    </row>
    <row r="64" spans="2:77" ht="13.5" customHeight="1" outlineLevel="1">
      <c r="E64" s="98" t="s">
        <v>148</v>
      </c>
      <c r="F64" s="179">
        <f>'A&amp;R'!K80</f>
        <v>3</v>
      </c>
    </row>
    <row r="65" spans="3:77" s="143" customFormat="1" ht="13.5" customHeight="1" outlineLevel="1">
      <c r="E65" s="180"/>
      <c r="F65" s="181" t="s">
        <v>389</v>
      </c>
      <c r="H65" s="143">
        <f>(H14&gt;=$F$62)*(H14&lt;=$F$63)*1</f>
        <v>1</v>
      </c>
      <c r="I65" s="143">
        <f t="shared" ref="I65:BT65" si="42">(I14&gt;=$F$62)*(I14&lt;=$F$63)*1</f>
        <v>1</v>
      </c>
      <c r="J65" s="143">
        <f t="shared" si="42"/>
        <v>1</v>
      </c>
      <c r="K65" s="143">
        <f t="shared" si="42"/>
        <v>1</v>
      </c>
      <c r="L65" s="143">
        <f t="shared" si="42"/>
        <v>1</v>
      </c>
      <c r="M65" s="143">
        <f t="shared" si="42"/>
        <v>1</v>
      </c>
      <c r="N65" s="143">
        <f t="shared" si="42"/>
        <v>1</v>
      </c>
      <c r="O65" s="143">
        <f t="shared" si="42"/>
        <v>1</v>
      </c>
      <c r="P65" s="143">
        <f t="shared" si="42"/>
        <v>1</v>
      </c>
      <c r="Q65" s="143">
        <f t="shared" si="42"/>
        <v>1</v>
      </c>
      <c r="R65" s="143">
        <f t="shared" si="42"/>
        <v>1</v>
      </c>
      <c r="S65" s="143">
        <f t="shared" si="42"/>
        <v>1</v>
      </c>
      <c r="T65" s="143">
        <f t="shared" si="42"/>
        <v>1</v>
      </c>
      <c r="U65" s="143">
        <f t="shared" si="42"/>
        <v>1</v>
      </c>
      <c r="V65" s="143">
        <f t="shared" si="42"/>
        <v>1</v>
      </c>
      <c r="W65" s="143">
        <f t="shared" si="42"/>
        <v>1</v>
      </c>
      <c r="X65" s="143">
        <f t="shared" si="42"/>
        <v>1</v>
      </c>
      <c r="Y65" s="143">
        <f t="shared" si="42"/>
        <v>1</v>
      </c>
      <c r="Z65" s="143">
        <f t="shared" si="42"/>
        <v>1</v>
      </c>
      <c r="AA65" s="143">
        <f t="shared" si="42"/>
        <v>1</v>
      </c>
      <c r="AB65" s="143">
        <f t="shared" si="42"/>
        <v>1</v>
      </c>
      <c r="AC65" s="143">
        <f t="shared" si="42"/>
        <v>1</v>
      </c>
      <c r="AD65" s="143">
        <f t="shared" si="42"/>
        <v>1</v>
      </c>
      <c r="AE65" s="143">
        <f t="shared" si="42"/>
        <v>1</v>
      </c>
      <c r="AF65" s="143">
        <f t="shared" si="42"/>
        <v>1</v>
      </c>
      <c r="AG65" s="143">
        <f t="shared" si="42"/>
        <v>1</v>
      </c>
      <c r="AH65" s="143">
        <f t="shared" si="42"/>
        <v>1</v>
      </c>
      <c r="AI65" s="143">
        <f t="shared" si="42"/>
        <v>1</v>
      </c>
      <c r="AJ65" s="143">
        <f t="shared" si="42"/>
        <v>1</v>
      </c>
      <c r="AK65" s="143">
        <f t="shared" si="42"/>
        <v>1</v>
      </c>
      <c r="AL65" s="143">
        <f t="shared" si="42"/>
        <v>1</v>
      </c>
      <c r="AM65" s="143">
        <f t="shared" si="42"/>
        <v>1</v>
      </c>
      <c r="AN65" s="143">
        <f t="shared" si="42"/>
        <v>1</v>
      </c>
      <c r="AO65" s="143">
        <f t="shared" si="42"/>
        <v>1</v>
      </c>
      <c r="AP65" s="143">
        <f t="shared" si="42"/>
        <v>1</v>
      </c>
      <c r="AQ65" s="143">
        <f t="shared" si="42"/>
        <v>1</v>
      </c>
      <c r="AR65" s="143">
        <f t="shared" si="42"/>
        <v>1</v>
      </c>
      <c r="AS65" s="143">
        <f t="shared" si="42"/>
        <v>1</v>
      </c>
      <c r="AT65" s="143">
        <f t="shared" si="42"/>
        <v>1</v>
      </c>
      <c r="AU65" s="143">
        <f t="shared" si="42"/>
        <v>1</v>
      </c>
      <c r="AV65" s="143">
        <f t="shared" si="42"/>
        <v>1</v>
      </c>
      <c r="AW65" s="143">
        <f t="shared" si="42"/>
        <v>1</v>
      </c>
      <c r="AX65" s="143">
        <f t="shared" si="42"/>
        <v>1</v>
      </c>
      <c r="AY65" s="143">
        <f t="shared" si="42"/>
        <v>1</v>
      </c>
      <c r="AZ65" s="143">
        <f t="shared" si="42"/>
        <v>1</v>
      </c>
      <c r="BA65" s="143">
        <f t="shared" si="42"/>
        <v>1</v>
      </c>
      <c r="BB65" s="143">
        <f t="shared" si="42"/>
        <v>1</v>
      </c>
      <c r="BC65" s="143">
        <f t="shared" si="42"/>
        <v>1</v>
      </c>
      <c r="BD65" s="143">
        <f t="shared" si="42"/>
        <v>1</v>
      </c>
      <c r="BE65" s="143">
        <f t="shared" si="42"/>
        <v>1</v>
      </c>
      <c r="BF65" s="143">
        <f t="shared" si="42"/>
        <v>1</v>
      </c>
      <c r="BG65" s="143">
        <f t="shared" si="42"/>
        <v>1</v>
      </c>
      <c r="BH65" s="143">
        <f t="shared" si="42"/>
        <v>1</v>
      </c>
      <c r="BI65" s="143">
        <f t="shared" si="42"/>
        <v>1</v>
      </c>
      <c r="BJ65" s="143">
        <f t="shared" si="42"/>
        <v>1</v>
      </c>
      <c r="BK65" s="143">
        <f t="shared" si="42"/>
        <v>1</v>
      </c>
      <c r="BL65" s="143">
        <f t="shared" si="42"/>
        <v>1</v>
      </c>
      <c r="BM65" s="143">
        <f t="shared" si="42"/>
        <v>1</v>
      </c>
      <c r="BN65" s="143">
        <f t="shared" si="42"/>
        <v>1</v>
      </c>
      <c r="BO65" s="143">
        <f t="shared" si="42"/>
        <v>1</v>
      </c>
      <c r="BP65" s="143">
        <f t="shared" si="42"/>
        <v>1</v>
      </c>
      <c r="BQ65" s="143">
        <f t="shared" si="42"/>
        <v>0</v>
      </c>
      <c r="BR65" s="143">
        <f t="shared" si="42"/>
        <v>0</v>
      </c>
      <c r="BS65" s="143">
        <f t="shared" si="42"/>
        <v>0</v>
      </c>
      <c r="BT65" s="143">
        <f t="shared" si="42"/>
        <v>0</v>
      </c>
      <c r="BU65" s="143">
        <f t="shared" ref="BU65:BY65" si="43">(BU14&gt;=$F$62)*(BU14&lt;=$F$63)*1</f>
        <v>0</v>
      </c>
      <c r="BV65" s="143">
        <f t="shared" si="43"/>
        <v>0</v>
      </c>
      <c r="BW65" s="143">
        <f t="shared" si="43"/>
        <v>0</v>
      </c>
      <c r="BX65" s="143">
        <f t="shared" si="43"/>
        <v>0</v>
      </c>
      <c r="BY65" s="143">
        <f t="shared" si="43"/>
        <v>0</v>
      </c>
    </row>
    <row r="66" spans="3:77" s="143" customFormat="1" ht="13.5" customHeight="1" outlineLevel="1">
      <c r="E66" s="180"/>
      <c r="F66" s="181" t="s">
        <v>390</v>
      </c>
      <c r="H66" s="143">
        <f>SUM($H65:H65)*H65</f>
        <v>1</v>
      </c>
      <c r="I66" s="143">
        <f>SUM($H65:I65)*I65</f>
        <v>2</v>
      </c>
      <c r="J66" s="143">
        <f>SUM($H65:J65)*J65</f>
        <v>3</v>
      </c>
      <c r="K66" s="143">
        <f>SUM($H65:K65)*K65</f>
        <v>4</v>
      </c>
      <c r="L66" s="143">
        <f>SUM($H65:L65)*L65</f>
        <v>5</v>
      </c>
      <c r="M66" s="143">
        <f>SUM($H65:M65)*M65</f>
        <v>6</v>
      </c>
      <c r="N66" s="143">
        <f>SUM($H65:N65)*N65</f>
        <v>7</v>
      </c>
      <c r="O66" s="143">
        <f>SUM($H65:O65)*O65</f>
        <v>8</v>
      </c>
      <c r="P66" s="143">
        <f>SUM($H65:P65)*P65</f>
        <v>9</v>
      </c>
      <c r="Q66" s="143">
        <f>SUM($H65:Q65)*Q65</f>
        <v>10</v>
      </c>
      <c r="R66" s="143">
        <f>SUM($H65:R65)*R65</f>
        <v>11</v>
      </c>
      <c r="S66" s="143">
        <f>SUM($H65:S65)*S65</f>
        <v>12</v>
      </c>
      <c r="T66" s="143">
        <f>SUM($H65:T65)*T65</f>
        <v>13</v>
      </c>
      <c r="U66" s="143">
        <f>SUM($H65:U65)*U65</f>
        <v>14</v>
      </c>
      <c r="V66" s="143">
        <f>SUM($H65:V65)*V65</f>
        <v>15</v>
      </c>
      <c r="W66" s="143">
        <f>SUM($H65:W65)*W65</f>
        <v>16</v>
      </c>
      <c r="X66" s="143">
        <f>SUM($H65:X65)*X65</f>
        <v>17</v>
      </c>
      <c r="Y66" s="143">
        <f>SUM($H65:Y65)*Y65</f>
        <v>18</v>
      </c>
      <c r="Z66" s="143">
        <f>SUM($H65:Z65)*Z65</f>
        <v>19</v>
      </c>
      <c r="AA66" s="143">
        <f>SUM($H65:AA65)*AA65</f>
        <v>20</v>
      </c>
      <c r="AB66" s="143">
        <f>SUM($H65:AB65)*AB65</f>
        <v>21</v>
      </c>
      <c r="AC66" s="143">
        <f>SUM($H65:AC65)*AC65</f>
        <v>22</v>
      </c>
      <c r="AD66" s="143">
        <f>SUM($H65:AD65)*AD65</f>
        <v>23</v>
      </c>
      <c r="AE66" s="143">
        <f>SUM($H65:AE65)*AE65</f>
        <v>24</v>
      </c>
      <c r="AF66" s="143">
        <f>SUM($H65:AF65)*AF65</f>
        <v>25</v>
      </c>
      <c r="AG66" s="143">
        <f>SUM($H65:AG65)*AG65</f>
        <v>26</v>
      </c>
      <c r="AH66" s="143">
        <f>SUM($H65:AH65)*AH65</f>
        <v>27</v>
      </c>
      <c r="AI66" s="143">
        <f>SUM($H65:AI65)*AI65</f>
        <v>28</v>
      </c>
      <c r="AJ66" s="143">
        <f>SUM($H65:AJ65)*AJ65</f>
        <v>29</v>
      </c>
      <c r="AK66" s="143">
        <f>SUM($H65:AK65)*AK65</f>
        <v>30</v>
      </c>
      <c r="AL66" s="143">
        <f>SUM($H65:AL65)*AL65</f>
        <v>31</v>
      </c>
      <c r="AM66" s="143">
        <f>SUM($H65:AM65)*AM65</f>
        <v>32</v>
      </c>
      <c r="AN66" s="143">
        <f>SUM($H65:AN65)*AN65</f>
        <v>33</v>
      </c>
      <c r="AO66" s="143">
        <f>SUM($H65:AO65)*AO65</f>
        <v>34</v>
      </c>
      <c r="AP66" s="143">
        <f>SUM($H65:AP65)*AP65</f>
        <v>35</v>
      </c>
      <c r="AQ66" s="143">
        <f>SUM($H65:AQ65)*AQ65</f>
        <v>36</v>
      </c>
      <c r="AR66" s="143">
        <f>SUM($H65:AR65)*AR65</f>
        <v>37</v>
      </c>
      <c r="AS66" s="143">
        <f>SUM($H65:AS65)*AS65</f>
        <v>38</v>
      </c>
      <c r="AT66" s="143">
        <f>SUM($H65:AT65)*AT65</f>
        <v>39</v>
      </c>
      <c r="AU66" s="143">
        <f>SUM($H65:AU65)*AU65</f>
        <v>40</v>
      </c>
      <c r="AV66" s="143">
        <f>SUM($H65:AV65)*AV65</f>
        <v>41</v>
      </c>
      <c r="AW66" s="143">
        <f>SUM($H65:AW65)*AW65</f>
        <v>42</v>
      </c>
      <c r="AX66" s="143">
        <f>SUM($H65:AX65)*AX65</f>
        <v>43</v>
      </c>
      <c r="AY66" s="143">
        <f>SUM($H65:AY65)*AY65</f>
        <v>44</v>
      </c>
      <c r="AZ66" s="143">
        <f>SUM($H65:AZ65)*AZ65</f>
        <v>45</v>
      </c>
      <c r="BA66" s="143">
        <f>SUM($H65:BA65)*BA65</f>
        <v>46</v>
      </c>
      <c r="BB66" s="143">
        <f>SUM($H65:BB65)*BB65</f>
        <v>47</v>
      </c>
      <c r="BC66" s="143">
        <f>SUM($H65:BC65)*BC65</f>
        <v>48</v>
      </c>
      <c r="BD66" s="143">
        <f>SUM($H65:BD65)*BD65</f>
        <v>49</v>
      </c>
      <c r="BE66" s="143">
        <f>SUM($H65:BE65)*BE65</f>
        <v>50</v>
      </c>
      <c r="BF66" s="143">
        <f>SUM($H65:BF65)*BF65</f>
        <v>51</v>
      </c>
      <c r="BG66" s="143">
        <f>SUM($H65:BG65)*BG65</f>
        <v>52</v>
      </c>
      <c r="BH66" s="143">
        <f>SUM($H65:BH65)*BH65</f>
        <v>53</v>
      </c>
      <c r="BI66" s="143">
        <f>SUM($H65:BI65)*BI65</f>
        <v>54</v>
      </c>
      <c r="BJ66" s="143">
        <f>SUM($H65:BJ65)*BJ65</f>
        <v>55</v>
      </c>
      <c r="BK66" s="143">
        <f>SUM($H65:BK65)*BK65</f>
        <v>56</v>
      </c>
      <c r="BL66" s="143">
        <f>SUM($H65:BL65)*BL65</f>
        <v>57</v>
      </c>
      <c r="BM66" s="143">
        <f>SUM($H65:BM65)*BM65</f>
        <v>58</v>
      </c>
      <c r="BN66" s="143">
        <f>SUM($H65:BN65)*BN65</f>
        <v>59</v>
      </c>
      <c r="BO66" s="143">
        <f>SUM($H65:BO65)*BO65</f>
        <v>60</v>
      </c>
      <c r="BP66" s="143">
        <f>SUM($H65:BP65)*BP65</f>
        <v>61</v>
      </c>
      <c r="BQ66" s="143">
        <f>SUM($H65:BQ65)*BQ65</f>
        <v>0</v>
      </c>
      <c r="BR66" s="143">
        <f>SUM($H65:BR65)*BR65</f>
        <v>0</v>
      </c>
      <c r="BS66" s="143">
        <f>SUM($H65:BS65)*BS65</f>
        <v>0</v>
      </c>
      <c r="BT66" s="143">
        <f>SUM($H65:BT65)*BT65</f>
        <v>0</v>
      </c>
      <c r="BU66" s="143">
        <f>SUM($H65:BU65)*BU65</f>
        <v>0</v>
      </c>
      <c r="BV66" s="143">
        <f>SUM($H65:BV65)*BV65</f>
        <v>0</v>
      </c>
      <c r="BW66" s="143">
        <f>SUM($H65:BW65)*BW65</f>
        <v>0</v>
      </c>
      <c r="BX66" s="143">
        <f>SUM($H65:BX65)*BX65</f>
        <v>0</v>
      </c>
      <c r="BY66" s="143">
        <f>SUM($H65:BY65)*BY65</f>
        <v>0</v>
      </c>
    </row>
    <row r="67" spans="3:77" s="143" customFormat="1" ht="13.5" customHeight="1" outlineLevel="1">
      <c r="E67" s="180"/>
      <c r="F67" s="181" t="s">
        <v>391</v>
      </c>
      <c r="I67" s="143">
        <f>MIN(((MOD(H66,$F$64)=0)*1+(I14=$F$63)*1)*I65,1)</f>
        <v>0</v>
      </c>
      <c r="J67" s="143">
        <f t="shared" ref="J67:BU67" si="44">MIN(((MOD(I66,$F$64)=0)*1+(J14=$F$63)*1)*J65,1)</f>
        <v>0</v>
      </c>
      <c r="K67" s="143">
        <f t="shared" si="44"/>
        <v>1</v>
      </c>
      <c r="L67" s="143">
        <f t="shared" si="44"/>
        <v>0</v>
      </c>
      <c r="M67" s="143">
        <f t="shared" si="44"/>
        <v>0</v>
      </c>
      <c r="N67" s="143">
        <f t="shared" si="44"/>
        <v>1</v>
      </c>
      <c r="O67" s="143">
        <f t="shared" si="44"/>
        <v>0</v>
      </c>
      <c r="P67" s="143">
        <f t="shared" si="44"/>
        <v>0</v>
      </c>
      <c r="Q67" s="143">
        <f t="shared" si="44"/>
        <v>1</v>
      </c>
      <c r="R67" s="143">
        <f t="shared" si="44"/>
        <v>0</v>
      </c>
      <c r="S67" s="143">
        <f t="shared" si="44"/>
        <v>0</v>
      </c>
      <c r="T67" s="143">
        <f t="shared" si="44"/>
        <v>1</v>
      </c>
      <c r="U67" s="143">
        <f t="shared" si="44"/>
        <v>0</v>
      </c>
      <c r="V67" s="143">
        <f t="shared" si="44"/>
        <v>0</v>
      </c>
      <c r="W67" s="143">
        <f t="shared" si="44"/>
        <v>1</v>
      </c>
      <c r="X67" s="143">
        <f t="shared" si="44"/>
        <v>0</v>
      </c>
      <c r="Y67" s="143">
        <f t="shared" si="44"/>
        <v>0</v>
      </c>
      <c r="Z67" s="143">
        <f t="shared" si="44"/>
        <v>1</v>
      </c>
      <c r="AA67" s="143">
        <f t="shared" si="44"/>
        <v>0</v>
      </c>
      <c r="AB67" s="143">
        <f t="shared" si="44"/>
        <v>0</v>
      </c>
      <c r="AC67" s="143">
        <f t="shared" si="44"/>
        <v>1</v>
      </c>
      <c r="AD67" s="143">
        <f t="shared" si="44"/>
        <v>0</v>
      </c>
      <c r="AE67" s="143">
        <f t="shared" si="44"/>
        <v>0</v>
      </c>
      <c r="AF67" s="143">
        <f t="shared" si="44"/>
        <v>1</v>
      </c>
      <c r="AG67" s="143">
        <f t="shared" si="44"/>
        <v>0</v>
      </c>
      <c r="AH67" s="143">
        <f t="shared" si="44"/>
        <v>0</v>
      </c>
      <c r="AI67" s="143">
        <f t="shared" si="44"/>
        <v>1</v>
      </c>
      <c r="AJ67" s="143">
        <f t="shared" si="44"/>
        <v>0</v>
      </c>
      <c r="AK67" s="143">
        <f t="shared" si="44"/>
        <v>0</v>
      </c>
      <c r="AL67" s="143">
        <f t="shared" si="44"/>
        <v>1</v>
      </c>
      <c r="AM67" s="143">
        <f t="shared" si="44"/>
        <v>0</v>
      </c>
      <c r="AN67" s="143">
        <f t="shared" si="44"/>
        <v>0</v>
      </c>
      <c r="AO67" s="143">
        <f t="shared" si="44"/>
        <v>1</v>
      </c>
      <c r="AP67" s="143">
        <f t="shared" si="44"/>
        <v>0</v>
      </c>
      <c r="AQ67" s="143">
        <f t="shared" si="44"/>
        <v>0</v>
      </c>
      <c r="AR67" s="143">
        <f t="shared" si="44"/>
        <v>1</v>
      </c>
      <c r="AS67" s="143">
        <f t="shared" si="44"/>
        <v>0</v>
      </c>
      <c r="AT67" s="143">
        <f t="shared" si="44"/>
        <v>0</v>
      </c>
      <c r="AU67" s="143">
        <f t="shared" si="44"/>
        <v>1</v>
      </c>
      <c r="AV67" s="143">
        <f t="shared" si="44"/>
        <v>0</v>
      </c>
      <c r="AW67" s="143">
        <f t="shared" si="44"/>
        <v>0</v>
      </c>
      <c r="AX67" s="143">
        <f t="shared" si="44"/>
        <v>1</v>
      </c>
      <c r="AY67" s="143">
        <f t="shared" si="44"/>
        <v>0</v>
      </c>
      <c r="AZ67" s="143">
        <f t="shared" si="44"/>
        <v>0</v>
      </c>
      <c r="BA67" s="143">
        <f t="shared" si="44"/>
        <v>1</v>
      </c>
      <c r="BB67" s="143">
        <f t="shared" si="44"/>
        <v>0</v>
      </c>
      <c r="BC67" s="143">
        <f t="shared" si="44"/>
        <v>0</v>
      </c>
      <c r="BD67" s="143">
        <f t="shared" si="44"/>
        <v>1</v>
      </c>
      <c r="BE67" s="143">
        <f t="shared" si="44"/>
        <v>0</v>
      </c>
      <c r="BF67" s="143">
        <f t="shared" si="44"/>
        <v>0</v>
      </c>
      <c r="BG67" s="143">
        <f t="shared" si="44"/>
        <v>1</v>
      </c>
      <c r="BH67" s="143">
        <f t="shared" si="44"/>
        <v>0</v>
      </c>
      <c r="BI67" s="143">
        <f t="shared" si="44"/>
        <v>0</v>
      </c>
      <c r="BJ67" s="143">
        <f t="shared" si="44"/>
        <v>1</v>
      </c>
      <c r="BK67" s="143">
        <f t="shared" si="44"/>
        <v>0</v>
      </c>
      <c r="BL67" s="143">
        <f t="shared" si="44"/>
        <v>0</v>
      </c>
      <c r="BM67" s="143">
        <f t="shared" si="44"/>
        <v>1</v>
      </c>
      <c r="BN67" s="143">
        <f t="shared" si="44"/>
        <v>0</v>
      </c>
      <c r="BO67" s="143">
        <f t="shared" si="44"/>
        <v>0</v>
      </c>
      <c r="BP67" s="143">
        <f t="shared" si="44"/>
        <v>1</v>
      </c>
      <c r="BQ67" s="143">
        <f t="shared" si="44"/>
        <v>0</v>
      </c>
      <c r="BR67" s="143">
        <f t="shared" si="44"/>
        <v>0</v>
      </c>
      <c r="BS67" s="143">
        <f t="shared" si="44"/>
        <v>0</v>
      </c>
      <c r="BT67" s="143">
        <f t="shared" si="44"/>
        <v>0</v>
      </c>
      <c r="BU67" s="143">
        <f t="shared" si="44"/>
        <v>0</v>
      </c>
      <c r="BV67" s="143">
        <f t="shared" ref="BV67:BY67" si="45">MIN(((MOD(BU66,$F$64)=0)*1+(BV14=$F$63)*1)*BV65,1)</f>
        <v>0</v>
      </c>
      <c r="BW67" s="143">
        <f t="shared" si="45"/>
        <v>0</v>
      </c>
      <c r="BX67" s="143">
        <f t="shared" si="45"/>
        <v>0</v>
      </c>
      <c r="BY67" s="143">
        <f t="shared" si="45"/>
        <v>0</v>
      </c>
    </row>
    <row r="69" spans="3:77" ht="13.5" customHeight="1">
      <c r="D69" s="1" t="s">
        <v>169</v>
      </c>
      <c r="H69" s="1">
        <v>0</v>
      </c>
      <c r="I69" s="1">
        <f ca="1">H71</f>
        <v>25426.307263550061</v>
      </c>
      <c r="J69" s="1">
        <f t="shared" ref="J69:BU69" ca="1" si="46">I71</f>
        <v>25426.307263550061</v>
      </c>
      <c r="K69" s="1">
        <f t="shared" ca="1" si="46"/>
        <v>25426.307263550061</v>
      </c>
      <c r="L69" s="1">
        <f t="shared" ca="1" si="46"/>
        <v>25426.307263550061</v>
      </c>
      <c r="M69" s="1">
        <f t="shared" ca="1" si="46"/>
        <v>25426.307263550061</v>
      </c>
      <c r="N69" s="1">
        <f t="shared" ca="1" si="46"/>
        <v>25426.307263550061</v>
      </c>
      <c r="O69" s="1">
        <f t="shared" ca="1" si="46"/>
        <v>25426.307263550061</v>
      </c>
      <c r="P69" s="1">
        <f t="shared" ca="1" si="46"/>
        <v>25426.307263550061</v>
      </c>
      <c r="Q69" s="1">
        <f t="shared" ca="1" si="46"/>
        <v>25426.307263550061</v>
      </c>
      <c r="R69" s="1">
        <f t="shared" ca="1" si="46"/>
        <v>25426.307263550061</v>
      </c>
      <c r="S69" s="1">
        <f t="shared" ca="1" si="46"/>
        <v>25426.307263550061</v>
      </c>
      <c r="T69" s="1">
        <f t="shared" ca="1" si="46"/>
        <v>25426.307263550061</v>
      </c>
      <c r="U69" s="1">
        <f t="shared" ca="1" si="46"/>
        <v>25426.307263550061</v>
      </c>
      <c r="V69" s="1">
        <f t="shared" ca="1" si="46"/>
        <v>25426.307263550061</v>
      </c>
      <c r="W69" s="1">
        <f t="shared" ca="1" si="46"/>
        <v>25426.307263550061</v>
      </c>
      <c r="X69" s="1">
        <f t="shared" ca="1" si="46"/>
        <v>25426.307263550061</v>
      </c>
      <c r="Y69" s="1">
        <f t="shared" ca="1" si="46"/>
        <v>25426.307263550061</v>
      </c>
      <c r="Z69" s="1">
        <f t="shared" ca="1" si="46"/>
        <v>25426.307263550061</v>
      </c>
      <c r="AA69" s="1">
        <f t="shared" ca="1" si="46"/>
        <v>25426.307263550061</v>
      </c>
      <c r="AB69" s="1">
        <f t="shared" ca="1" si="46"/>
        <v>25426.307263550061</v>
      </c>
      <c r="AC69" s="1">
        <f t="shared" ca="1" si="46"/>
        <v>25426.307263550061</v>
      </c>
      <c r="AD69" s="1">
        <f t="shared" ca="1" si="46"/>
        <v>25426.307263550061</v>
      </c>
      <c r="AE69" s="1">
        <f t="shared" ca="1" si="46"/>
        <v>25426.307263550061</v>
      </c>
      <c r="AF69" s="1">
        <f t="shared" ca="1" si="46"/>
        <v>25426.307263550061</v>
      </c>
      <c r="AG69" s="1">
        <f t="shared" ca="1" si="46"/>
        <v>25426.307263550061</v>
      </c>
      <c r="AH69" s="1">
        <f t="shared" ca="1" si="46"/>
        <v>25426.307263550061</v>
      </c>
      <c r="AI69" s="1">
        <f t="shared" ca="1" si="46"/>
        <v>25426.307263550061</v>
      </c>
      <c r="AJ69" s="1">
        <f t="shared" ca="1" si="46"/>
        <v>25426.307263550061</v>
      </c>
      <c r="AK69" s="1">
        <f t="shared" ca="1" si="46"/>
        <v>25426.307263550061</v>
      </c>
      <c r="AL69" s="1">
        <f t="shared" ca="1" si="46"/>
        <v>25426.307263550061</v>
      </c>
      <c r="AM69" s="1">
        <f t="shared" ca="1" si="46"/>
        <v>25426.307263550061</v>
      </c>
      <c r="AN69" s="1">
        <f t="shared" ca="1" si="46"/>
        <v>25426.307263550061</v>
      </c>
      <c r="AO69" s="1">
        <f t="shared" ca="1" si="46"/>
        <v>25426.307263550061</v>
      </c>
      <c r="AP69" s="1">
        <f t="shared" ca="1" si="46"/>
        <v>25426.307263550061</v>
      </c>
      <c r="AQ69" s="1">
        <f t="shared" ca="1" si="46"/>
        <v>25426.307263550061</v>
      </c>
      <c r="AR69" s="1">
        <f t="shared" ca="1" si="46"/>
        <v>25426.307263550061</v>
      </c>
      <c r="AS69" s="1">
        <f t="shared" ca="1" si="46"/>
        <v>25426.307263550061</v>
      </c>
      <c r="AT69" s="1">
        <f t="shared" ca="1" si="46"/>
        <v>25426.307263550061</v>
      </c>
      <c r="AU69" s="1">
        <f t="shared" ca="1" si="46"/>
        <v>25426.307263550061</v>
      </c>
      <c r="AV69" s="1">
        <f t="shared" ca="1" si="46"/>
        <v>25426.307263550061</v>
      </c>
      <c r="AW69" s="1">
        <f t="shared" ca="1" si="46"/>
        <v>25426.307263550061</v>
      </c>
      <c r="AX69" s="1">
        <f t="shared" ca="1" si="46"/>
        <v>25426.307263550061</v>
      </c>
      <c r="AY69" s="1">
        <f t="shared" ca="1" si="46"/>
        <v>25426.307263550061</v>
      </c>
      <c r="AZ69" s="1">
        <f t="shared" ca="1" si="46"/>
        <v>25426.307263550061</v>
      </c>
      <c r="BA69" s="1">
        <f t="shared" ca="1" si="46"/>
        <v>25426.307263550061</v>
      </c>
      <c r="BB69" s="1">
        <f t="shared" ca="1" si="46"/>
        <v>25426.307263550061</v>
      </c>
      <c r="BC69" s="1">
        <f t="shared" ca="1" si="46"/>
        <v>25426.307263550061</v>
      </c>
      <c r="BD69" s="1">
        <f t="shared" ca="1" si="46"/>
        <v>25426.307263550061</v>
      </c>
      <c r="BE69" s="1">
        <f t="shared" ca="1" si="46"/>
        <v>25426.307263550061</v>
      </c>
      <c r="BF69" s="1">
        <f t="shared" ca="1" si="46"/>
        <v>25426.307263550061</v>
      </c>
      <c r="BG69" s="1">
        <f t="shared" ca="1" si="46"/>
        <v>25426.307263550061</v>
      </c>
      <c r="BH69" s="1">
        <f t="shared" ca="1" si="46"/>
        <v>25426.307263550061</v>
      </c>
      <c r="BI69" s="1">
        <f t="shared" ca="1" si="46"/>
        <v>25426.307263550061</v>
      </c>
      <c r="BJ69" s="1">
        <f t="shared" ca="1" si="46"/>
        <v>25426.307263550061</v>
      </c>
      <c r="BK69" s="1">
        <f t="shared" ca="1" si="46"/>
        <v>25426.307263550061</v>
      </c>
      <c r="BL69" s="1">
        <f t="shared" ca="1" si="46"/>
        <v>25426.307263550061</v>
      </c>
      <c r="BM69" s="1">
        <f t="shared" ca="1" si="46"/>
        <v>25426.307263550061</v>
      </c>
      <c r="BN69" s="1">
        <f t="shared" ca="1" si="46"/>
        <v>25426.307263550061</v>
      </c>
      <c r="BO69" s="1">
        <f t="shared" ca="1" si="46"/>
        <v>25426.307263550061</v>
      </c>
      <c r="BP69" s="1">
        <f t="shared" ca="1" si="46"/>
        <v>25426.307263550061</v>
      </c>
      <c r="BQ69" s="1">
        <f t="shared" ca="1" si="46"/>
        <v>0</v>
      </c>
      <c r="BR69" s="1">
        <f t="shared" ca="1" si="46"/>
        <v>0</v>
      </c>
      <c r="BS69" s="1">
        <f t="shared" ca="1" si="46"/>
        <v>0</v>
      </c>
      <c r="BT69" s="1">
        <f t="shared" ca="1" si="46"/>
        <v>0</v>
      </c>
      <c r="BU69" s="1">
        <f t="shared" ca="1" si="46"/>
        <v>0</v>
      </c>
      <c r="BV69" s="1">
        <f t="shared" ref="BV69:BY69" ca="1" si="47">BU71</f>
        <v>0</v>
      </c>
      <c r="BW69" s="1">
        <f t="shared" ca="1" si="47"/>
        <v>0</v>
      </c>
      <c r="BX69" s="1">
        <f t="shared" ca="1" si="47"/>
        <v>0</v>
      </c>
      <c r="BY69" s="1">
        <f t="shared" ca="1" si="47"/>
        <v>0</v>
      </c>
    </row>
    <row r="70" spans="3:77" ht="13.5" customHeight="1">
      <c r="D70" s="1" t="s">
        <v>385</v>
      </c>
      <c r="H70" s="1">
        <f ca="1">H36+H43</f>
        <v>25426.307263550061</v>
      </c>
      <c r="I70" s="1">
        <f t="shared" ref="I70:BT70" ca="1" si="48">I36+I43</f>
        <v>0</v>
      </c>
      <c r="J70" s="1">
        <f t="shared" ca="1" si="48"/>
        <v>0</v>
      </c>
      <c r="K70" s="1">
        <f t="shared" ca="1" si="48"/>
        <v>0</v>
      </c>
      <c r="L70" s="1">
        <f t="shared" ca="1" si="48"/>
        <v>0</v>
      </c>
      <c r="M70" s="1">
        <f t="shared" ca="1" si="48"/>
        <v>0</v>
      </c>
      <c r="N70" s="1">
        <f t="shared" ca="1" si="48"/>
        <v>0</v>
      </c>
      <c r="O70" s="1">
        <f t="shared" ca="1" si="48"/>
        <v>0</v>
      </c>
      <c r="P70" s="1">
        <f t="shared" ca="1" si="48"/>
        <v>0</v>
      </c>
      <c r="Q70" s="1">
        <f t="shared" ca="1" si="48"/>
        <v>0</v>
      </c>
      <c r="R70" s="1">
        <f t="shared" ca="1" si="48"/>
        <v>0</v>
      </c>
      <c r="S70" s="1">
        <f t="shared" ca="1" si="48"/>
        <v>0</v>
      </c>
      <c r="T70" s="1">
        <f t="shared" ca="1" si="48"/>
        <v>0</v>
      </c>
      <c r="U70" s="1">
        <f t="shared" ca="1" si="48"/>
        <v>0</v>
      </c>
      <c r="V70" s="1">
        <f t="shared" ca="1" si="48"/>
        <v>0</v>
      </c>
      <c r="W70" s="1">
        <f t="shared" ca="1" si="48"/>
        <v>0</v>
      </c>
      <c r="X70" s="1">
        <f t="shared" ca="1" si="48"/>
        <v>0</v>
      </c>
      <c r="Y70" s="1">
        <f t="shared" ca="1" si="48"/>
        <v>0</v>
      </c>
      <c r="Z70" s="1">
        <f t="shared" ca="1" si="48"/>
        <v>0</v>
      </c>
      <c r="AA70" s="1">
        <f t="shared" ca="1" si="48"/>
        <v>0</v>
      </c>
      <c r="AB70" s="1">
        <f t="shared" ca="1" si="48"/>
        <v>0</v>
      </c>
      <c r="AC70" s="1">
        <f t="shared" ca="1" si="48"/>
        <v>0</v>
      </c>
      <c r="AD70" s="1">
        <f t="shared" ca="1" si="48"/>
        <v>0</v>
      </c>
      <c r="AE70" s="1">
        <f t="shared" ca="1" si="48"/>
        <v>0</v>
      </c>
      <c r="AF70" s="1">
        <f t="shared" ca="1" si="48"/>
        <v>0</v>
      </c>
      <c r="AG70" s="1">
        <f t="shared" ca="1" si="48"/>
        <v>0</v>
      </c>
      <c r="AH70" s="1">
        <f t="shared" ca="1" si="48"/>
        <v>0</v>
      </c>
      <c r="AI70" s="1">
        <f t="shared" ca="1" si="48"/>
        <v>0</v>
      </c>
      <c r="AJ70" s="1">
        <f t="shared" ca="1" si="48"/>
        <v>0</v>
      </c>
      <c r="AK70" s="1">
        <f t="shared" ca="1" si="48"/>
        <v>0</v>
      </c>
      <c r="AL70" s="1">
        <f t="shared" ca="1" si="48"/>
        <v>0</v>
      </c>
      <c r="AM70" s="1">
        <f t="shared" ca="1" si="48"/>
        <v>0</v>
      </c>
      <c r="AN70" s="1">
        <f t="shared" ca="1" si="48"/>
        <v>0</v>
      </c>
      <c r="AO70" s="1">
        <f t="shared" ca="1" si="48"/>
        <v>0</v>
      </c>
      <c r="AP70" s="1">
        <f t="shared" ca="1" si="48"/>
        <v>0</v>
      </c>
      <c r="AQ70" s="1">
        <f t="shared" ca="1" si="48"/>
        <v>0</v>
      </c>
      <c r="AR70" s="1">
        <f t="shared" ca="1" si="48"/>
        <v>0</v>
      </c>
      <c r="AS70" s="1">
        <f t="shared" ca="1" si="48"/>
        <v>0</v>
      </c>
      <c r="AT70" s="1">
        <f t="shared" ca="1" si="48"/>
        <v>0</v>
      </c>
      <c r="AU70" s="1">
        <f t="shared" ca="1" si="48"/>
        <v>0</v>
      </c>
      <c r="AV70" s="1">
        <f t="shared" ca="1" si="48"/>
        <v>0</v>
      </c>
      <c r="AW70" s="1">
        <f t="shared" ca="1" si="48"/>
        <v>0</v>
      </c>
      <c r="AX70" s="1">
        <f t="shared" ca="1" si="48"/>
        <v>0</v>
      </c>
      <c r="AY70" s="1">
        <f t="shared" ca="1" si="48"/>
        <v>0</v>
      </c>
      <c r="AZ70" s="1">
        <f t="shared" ca="1" si="48"/>
        <v>0</v>
      </c>
      <c r="BA70" s="1">
        <f t="shared" ca="1" si="48"/>
        <v>0</v>
      </c>
      <c r="BB70" s="1">
        <f t="shared" ca="1" si="48"/>
        <v>0</v>
      </c>
      <c r="BC70" s="1">
        <f t="shared" ca="1" si="48"/>
        <v>0</v>
      </c>
      <c r="BD70" s="1">
        <f t="shared" ca="1" si="48"/>
        <v>0</v>
      </c>
      <c r="BE70" s="1">
        <f t="shared" ca="1" si="48"/>
        <v>0</v>
      </c>
      <c r="BF70" s="1">
        <f t="shared" ca="1" si="48"/>
        <v>0</v>
      </c>
      <c r="BG70" s="1">
        <f t="shared" ca="1" si="48"/>
        <v>0</v>
      </c>
      <c r="BH70" s="1">
        <f t="shared" ca="1" si="48"/>
        <v>0</v>
      </c>
      <c r="BI70" s="1">
        <f t="shared" ca="1" si="48"/>
        <v>0</v>
      </c>
      <c r="BJ70" s="1">
        <f t="shared" ca="1" si="48"/>
        <v>0</v>
      </c>
      <c r="BK70" s="1">
        <f t="shared" ca="1" si="48"/>
        <v>0</v>
      </c>
      <c r="BL70" s="1">
        <f t="shared" ca="1" si="48"/>
        <v>0</v>
      </c>
      <c r="BM70" s="1">
        <f t="shared" ca="1" si="48"/>
        <v>0</v>
      </c>
      <c r="BN70" s="1">
        <f t="shared" ca="1" si="48"/>
        <v>0</v>
      </c>
      <c r="BO70" s="1">
        <f t="shared" ca="1" si="48"/>
        <v>0</v>
      </c>
      <c r="BP70" s="1">
        <f t="shared" ca="1" si="48"/>
        <v>-25426.307263550061</v>
      </c>
      <c r="BQ70" s="1">
        <f t="shared" ca="1" si="48"/>
        <v>0</v>
      </c>
      <c r="BR70" s="1">
        <f t="shared" ca="1" si="48"/>
        <v>0</v>
      </c>
      <c r="BS70" s="1">
        <f t="shared" ca="1" si="48"/>
        <v>0</v>
      </c>
      <c r="BT70" s="1">
        <f t="shared" ca="1" si="48"/>
        <v>0</v>
      </c>
      <c r="BU70" s="1">
        <f t="shared" ref="BU70:BY70" ca="1" si="49">BU36+BU43</f>
        <v>0</v>
      </c>
      <c r="BV70" s="1">
        <f t="shared" ca="1" si="49"/>
        <v>0</v>
      </c>
      <c r="BW70" s="1">
        <f t="shared" ca="1" si="49"/>
        <v>0</v>
      </c>
      <c r="BX70" s="1">
        <f t="shared" ca="1" si="49"/>
        <v>0</v>
      </c>
      <c r="BY70" s="1">
        <f t="shared" ca="1" si="49"/>
        <v>0</v>
      </c>
    </row>
    <row r="71" spans="3:77" ht="13.5" customHeight="1">
      <c r="D71" s="41" t="s">
        <v>172</v>
      </c>
      <c r="E71" s="41"/>
      <c r="F71" s="41"/>
      <c r="G71" s="41"/>
      <c r="H71" s="41">
        <f ca="1">SUM(H69:H70)</f>
        <v>25426.307263550061</v>
      </c>
      <c r="I71" s="41">
        <f t="shared" ref="I71" ca="1" si="50">SUM(I69:I70)</f>
        <v>25426.307263550061</v>
      </c>
      <c r="J71" s="41">
        <f t="shared" ref="J71" ca="1" si="51">SUM(J69:J70)</f>
        <v>25426.307263550061</v>
      </c>
      <c r="K71" s="41">
        <f t="shared" ref="K71" ca="1" si="52">SUM(K69:K70)</f>
        <v>25426.307263550061</v>
      </c>
      <c r="L71" s="41">
        <f t="shared" ref="L71" ca="1" si="53">SUM(L69:L70)</f>
        <v>25426.307263550061</v>
      </c>
      <c r="M71" s="41">
        <f t="shared" ref="M71" ca="1" si="54">SUM(M69:M70)</f>
        <v>25426.307263550061</v>
      </c>
      <c r="N71" s="41">
        <f t="shared" ref="N71" ca="1" si="55">SUM(N69:N70)</f>
        <v>25426.307263550061</v>
      </c>
      <c r="O71" s="41">
        <f t="shared" ref="O71" ca="1" si="56">SUM(O69:O70)</f>
        <v>25426.307263550061</v>
      </c>
      <c r="P71" s="41">
        <f t="shared" ref="P71" ca="1" si="57">SUM(P69:P70)</f>
        <v>25426.307263550061</v>
      </c>
      <c r="Q71" s="41">
        <f t="shared" ref="Q71" ca="1" si="58">SUM(Q69:Q70)</f>
        <v>25426.307263550061</v>
      </c>
      <c r="R71" s="41">
        <f t="shared" ref="R71" ca="1" si="59">SUM(R69:R70)</f>
        <v>25426.307263550061</v>
      </c>
      <c r="S71" s="41">
        <f t="shared" ref="S71" ca="1" si="60">SUM(S69:S70)</f>
        <v>25426.307263550061</v>
      </c>
      <c r="T71" s="41">
        <f t="shared" ref="T71" ca="1" si="61">SUM(T69:T70)</f>
        <v>25426.307263550061</v>
      </c>
      <c r="U71" s="41">
        <f t="shared" ref="U71" ca="1" si="62">SUM(U69:U70)</f>
        <v>25426.307263550061</v>
      </c>
      <c r="V71" s="41">
        <f t="shared" ref="V71" ca="1" si="63">SUM(V69:V70)</f>
        <v>25426.307263550061</v>
      </c>
      <c r="W71" s="41">
        <f t="shared" ref="W71" ca="1" si="64">SUM(W69:W70)</f>
        <v>25426.307263550061</v>
      </c>
      <c r="X71" s="41">
        <f t="shared" ref="X71" ca="1" si="65">SUM(X69:X70)</f>
        <v>25426.307263550061</v>
      </c>
      <c r="Y71" s="41">
        <f t="shared" ref="Y71" ca="1" si="66">SUM(Y69:Y70)</f>
        <v>25426.307263550061</v>
      </c>
      <c r="Z71" s="41">
        <f t="shared" ref="Z71" ca="1" si="67">SUM(Z69:Z70)</f>
        <v>25426.307263550061</v>
      </c>
      <c r="AA71" s="41">
        <f t="shared" ref="AA71" ca="1" si="68">SUM(AA69:AA70)</f>
        <v>25426.307263550061</v>
      </c>
      <c r="AB71" s="41">
        <f t="shared" ref="AB71" ca="1" si="69">SUM(AB69:AB70)</f>
        <v>25426.307263550061</v>
      </c>
      <c r="AC71" s="41">
        <f t="shared" ref="AC71" ca="1" si="70">SUM(AC69:AC70)</f>
        <v>25426.307263550061</v>
      </c>
      <c r="AD71" s="41">
        <f t="shared" ref="AD71" ca="1" si="71">SUM(AD69:AD70)</f>
        <v>25426.307263550061</v>
      </c>
      <c r="AE71" s="41">
        <f t="shared" ref="AE71" ca="1" si="72">SUM(AE69:AE70)</f>
        <v>25426.307263550061</v>
      </c>
      <c r="AF71" s="41">
        <f t="shared" ref="AF71" ca="1" si="73">SUM(AF69:AF70)</f>
        <v>25426.307263550061</v>
      </c>
      <c r="AG71" s="41">
        <f t="shared" ref="AG71" ca="1" si="74">SUM(AG69:AG70)</f>
        <v>25426.307263550061</v>
      </c>
      <c r="AH71" s="41">
        <f t="shared" ref="AH71" ca="1" si="75">SUM(AH69:AH70)</f>
        <v>25426.307263550061</v>
      </c>
      <c r="AI71" s="41">
        <f t="shared" ref="AI71" ca="1" si="76">SUM(AI69:AI70)</f>
        <v>25426.307263550061</v>
      </c>
      <c r="AJ71" s="41">
        <f t="shared" ref="AJ71" ca="1" si="77">SUM(AJ69:AJ70)</f>
        <v>25426.307263550061</v>
      </c>
      <c r="AK71" s="41">
        <f t="shared" ref="AK71" ca="1" si="78">SUM(AK69:AK70)</f>
        <v>25426.307263550061</v>
      </c>
      <c r="AL71" s="41">
        <f t="shared" ref="AL71" ca="1" si="79">SUM(AL69:AL70)</f>
        <v>25426.307263550061</v>
      </c>
      <c r="AM71" s="41">
        <f t="shared" ref="AM71" ca="1" si="80">SUM(AM69:AM70)</f>
        <v>25426.307263550061</v>
      </c>
      <c r="AN71" s="41">
        <f t="shared" ref="AN71" ca="1" si="81">SUM(AN69:AN70)</f>
        <v>25426.307263550061</v>
      </c>
      <c r="AO71" s="41">
        <f t="shared" ref="AO71" ca="1" si="82">SUM(AO69:AO70)</f>
        <v>25426.307263550061</v>
      </c>
      <c r="AP71" s="41">
        <f t="shared" ref="AP71" ca="1" si="83">SUM(AP69:AP70)</f>
        <v>25426.307263550061</v>
      </c>
      <c r="AQ71" s="41">
        <f t="shared" ref="AQ71" ca="1" si="84">SUM(AQ69:AQ70)</f>
        <v>25426.307263550061</v>
      </c>
      <c r="AR71" s="41">
        <f t="shared" ref="AR71" ca="1" si="85">SUM(AR69:AR70)</f>
        <v>25426.307263550061</v>
      </c>
      <c r="AS71" s="41">
        <f t="shared" ref="AS71" ca="1" si="86">SUM(AS69:AS70)</f>
        <v>25426.307263550061</v>
      </c>
      <c r="AT71" s="41">
        <f t="shared" ref="AT71" ca="1" si="87">SUM(AT69:AT70)</f>
        <v>25426.307263550061</v>
      </c>
      <c r="AU71" s="41">
        <f t="shared" ref="AU71" ca="1" si="88">SUM(AU69:AU70)</f>
        <v>25426.307263550061</v>
      </c>
      <c r="AV71" s="41">
        <f t="shared" ref="AV71" ca="1" si="89">SUM(AV69:AV70)</f>
        <v>25426.307263550061</v>
      </c>
      <c r="AW71" s="41">
        <f t="shared" ref="AW71" ca="1" si="90">SUM(AW69:AW70)</f>
        <v>25426.307263550061</v>
      </c>
      <c r="AX71" s="41">
        <f t="shared" ref="AX71" ca="1" si="91">SUM(AX69:AX70)</f>
        <v>25426.307263550061</v>
      </c>
      <c r="AY71" s="41">
        <f t="shared" ref="AY71" ca="1" si="92">SUM(AY69:AY70)</f>
        <v>25426.307263550061</v>
      </c>
      <c r="AZ71" s="41">
        <f t="shared" ref="AZ71" ca="1" si="93">SUM(AZ69:AZ70)</f>
        <v>25426.307263550061</v>
      </c>
      <c r="BA71" s="41">
        <f t="shared" ref="BA71" ca="1" si="94">SUM(BA69:BA70)</f>
        <v>25426.307263550061</v>
      </c>
      <c r="BB71" s="41">
        <f t="shared" ref="BB71" ca="1" si="95">SUM(BB69:BB70)</f>
        <v>25426.307263550061</v>
      </c>
      <c r="BC71" s="41">
        <f t="shared" ref="BC71" ca="1" si="96">SUM(BC69:BC70)</f>
        <v>25426.307263550061</v>
      </c>
      <c r="BD71" s="41">
        <f t="shared" ref="BD71" ca="1" si="97">SUM(BD69:BD70)</f>
        <v>25426.307263550061</v>
      </c>
      <c r="BE71" s="41">
        <f t="shared" ref="BE71" ca="1" si="98">SUM(BE69:BE70)</f>
        <v>25426.307263550061</v>
      </c>
      <c r="BF71" s="41">
        <f t="shared" ref="BF71" ca="1" si="99">SUM(BF69:BF70)</f>
        <v>25426.307263550061</v>
      </c>
      <c r="BG71" s="41">
        <f t="shared" ref="BG71" ca="1" si="100">SUM(BG69:BG70)</f>
        <v>25426.307263550061</v>
      </c>
      <c r="BH71" s="41">
        <f t="shared" ref="BH71" ca="1" si="101">SUM(BH69:BH70)</f>
        <v>25426.307263550061</v>
      </c>
      <c r="BI71" s="41">
        <f t="shared" ref="BI71" ca="1" si="102">SUM(BI69:BI70)</f>
        <v>25426.307263550061</v>
      </c>
      <c r="BJ71" s="41">
        <f t="shared" ref="BJ71" ca="1" si="103">SUM(BJ69:BJ70)</f>
        <v>25426.307263550061</v>
      </c>
      <c r="BK71" s="41">
        <f t="shared" ref="BK71" ca="1" si="104">SUM(BK69:BK70)</f>
        <v>25426.307263550061</v>
      </c>
      <c r="BL71" s="41">
        <f t="shared" ref="BL71" ca="1" si="105">SUM(BL69:BL70)</f>
        <v>25426.307263550061</v>
      </c>
      <c r="BM71" s="41">
        <f t="shared" ref="BM71" ca="1" si="106">SUM(BM69:BM70)</f>
        <v>25426.307263550061</v>
      </c>
      <c r="BN71" s="41">
        <f t="shared" ref="BN71" ca="1" si="107">SUM(BN69:BN70)</f>
        <v>25426.307263550061</v>
      </c>
      <c r="BO71" s="41">
        <f t="shared" ref="BO71" ca="1" si="108">SUM(BO69:BO70)</f>
        <v>25426.307263550061</v>
      </c>
      <c r="BP71" s="41">
        <f t="shared" ref="BP71" ca="1" si="109">SUM(BP69:BP70)</f>
        <v>0</v>
      </c>
      <c r="BQ71" s="41">
        <f t="shared" ref="BQ71" ca="1" si="110">SUM(BQ69:BQ70)</f>
        <v>0</v>
      </c>
      <c r="BR71" s="41">
        <f t="shared" ref="BR71" ca="1" si="111">SUM(BR69:BR70)</f>
        <v>0</v>
      </c>
      <c r="BS71" s="41">
        <f t="shared" ref="BS71" ca="1" si="112">SUM(BS69:BS70)</f>
        <v>0</v>
      </c>
      <c r="BT71" s="41">
        <f t="shared" ref="BT71" ca="1" si="113">SUM(BT69:BT70)</f>
        <v>0</v>
      </c>
      <c r="BU71" s="41">
        <f t="shared" ref="BU71" ca="1" si="114">SUM(BU69:BU70)</f>
        <v>0</v>
      </c>
      <c r="BV71" s="41">
        <f t="shared" ref="BV71" ca="1" si="115">SUM(BV69:BV70)</f>
        <v>0</v>
      </c>
      <c r="BW71" s="41">
        <f t="shared" ref="BW71" ca="1" si="116">SUM(BW69:BW70)</f>
        <v>0</v>
      </c>
      <c r="BX71" s="41">
        <f t="shared" ref="BX71" ca="1" si="117">SUM(BX69:BX70)</f>
        <v>0</v>
      </c>
      <c r="BY71" s="41">
        <f t="shared" ref="BY71" ca="1" si="118">SUM(BY69:BY70)</f>
        <v>0</v>
      </c>
    </row>
    <row r="72" spans="3:77" ht="13.5" customHeight="1">
      <c r="D72" s="51" t="s">
        <v>386</v>
      </c>
      <c r="E72" s="51"/>
      <c r="F72" s="51"/>
      <c r="G72" s="51"/>
      <c r="H72" s="51">
        <f ca="1">AVERAGE(H69,H71)</f>
        <v>12713.153631775031</v>
      </c>
      <c r="I72" s="51">
        <f t="shared" ref="I72:BT72" ca="1" si="119">AVERAGE(I69,I71)</f>
        <v>25426.307263550061</v>
      </c>
      <c r="J72" s="51">
        <f t="shared" ca="1" si="119"/>
        <v>25426.307263550061</v>
      </c>
      <c r="K72" s="51">
        <f t="shared" ca="1" si="119"/>
        <v>25426.307263550061</v>
      </c>
      <c r="L72" s="51">
        <f t="shared" ca="1" si="119"/>
        <v>25426.307263550061</v>
      </c>
      <c r="M72" s="51">
        <f t="shared" ca="1" si="119"/>
        <v>25426.307263550061</v>
      </c>
      <c r="N72" s="51">
        <f t="shared" ca="1" si="119"/>
        <v>25426.307263550061</v>
      </c>
      <c r="O72" s="51">
        <f t="shared" ca="1" si="119"/>
        <v>25426.307263550061</v>
      </c>
      <c r="P72" s="51">
        <f t="shared" ca="1" si="119"/>
        <v>25426.307263550061</v>
      </c>
      <c r="Q72" s="51">
        <f t="shared" ca="1" si="119"/>
        <v>25426.307263550061</v>
      </c>
      <c r="R72" s="51">
        <f t="shared" ca="1" si="119"/>
        <v>25426.307263550061</v>
      </c>
      <c r="S72" s="51">
        <f t="shared" ca="1" si="119"/>
        <v>25426.307263550061</v>
      </c>
      <c r="T72" s="51">
        <f t="shared" ca="1" si="119"/>
        <v>25426.307263550061</v>
      </c>
      <c r="U72" s="51">
        <f t="shared" ca="1" si="119"/>
        <v>25426.307263550061</v>
      </c>
      <c r="V72" s="51">
        <f t="shared" ca="1" si="119"/>
        <v>25426.307263550061</v>
      </c>
      <c r="W72" s="51">
        <f t="shared" ca="1" si="119"/>
        <v>25426.307263550061</v>
      </c>
      <c r="X72" s="51">
        <f t="shared" ca="1" si="119"/>
        <v>25426.307263550061</v>
      </c>
      <c r="Y72" s="51">
        <f t="shared" ca="1" si="119"/>
        <v>25426.307263550061</v>
      </c>
      <c r="Z72" s="51">
        <f t="shared" ca="1" si="119"/>
        <v>25426.307263550061</v>
      </c>
      <c r="AA72" s="51">
        <f t="shared" ca="1" si="119"/>
        <v>25426.307263550061</v>
      </c>
      <c r="AB72" s="51">
        <f t="shared" ca="1" si="119"/>
        <v>25426.307263550061</v>
      </c>
      <c r="AC72" s="51">
        <f t="shared" ca="1" si="119"/>
        <v>25426.307263550061</v>
      </c>
      <c r="AD72" s="51">
        <f t="shared" ca="1" si="119"/>
        <v>25426.307263550061</v>
      </c>
      <c r="AE72" s="51">
        <f t="shared" ca="1" si="119"/>
        <v>25426.307263550061</v>
      </c>
      <c r="AF72" s="51">
        <f t="shared" ca="1" si="119"/>
        <v>25426.307263550061</v>
      </c>
      <c r="AG72" s="51">
        <f t="shared" ca="1" si="119"/>
        <v>25426.307263550061</v>
      </c>
      <c r="AH72" s="51">
        <f t="shared" ca="1" si="119"/>
        <v>25426.307263550061</v>
      </c>
      <c r="AI72" s="51">
        <f t="shared" ca="1" si="119"/>
        <v>25426.307263550061</v>
      </c>
      <c r="AJ72" s="51">
        <f t="shared" ca="1" si="119"/>
        <v>25426.307263550061</v>
      </c>
      <c r="AK72" s="51">
        <f t="shared" ca="1" si="119"/>
        <v>25426.307263550061</v>
      </c>
      <c r="AL72" s="51">
        <f t="shared" ca="1" si="119"/>
        <v>25426.307263550061</v>
      </c>
      <c r="AM72" s="51">
        <f t="shared" ca="1" si="119"/>
        <v>25426.307263550061</v>
      </c>
      <c r="AN72" s="51">
        <f t="shared" ca="1" si="119"/>
        <v>25426.307263550061</v>
      </c>
      <c r="AO72" s="51">
        <f t="shared" ca="1" si="119"/>
        <v>25426.307263550061</v>
      </c>
      <c r="AP72" s="51">
        <f t="shared" ca="1" si="119"/>
        <v>25426.307263550061</v>
      </c>
      <c r="AQ72" s="51">
        <f t="shared" ca="1" si="119"/>
        <v>25426.307263550061</v>
      </c>
      <c r="AR72" s="51">
        <f t="shared" ca="1" si="119"/>
        <v>25426.307263550061</v>
      </c>
      <c r="AS72" s="51">
        <f t="shared" ca="1" si="119"/>
        <v>25426.307263550061</v>
      </c>
      <c r="AT72" s="51">
        <f t="shared" ca="1" si="119"/>
        <v>25426.307263550061</v>
      </c>
      <c r="AU72" s="51">
        <f t="shared" ca="1" si="119"/>
        <v>25426.307263550061</v>
      </c>
      <c r="AV72" s="51">
        <f t="shared" ca="1" si="119"/>
        <v>25426.307263550061</v>
      </c>
      <c r="AW72" s="51">
        <f t="shared" ca="1" si="119"/>
        <v>25426.307263550061</v>
      </c>
      <c r="AX72" s="51">
        <f t="shared" ca="1" si="119"/>
        <v>25426.307263550061</v>
      </c>
      <c r="AY72" s="51">
        <f t="shared" ca="1" si="119"/>
        <v>25426.307263550061</v>
      </c>
      <c r="AZ72" s="51">
        <f t="shared" ca="1" si="119"/>
        <v>25426.307263550061</v>
      </c>
      <c r="BA72" s="51">
        <f t="shared" ca="1" si="119"/>
        <v>25426.307263550061</v>
      </c>
      <c r="BB72" s="51">
        <f t="shared" ca="1" si="119"/>
        <v>25426.307263550061</v>
      </c>
      <c r="BC72" s="51">
        <f t="shared" ca="1" si="119"/>
        <v>25426.307263550061</v>
      </c>
      <c r="BD72" s="51">
        <f t="shared" ca="1" si="119"/>
        <v>25426.307263550061</v>
      </c>
      <c r="BE72" s="51">
        <f t="shared" ca="1" si="119"/>
        <v>25426.307263550061</v>
      </c>
      <c r="BF72" s="51">
        <f t="shared" ca="1" si="119"/>
        <v>25426.307263550061</v>
      </c>
      <c r="BG72" s="51">
        <f t="shared" ca="1" si="119"/>
        <v>25426.307263550061</v>
      </c>
      <c r="BH72" s="51">
        <f t="shared" ca="1" si="119"/>
        <v>25426.307263550061</v>
      </c>
      <c r="BI72" s="51">
        <f t="shared" ca="1" si="119"/>
        <v>25426.307263550061</v>
      </c>
      <c r="BJ72" s="51">
        <f t="shared" ca="1" si="119"/>
        <v>25426.307263550061</v>
      </c>
      <c r="BK72" s="51">
        <f t="shared" ca="1" si="119"/>
        <v>25426.307263550061</v>
      </c>
      <c r="BL72" s="51">
        <f t="shared" ca="1" si="119"/>
        <v>25426.307263550061</v>
      </c>
      <c r="BM72" s="51">
        <f t="shared" ca="1" si="119"/>
        <v>25426.307263550061</v>
      </c>
      <c r="BN72" s="51">
        <f t="shared" ca="1" si="119"/>
        <v>25426.307263550061</v>
      </c>
      <c r="BO72" s="51">
        <f t="shared" ca="1" si="119"/>
        <v>25426.307263550061</v>
      </c>
      <c r="BP72" s="51">
        <f t="shared" ca="1" si="119"/>
        <v>12713.153631775031</v>
      </c>
      <c r="BQ72" s="51">
        <f t="shared" ca="1" si="119"/>
        <v>0</v>
      </c>
      <c r="BR72" s="51">
        <f t="shared" ca="1" si="119"/>
        <v>0</v>
      </c>
      <c r="BS72" s="51">
        <f t="shared" ca="1" si="119"/>
        <v>0</v>
      </c>
      <c r="BT72" s="51">
        <f t="shared" ca="1" si="119"/>
        <v>0</v>
      </c>
      <c r="BU72" s="51">
        <f t="shared" ref="BU72:BY72" ca="1" si="120">AVERAGE(BU69,BU71)</f>
        <v>0</v>
      </c>
      <c r="BV72" s="51">
        <f t="shared" ca="1" si="120"/>
        <v>0</v>
      </c>
      <c r="BW72" s="51">
        <f t="shared" ca="1" si="120"/>
        <v>0</v>
      </c>
      <c r="BX72" s="51">
        <f t="shared" ca="1" si="120"/>
        <v>0</v>
      </c>
      <c r="BY72" s="51">
        <f t="shared" ca="1" si="120"/>
        <v>0</v>
      </c>
    </row>
    <row r="73" spans="3:77" ht="13.5" customHeight="1">
      <c r="D73" s="1" t="s">
        <v>387</v>
      </c>
      <c r="E73" s="119">
        <f>'A&amp;R'!I80</f>
        <v>2.8000000000000001E-2</v>
      </c>
      <c r="F73" s="1">
        <f ca="1">SUM(G73:XFD73)</f>
        <v>3559.6830168970132</v>
      </c>
      <c r="H73" s="1">
        <f ca="1">H72*$E$73/12</f>
        <v>29.664025140808405</v>
      </c>
      <c r="I73" s="1">
        <f t="shared" ref="I73:BT73" ca="1" si="121">I72*$E$73/12</f>
        <v>59.328050281616811</v>
      </c>
      <c r="J73" s="1">
        <f t="shared" ca="1" si="121"/>
        <v>59.328050281616811</v>
      </c>
      <c r="K73" s="1">
        <f t="shared" ca="1" si="121"/>
        <v>59.328050281616811</v>
      </c>
      <c r="L73" s="1">
        <f t="shared" ca="1" si="121"/>
        <v>59.328050281616811</v>
      </c>
      <c r="M73" s="1">
        <f t="shared" ca="1" si="121"/>
        <v>59.328050281616811</v>
      </c>
      <c r="N73" s="1">
        <f t="shared" ca="1" si="121"/>
        <v>59.328050281616811</v>
      </c>
      <c r="O73" s="1">
        <f t="shared" ca="1" si="121"/>
        <v>59.328050281616811</v>
      </c>
      <c r="P73" s="1">
        <f t="shared" ca="1" si="121"/>
        <v>59.328050281616811</v>
      </c>
      <c r="Q73" s="1">
        <f t="shared" ca="1" si="121"/>
        <v>59.328050281616811</v>
      </c>
      <c r="R73" s="1">
        <f t="shared" ca="1" si="121"/>
        <v>59.328050281616811</v>
      </c>
      <c r="S73" s="1">
        <f t="shared" ca="1" si="121"/>
        <v>59.328050281616811</v>
      </c>
      <c r="T73" s="1">
        <f t="shared" ca="1" si="121"/>
        <v>59.328050281616811</v>
      </c>
      <c r="U73" s="1">
        <f t="shared" ca="1" si="121"/>
        <v>59.328050281616811</v>
      </c>
      <c r="V73" s="1">
        <f t="shared" ca="1" si="121"/>
        <v>59.328050281616811</v>
      </c>
      <c r="W73" s="1">
        <f t="shared" ca="1" si="121"/>
        <v>59.328050281616811</v>
      </c>
      <c r="X73" s="1">
        <f t="shared" ca="1" si="121"/>
        <v>59.328050281616811</v>
      </c>
      <c r="Y73" s="1">
        <f t="shared" ca="1" si="121"/>
        <v>59.328050281616811</v>
      </c>
      <c r="Z73" s="1">
        <f t="shared" ca="1" si="121"/>
        <v>59.328050281616811</v>
      </c>
      <c r="AA73" s="1">
        <f t="shared" ca="1" si="121"/>
        <v>59.328050281616811</v>
      </c>
      <c r="AB73" s="1">
        <f t="shared" ca="1" si="121"/>
        <v>59.328050281616811</v>
      </c>
      <c r="AC73" s="1">
        <f t="shared" ca="1" si="121"/>
        <v>59.328050281616811</v>
      </c>
      <c r="AD73" s="1">
        <f t="shared" ca="1" si="121"/>
        <v>59.328050281616811</v>
      </c>
      <c r="AE73" s="1">
        <f t="shared" ca="1" si="121"/>
        <v>59.328050281616811</v>
      </c>
      <c r="AF73" s="1">
        <f t="shared" ca="1" si="121"/>
        <v>59.328050281616811</v>
      </c>
      <c r="AG73" s="1">
        <f t="shared" ca="1" si="121"/>
        <v>59.328050281616811</v>
      </c>
      <c r="AH73" s="1">
        <f t="shared" ca="1" si="121"/>
        <v>59.328050281616811</v>
      </c>
      <c r="AI73" s="1">
        <f t="shared" ca="1" si="121"/>
        <v>59.328050281616811</v>
      </c>
      <c r="AJ73" s="1">
        <f t="shared" ca="1" si="121"/>
        <v>59.328050281616811</v>
      </c>
      <c r="AK73" s="1">
        <f t="shared" ca="1" si="121"/>
        <v>59.328050281616811</v>
      </c>
      <c r="AL73" s="1">
        <f t="shared" ca="1" si="121"/>
        <v>59.328050281616811</v>
      </c>
      <c r="AM73" s="1">
        <f t="shared" ca="1" si="121"/>
        <v>59.328050281616811</v>
      </c>
      <c r="AN73" s="1">
        <f t="shared" ca="1" si="121"/>
        <v>59.328050281616811</v>
      </c>
      <c r="AO73" s="1">
        <f t="shared" ca="1" si="121"/>
        <v>59.328050281616811</v>
      </c>
      <c r="AP73" s="1">
        <f t="shared" ca="1" si="121"/>
        <v>59.328050281616811</v>
      </c>
      <c r="AQ73" s="1">
        <f t="shared" ca="1" si="121"/>
        <v>59.328050281616811</v>
      </c>
      <c r="AR73" s="1">
        <f t="shared" ca="1" si="121"/>
        <v>59.328050281616811</v>
      </c>
      <c r="AS73" s="1">
        <f t="shared" ca="1" si="121"/>
        <v>59.328050281616811</v>
      </c>
      <c r="AT73" s="1">
        <f t="shared" ca="1" si="121"/>
        <v>59.328050281616811</v>
      </c>
      <c r="AU73" s="1">
        <f t="shared" ca="1" si="121"/>
        <v>59.328050281616811</v>
      </c>
      <c r="AV73" s="1">
        <f t="shared" ca="1" si="121"/>
        <v>59.328050281616811</v>
      </c>
      <c r="AW73" s="1">
        <f t="shared" ca="1" si="121"/>
        <v>59.328050281616811</v>
      </c>
      <c r="AX73" s="1">
        <f t="shared" ca="1" si="121"/>
        <v>59.328050281616811</v>
      </c>
      <c r="AY73" s="1">
        <f t="shared" ca="1" si="121"/>
        <v>59.328050281616811</v>
      </c>
      <c r="AZ73" s="1">
        <f t="shared" ca="1" si="121"/>
        <v>59.328050281616811</v>
      </c>
      <c r="BA73" s="1">
        <f t="shared" ca="1" si="121"/>
        <v>59.328050281616811</v>
      </c>
      <c r="BB73" s="1">
        <f t="shared" ca="1" si="121"/>
        <v>59.328050281616811</v>
      </c>
      <c r="BC73" s="1">
        <f t="shared" ca="1" si="121"/>
        <v>59.328050281616811</v>
      </c>
      <c r="BD73" s="1">
        <f t="shared" ca="1" si="121"/>
        <v>59.328050281616811</v>
      </c>
      <c r="BE73" s="1">
        <f t="shared" ca="1" si="121"/>
        <v>59.328050281616811</v>
      </c>
      <c r="BF73" s="1">
        <f t="shared" ca="1" si="121"/>
        <v>59.328050281616811</v>
      </c>
      <c r="BG73" s="1">
        <f t="shared" ca="1" si="121"/>
        <v>59.328050281616811</v>
      </c>
      <c r="BH73" s="1">
        <f t="shared" ca="1" si="121"/>
        <v>59.328050281616811</v>
      </c>
      <c r="BI73" s="1">
        <f t="shared" ca="1" si="121"/>
        <v>59.328050281616811</v>
      </c>
      <c r="BJ73" s="1">
        <f t="shared" ca="1" si="121"/>
        <v>59.328050281616811</v>
      </c>
      <c r="BK73" s="1">
        <f t="shared" ca="1" si="121"/>
        <v>59.328050281616811</v>
      </c>
      <c r="BL73" s="1">
        <f t="shared" ca="1" si="121"/>
        <v>59.328050281616811</v>
      </c>
      <c r="BM73" s="1">
        <f t="shared" ca="1" si="121"/>
        <v>59.328050281616811</v>
      </c>
      <c r="BN73" s="1">
        <f t="shared" ca="1" si="121"/>
        <v>59.328050281616811</v>
      </c>
      <c r="BO73" s="1">
        <f t="shared" ca="1" si="121"/>
        <v>59.328050281616811</v>
      </c>
      <c r="BP73" s="1">
        <f t="shared" ca="1" si="121"/>
        <v>29.664025140808405</v>
      </c>
      <c r="BQ73" s="1">
        <f t="shared" ca="1" si="121"/>
        <v>0</v>
      </c>
      <c r="BR73" s="1">
        <f t="shared" ca="1" si="121"/>
        <v>0</v>
      </c>
      <c r="BS73" s="1">
        <f t="shared" ca="1" si="121"/>
        <v>0</v>
      </c>
      <c r="BT73" s="1">
        <f t="shared" ca="1" si="121"/>
        <v>0</v>
      </c>
      <c r="BU73" s="1">
        <f t="shared" ref="BU73:BY73" ca="1" si="122">BU72*$E$73/12</f>
        <v>0</v>
      </c>
      <c r="BV73" s="1">
        <f t="shared" ca="1" si="122"/>
        <v>0</v>
      </c>
      <c r="BW73" s="1">
        <f t="shared" ca="1" si="122"/>
        <v>0</v>
      </c>
      <c r="BX73" s="1">
        <f t="shared" ca="1" si="122"/>
        <v>0</v>
      </c>
      <c r="BY73" s="1">
        <f t="shared" ca="1" si="122"/>
        <v>0</v>
      </c>
    </row>
    <row r="74" spans="3:77" ht="13.5" customHeight="1">
      <c r="D74" s="44" t="s">
        <v>388</v>
      </c>
      <c r="E74" s="135" t="b">
        <f ca="1">ABS(F73-F74)&lt;0.001</f>
        <v>1</v>
      </c>
      <c r="F74" s="44">
        <f ca="1">SUM(G74:XFD74)</f>
        <v>3559.6830168970132</v>
      </c>
      <c r="G74" s="44"/>
      <c r="H74" s="44">
        <f ca="1">(SUM($H$73:H73)-SUM($G$74:G74))*H67</f>
        <v>0</v>
      </c>
      <c r="I74" s="44">
        <f ca="1">(SUM($H$73:I73)-SUM($G$74:H74))*I67</f>
        <v>0</v>
      </c>
      <c r="J74" s="44">
        <f ca="1">(SUM($H$73:J73)-SUM($G$74:I74))*J67</f>
        <v>0</v>
      </c>
      <c r="K74" s="44">
        <f ca="1">(SUM($H$73:K73)-SUM($G$74:J74))*K67</f>
        <v>207.64817598565884</v>
      </c>
      <c r="L74" s="44">
        <f ca="1">(SUM($H$73:L73)-SUM($G$74:K74))*L67</f>
        <v>0</v>
      </c>
      <c r="M74" s="44">
        <f ca="1">(SUM($H$73:M73)-SUM($G$74:L74))*M67</f>
        <v>0</v>
      </c>
      <c r="N74" s="44">
        <f ca="1">(SUM($H$73:N73)-SUM($G$74:M74))*N67</f>
        <v>177.98415084485043</v>
      </c>
      <c r="O74" s="44">
        <f ca="1">(SUM($H$73:O73)-SUM($G$74:N74))*O67</f>
        <v>0</v>
      </c>
      <c r="P74" s="44">
        <f ca="1">(SUM($H$73:P73)-SUM($G$74:O74))*P67</f>
        <v>0</v>
      </c>
      <c r="Q74" s="44">
        <f ca="1">(SUM($H$73:Q73)-SUM($G$74:P74))*Q67</f>
        <v>177.98415084485038</v>
      </c>
      <c r="R74" s="44">
        <f ca="1">(SUM($H$73:R73)-SUM($G$74:Q74))*R67</f>
        <v>0</v>
      </c>
      <c r="S74" s="44">
        <f ca="1">(SUM($H$73:S73)-SUM($G$74:R74))*S67</f>
        <v>0</v>
      </c>
      <c r="T74" s="44">
        <f ca="1">(SUM($H$73:T73)-SUM($G$74:S74))*T67</f>
        <v>177.98415084485043</v>
      </c>
      <c r="U74" s="44">
        <f ca="1">(SUM($H$73:U73)-SUM($G$74:T74))*U67</f>
        <v>0</v>
      </c>
      <c r="V74" s="44">
        <f ca="1">(SUM($H$73:V73)-SUM($G$74:U74))*V67</f>
        <v>0</v>
      </c>
      <c r="W74" s="44">
        <f ca="1">(SUM($H$73:W73)-SUM($G$74:V74))*W67</f>
        <v>177.98415084485043</v>
      </c>
      <c r="X74" s="44">
        <f ca="1">(SUM($H$73:X73)-SUM($G$74:W74))*X67</f>
        <v>0</v>
      </c>
      <c r="Y74" s="44">
        <f ca="1">(SUM($H$73:Y73)-SUM($G$74:X74))*Y67</f>
        <v>0</v>
      </c>
      <c r="Z74" s="44">
        <f ca="1">(SUM($H$73:Z73)-SUM($G$74:Y74))*Z67</f>
        <v>177.98415084485032</v>
      </c>
      <c r="AA74" s="44">
        <f ca="1">(SUM($H$73:AA73)-SUM($G$74:Z74))*AA67</f>
        <v>0</v>
      </c>
      <c r="AB74" s="44">
        <f ca="1">(SUM($H$73:AB73)-SUM($G$74:AA74))*AB67</f>
        <v>0</v>
      </c>
      <c r="AC74" s="44">
        <f ca="1">(SUM($H$73:AC73)-SUM($G$74:AB74))*AC67</f>
        <v>177.98415084485077</v>
      </c>
      <c r="AD74" s="44">
        <f ca="1">(SUM($H$73:AD73)-SUM($G$74:AC74))*AD67</f>
        <v>0</v>
      </c>
      <c r="AE74" s="44">
        <f ca="1">(SUM($H$73:AE73)-SUM($G$74:AD74))*AE67</f>
        <v>0</v>
      </c>
      <c r="AF74" s="44">
        <f ca="1">(SUM($H$73:AF73)-SUM($G$74:AE74))*AF67</f>
        <v>177.98415084485077</v>
      </c>
      <c r="AG74" s="44">
        <f ca="1">(SUM($H$73:AG73)-SUM($G$74:AF74))*AG67</f>
        <v>0</v>
      </c>
      <c r="AH74" s="44">
        <f ca="1">(SUM($H$73:AH73)-SUM($G$74:AG74))*AH67</f>
        <v>0</v>
      </c>
      <c r="AI74" s="44">
        <f ca="1">(SUM($H$73:AI73)-SUM($G$74:AH74))*AI67</f>
        <v>177.98415084485077</v>
      </c>
      <c r="AJ74" s="44">
        <f ca="1">(SUM($H$73:AJ73)-SUM($G$74:AI74))*AJ67</f>
        <v>0</v>
      </c>
      <c r="AK74" s="44">
        <f ca="1">(SUM($H$73:AK73)-SUM($G$74:AJ74))*AK67</f>
        <v>0</v>
      </c>
      <c r="AL74" s="44">
        <f ca="1">(SUM($H$73:AL73)-SUM($G$74:AK74))*AL67</f>
        <v>177.98415084485077</v>
      </c>
      <c r="AM74" s="44">
        <f ca="1">(SUM($H$73:AM73)-SUM($G$74:AL74))*AM67</f>
        <v>0</v>
      </c>
      <c r="AN74" s="44">
        <f ca="1">(SUM($H$73:AN73)-SUM($G$74:AM74))*AN67</f>
        <v>0</v>
      </c>
      <c r="AO74" s="44">
        <f ca="1">(SUM($H$73:AO73)-SUM($G$74:AN74))*AO67</f>
        <v>177.98415084485077</v>
      </c>
      <c r="AP74" s="44">
        <f ca="1">(SUM($H$73:AP73)-SUM($G$74:AO74))*AP67</f>
        <v>0</v>
      </c>
      <c r="AQ74" s="44">
        <f ca="1">(SUM($H$73:AQ73)-SUM($G$74:AP74))*AQ67</f>
        <v>0</v>
      </c>
      <c r="AR74" s="44">
        <f ca="1">(SUM($H$73:AR73)-SUM($G$74:AQ74))*AR67</f>
        <v>177.98415084485077</v>
      </c>
      <c r="AS74" s="44">
        <f ca="1">(SUM($H$73:AS73)-SUM($G$74:AR74))*AS67</f>
        <v>0</v>
      </c>
      <c r="AT74" s="44">
        <f ca="1">(SUM($H$73:AT73)-SUM($G$74:AS74))*AT67</f>
        <v>0</v>
      </c>
      <c r="AU74" s="44">
        <f ca="1">(SUM($H$73:AU73)-SUM($G$74:AT74))*AU67</f>
        <v>177.98415084485077</v>
      </c>
      <c r="AV74" s="44">
        <f ca="1">(SUM($H$73:AV73)-SUM($G$74:AU74))*AV67</f>
        <v>0</v>
      </c>
      <c r="AW74" s="44">
        <f ca="1">(SUM($H$73:AW73)-SUM($G$74:AV74))*AW67</f>
        <v>0</v>
      </c>
      <c r="AX74" s="44">
        <f ca="1">(SUM($H$73:AX73)-SUM($G$74:AW74))*AX67</f>
        <v>177.98415084485077</v>
      </c>
      <c r="AY74" s="44">
        <f ca="1">(SUM($H$73:AY73)-SUM($G$74:AX74))*AY67</f>
        <v>0</v>
      </c>
      <c r="AZ74" s="44">
        <f ca="1">(SUM($H$73:AZ73)-SUM($G$74:AY74))*AZ67</f>
        <v>0</v>
      </c>
      <c r="BA74" s="44">
        <f ca="1">(SUM($H$73:BA73)-SUM($G$74:AZ74))*BA67</f>
        <v>177.98415084485077</v>
      </c>
      <c r="BB74" s="44">
        <f ca="1">(SUM($H$73:BB73)-SUM($G$74:BA74))*BB67</f>
        <v>0</v>
      </c>
      <c r="BC74" s="44">
        <f ca="1">(SUM($H$73:BC73)-SUM($G$74:BB74))*BC67</f>
        <v>0</v>
      </c>
      <c r="BD74" s="44">
        <f ca="1">(SUM($H$73:BD73)-SUM($G$74:BC74))*BD67</f>
        <v>177.98415084485077</v>
      </c>
      <c r="BE74" s="44">
        <f ca="1">(SUM($H$73:BE73)-SUM($G$74:BD74))*BE67</f>
        <v>0</v>
      </c>
      <c r="BF74" s="44">
        <f ca="1">(SUM($H$73:BF73)-SUM($G$74:BE74))*BF67</f>
        <v>0</v>
      </c>
      <c r="BG74" s="44">
        <f ca="1">(SUM($H$73:BG73)-SUM($G$74:BF74))*BG67</f>
        <v>177.98415084485077</v>
      </c>
      <c r="BH74" s="44">
        <f ca="1">(SUM($H$73:BH73)-SUM($G$74:BG74))*BH67</f>
        <v>0</v>
      </c>
      <c r="BI74" s="44">
        <f ca="1">(SUM($H$73:BI73)-SUM($G$74:BH74))*BI67</f>
        <v>0</v>
      </c>
      <c r="BJ74" s="44">
        <f ca="1">(SUM($H$73:BJ73)-SUM($G$74:BI74))*BJ67</f>
        <v>177.98415084485077</v>
      </c>
      <c r="BK74" s="44">
        <f ca="1">(SUM($H$73:BK73)-SUM($G$74:BJ74))*BK67</f>
        <v>0</v>
      </c>
      <c r="BL74" s="44">
        <f ca="1">(SUM($H$73:BL73)-SUM($G$74:BK74))*BL67</f>
        <v>0</v>
      </c>
      <c r="BM74" s="44">
        <f ca="1">(SUM($H$73:BM73)-SUM($G$74:BL74))*BM67</f>
        <v>177.98415084485077</v>
      </c>
      <c r="BN74" s="44">
        <f ca="1">(SUM($H$73:BN73)-SUM($G$74:BM74))*BN67</f>
        <v>0</v>
      </c>
      <c r="BO74" s="44">
        <f ca="1">(SUM($H$73:BO73)-SUM($G$74:BN74))*BO67</f>
        <v>0</v>
      </c>
      <c r="BP74" s="44">
        <f ca="1">(SUM($H$73:BP73)-SUM($G$74:BO74))*BP67</f>
        <v>148.32012570404231</v>
      </c>
      <c r="BQ74" s="44">
        <f ca="1">(SUM($H$73:BQ73)-SUM($G$74:BP74))*BQ67</f>
        <v>0</v>
      </c>
      <c r="BR74" s="44">
        <f ca="1">(SUM($H$73:BR73)-SUM($G$74:BQ74))*BR67</f>
        <v>0</v>
      </c>
      <c r="BS74" s="44">
        <f ca="1">(SUM($H$73:BS73)-SUM($G$74:BR74))*BS67</f>
        <v>0</v>
      </c>
      <c r="BT74" s="44">
        <f ca="1">(SUM($H$73:BT73)-SUM($G$74:BS74))*BT67</f>
        <v>0</v>
      </c>
      <c r="BU74" s="44">
        <f ca="1">(SUM($H$73:BU73)-SUM($G$74:BT74))*BU67</f>
        <v>0</v>
      </c>
      <c r="BV74" s="44">
        <f ca="1">(SUM($H$73:BV73)-SUM($G$74:BU74))*BV67</f>
        <v>0</v>
      </c>
      <c r="BW74" s="44">
        <f ca="1">(SUM($H$73:BW73)-SUM($G$74:BV74))*BW67</f>
        <v>0</v>
      </c>
      <c r="BX74" s="44">
        <f ca="1">(SUM($H$73:BX73)-SUM($G$74:BW74))*BX67</f>
        <v>0</v>
      </c>
      <c r="BY74" s="44">
        <f ca="1">(SUM($H$73:BY73)-SUM($G$74:BX74))*BY67</f>
        <v>0</v>
      </c>
    </row>
    <row r="76" spans="3:77" ht="13.5" customHeight="1">
      <c r="C76" s="1" t="s">
        <v>392</v>
      </c>
    </row>
    <row r="77" spans="3:77" ht="13.5" customHeight="1" outlineLevel="1">
      <c r="E77" s="95" t="s">
        <v>141</v>
      </c>
      <c r="F77" s="100">
        <f>'A&amp;R'!F81</f>
        <v>44286</v>
      </c>
    </row>
    <row r="78" spans="3:77" ht="13.5" customHeight="1" outlineLevel="1">
      <c r="E78" s="96" t="s">
        <v>142</v>
      </c>
      <c r="F78" s="117">
        <f>'A&amp;R'!G81</f>
        <v>44439</v>
      </c>
    </row>
    <row r="79" spans="3:77" ht="13.5" customHeight="1" outlineLevel="1">
      <c r="E79" s="98" t="s">
        <v>148</v>
      </c>
      <c r="F79" s="179">
        <f>'A&amp;R'!K81</f>
        <v>1</v>
      </c>
    </row>
    <row r="80" spans="3:77" s="143" customFormat="1" ht="13.5" customHeight="1" outlineLevel="1">
      <c r="E80" s="180"/>
      <c r="F80" s="181" t="s">
        <v>389</v>
      </c>
      <c r="H80" s="143">
        <f>(H14&gt;=$F$77)*(H14&lt;=$F$78)*1</f>
        <v>1</v>
      </c>
      <c r="I80" s="143">
        <f t="shared" ref="I80:BT80" si="123">(I14&gt;=$F$77)*(I14&lt;=$F$78)*1</f>
        <v>1</v>
      </c>
      <c r="J80" s="143">
        <f t="shared" si="123"/>
        <v>1</v>
      </c>
      <c r="K80" s="143">
        <f t="shared" si="123"/>
        <v>1</v>
      </c>
      <c r="L80" s="143">
        <f t="shared" si="123"/>
        <v>1</v>
      </c>
      <c r="M80" s="143">
        <f t="shared" si="123"/>
        <v>1</v>
      </c>
      <c r="N80" s="143">
        <f t="shared" si="123"/>
        <v>0</v>
      </c>
      <c r="O80" s="143">
        <f t="shared" si="123"/>
        <v>0</v>
      </c>
      <c r="P80" s="143">
        <f t="shared" si="123"/>
        <v>0</v>
      </c>
      <c r="Q80" s="143">
        <f t="shared" si="123"/>
        <v>0</v>
      </c>
      <c r="R80" s="143">
        <f t="shared" si="123"/>
        <v>0</v>
      </c>
      <c r="S80" s="143">
        <f t="shared" si="123"/>
        <v>0</v>
      </c>
      <c r="T80" s="143">
        <f t="shared" si="123"/>
        <v>0</v>
      </c>
      <c r="U80" s="143">
        <f t="shared" si="123"/>
        <v>0</v>
      </c>
      <c r="V80" s="143">
        <f t="shared" si="123"/>
        <v>0</v>
      </c>
      <c r="W80" s="143">
        <f t="shared" si="123"/>
        <v>0</v>
      </c>
      <c r="X80" s="143">
        <f t="shared" si="123"/>
        <v>0</v>
      </c>
      <c r="Y80" s="143">
        <f t="shared" si="123"/>
        <v>0</v>
      </c>
      <c r="Z80" s="143">
        <f t="shared" si="123"/>
        <v>0</v>
      </c>
      <c r="AA80" s="143">
        <f t="shared" si="123"/>
        <v>0</v>
      </c>
      <c r="AB80" s="143">
        <f t="shared" si="123"/>
        <v>0</v>
      </c>
      <c r="AC80" s="143">
        <f t="shared" si="123"/>
        <v>0</v>
      </c>
      <c r="AD80" s="143">
        <f t="shared" si="123"/>
        <v>0</v>
      </c>
      <c r="AE80" s="143">
        <f t="shared" si="123"/>
        <v>0</v>
      </c>
      <c r="AF80" s="143">
        <f t="shared" si="123"/>
        <v>0</v>
      </c>
      <c r="AG80" s="143">
        <f t="shared" si="123"/>
        <v>0</v>
      </c>
      <c r="AH80" s="143">
        <f t="shared" si="123"/>
        <v>0</v>
      </c>
      <c r="AI80" s="143">
        <f t="shared" si="123"/>
        <v>0</v>
      </c>
      <c r="AJ80" s="143">
        <f t="shared" si="123"/>
        <v>0</v>
      </c>
      <c r="AK80" s="143">
        <f t="shared" si="123"/>
        <v>0</v>
      </c>
      <c r="AL80" s="143">
        <f t="shared" si="123"/>
        <v>0</v>
      </c>
      <c r="AM80" s="143">
        <f t="shared" si="123"/>
        <v>0</v>
      </c>
      <c r="AN80" s="143">
        <f t="shared" si="123"/>
        <v>0</v>
      </c>
      <c r="AO80" s="143">
        <f t="shared" si="123"/>
        <v>0</v>
      </c>
      <c r="AP80" s="143">
        <f t="shared" si="123"/>
        <v>0</v>
      </c>
      <c r="AQ80" s="143">
        <f t="shared" si="123"/>
        <v>0</v>
      </c>
      <c r="AR80" s="143">
        <f t="shared" si="123"/>
        <v>0</v>
      </c>
      <c r="AS80" s="143">
        <f t="shared" si="123"/>
        <v>0</v>
      </c>
      <c r="AT80" s="143">
        <f t="shared" si="123"/>
        <v>0</v>
      </c>
      <c r="AU80" s="143">
        <f t="shared" si="123"/>
        <v>0</v>
      </c>
      <c r="AV80" s="143">
        <f t="shared" si="123"/>
        <v>0</v>
      </c>
      <c r="AW80" s="143">
        <f t="shared" si="123"/>
        <v>0</v>
      </c>
      <c r="AX80" s="143">
        <f t="shared" si="123"/>
        <v>0</v>
      </c>
      <c r="AY80" s="143">
        <f t="shared" si="123"/>
        <v>0</v>
      </c>
      <c r="AZ80" s="143">
        <f t="shared" si="123"/>
        <v>0</v>
      </c>
      <c r="BA80" s="143">
        <f t="shared" si="123"/>
        <v>0</v>
      </c>
      <c r="BB80" s="143">
        <f t="shared" si="123"/>
        <v>0</v>
      </c>
      <c r="BC80" s="143">
        <f t="shared" si="123"/>
        <v>0</v>
      </c>
      <c r="BD80" s="143">
        <f t="shared" si="123"/>
        <v>0</v>
      </c>
      <c r="BE80" s="143">
        <f t="shared" si="123"/>
        <v>0</v>
      </c>
      <c r="BF80" s="143">
        <f t="shared" si="123"/>
        <v>0</v>
      </c>
      <c r="BG80" s="143">
        <f t="shared" si="123"/>
        <v>0</v>
      </c>
      <c r="BH80" s="143">
        <f t="shared" si="123"/>
        <v>0</v>
      </c>
      <c r="BI80" s="143">
        <f t="shared" si="123"/>
        <v>0</v>
      </c>
      <c r="BJ80" s="143">
        <f t="shared" si="123"/>
        <v>0</v>
      </c>
      <c r="BK80" s="143">
        <f t="shared" si="123"/>
        <v>0</v>
      </c>
      <c r="BL80" s="143">
        <f t="shared" si="123"/>
        <v>0</v>
      </c>
      <c r="BM80" s="143">
        <f t="shared" si="123"/>
        <v>0</v>
      </c>
      <c r="BN80" s="143">
        <f t="shared" si="123"/>
        <v>0</v>
      </c>
      <c r="BO80" s="143">
        <f t="shared" si="123"/>
        <v>0</v>
      </c>
      <c r="BP80" s="143">
        <f t="shared" si="123"/>
        <v>0</v>
      </c>
      <c r="BQ80" s="143">
        <f t="shared" si="123"/>
        <v>0</v>
      </c>
      <c r="BR80" s="143">
        <f t="shared" si="123"/>
        <v>0</v>
      </c>
      <c r="BS80" s="143">
        <f t="shared" si="123"/>
        <v>0</v>
      </c>
      <c r="BT80" s="143">
        <f t="shared" si="123"/>
        <v>0</v>
      </c>
      <c r="BU80" s="143">
        <f t="shared" ref="BU80:BY80" si="124">(BU14&gt;=$F$77)*(BU14&lt;=$F$78)*1</f>
        <v>0</v>
      </c>
      <c r="BV80" s="143">
        <f t="shared" si="124"/>
        <v>0</v>
      </c>
      <c r="BW80" s="143">
        <f t="shared" si="124"/>
        <v>0</v>
      </c>
      <c r="BX80" s="143">
        <f t="shared" si="124"/>
        <v>0</v>
      </c>
      <c r="BY80" s="143">
        <f t="shared" si="124"/>
        <v>0</v>
      </c>
    </row>
    <row r="81" spans="3:77" s="143" customFormat="1" ht="13.5" customHeight="1" outlineLevel="1">
      <c r="E81" s="180"/>
      <c r="F81" s="181" t="s">
        <v>390</v>
      </c>
      <c r="H81" s="143">
        <f>SUM($H80:H80)*H80</f>
        <v>1</v>
      </c>
      <c r="I81" s="143">
        <f>SUM($H80:I80)*I80</f>
        <v>2</v>
      </c>
      <c r="J81" s="143">
        <f>SUM($H80:J80)*J80</f>
        <v>3</v>
      </c>
      <c r="K81" s="143">
        <f>SUM($H80:K80)*K80</f>
        <v>4</v>
      </c>
      <c r="L81" s="143">
        <f>SUM($H80:L80)*L80</f>
        <v>5</v>
      </c>
      <c r="M81" s="143">
        <f>SUM($H80:M80)*M80</f>
        <v>6</v>
      </c>
      <c r="N81" s="143">
        <f>SUM($H80:N80)*N80</f>
        <v>0</v>
      </c>
      <c r="O81" s="143">
        <f>SUM($H80:O80)*O80</f>
        <v>0</v>
      </c>
      <c r="P81" s="143">
        <f>SUM($H80:P80)*P80</f>
        <v>0</v>
      </c>
      <c r="Q81" s="143">
        <f>SUM($H80:Q80)*Q80</f>
        <v>0</v>
      </c>
      <c r="R81" s="143">
        <f>SUM($H80:R80)*R80</f>
        <v>0</v>
      </c>
      <c r="S81" s="143">
        <f>SUM($H80:S80)*S80</f>
        <v>0</v>
      </c>
      <c r="T81" s="143">
        <f>SUM($H80:T80)*T80</f>
        <v>0</v>
      </c>
      <c r="U81" s="143">
        <f>SUM($H80:U80)*U80</f>
        <v>0</v>
      </c>
      <c r="V81" s="143">
        <f>SUM($H80:V80)*V80</f>
        <v>0</v>
      </c>
      <c r="W81" s="143">
        <f>SUM($H80:W80)*W80</f>
        <v>0</v>
      </c>
      <c r="X81" s="143">
        <f>SUM($H80:X80)*X80</f>
        <v>0</v>
      </c>
      <c r="Y81" s="143">
        <f>SUM($H80:Y80)*Y80</f>
        <v>0</v>
      </c>
      <c r="Z81" s="143">
        <f>SUM($H80:Z80)*Z80</f>
        <v>0</v>
      </c>
      <c r="AA81" s="143">
        <f>SUM($H80:AA80)*AA80</f>
        <v>0</v>
      </c>
      <c r="AB81" s="143">
        <f>SUM($H80:AB80)*AB80</f>
        <v>0</v>
      </c>
      <c r="AC81" s="143">
        <f>SUM($H80:AC80)*AC80</f>
        <v>0</v>
      </c>
      <c r="AD81" s="143">
        <f>SUM($H80:AD80)*AD80</f>
        <v>0</v>
      </c>
      <c r="AE81" s="143">
        <f>SUM($H80:AE80)*AE80</f>
        <v>0</v>
      </c>
      <c r="AF81" s="143">
        <f>SUM($H80:AF80)*AF80</f>
        <v>0</v>
      </c>
      <c r="AG81" s="143">
        <f>SUM($H80:AG80)*AG80</f>
        <v>0</v>
      </c>
      <c r="AH81" s="143">
        <f>SUM($H80:AH80)*AH80</f>
        <v>0</v>
      </c>
      <c r="AI81" s="143">
        <f>SUM($H80:AI80)*AI80</f>
        <v>0</v>
      </c>
      <c r="AJ81" s="143">
        <f>SUM($H80:AJ80)*AJ80</f>
        <v>0</v>
      </c>
      <c r="AK81" s="143">
        <f>SUM($H80:AK80)*AK80</f>
        <v>0</v>
      </c>
      <c r="AL81" s="143">
        <f>SUM($H80:AL80)*AL80</f>
        <v>0</v>
      </c>
      <c r="AM81" s="143">
        <f>SUM($H80:AM80)*AM80</f>
        <v>0</v>
      </c>
      <c r="AN81" s="143">
        <f>SUM($H80:AN80)*AN80</f>
        <v>0</v>
      </c>
      <c r="AO81" s="143">
        <f>SUM($H80:AO80)*AO80</f>
        <v>0</v>
      </c>
      <c r="AP81" s="143">
        <f>SUM($H80:AP80)*AP80</f>
        <v>0</v>
      </c>
      <c r="AQ81" s="143">
        <f>SUM($H80:AQ80)*AQ80</f>
        <v>0</v>
      </c>
      <c r="AR81" s="143">
        <f>SUM($H80:AR80)*AR80</f>
        <v>0</v>
      </c>
      <c r="AS81" s="143">
        <f>SUM($H80:AS80)*AS80</f>
        <v>0</v>
      </c>
      <c r="AT81" s="143">
        <f>SUM($H80:AT80)*AT80</f>
        <v>0</v>
      </c>
      <c r="AU81" s="143">
        <f>SUM($H80:AU80)*AU80</f>
        <v>0</v>
      </c>
      <c r="AV81" s="143">
        <f>SUM($H80:AV80)*AV80</f>
        <v>0</v>
      </c>
      <c r="AW81" s="143">
        <f>SUM($H80:AW80)*AW80</f>
        <v>0</v>
      </c>
      <c r="AX81" s="143">
        <f>SUM($H80:AX80)*AX80</f>
        <v>0</v>
      </c>
      <c r="AY81" s="143">
        <f>SUM($H80:AY80)*AY80</f>
        <v>0</v>
      </c>
      <c r="AZ81" s="143">
        <f>SUM($H80:AZ80)*AZ80</f>
        <v>0</v>
      </c>
      <c r="BA81" s="143">
        <f>SUM($H80:BA80)*BA80</f>
        <v>0</v>
      </c>
      <c r="BB81" s="143">
        <f>SUM($H80:BB80)*BB80</f>
        <v>0</v>
      </c>
      <c r="BC81" s="143">
        <f>SUM($H80:BC80)*BC80</f>
        <v>0</v>
      </c>
      <c r="BD81" s="143">
        <f>SUM($H80:BD80)*BD80</f>
        <v>0</v>
      </c>
      <c r="BE81" s="143">
        <f>SUM($H80:BE80)*BE80</f>
        <v>0</v>
      </c>
      <c r="BF81" s="143">
        <f>SUM($H80:BF80)*BF80</f>
        <v>0</v>
      </c>
      <c r="BG81" s="143">
        <f>SUM($H80:BG80)*BG80</f>
        <v>0</v>
      </c>
      <c r="BH81" s="143">
        <f>SUM($H80:BH80)*BH80</f>
        <v>0</v>
      </c>
      <c r="BI81" s="143">
        <f>SUM($H80:BI80)*BI80</f>
        <v>0</v>
      </c>
      <c r="BJ81" s="143">
        <f>SUM($H80:BJ80)*BJ80</f>
        <v>0</v>
      </c>
      <c r="BK81" s="143">
        <f>SUM($H80:BK80)*BK80</f>
        <v>0</v>
      </c>
      <c r="BL81" s="143">
        <f>SUM($H80:BL80)*BL80</f>
        <v>0</v>
      </c>
      <c r="BM81" s="143">
        <f>SUM($H80:BM80)*BM80</f>
        <v>0</v>
      </c>
      <c r="BN81" s="143">
        <f>SUM($H80:BN80)*BN80</f>
        <v>0</v>
      </c>
      <c r="BO81" s="143">
        <f>SUM($H80:BO80)*BO80</f>
        <v>0</v>
      </c>
      <c r="BP81" s="143">
        <f>SUM($H80:BP80)*BP80</f>
        <v>0</v>
      </c>
      <c r="BQ81" s="143">
        <f>SUM($H80:BQ80)*BQ80</f>
        <v>0</v>
      </c>
      <c r="BR81" s="143">
        <f>SUM($H80:BR80)*BR80</f>
        <v>0</v>
      </c>
      <c r="BS81" s="143">
        <f>SUM($H80:BS80)*BS80</f>
        <v>0</v>
      </c>
      <c r="BT81" s="143">
        <f>SUM($H80:BT80)*BT80</f>
        <v>0</v>
      </c>
      <c r="BU81" s="143">
        <f>SUM($H80:BU80)*BU80</f>
        <v>0</v>
      </c>
      <c r="BV81" s="143">
        <f>SUM($H80:BV80)*BV80</f>
        <v>0</v>
      </c>
      <c r="BW81" s="143">
        <f>SUM($H80:BW80)*BW80</f>
        <v>0</v>
      </c>
      <c r="BX81" s="143">
        <f>SUM($H80:BX80)*BX80</f>
        <v>0</v>
      </c>
      <c r="BY81" s="143">
        <f>SUM($H80:BY80)*BY80</f>
        <v>0</v>
      </c>
    </row>
    <row r="82" spans="3:77" s="143" customFormat="1" ht="13.5" customHeight="1" outlineLevel="1">
      <c r="E82" s="180"/>
      <c r="F82" s="181" t="s">
        <v>391</v>
      </c>
      <c r="I82" s="143">
        <f ca="1">MIN(((MOD(H81,$F$79)=0)*1+(I29=$F$78)*1)*I80,1)</f>
        <v>1</v>
      </c>
      <c r="J82" s="143">
        <f t="shared" ref="J82:BU82" ca="1" si="125">MIN(((MOD(I81,$F$79)=0)*1+(J29=$F$78)*1)*J80,1)</f>
        <v>1</v>
      </c>
      <c r="K82" s="143">
        <f t="shared" ca="1" si="125"/>
        <v>1</v>
      </c>
      <c r="L82" s="143">
        <f t="shared" ca="1" si="125"/>
        <v>1</v>
      </c>
      <c r="M82" s="143">
        <f t="shared" ca="1" si="125"/>
        <v>1</v>
      </c>
      <c r="N82" s="143">
        <f t="shared" ca="1" si="125"/>
        <v>0</v>
      </c>
      <c r="O82" s="143">
        <f t="shared" ca="1" si="125"/>
        <v>0</v>
      </c>
      <c r="P82" s="143">
        <f t="shared" ca="1" si="125"/>
        <v>0</v>
      </c>
      <c r="Q82" s="143">
        <f t="shared" ca="1" si="125"/>
        <v>0</v>
      </c>
      <c r="R82" s="143">
        <f t="shared" ca="1" si="125"/>
        <v>0</v>
      </c>
      <c r="S82" s="143">
        <f t="shared" ca="1" si="125"/>
        <v>0</v>
      </c>
      <c r="T82" s="143">
        <f t="shared" ca="1" si="125"/>
        <v>0</v>
      </c>
      <c r="U82" s="143">
        <f t="shared" ca="1" si="125"/>
        <v>0</v>
      </c>
      <c r="V82" s="143">
        <f t="shared" ca="1" si="125"/>
        <v>0</v>
      </c>
      <c r="W82" s="143">
        <f t="shared" ca="1" si="125"/>
        <v>0</v>
      </c>
      <c r="X82" s="143">
        <f t="shared" ca="1" si="125"/>
        <v>0</v>
      </c>
      <c r="Y82" s="143">
        <f t="shared" ca="1" si="125"/>
        <v>0</v>
      </c>
      <c r="Z82" s="143">
        <f t="shared" ca="1" si="125"/>
        <v>0</v>
      </c>
      <c r="AA82" s="143">
        <f t="shared" ca="1" si="125"/>
        <v>0</v>
      </c>
      <c r="AB82" s="143">
        <f t="shared" ca="1" si="125"/>
        <v>0</v>
      </c>
      <c r="AC82" s="143">
        <f t="shared" ca="1" si="125"/>
        <v>0</v>
      </c>
      <c r="AD82" s="143">
        <f t="shared" ca="1" si="125"/>
        <v>0</v>
      </c>
      <c r="AE82" s="143">
        <f t="shared" ca="1" si="125"/>
        <v>0</v>
      </c>
      <c r="AF82" s="143">
        <f t="shared" ca="1" si="125"/>
        <v>0</v>
      </c>
      <c r="AG82" s="143">
        <f t="shared" ca="1" si="125"/>
        <v>0</v>
      </c>
      <c r="AH82" s="143">
        <f t="shared" ca="1" si="125"/>
        <v>0</v>
      </c>
      <c r="AI82" s="143">
        <f t="shared" ca="1" si="125"/>
        <v>0</v>
      </c>
      <c r="AJ82" s="143">
        <f t="shared" ca="1" si="125"/>
        <v>0</v>
      </c>
      <c r="AK82" s="143">
        <f t="shared" ca="1" si="125"/>
        <v>0</v>
      </c>
      <c r="AL82" s="143">
        <f t="shared" ca="1" si="125"/>
        <v>0</v>
      </c>
      <c r="AM82" s="143">
        <f t="shared" ca="1" si="125"/>
        <v>0</v>
      </c>
      <c r="AN82" s="143">
        <f t="shared" ca="1" si="125"/>
        <v>0</v>
      </c>
      <c r="AO82" s="143">
        <f t="shared" ca="1" si="125"/>
        <v>0</v>
      </c>
      <c r="AP82" s="143">
        <f t="shared" ca="1" si="125"/>
        <v>0</v>
      </c>
      <c r="AQ82" s="143">
        <f t="shared" ca="1" si="125"/>
        <v>0</v>
      </c>
      <c r="AR82" s="143">
        <f t="shared" ca="1" si="125"/>
        <v>0</v>
      </c>
      <c r="AS82" s="143">
        <f t="shared" ca="1" si="125"/>
        <v>0</v>
      </c>
      <c r="AT82" s="143">
        <f t="shared" ca="1" si="125"/>
        <v>0</v>
      </c>
      <c r="AU82" s="143">
        <f t="shared" ca="1" si="125"/>
        <v>0</v>
      </c>
      <c r="AV82" s="143">
        <f t="shared" ca="1" si="125"/>
        <v>0</v>
      </c>
      <c r="AW82" s="143">
        <f t="shared" ca="1" si="125"/>
        <v>0</v>
      </c>
      <c r="AX82" s="143">
        <f t="shared" ca="1" si="125"/>
        <v>0</v>
      </c>
      <c r="AY82" s="143">
        <f t="shared" ca="1" si="125"/>
        <v>0</v>
      </c>
      <c r="AZ82" s="143">
        <f t="shared" ca="1" si="125"/>
        <v>0</v>
      </c>
      <c r="BA82" s="143">
        <f t="shared" ca="1" si="125"/>
        <v>0</v>
      </c>
      <c r="BB82" s="143">
        <f t="shared" ca="1" si="125"/>
        <v>0</v>
      </c>
      <c r="BC82" s="143">
        <f t="shared" ca="1" si="125"/>
        <v>0</v>
      </c>
      <c r="BD82" s="143">
        <f t="shared" ca="1" si="125"/>
        <v>0</v>
      </c>
      <c r="BE82" s="143">
        <f t="shared" ca="1" si="125"/>
        <v>0</v>
      </c>
      <c r="BF82" s="143">
        <f t="shared" ca="1" si="125"/>
        <v>0</v>
      </c>
      <c r="BG82" s="143">
        <f t="shared" ca="1" si="125"/>
        <v>0</v>
      </c>
      <c r="BH82" s="143">
        <f t="shared" ca="1" si="125"/>
        <v>0</v>
      </c>
      <c r="BI82" s="143">
        <f t="shared" ca="1" si="125"/>
        <v>0</v>
      </c>
      <c r="BJ82" s="143">
        <f t="shared" ca="1" si="125"/>
        <v>0</v>
      </c>
      <c r="BK82" s="143">
        <f t="shared" ca="1" si="125"/>
        <v>0</v>
      </c>
      <c r="BL82" s="143">
        <f t="shared" ca="1" si="125"/>
        <v>0</v>
      </c>
      <c r="BM82" s="143">
        <f t="shared" ca="1" si="125"/>
        <v>0</v>
      </c>
      <c r="BN82" s="143">
        <f t="shared" ca="1" si="125"/>
        <v>0</v>
      </c>
      <c r="BO82" s="143">
        <f t="shared" ca="1" si="125"/>
        <v>0</v>
      </c>
      <c r="BP82" s="143">
        <f t="shared" ca="1" si="125"/>
        <v>0</v>
      </c>
      <c r="BQ82" s="143">
        <f t="shared" ca="1" si="125"/>
        <v>0</v>
      </c>
      <c r="BR82" s="143">
        <f t="shared" ca="1" si="125"/>
        <v>0</v>
      </c>
      <c r="BS82" s="143">
        <f t="shared" ca="1" si="125"/>
        <v>0</v>
      </c>
      <c r="BT82" s="143">
        <f t="shared" ca="1" si="125"/>
        <v>0</v>
      </c>
      <c r="BU82" s="143">
        <f t="shared" ca="1" si="125"/>
        <v>0</v>
      </c>
      <c r="BV82" s="143">
        <f t="shared" ref="BV82:BY82" ca="1" si="126">MIN(((MOD(BU81,$F$79)=0)*1+(BV29=$F$78)*1)*BV80,1)</f>
        <v>0</v>
      </c>
      <c r="BW82" s="143">
        <f t="shared" ca="1" si="126"/>
        <v>0</v>
      </c>
      <c r="BX82" s="143">
        <f t="shared" ca="1" si="126"/>
        <v>0</v>
      </c>
      <c r="BY82" s="143">
        <f t="shared" ca="1" si="126"/>
        <v>0</v>
      </c>
    </row>
    <row r="84" spans="3:77" ht="13.5" customHeight="1">
      <c r="D84" s="1" t="s">
        <v>169</v>
      </c>
      <c r="H84" s="1">
        <v>0</v>
      </c>
      <c r="I84" s="1">
        <f ca="1">H86</f>
        <v>2997.8680304266668</v>
      </c>
      <c r="J84" s="1">
        <f t="shared" ref="J84:BU84" ca="1" si="127">I86</f>
        <v>2997.8680304266668</v>
      </c>
      <c r="K84" s="1">
        <f t="shared" ca="1" si="127"/>
        <v>2997.8680304266668</v>
      </c>
      <c r="L84" s="1">
        <f t="shared" ca="1" si="127"/>
        <v>2997.8680304266668</v>
      </c>
      <c r="M84" s="1">
        <f t="shared" ca="1" si="127"/>
        <v>2997.8680304266668</v>
      </c>
      <c r="N84" s="1">
        <f t="shared" ca="1" si="127"/>
        <v>0</v>
      </c>
      <c r="O84" s="1">
        <f t="shared" ca="1" si="127"/>
        <v>0</v>
      </c>
      <c r="P84" s="1">
        <f t="shared" ca="1" si="127"/>
        <v>0</v>
      </c>
      <c r="Q84" s="1">
        <f t="shared" ca="1" si="127"/>
        <v>0</v>
      </c>
      <c r="R84" s="1">
        <f t="shared" ca="1" si="127"/>
        <v>0</v>
      </c>
      <c r="S84" s="1">
        <f t="shared" ca="1" si="127"/>
        <v>0</v>
      </c>
      <c r="T84" s="1">
        <f t="shared" ca="1" si="127"/>
        <v>0</v>
      </c>
      <c r="U84" s="1">
        <f t="shared" ca="1" si="127"/>
        <v>0</v>
      </c>
      <c r="V84" s="1">
        <f t="shared" ca="1" si="127"/>
        <v>0</v>
      </c>
      <c r="W84" s="1">
        <f t="shared" ca="1" si="127"/>
        <v>0</v>
      </c>
      <c r="X84" s="1">
        <f t="shared" ca="1" si="127"/>
        <v>0</v>
      </c>
      <c r="Y84" s="1">
        <f t="shared" ca="1" si="127"/>
        <v>0</v>
      </c>
      <c r="Z84" s="1">
        <f t="shared" ca="1" si="127"/>
        <v>0</v>
      </c>
      <c r="AA84" s="1">
        <f t="shared" ca="1" si="127"/>
        <v>0</v>
      </c>
      <c r="AB84" s="1">
        <f t="shared" ca="1" si="127"/>
        <v>0</v>
      </c>
      <c r="AC84" s="1">
        <f t="shared" ca="1" si="127"/>
        <v>0</v>
      </c>
      <c r="AD84" s="1">
        <f t="shared" ca="1" si="127"/>
        <v>0</v>
      </c>
      <c r="AE84" s="1">
        <f t="shared" ca="1" si="127"/>
        <v>0</v>
      </c>
      <c r="AF84" s="1">
        <f t="shared" ca="1" si="127"/>
        <v>0</v>
      </c>
      <c r="AG84" s="1">
        <f t="shared" ca="1" si="127"/>
        <v>0</v>
      </c>
      <c r="AH84" s="1">
        <f t="shared" ca="1" si="127"/>
        <v>0</v>
      </c>
      <c r="AI84" s="1">
        <f t="shared" ca="1" si="127"/>
        <v>0</v>
      </c>
      <c r="AJ84" s="1">
        <f t="shared" ca="1" si="127"/>
        <v>0</v>
      </c>
      <c r="AK84" s="1">
        <f t="shared" ca="1" si="127"/>
        <v>0</v>
      </c>
      <c r="AL84" s="1">
        <f t="shared" ca="1" si="127"/>
        <v>0</v>
      </c>
      <c r="AM84" s="1">
        <f t="shared" ca="1" si="127"/>
        <v>0</v>
      </c>
      <c r="AN84" s="1">
        <f t="shared" ca="1" si="127"/>
        <v>0</v>
      </c>
      <c r="AO84" s="1">
        <f t="shared" ca="1" si="127"/>
        <v>0</v>
      </c>
      <c r="AP84" s="1">
        <f t="shared" ca="1" si="127"/>
        <v>0</v>
      </c>
      <c r="AQ84" s="1">
        <f t="shared" ca="1" si="127"/>
        <v>0</v>
      </c>
      <c r="AR84" s="1">
        <f t="shared" ca="1" si="127"/>
        <v>0</v>
      </c>
      <c r="AS84" s="1">
        <f t="shared" ca="1" si="127"/>
        <v>0</v>
      </c>
      <c r="AT84" s="1">
        <f t="shared" ca="1" si="127"/>
        <v>0</v>
      </c>
      <c r="AU84" s="1">
        <f t="shared" ca="1" si="127"/>
        <v>0</v>
      </c>
      <c r="AV84" s="1">
        <f t="shared" ca="1" si="127"/>
        <v>0</v>
      </c>
      <c r="AW84" s="1">
        <f t="shared" ca="1" si="127"/>
        <v>0</v>
      </c>
      <c r="AX84" s="1">
        <f t="shared" ca="1" si="127"/>
        <v>0</v>
      </c>
      <c r="AY84" s="1">
        <f t="shared" ca="1" si="127"/>
        <v>0</v>
      </c>
      <c r="AZ84" s="1">
        <f t="shared" ca="1" si="127"/>
        <v>0</v>
      </c>
      <c r="BA84" s="1">
        <f t="shared" ca="1" si="127"/>
        <v>0</v>
      </c>
      <c r="BB84" s="1">
        <f t="shared" ca="1" si="127"/>
        <v>0</v>
      </c>
      <c r="BC84" s="1">
        <f t="shared" ca="1" si="127"/>
        <v>0</v>
      </c>
      <c r="BD84" s="1">
        <f t="shared" ca="1" si="127"/>
        <v>0</v>
      </c>
      <c r="BE84" s="1">
        <f t="shared" ca="1" si="127"/>
        <v>0</v>
      </c>
      <c r="BF84" s="1">
        <f t="shared" ca="1" si="127"/>
        <v>0</v>
      </c>
      <c r="BG84" s="1">
        <f t="shared" ca="1" si="127"/>
        <v>0</v>
      </c>
      <c r="BH84" s="1">
        <f t="shared" ca="1" si="127"/>
        <v>0</v>
      </c>
      <c r="BI84" s="1">
        <f t="shared" ca="1" si="127"/>
        <v>0</v>
      </c>
      <c r="BJ84" s="1">
        <f t="shared" ca="1" si="127"/>
        <v>0</v>
      </c>
      <c r="BK84" s="1">
        <f t="shared" ca="1" si="127"/>
        <v>0</v>
      </c>
      <c r="BL84" s="1">
        <f t="shared" ca="1" si="127"/>
        <v>0</v>
      </c>
      <c r="BM84" s="1">
        <f t="shared" ca="1" si="127"/>
        <v>0</v>
      </c>
      <c r="BN84" s="1">
        <f t="shared" ca="1" si="127"/>
        <v>0</v>
      </c>
      <c r="BO84" s="1">
        <f t="shared" ca="1" si="127"/>
        <v>0</v>
      </c>
      <c r="BP84" s="1">
        <f t="shared" ca="1" si="127"/>
        <v>0</v>
      </c>
      <c r="BQ84" s="1">
        <f t="shared" ca="1" si="127"/>
        <v>0</v>
      </c>
      <c r="BR84" s="1">
        <f t="shared" ca="1" si="127"/>
        <v>0</v>
      </c>
      <c r="BS84" s="1">
        <f t="shared" ca="1" si="127"/>
        <v>0</v>
      </c>
      <c r="BT84" s="1">
        <f t="shared" ca="1" si="127"/>
        <v>0</v>
      </c>
      <c r="BU84" s="1">
        <f t="shared" ca="1" si="127"/>
        <v>0</v>
      </c>
      <c r="BV84" s="1">
        <f t="shared" ref="BV84:BY84" ca="1" si="128">BU86</f>
        <v>0</v>
      </c>
      <c r="BW84" s="1">
        <f t="shared" ca="1" si="128"/>
        <v>0</v>
      </c>
      <c r="BX84" s="1">
        <f t="shared" ca="1" si="128"/>
        <v>0</v>
      </c>
      <c r="BY84" s="1">
        <f t="shared" ca="1" si="128"/>
        <v>0</v>
      </c>
    </row>
    <row r="85" spans="3:77" ht="13.5" customHeight="1">
      <c r="D85" s="1" t="s">
        <v>385</v>
      </c>
      <c r="H85" s="1">
        <f ca="1">H37+H44</f>
        <v>2997.8680304266668</v>
      </c>
      <c r="I85" s="1">
        <f t="shared" ref="I85:BT85" ca="1" si="129">I37+I44</f>
        <v>0</v>
      </c>
      <c r="J85" s="1">
        <f t="shared" ca="1" si="129"/>
        <v>0</v>
      </c>
      <c r="K85" s="1">
        <f t="shared" ca="1" si="129"/>
        <v>0</v>
      </c>
      <c r="L85" s="1">
        <f t="shared" ca="1" si="129"/>
        <v>0</v>
      </c>
      <c r="M85" s="1">
        <f t="shared" ca="1" si="129"/>
        <v>-2997.8680304266668</v>
      </c>
      <c r="N85" s="1">
        <f t="shared" ca="1" si="129"/>
        <v>0</v>
      </c>
      <c r="O85" s="1">
        <f t="shared" ca="1" si="129"/>
        <v>0</v>
      </c>
      <c r="P85" s="1">
        <f t="shared" ca="1" si="129"/>
        <v>0</v>
      </c>
      <c r="Q85" s="1">
        <f t="shared" ca="1" si="129"/>
        <v>0</v>
      </c>
      <c r="R85" s="1">
        <f t="shared" ca="1" si="129"/>
        <v>0</v>
      </c>
      <c r="S85" s="1">
        <f t="shared" ca="1" si="129"/>
        <v>0</v>
      </c>
      <c r="T85" s="1">
        <f t="shared" ca="1" si="129"/>
        <v>0</v>
      </c>
      <c r="U85" s="1">
        <f t="shared" ca="1" si="129"/>
        <v>0</v>
      </c>
      <c r="V85" s="1">
        <f t="shared" ca="1" si="129"/>
        <v>0</v>
      </c>
      <c r="W85" s="1">
        <f t="shared" ca="1" si="129"/>
        <v>0</v>
      </c>
      <c r="X85" s="1">
        <f t="shared" ca="1" si="129"/>
        <v>0</v>
      </c>
      <c r="Y85" s="1">
        <f t="shared" ca="1" si="129"/>
        <v>0</v>
      </c>
      <c r="Z85" s="1">
        <f t="shared" ca="1" si="129"/>
        <v>0</v>
      </c>
      <c r="AA85" s="1">
        <f t="shared" ca="1" si="129"/>
        <v>0</v>
      </c>
      <c r="AB85" s="1">
        <f t="shared" ca="1" si="129"/>
        <v>0</v>
      </c>
      <c r="AC85" s="1">
        <f t="shared" ca="1" si="129"/>
        <v>0</v>
      </c>
      <c r="AD85" s="1">
        <f t="shared" ca="1" si="129"/>
        <v>0</v>
      </c>
      <c r="AE85" s="1">
        <f t="shared" ca="1" si="129"/>
        <v>0</v>
      </c>
      <c r="AF85" s="1">
        <f t="shared" ca="1" si="129"/>
        <v>0</v>
      </c>
      <c r="AG85" s="1">
        <f t="shared" ca="1" si="129"/>
        <v>0</v>
      </c>
      <c r="AH85" s="1">
        <f t="shared" ca="1" si="129"/>
        <v>0</v>
      </c>
      <c r="AI85" s="1">
        <f t="shared" ca="1" si="129"/>
        <v>0</v>
      </c>
      <c r="AJ85" s="1">
        <f t="shared" ca="1" si="129"/>
        <v>0</v>
      </c>
      <c r="AK85" s="1">
        <f t="shared" ca="1" si="129"/>
        <v>0</v>
      </c>
      <c r="AL85" s="1">
        <f t="shared" ca="1" si="129"/>
        <v>0</v>
      </c>
      <c r="AM85" s="1">
        <f t="shared" ca="1" si="129"/>
        <v>0</v>
      </c>
      <c r="AN85" s="1">
        <f t="shared" ca="1" si="129"/>
        <v>0</v>
      </c>
      <c r="AO85" s="1">
        <f t="shared" ca="1" si="129"/>
        <v>0</v>
      </c>
      <c r="AP85" s="1">
        <f t="shared" ca="1" si="129"/>
        <v>0</v>
      </c>
      <c r="AQ85" s="1">
        <f t="shared" ca="1" si="129"/>
        <v>0</v>
      </c>
      <c r="AR85" s="1">
        <f t="shared" ca="1" si="129"/>
        <v>0</v>
      </c>
      <c r="AS85" s="1">
        <f t="shared" ca="1" si="129"/>
        <v>0</v>
      </c>
      <c r="AT85" s="1">
        <f t="shared" ca="1" si="129"/>
        <v>0</v>
      </c>
      <c r="AU85" s="1">
        <f t="shared" ca="1" si="129"/>
        <v>0</v>
      </c>
      <c r="AV85" s="1">
        <f t="shared" ca="1" si="129"/>
        <v>0</v>
      </c>
      <c r="AW85" s="1">
        <f t="shared" ca="1" si="129"/>
        <v>0</v>
      </c>
      <c r="AX85" s="1">
        <f t="shared" ca="1" si="129"/>
        <v>0</v>
      </c>
      <c r="AY85" s="1">
        <f t="shared" ca="1" si="129"/>
        <v>0</v>
      </c>
      <c r="AZ85" s="1">
        <f t="shared" ca="1" si="129"/>
        <v>0</v>
      </c>
      <c r="BA85" s="1">
        <f t="shared" ca="1" si="129"/>
        <v>0</v>
      </c>
      <c r="BB85" s="1">
        <f t="shared" ca="1" si="129"/>
        <v>0</v>
      </c>
      <c r="BC85" s="1">
        <f t="shared" ca="1" si="129"/>
        <v>0</v>
      </c>
      <c r="BD85" s="1">
        <f t="shared" ca="1" si="129"/>
        <v>0</v>
      </c>
      <c r="BE85" s="1">
        <f t="shared" ca="1" si="129"/>
        <v>0</v>
      </c>
      <c r="BF85" s="1">
        <f t="shared" ca="1" si="129"/>
        <v>0</v>
      </c>
      <c r="BG85" s="1">
        <f t="shared" ca="1" si="129"/>
        <v>0</v>
      </c>
      <c r="BH85" s="1">
        <f t="shared" ca="1" si="129"/>
        <v>0</v>
      </c>
      <c r="BI85" s="1">
        <f t="shared" ca="1" si="129"/>
        <v>0</v>
      </c>
      <c r="BJ85" s="1">
        <f t="shared" ca="1" si="129"/>
        <v>0</v>
      </c>
      <c r="BK85" s="1">
        <f t="shared" ca="1" si="129"/>
        <v>0</v>
      </c>
      <c r="BL85" s="1">
        <f t="shared" ca="1" si="129"/>
        <v>0</v>
      </c>
      <c r="BM85" s="1">
        <f t="shared" ca="1" si="129"/>
        <v>0</v>
      </c>
      <c r="BN85" s="1">
        <f t="shared" ca="1" si="129"/>
        <v>0</v>
      </c>
      <c r="BO85" s="1">
        <f t="shared" ca="1" si="129"/>
        <v>0</v>
      </c>
      <c r="BP85" s="1">
        <f t="shared" ca="1" si="129"/>
        <v>0</v>
      </c>
      <c r="BQ85" s="1">
        <f t="shared" ca="1" si="129"/>
        <v>0</v>
      </c>
      <c r="BR85" s="1">
        <f t="shared" ca="1" si="129"/>
        <v>0</v>
      </c>
      <c r="BS85" s="1">
        <f t="shared" ca="1" si="129"/>
        <v>0</v>
      </c>
      <c r="BT85" s="1">
        <f t="shared" ca="1" si="129"/>
        <v>0</v>
      </c>
      <c r="BU85" s="1">
        <f t="shared" ref="BU85:BY85" ca="1" si="130">BU37+BU44</f>
        <v>0</v>
      </c>
      <c r="BV85" s="1">
        <f t="shared" ca="1" si="130"/>
        <v>0</v>
      </c>
      <c r="BW85" s="1">
        <f t="shared" ca="1" si="130"/>
        <v>0</v>
      </c>
      <c r="BX85" s="1">
        <f t="shared" ca="1" si="130"/>
        <v>0</v>
      </c>
      <c r="BY85" s="1">
        <f t="shared" ca="1" si="130"/>
        <v>0</v>
      </c>
    </row>
    <row r="86" spans="3:77" ht="13.5" customHeight="1">
      <c r="D86" s="41" t="s">
        <v>172</v>
      </c>
      <c r="E86" s="41"/>
      <c r="F86" s="41"/>
      <c r="G86" s="41"/>
      <c r="H86" s="41">
        <f ca="1">SUM(H84:H85)</f>
        <v>2997.8680304266668</v>
      </c>
      <c r="I86" s="41">
        <f t="shared" ref="I86" ca="1" si="131">SUM(I84:I85)</f>
        <v>2997.8680304266668</v>
      </c>
      <c r="J86" s="41">
        <f t="shared" ref="J86" ca="1" si="132">SUM(J84:J85)</f>
        <v>2997.8680304266668</v>
      </c>
      <c r="K86" s="41">
        <f t="shared" ref="K86" ca="1" si="133">SUM(K84:K85)</f>
        <v>2997.8680304266668</v>
      </c>
      <c r="L86" s="41">
        <f t="shared" ref="L86" ca="1" si="134">SUM(L84:L85)</f>
        <v>2997.8680304266668</v>
      </c>
      <c r="M86" s="41">
        <f t="shared" ref="M86" ca="1" si="135">SUM(M84:M85)</f>
        <v>0</v>
      </c>
      <c r="N86" s="41">
        <f t="shared" ref="N86" ca="1" si="136">SUM(N84:N85)</f>
        <v>0</v>
      </c>
      <c r="O86" s="41">
        <f t="shared" ref="O86" ca="1" si="137">SUM(O84:O85)</f>
        <v>0</v>
      </c>
      <c r="P86" s="41">
        <f t="shared" ref="P86" ca="1" si="138">SUM(P84:P85)</f>
        <v>0</v>
      </c>
      <c r="Q86" s="41">
        <f t="shared" ref="Q86" ca="1" si="139">SUM(Q84:Q85)</f>
        <v>0</v>
      </c>
      <c r="R86" s="41">
        <f t="shared" ref="R86" ca="1" si="140">SUM(R84:R85)</f>
        <v>0</v>
      </c>
      <c r="S86" s="41">
        <f t="shared" ref="S86" ca="1" si="141">SUM(S84:S85)</f>
        <v>0</v>
      </c>
      <c r="T86" s="41">
        <f t="shared" ref="T86" ca="1" si="142">SUM(T84:T85)</f>
        <v>0</v>
      </c>
      <c r="U86" s="41">
        <f t="shared" ref="U86" ca="1" si="143">SUM(U84:U85)</f>
        <v>0</v>
      </c>
      <c r="V86" s="41">
        <f t="shared" ref="V86" ca="1" si="144">SUM(V84:V85)</f>
        <v>0</v>
      </c>
      <c r="W86" s="41">
        <f t="shared" ref="W86" ca="1" si="145">SUM(W84:W85)</f>
        <v>0</v>
      </c>
      <c r="X86" s="41">
        <f t="shared" ref="X86" ca="1" si="146">SUM(X84:X85)</f>
        <v>0</v>
      </c>
      <c r="Y86" s="41">
        <f t="shared" ref="Y86" ca="1" si="147">SUM(Y84:Y85)</f>
        <v>0</v>
      </c>
      <c r="Z86" s="41">
        <f t="shared" ref="Z86" ca="1" si="148">SUM(Z84:Z85)</f>
        <v>0</v>
      </c>
      <c r="AA86" s="41">
        <f t="shared" ref="AA86" ca="1" si="149">SUM(AA84:AA85)</f>
        <v>0</v>
      </c>
      <c r="AB86" s="41">
        <f t="shared" ref="AB86" ca="1" si="150">SUM(AB84:AB85)</f>
        <v>0</v>
      </c>
      <c r="AC86" s="41">
        <f t="shared" ref="AC86" ca="1" si="151">SUM(AC84:AC85)</f>
        <v>0</v>
      </c>
      <c r="AD86" s="41">
        <f t="shared" ref="AD86" ca="1" si="152">SUM(AD84:AD85)</f>
        <v>0</v>
      </c>
      <c r="AE86" s="41">
        <f t="shared" ref="AE86" ca="1" si="153">SUM(AE84:AE85)</f>
        <v>0</v>
      </c>
      <c r="AF86" s="41">
        <f t="shared" ref="AF86" ca="1" si="154">SUM(AF84:AF85)</f>
        <v>0</v>
      </c>
      <c r="AG86" s="41">
        <f t="shared" ref="AG86" ca="1" si="155">SUM(AG84:AG85)</f>
        <v>0</v>
      </c>
      <c r="AH86" s="41">
        <f t="shared" ref="AH86" ca="1" si="156">SUM(AH84:AH85)</f>
        <v>0</v>
      </c>
      <c r="AI86" s="41">
        <f t="shared" ref="AI86" ca="1" si="157">SUM(AI84:AI85)</f>
        <v>0</v>
      </c>
      <c r="AJ86" s="41">
        <f t="shared" ref="AJ86" ca="1" si="158">SUM(AJ84:AJ85)</f>
        <v>0</v>
      </c>
      <c r="AK86" s="41">
        <f t="shared" ref="AK86" ca="1" si="159">SUM(AK84:AK85)</f>
        <v>0</v>
      </c>
      <c r="AL86" s="41">
        <f t="shared" ref="AL86" ca="1" si="160">SUM(AL84:AL85)</f>
        <v>0</v>
      </c>
      <c r="AM86" s="41">
        <f t="shared" ref="AM86" ca="1" si="161">SUM(AM84:AM85)</f>
        <v>0</v>
      </c>
      <c r="AN86" s="41">
        <f t="shared" ref="AN86" ca="1" si="162">SUM(AN84:AN85)</f>
        <v>0</v>
      </c>
      <c r="AO86" s="41">
        <f t="shared" ref="AO86" ca="1" si="163">SUM(AO84:AO85)</f>
        <v>0</v>
      </c>
      <c r="AP86" s="41">
        <f t="shared" ref="AP86" ca="1" si="164">SUM(AP84:AP85)</f>
        <v>0</v>
      </c>
      <c r="AQ86" s="41">
        <f t="shared" ref="AQ86" ca="1" si="165">SUM(AQ84:AQ85)</f>
        <v>0</v>
      </c>
      <c r="AR86" s="41">
        <f t="shared" ref="AR86" ca="1" si="166">SUM(AR84:AR85)</f>
        <v>0</v>
      </c>
      <c r="AS86" s="41">
        <f t="shared" ref="AS86" ca="1" si="167">SUM(AS84:AS85)</f>
        <v>0</v>
      </c>
      <c r="AT86" s="41">
        <f t="shared" ref="AT86" ca="1" si="168">SUM(AT84:AT85)</f>
        <v>0</v>
      </c>
      <c r="AU86" s="41">
        <f t="shared" ref="AU86" ca="1" si="169">SUM(AU84:AU85)</f>
        <v>0</v>
      </c>
      <c r="AV86" s="41">
        <f t="shared" ref="AV86" ca="1" si="170">SUM(AV84:AV85)</f>
        <v>0</v>
      </c>
      <c r="AW86" s="41">
        <f t="shared" ref="AW86" ca="1" si="171">SUM(AW84:AW85)</f>
        <v>0</v>
      </c>
      <c r="AX86" s="41">
        <f t="shared" ref="AX86" ca="1" si="172">SUM(AX84:AX85)</f>
        <v>0</v>
      </c>
      <c r="AY86" s="41">
        <f t="shared" ref="AY86" ca="1" si="173">SUM(AY84:AY85)</f>
        <v>0</v>
      </c>
      <c r="AZ86" s="41">
        <f t="shared" ref="AZ86" ca="1" si="174">SUM(AZ84:AZ85)</f>
        <v>0</v>
      </c>
      <c r="BA86" s="41">
        <f t="shared" ref="BA86" ca="1" si="175">SUM(BA84:BA85)</f>
        <v>0</v>
      </c>
      <c r="BB86" s="41">
        <f t="shared" ref="BB86" ca="1" si="176">SUM(BB84:BB85)</f>
        <v>0</v>
      </c>
      <c r="BC86" s="41">
        <f t="shared" ref="BC86" ca="1" si="177">SUM(BC84:BC85)</f>
        <v>0</v>
      </c>
      <c r="BD86" s="41">
        <f t="shared" ref="BD86" ca="1" si="178">SUM(BD84:BD85)</f>
        <v>0</v>
      </c>
      <c r="BE86" s="41">
        <f t="shared" ref="BE86" ca="1" si="179">SUM(BE84:BE85)</f>
        <v>0</v>
      </c>
      <c r="BF86" s="41">
        <f t="shared" ref="BF86" ca="1" si="180">SUM(BF84:BF85)</f>
        <v>0</v>
      </c>
      <c r="BG86" s="41">
        <f t="shared" ref="BG86" ca="1" si="181">SUM(BG84:BG85)</f>
        <v>0</v>
      </c>
      <c r="BH86" s="41">
        <f t="shared" ref="BH86" ca="1" si="182">SUM(BH84:BH85)</f>
        <v>0</v>
      </c>
      <c r="BI86" s="41">
        <f t="shared" ref="BI86" ca="1" si="183">SUM(BI84:BI85)</f>
        <v>0</v>
      </c>
      <c r="BJ86" s="41">
        <f t="shared" ref="BJ86" ca="1" si="184">SUM(BJ84:BJ85)</f>
        <v>0</v>
      </c>
      <c r="BK86" s="41">
        <f t="shared" ref="BK86" ca="1" si="185">SUM(BK84:BK85)</f>
        <v>0</v>
      </c>
      <c r="BL86" s="41">
        <f t="shared" ref="BL86" ca="1" si="186">SUM(BL84:BL85)</f>
        <v>0</v>
      </c>
      <c r="BM86" s="41">
        <f t="shared" ref="BM86" ca="1" si="187">SUM(BM84:BM85)</f>
        <v>0</v>
      </c>
      <c r="BN86" s="41">
        <f t="shared" ref="BN86" ca="1" si="188">SUM(BN84:BN85)</f>
        <v>0</v>
      </c>
      <c r="BO86" s="41">
        <f t="shared" ref="BO86" ca="1" si="189">SUM(BO84:BO85)</f>
        <v>0</v>
      </c>
      <c r="BP86" s="41">
        <f t="shared" ref="BP86" ca="1" si="190">SUM(BP84:BP85)</f>
        <v>0</v>
      </c>
      <c r="BQ86" s="41">
        <f t="shared" ref="BQ86" ca="1" si="191">SUM(BQ84:BQ85)</f>
        <v>0</v>
      </c>
      <c r="BR86" s="41">
        <f t="shared" ref="BR86" ca="1" si="192">SUM(BR84:BR85)</f>
        <v>0</v>
      </c>
      <c r="BS86" s="41">
        <f t="shared" ref="BS86" ca="1" si="193">SUM(BS84:BS85)</f>
        <v>0</v>
      </c>
      <c r="BT86" s="41">
        <f t="shared" ref="BT86" ca="1" si="194">SUM(BT84:BT85)</f>
        <v>0</v>
      </c>
      <c r="BU86" s="41">
        <f t="shared" ref="BU86" ca="1" si="195">SUM(BU84:BU85)</f>
        <v>0</v>
      </c>
      <c r="BV86" s="41">
        <f t="shared" ref="BV86" ca="1" si="196">SUM(BV84:BV85)</f>
        <v>0</v>
      </c>
      <c r="BW86" s="41">
        <f t="shared" ref="BW86" ca="1" si="197">SUM(BW84:BW85)</f>
        <v>0</v>
      </c>
      <c r="BX86" s="41">
        <f t="shared" ref="BX86" ca="1" si="198">SUM(BX84:BX85)</f>
        <v>0</v>
      </c>
      <c r="BY86" s="41">
        <f t="shared" ref="BY86" ca="1" si="199">SUM(BY84:BY85)</f>
        <v>0</v>
      </c>
    </row>
    <row r="87" spans="3:77" ht="13.5" customHeight="1">
      <c r="D87" s="51" t="s">
        <v>386</v>
      </c>
      <c r="E87" s="51"/>
      <c r="F87" s="51"/>
      <c r="G87" s="51"/>
      <c r="H87" s="51">
        <f ca="1">AVERAGE(H84,H86)</f>
        <v>1498.9340152133334</v>
      </c>
      <c r="I87" s="51">
        <f t="shared" ref="I87" ca="1" si="200">AVERAGE(I84,I86)</f>
        <v>2997.8680304266668</v>
      </c>
      <c r="J87" s="51">
        <f t="shared" ref="J87" ca="1" si="201">AVERAGE(J84,J86)</f>
        <v>2997.8680304266668</v>
      </c>
      <c r="K87" s="51">
        <f t="shared" ref="K87" ca="1" si="202">AVERAGE(K84,K86)</f>
        <v>2997.8680304266668</v>
      </c>
      <c r="L87" s="51">
        <f t="shared" ref="L87" ca="1" si="203">AVERAGE(L84,L86)</f>
        <v>2997.8680304266668</v>
      </c>
      <c r="M87" s="51">
        <f t="shared" ref="M87" ca="1" si="204">AVERAGE(M84,M86)</f>
        <v>1498.9340152133334</v>
      </c>
      <c r="N87" s="51">
        <f t="shared" ref="N87" ca="1" si="205">AVERAGE(N84,N86)</f>
        <v>0</v>
      </c>
      <c r="O87" s="51">
        <f t="shared" ref="O87" ca="1" si="206">AVERAGE(O84,O86)</f>
        <v>0</v>
      </c>
      <c r="P87" s="51">
        <f t="shared" ref="P87" ca="1" si="207">AVERAGE(P84,P86)</f>
        <v>0</v>
      </c>
      <c r="Q87" s="51">
        <f t="shared" ref="Q87" ca="1" si="208">AVERAGE(Q84,Q86)</f>
        <v>0</v>
      </c>
      <c r="R87" s="51">
        <f t="shared" ref="R87" ca="1" si="209">AVERAGE(R84,R86)</f>
        <v>0</v>
      </c>
      <c r="S87" s="51">
        <f t="shared" ref="S87" ca="1" si="210">AVERAGE(S84,S86)</f>
        <v>0</v>
      </c>
      <c r="T87" s="51">
        <f t="shared" ref="T87" ca="1" si="211">AVERAGE(T84,T86)</f>
        <v>0</v>
      </c>
      <c r="U87" s="51">
        <f t="shared" ref="U87" ca="1" si="212">AVERAGE(U84,U86)</f>
        <v>0</v>
      </c>
      <c r="V87" s="51">
        <f t="shared" ref="V87" ca="1" si="213">AVERAGE(V84,V86)</f>
        <v>0</v>
      </c>
      <c r="W87" s="51">
        <f t="shared" ref="W87" ca="1" si="214">AVERAGE(W84,W86)</f>
        <v>0</v>
      </c>
      <c r="X87" s="51">
        <f t="shared" ref="X87" ca="1" si="215">AVERAGE(X84,X86)</f>
        <v>0</v>
      </c>
      <c r="Y87" s="51">
        <f t="shared" ref="Y87" ca="1" si="216">AVERAGE(Y84,Y86)</f>
        <v>0</v>
      </c>
      <c r="Z87" s="51">
        <f t="shared" ref="Z87" ca="1" si="217">AVERAGE(Z84,Z86)</f>
        <v>0</v>
      </c>
      <c r="AA87" s="51">
        <f t="shared" ref="AA87" ca="1" si="218">AVERAGE(AA84,AA86)</f>
        <v>0</v>
      </c>
      <c r="AB87" s="51">
        <f t="shared" ref="AB87" ca="1" si="219">AVERAGE(AB84,AB86)</f>
        <v>0</v>
      </c>
      <c r="AC87" s="51">
        <f t="shared" ref="AC87" ca="1" si="220">AVERAGE(AC84,AC86)</f>
        <v>0</v>
      </c>
      <c r="AD87" s="51">
        <f t="shared" ref="AD87" ca="1" si="221">AVERAGE(AD84,AD86)</f>
        <v>0</v>
      </c>
      <c r="AE87" s="51">
        <f t="shared" ref="AE87" ca="1" si="222">AVERAGE(AE84,AE86)</f>
        <v>0</v>
      </c>
      <c r="AF87" s="51">
        <f t="shared" ref="AF87" ca="1" si="223">AVERAGE(AF84,AF86)</f>
        <v>0</v>
      </c>
      <c r="AG87" s="51">
        <f t="shared" ref="AG87" ca="1" si="224">AVERAGE(AG84,AG86)</f>
        <v>0</v>
      </c>
      <c r="AH87" s="51">
        <f t="shared" ref="AH87" ca="1" si="225">AVERAGE(AH84,AH86)</f>
        <v>0</v>
      </c>
      <c r="AI87" s="51">
        <f t="shared" ref="AI87" ca="1" si="226">AVERAGE(AI84,AI86)</f>
        <v>0</v>
      </c>
      <c r="AJ87" s="51">
        <f t="shared" ref="AJ87" ca="1" si="227">AVERAGE(AJ84,AJ86)</f>
        <v>0</v>
      </c>
      <c r="AK87" s="51">
        <f t="shared" ref="AK87" ca="1" si="228">AVERAGE(AK84,AK86)</f>
        <v>0</v>
      </c>
      <c r="AL87" s="51">
        <f t="shared" ref="AL87" ca="1" si="229">AVERAGE(AL84,AL86)</f>
        <v>0</v>
      </c>
      <c r="AM87" s="51">
        <f t="shared" ref="AM87" ca="1" si="230">AVERAGE(AM84,AM86)</f>
        <v>0</v>
      </c>
      <c r="AN87" s="51">
        <f t="shared" ref="AN87" ca="1" si="231">AVERAGE(AN84,AN86)</f>
        <v>0</v>
      </c>
      <c r="AO87" s="51">
        <f t="shared" ref="AO87" ca="1" si="232">AVERAGE(AO84,AO86)</f>
        <v>0</v>
      </c>
      <c r="AP87" s="51">
        <f t="shared" ref="AP87" ca="1" si="233">AVERAGE(AP84,AP86)</f>
        <v>0</v>
      </c>
      <c r="AQ87" s="51">
        <f t="shared" ref="AQ87" ca="1" si="234">AVERAGE(AQ84,AQ86)</f>
        <v>0</v>
      </c>
      <c r="AR87" s="51">
        <f t="shared" ref="AR87" ca="1" si="235">AVERAGE(AR84,AR86)</f>
        <v>0</v>
      </c>
      <c r="AS87" s="51">
        <f t="shared" ref="AS87" ca="1" si="236">AVERAGE(AS84,AS86)</f>
        <v>0</v>
      </c>
      <c r="AT87" s="51">
        <f t="shared" ref="AT87" ca="1" si="237">AVERAGE(AT84,AT86)</f>
        <v>0</v>
      </c>
      <c r="AU87" s="51">
        <f t="shared" ref="AU87" ca="1" si="238">AVERAGE(AU84,AU86)</f>
        <v>0</v>
      </c>
      <c r="AV87" s="51">
        <f t="shared" ref="AV87" ca="1" si="239">AVERAGE(AV84,AV86)</f>
        <v>0</v>
      </c>
      <c r="AW87" s="51">
        <f t="shared" ref="AW87" ca="1" si="240">AVERAGE(AW84,AW86)</f>
        <v>0</v>
      </c>
      <c r="AX87" s="51">
        <f t="shared" ref="AX87" ca="1" si="241">AVERAGE(AX84,AX86)</f>
        <v>0</v>
      </c>
      <c r="AY87" s="51">
        <f t="shared" ref="AY87" ca="1" si="242">AVERAGE(AY84,AY86)</f>
        <v>0</v>
      </c>
      <c r="AZ87" s="51">
        <f t="shared" ref="AZ87" ca="1" si="243">AVERAGE(AZ84,AZ86)</f>
        <v>0</v>
      </c>
      <c r="BA87" s="51">
        <f t="shared" ref="BA87" ca="1" si="244">AVERAGE(BA84,BA86)</f>
        <v>0</v>
      </c>
      <c r="BB87" s="51">
        <f t="shared" ref="BB87" ca="1" si="245">AVERAGE(BB84,BB86)</f>
        <v>0</v>
      </c>
      <c r="BC87" s="51">
        <f t="shared" ref="BC87" ca="1" si="246">AVERAGE(BC84,BC86)</f>
        <v>0</v>
      </c>
      <c r="BD87" s="51">
        <f t="shared" ref="BD87" ca="1" si="247">AVERAGE(BD84,BD86)</f>
        <v>0</v>
      </c>
      <c r="BE87" s="51">
        <f t="shared" ref="BE87" ca="1" si="248">AVERAGE(BE84,BE86)</f>
        <v>0</v>
      </c>
      <c r="BF87" s="51">
        <f t="shared" ref="BF87" ca="1" si="249">AVERAGE(BF84,BF86)</f>
        <v>0</v>
      </c>
      <c r="BG87" s="51">
        <f t="shared" ref="BG87" ca="1" si="250">AVERAGE(BG84,BG86)</f>
        <v>0</v>
      </c>
      <c r="BH87" s="51">
        <f t="shared" ref="BH87" ca="1" si="251">AVERAGE(BH84,BH86)</f>
        <v>0</v>
      </c>
      <c r="BI87" s="51">
        <f t="shared" ref="BI87" ca="1" si="252">AVERAGE(BI84,BI86)</f>
        <v>0</v>
      </c>
      <c r="BJ87" s="51">
        <f t="shared" ref="BJ87" ca="1" si="253">AVERAGE(BJ84,BJ86)</f>
        <v>0</v>
      </c>
      <c r="BK87" s="51">
        <f t="shared" ref="BK87" ca="1" si="254">AVERAGE(BK84,BK86)</f>
        <v>0</v>
      </c>
      <c r="BL87" s="51">
        <f t="shared" ref="BL87" ca="1" si="255">AVERAGE(BL84,BL86)</f>
        <v>0</v>
      </c>
      <c r="BM87" s="51">
        <f t="shared" ref="BM87" ca="1" si="256">AVERAGE(BM84,BM86)</f>
        <v>0</v>
      </c>
      <c r="BN87" s="51">
        <f t="shared" ref="BN87" ca="1" si="257">AVERAGE(BN84,BN86)</f>
        <v>0</v>
      </c>
      <c r="BO87" s="51">
        <f t="shared" ref="BO87" ca="1" si="258">AVERAGE(BO84,BO86)</f>
        <v>0</v>
      </c>
      <c r="BP87" s="51">
        <f t="shared" ref="BP87" ca="1" si="259">AVERAGE(BP84,BP86)</f>
        <v>0</v>
      </c>
      <c r="BQ87" s="51">
        <f t="shared" ref="BQ87" ca="1" si="260">AVERAGE(BQ84,BQ86)</f>
        <v>0</v>
      </c>
      <c r="BR87" s="51">
        <f t="shared" ref="BR87" ca="1" si="261">AVERAGE(BR84,BR86)</f>
        <v>0</v>
      </c>
      <c r="BS87" s="51">
        <f t="shared" ref="BS87" ca="1" si="262">AVERAGE(BS84,BS86)</f>
        <v>0</v>
      </c>
      <c r="BT87" s="51">
        <f t="shared" ref="BT87" ca="1" si="263">AVERAGE(BT84,BT86)</f>
        <v>0</v>
      </c>
      <c r="BU87" s="51">
        <f t="shared" ref="BU87" ca="1" si="264">AVERAGE(BU84,BU86)</f>
        <v>0</v>
      </c>
      <c r="BV87" s="51">
        <f t="shared" ref="BV87" ca="1" si="265">AVERAGE(BV84,BV86)</f>
        <v>0</v>
      </c>
      <c r="BW87" s="51">
        <f t="shared" ref="BW87" ca="1" si="266">AVERAGE(BW84,BW86)</f>
        <v>0</v>
      </c>
      <c r="BX87" s="51">
        <f t="shared" ref="BX87" ca="1" si="267">AVERAGE(BX84,BX86)</f>
        <v>0</v>
      </c>
      <c r="BY87" s="51">
        <f t="shared" ref="BY87" ca="1" si="268">AVERAGE(BY84,BY86)</f>
        <v>0</v>
      </c>
    </row>
    <row r="88" spans="3:77" ht="13.5" customHeight="1">
      <c r="D88" s="1" t="s">
        <v>387</v>
      </c>
      <c r="E88" s="119">
        <f>'A&amp;R'!I81</f>
        <v>0.04</v>
      </c>
      <c r="F88" s="1">
        <f ca="1">SUM(G88:XFD88)</f>
        <v>49.964467173777784</v>
      </c>
      <c r="H88" s="1">
        <f ca="1">H87*$E$88/12</f>
        <v>4.9964467173777782</v>
      </c>
      <c r="I88" s="1">
        <f t="shared" ref="I88:BT88" ca="1" si="269">I87*$E$88/12</f>
        <v>9.9928934347555565</v>
      </c>
      <c r="J88" s="1">
        <f t="shared" ca="1" si="269"/>
        <v>9.9928934347555565</v>
      </c>
      <c r="K88" s="1">
        <f t="shared" ca="1" si="269"/>
        <v>9.9928934347555565</v>
      </c>
      <c r="L88" s="1">
        <f t="shared" ca="1" si="269"/>
        <v>9.9928934347555565</v>
      </c>
      <c r="M88" s="1">
        <f t="shared" ca="1" si="269"/>
        <v>4.9964467173777782</v>
      </c>
      <c r="N88" s="1">
        <f t="shared" ca="1" si="269"/>
        <v>0</v>
      </c>
      <c r="O88" s="1">
        <f t="shared" ca="1" si="269"/>
        <v>0</v>
      </c>
      <c r="P88" s="1">
        <f t="shared" ca="1" si="269"/>
        <v>0</v>
      </c>
      <c r="Q88" s="1">
        <f t="shared" ca="1" si="269"/>
        <v>0</v>
      </c>
      <c r="R88" s="1">
        <f t="shared" ca="1" si="269"/>
        <v>0</v>
      </c>
      <c r="S88" s="1">
        <f t="shared" ca="1" si="269"/>
        <v>0</v>
      </c>
      <c r="T88" s="1">
        <f t="shared" ca="1" si="269"/>
        <v>0</v>
      </c>
      <c r="U88" s="1">
        <f t="shared" ca="1" si="269"/>
        <v>0</v>
      </c>
      <c r="V88" s="1">
        <f t="shared" ca="1" si="269"/>
        <v>0</v>
      </c>
      <c r="W88" s="1">
        <f t="shared" ca="1" si="269"/>
        <v>0</v>
      </c>
      <c r="X88" s="1">
        <f t="shared" ca="1" si="269"/>
        <v>0</v>
      </c>
      <c r="Y88" s="1">
        <f t="shared" ca="1" si="269"/>
        <v>0</v>
      </c>
      <c r="Z88" s="1">
        <f t="shared" ca="1" si="269"/>
        <v>0</v>
      </c>
      <c r="AA88" s="1">
        <f t="shared" ca="1" si="269"/>
        <v>0</v>
      </c>
      <c r="AB88" s="1">
        <f t="shared" ca="1" si="269"/>
        <v>0</v>
      </c>
      <c r="AC88" s="1">
        <f t="shared" ca="1" si="269"/>
        <v>0</v>
      </c>
      <c r="AD88" s="1">
        <f t="shared" ca="1" si="269"/>
        <v>0</v>
      </c>
      <c r="AE88" s="1">
        <f t="shared" ca="1" si="269"/>
        <v>0</v>
      </c>
      <c r="AF88" s="1">
        <f t="shared" ca="1" si="269"/>
        <v>0</v>
      </c>
      <c r="AG88" s="1">
        <f t="shared" ca="1" si="269"/>
        <v>0</v>
      </c>
      <c r="AH88" s="1">
        <f t="shared" ca="1" si="269"/>
        <v>0</v>
      </c>
      <c r="AI88" s="1">
        <f t="shared" ca="1" si="269"/>
        <v>0</v>
      </c>
      <c r="AJ88" s="1">
        <f t="shared" ca="1" si="269"/>
        <v>0</v>
      </c>
      <c r="AK88" s="1">
        <f t="shared" ca="1" si="269"/>
        <v>0</v>
      </c>
      <c r="AL88" s="1">
        <f t="shared" ca="1" si="269"/>
        <v>0</v>
      </c>
      <c r="AM88" s="1">
        <f t="shared" ca="1" si="269"/>
        <v>0</v>
      </c>
      <c r="AN88" s="1">
        <f t="shared" ca="1" si="269"/>
        <v>0</v>
      </c>
      <c r="AO88" s="1">
        <f t="shared" ca="1" si="269"/>
        <v>0</v>
      </c>
      <c r="AP88" s="1">
        <f t="shared" ca="1" si="269"/>
        <v>0</v>
      </c>
      <c r="AQ88" s="1">
        <f t="shared" ca="1" si="269"/>
        <v>0</v>
      </c>
      <c r="AR88" s="1">
        <f t="shared" ca="1" si="269"/>
        <v>0</v>
      </c>
      <c r="AS88" s="1">
        <f t="shared" ca="1" si="269"/>
        <v>0</v>
      </c>
      <c r="AT88" s="1">
        <f t="shared" ca="1" si="269"/>
        <v>0</v>
      </c>
      <c r="AU88" s="1">
        <f t="shared" ca="1" si="269"/>
        <v>0</v>
      </c>
      <c r="AV88" s="1">
        <f t="shared" ca="1" si="269"/>
        <v>0</v>
      </c>
      <c r="AW88" s="1">
        <f t="shared" ca="1" si="269"/>
        <v>0</v>
      </c>
      <c r="AX88" s="1">
        <f t="shared" ca="1" si="269"/>
        <v>0</v>
      </c>
      <c r="AY88" s="1">
        <f t="shared" ca="1" si="269"/>
        <v>0</v>
      </c>
      <c r="AZ88" s="1">
        <f t="shared" ca="1" si="269"/>
        <v>0</v>
      </c>
      <c r="BA88" s="1">
        <f t="shared" ca="1" si="269"/>
        <v>0</v>
      </c>
      <c r="BB88" s="1">
        <f t="shared" ca="1" si="269"/>
        <v>0</v>
      </c>
      <c r="BC88" s="1">
        <f t="shared" ca="1" si="269"/>
        <v>0</v>
      </c>
      <c r="BD88" s="1">
        <f t="shared" ca="1" si="269"/>
        <v>0</v>
      </c>
      <c r="BE88" s="1">
        <f t="shared" ca="1" si="269"/>
        <v>0</v>
      </c>
      <c r="BF88" s="1">
        <f t="shared" ca="1" si="269"/>
        <v>0</v>
      </c>
      <c r="BG88" s="1">
        <f t="shared" ca="1" si="269"/>
        <v>0</v>
      </c>
      <c r="BH88" s="1">
        <f t="shared" ca="1" si="269"/>
        <v>0</v>
      </c>
      <c r="BI88" s="1">
        <f t="shared" ca="1" si="269"/>
        <v>0</v>
      </c>
      <c r="BJ88" s="1">
        <f t="shared" ca="1" si="269"/>
        <v>0</v>
      </c>
      <c r="BK88" s="1">
        <f t="shared" ca="1" si="269"/>
        <v>0</v>
      </c>
      <c r="BL88" s="1">
        <f t="shared" ca="1" si="269"/>
        <v>0</v>
      </c>
      <c r="BM88" s="1">
        <f t="shared" ca="1" si="269"/>
        <v>0</v>
      </c>
      <c r="BN88" s="1">
        <f t="shared" ca="1" si="269"/>
        <v>0</v>
      </c>
      <c r="BO88" s="1">
        <f t="shared" ca="1" si="269"/>
        <v>0</v>
      </c>
      <c r="BP88" s="1">
        <f t="shared" ca="1" si="269"/>
        <v>0</v>
      </c>
      <c r="BQ88" s="1">
        <f t="shared" ca="1" si="269"/>
        <v>0</v>
      </c>
      <c r="BR88" s="1">
        <f t="shared" ca="1" si="269"/>
        <v>0</v>
      </c>
      <c r="BS88" s="1">
        <f t="shared" ca="1" si="269"/>
        <v>0</v>
      </c>
      <c r="BT88" s="1">
        <f t="shared" ca="1" si="269"/>
        <v>0</v>
      </c>
      <c r="BU88" s="1">
        <f t="shared" ref="BU88:BY88" ca="1" si="270">BU87*$E$88/12</f>
        <v>0</v>
      </c>
      <c r="BV88" s="1">
        <f t="shared" ca="1" si="270"/>
        <v>0</v>
      </c>
      <c r="BW88" s="1">
        <f t="shared" ca="1" si="270"/>
        <v>0</v>
      </c>
      <c r="BX88" s="1">
        <f t="shared" ca="1" si="270"/>
        <v>0</v>
      </c>
      <c r="BY88" s="1">
        <f t="shared" ca="1" si="270"/>
        <v>0</v>
      </c>
    </row>
    <row r="89" spans="3:77" ht="13.5" customHeight="1">
      <c r="D89" s="44" t="s">
        <v>388</v>
      </c>
      <c r="E89" s="135" t="b">
        <f ca="1">ABS(F88-F89)&lt;0.001</f>
        <v>1</v>
      </c>
      <c r="F89" s="44">
        <f ca="1">SUM(G89:XFD89)</f>
        <v>49.964467173777784</v>
      </c>
      <c r="G89" s="44"/>
      <c r="H89" s="44">
        <f ca="1">(SUM($H$88:H88)-SUM($G$89:G89))*H82</f>
        <v>0</v>
      </c>
      <c r="I89" s="44">
        <f ca="1">(SUM($H$88:I88)-SUM($G$89:H89))*I82</f>
        <v>14.989340152133334</v>
      </c>
      <c r="J89" s="44">
        <f ca="1">(SUM($H$88:J88)-SUM($G$89:I89))*J82</f>
        <v>9.9928934347555547</v>
      </c>
      <c r="K89" s="44">
        <f ca="1">(SUM($H$88:K88)-SUM($G$89:J89))*K82</f>
        <v>9.9928934347555582</v>
      </c>
      <c r="L89" s="44">
        <f ca="1">(SUM($H$88:L88)-SUM($G$89:K89))*L82</f>
        <v>9.9928934347555582</v>
      </c>
      <c r="M89" s="44">
        <f ca="1">(SUM($H$88:M88)-SUM($G$89:L89))*M82</f>
        <v>4.9964467173777791</v>
      </c>
      <c r="N89" s="44">
        <f ca="1">(SUM($H$88:N88)-SUM($G$89:M89))*N82</f>
        <v>0</v>
      </c>
      <c r="O89" s="44">
        <f ca="1">(SUM($H$88:O88)-SUM($G$89:N89))*O82</f>
        <v>0</v>
      </c>
      <c r="P89" s="44">
        <f ca="1">(SUM($H$88:P88)-SUM($G$89:O89))*P82</f>
        <v>0</v>
      </c>
      <c r="Q89" s="44">
        <f ca="1">(SUM($H$88:Q88)-SUM($G$89:P89))*Q82</f>
        <v>0</v>
      </c>
      <c r="R89" s="44">
        <f ca="1">(SUM($H$88:R88)-SUM($G$89:Q89))*R82</f>
        <v>0</v>
      </c>
      <c r="S89" s="44">
        <f ca="1">(SUM($H$88:S88)-SUM($G$89:R89))*S82</f>
        <v>0</v>
      </c>
      <c r="T89" s="44">
        <f ca="1">(SUM($H$88:T88)-SUM($G$89:S89))*T82</f>
        <v>0</v>
      </c>
      <c r="U89" s="44">
        <f ca="1">(SUM($H$88:U88)-SUM($G$89:T89))*U82</f>
        <v>0</v>
      </c>
      <c r="V89" s="44">
        <f ca="1">(SUM($H$88:V88)-SUM($G$89:U89))*V82</f>
        <v>0</v>
      </c>
      <c r="W89" s="44">
        <f ca="1">(SUM($H$88:W88)-SUM($G$89:V89))*W82</f>
        <v>0</v>
      </c>
      <c r="X89" s="44">
        <f ca="1">(SUM($H$88:X88)-SUM($G$89:W89))*X82</f>
        <v>0</v>
      </c>
      <c r="Y89" s="44">
        <f ca="1">(SUM($H$88:Y88)-SUM($G$89:X89))*Y82</f>
        <v>0</v>
      </c>
      <c r="Z89" s="44">
        <f ca="1">(SUM($H$88:Z88)-SUM($G$89:Y89))*Z82</f>
        <v>0</v>
      </c>
      <c r="AA89" s="44">
        <f ca="1">(SUM($H$88:AA88)-SUM($G$89:Z89))*AA82</f>
        <v>0</v>
      </c>
      <c r="AB89" s="44">
        <f ca="1">(SUM($H$88:AB88)-SUM($G$89:AA89))*AB82</f>
        <v>0</v>
      </c>
      <c r="AC89" s="44">
        <f ca="1">(SUM($H$88:AC88)-SUM($G$89:AB89))*AC82</f>
        <v>0</v>
      </c>
      <c r="AD89" s="44">
        <f ca="1">(SUM($H$88:AD88)-SUM($G$89:AC89))*AD82</f>
        <v>0</v>
      </c>
      <c r="AE89" s="44">
        <f ca="1">(SUM($H$88:AE88)-SUM($G$89:AD89))*AE82</f>
        <v>0</v>
      </c>
      <c r="AF89" s="44">
        <f ca="1">(SUM($H$88:AF88)-SUM($G$89:AE89))*AF82</f>
        <v>0</v>
      </c>
      <c r="AG89" s="44">
        <f ca="1">(SUM($H$88:AG88)-SUM($G$89:AF89))*AG82</f>
        <v>0</v>
      </c>
      <c r="AH89" s="44">
        <f ca="1">(SUM($H$88:AH88)-SUM($G$89:AG89))*AH82</f>
        <v>0</v>
      </c>
      <c r="AI89" s="44">
        <f ca="1">(SUM($H$88:AI88)-SUM($G$89:AH89))*AI82</f>
        <v>0</v>
      </c>
      <c r="AJ89" s="44">
        <f ca="1">(SUM($H$88:AJ88)-SUM($G$89:AI89))*AJ82</f>
        <v>0</v>
      </c>
      <c r="AK89" s="44">
        <f ca="1">(SUM($H$88:AK88)-SUM($G$89:AJ89))*AK82</f>
        <v>0</v>
      </c>
      <c r="AL89" s="44">
        <f ca="1">(SUM($H$88:AL88)-SUM($G$89:AK89))*AL82</f>
        <v>0</v>
      </c>
      <c r="AM89" s="44">
        <f ca="1">(SUM($H$88:AM88)-SUM($G$89:AL89))*AM82</f>
        <v>0</v>
      </c>
      <c r="AN89" s="44">
        <f ca="1">(SUM($H$88:AN88)-SUM($G$89:AM89))*AN82</f>
        <v>0</v>
      </c>
      <c r="AO89" s="44">
        <f ca="1">(SUM($H$88:AO88)-SUM($G$89:AN89))*AO82</f>
        <v>0</v>
      </c>
      <c r="AP89" s="44">
        <f ca="1">(SUM($H$88:AP88)-SUM($G$89:AO89))*AP82</f>
        <v>0</v>
      </c>
      <c r="AQ89" s="44">
        <f ca="1">(SUM($H$88:AQ88)-SUM($G$89:AP89))*AQ82</f>
        <v>0</v>
      </c>
      <c r="AR89" s="44">
        <f ca="1">(SUM($H$88:AR88)-SUM($G$89:AQ89))*AR82</f>
        <v>0</v>
      </c>
      <c r="AS89" s="44">
        <f ca="1">(SUM($H$88:AS88)-SUM($G$89:AR89))*AS82</f>
        <v>0</v>
      </c>
      <c r="AT89" s="44">
        <f ca="1">(SUM($H$88:AT88)-SUM($G$89:AS89))*AT82</f>
        <v>0</v>
      </c>
      <c r="AU89" s="44">
        <f ca="1">(SUM($H$88:AU88)-SUM($G$89:AT89))*AU82</f>
        <v>0</v>
      </c>
      <c r="AV89" s="44">
        <f ca="1">(SUM($H$88:AV88)-SUM($G$89:AU89))*AV82</f>
        <v>0</v>
      </c>
      <c r="AW89" s="44">
        <f ca="1">(SUM($H$88:AW88)-SUM($G$89:AV89))*AW82</f>
        <v>0</v>
      </c>
      <c r="AX89" s="44">
        <f ca="1">(SUM($H$88:AX88)-SUM($G$89:AW89))*AX82</f>
        <v>0</v>
      </c>
      <c r="AY89" s="44">
        <f ca="1">(SUM($H$88:AY88)-SUM($G$89:AX89))*AY82</f>
        <v>0</v>
      </c>
      <c r="AZ89" s="44">
        <f ca="1">(SUM($H$88:AZ88)-SUM($G$89:AY89))*AZ82</f>
        <v>0</v>
      </c>
      <c r="BA89" s="44">
        <f ca="1">(SUM($H$88:BA88)-SUM($G$89:AZ89))*BA82</f>
        <v>0</v>
      </c>
      <c r="BB89" s="44">
        <f ca="1">(SUM($H$88:BB88)-SUM($G$89:BA89))*BB82</f>
        <v>0</v>
      </c>
      <c r="BC89" s="44">
        <f ca="1">(SUM($H$88:BC88)-SUM($G$89:BB89))*BC82</f>
        <v>0</v>
      </c>
      <c r="BD89" s="44">
        <f ca="1">(SUM($H$88:BD88)-SUM($G$89:BC89))*BD82</f>
        <v>0</v>
      </c>
      <c r="BE89" s="44">
        <f ca="1">(SUM($H$88:BE88)-SUM($G$89:BD89))*BE82</f>
        <v>0</v>
      </c>
      <c r="BF89" s="44">
        <f ca="1">(SUM($H$88:BF88)-SUM($G$89:BE89))*BF82</f>
        <v>0</v>
      </c>
      <c r="BG89" s="44">
        <f ca="1">(SUM($H$88:BG88)-SUM($G$89:BF89))*BG82</f>
        <v>0</v>
      </c>
      <c r="BH89" s="44">
        <f ca="1">(SUM($H$88:BH88)-SUM($G$89:BG89))*BH82</f>
        <v>0</v>
      </c>
      <c r="BI89" s="44">
        <f ca="1">(SUM($H$88:BI88)-SUM($G$89:BH89))*BI82</f>
        <v>0</v>
      </c>
      <c r="BJ89" s="44">
        <f ca="1">(SUM($H$88:BJ88)-SUM($G$89:BI89))*BJ82</f>
        <v>0</v>
      </c>
      <c r="BK89" s="44">
        <f ca="1">(SUM($H$88:BK88)-SUM($G$89:BJ89))*BK82</f>
        <v>0</v>
      </c>
      <c r="BL89" s="44">
        <f ca="1">(SUM($H$88:BL88)-SUM($G$89:BK89))*BL82</f>
        <v>0</v>
      </c>
      <c r="BM89" s="44">
        <f ca="1">(SUM($H$88:BM88)-SUM($G$89:BL89))*BM82</f>
        <v>0</v>
      </c>
      <c r="BN89" s="44">
        <f ca="1">(SUM($H$88:BN88)-SUM($G$89:BM89))*BN82</f>
        <v>0</v>
      </c>
      <c r="BO89" s="44">
        <f ca="1">(SUM($H$88:BO88)-SUM($G$89:BN89))*BO82</f>
        <v>0</v>
      </c>
      <c r="BP89" s="44">
        <f ca="1">(SUM($H$88:BP88)-SUM($G$89:BO89))*BP82</f>
        <v>0</v>
      </c>
      <c r="BQ89" s="44">
        <f ca="1">(SUM($H$88:BQ88)-SUM($G$89:BP89))*BQ82</f>
        <v>0</v>
      </c>
      <c r="BR89" s="44">
        <f ca="1">(SUM($H$88:BR88)-SUM($G$89:BQ89))*BR82</f>
        <v>0</v>
      </c>
      <c r="BS89" s="44">
        <f ca="1">(SUM($H$88:BS88)-SUM($G$89:BR89))*BS82</f>
        <v>0</v>
      </c>
      <c r="BT89" s="44">
        <f ca="1">(SUM($H$88:BT88)-SUM($G$89:BS89))*BT82</f>
        <v>0</v>
      </c>
      <c r="BU89" s="44">
        <f ca="1">(SUM($H$88:BU88)-SUM($G$89:BT89))*BU82</f>
        <v>0</v>
      </c>
      <c r="BV89" s="44">
        <f ca="1">(SUM($H$88:BV88)-SUM($G$89:BU89))*BV82</f>
        <v>0</v>
      </c>
      <c r="BW89" s="44">
        <f ca="1">(SUM($H$88:BW88)-SUM($G$89:BV89))*BW82</f>
        <v>0</v>
      </c>
      <c r="BX89" s="44">
        <f ca="1">(SUM($H$88:BX88)-SUM($G$89:BW89))*BX82</f>
        <v>0</v>
      </c>
      <c r="BY89" s="44">
        <f ca="1">(SUM($H$88:BY88)-SUM($G$89:BX89))*BY82</f>
        <v>0</v>
      </c>
    </row>
    <row r="91" spans="3:77" ht="13.5" customHeight="1">
      <c r="C91" s="1" t="s">
        <v>438</v>
      </c>
    </row>
    <row r="92" spans="3:77" ht="13.5" customHeight="1">
      <c r="D92" s="1" t="s">
        <v>439</v>
      </c>
      <c r="H92" s="1">
        <f ca="1">H22+H29</f>
        <v>-51905.875293976729</v>
      </c>
      <c r="I92" s="1">
        <f t="shared" ref="I92:BT92" ca="1" si="271">I22+I29</f>
        <v>94.910028847866698</v>
      </c>
      <c r="J92" s="1">
        <f t="shared" ca="1" si="271"/>
        <v>199.26973956524444</v>
      </c>
      <c r="K92" s="1">
        <f t="shared" ca="1" si="271"/>
        <v>-8.3784364204144026</v>
      </c>
      <c r="L92" s="1">
        <f t="shared" ca="1" si="271"/>
        <v>79.195921949264914</v>
      </c>
      <c r="M92" s="1">
        <f t="shared" ca="1" si="271"/>
        <v>3201.7588635210163</v>
      </c>
      <c r="N92" s="1">
        <f t="shared" ca="1" si="271"/>
        <v>-222.26960656241192</v>
      </c>
      <c r="O92" s="1">
        <f t="shared" ca="1" si="271"/>
        <v>-106.47616953254351</v>
      </c>
      <c r="P92" s="1">
        <f t="shared" ca="1" si="271"/>
        <v>214.1154663333333</v>
      </c>
      <c r="Q92" s="1">
        <f t="shared" ca="1" si="271"/>
        <v>36.131315488482926</v>
      </c>
      <c r="R92" s="1">
        <f t="shared" ca="1" si="271"/>
        <v>212.55193299999999</v>
      </c>
      <c r="S92" s="1">
        <f t="shared" ca="1" si="271"/>
        <v>214.1154663333333</v>
      </c>
      <c r="T92" s="1">
        <f t="shared" ca="1" si="271"/>
        <v>-56.793898312262243</v>
      </c>
      <c r="U92" s="1">
        <f t="shared" ca="1" si="271"/>
        <v>112.86585286833335</v>
      </c>
      <c r="V92" s="1">
        <f t="shared" ca="1" si="271"/>
        <v>213.71956582833332</v>
      </c>
      <c r="W92" s="1">
        <f t="shared" ca="1" si="271"/>
        <v>35.735414983482883</v>
      </c>
      <c r="X92" s="1">
        <f t="shared" ca="1" si="271"/>
        <v>92.733956908807727</v>
      </c>
      <c r="Y92" s="1">
        <f t="shared" ca="1" si="271"/>
        <v>213.71956582833332</v>
      </c>
      <c r="Z92" s="1">
        <f t="shared" ca="1" si="271"/>
        <v>-90.652089589142122</v>
      </c>
      <c r="AA92" s="1">
        <f t="shared" ca="1" si="271"/>
        <v>215.03865416166667</v>
      </c>
      <c r="AB92" s="1">
        <f t="shared" ca="1" si="271"/>
        <v>215.03865416166667</v>
      </c>
      <c r="AC92" s="1">
        <f t="shared" ca="1" si="271"/>
        <v>36.873052594575881</v>
      </c>
      <c r="AD92" s="1">
        <f t="shared" ca="1" si="271"/>
        <v>213.14963416166668</v>
      </c>
      <c r="AE92" s="1">
        <f t="shared" ca="1" si="271"/>
        <v>215.03865416166667</v>
      </c>
      <c r="AF92" s="1">
        <f t="shared" ca="1" si="271"/>
        <v>-55.870710483929145</v>
      </c>
      <c r="AG92" s="1">
        <f t="shared" ca="1" si="271"/>
        <v>112.27029649469171</v>
      </c>
      <c r="AH92" s="1">
        <f t="shared" ca="1" si="271"/>
        <v>214.63681514909166</v>
      </c>
      <c r="AI92" s="1">
        <f t="shared" ca="1" si="271"/>
        <v>36.652664304240886</v>
      </c>
      <c r="AJ92" s="1">
        <f t="shared" ca="1" si="271"/>
        <v>93.106435661661635</v>
      </c>
      <c r="AK92" s="1">
        <f t="shared" ca="1" si="271"/>
        <v>214.63681514909166</v>
      </c>
      <c r="AL92" s="1">
        <f t="shared" ca="1" si="271"/>
        <v>-205.82244749162226</v>
      </c>
      <c r="AM92" s="1">
        <f t="shared" ca="1" si="271"/>
        <v>-67.600444134323453</v>
      </c>
      <c r="AN92" s="1">
        <f t="shared" ca="1" si="271"/>
        <v>220.65059436575831</v>
      </c>
      <c r="AO92" s="1">
        <f t="shared" ca="1" si="271"/>
        <v>42.394267437547569</v>
      </c>
      <c r="AP92" s="1">
        <f t="shared" ca="1" si="271"/>
        <v>218.88965696575832</v>
      </c>
      <c r="AQ92" s="1">
        <f t="shared" ca="1" si="271"/>
        <v>220.65059436575831</v>
      </c>
      <c r="AR92" s="1">
        <f t="shared" ca="1" si="271"/>
        <v>-50.258770279837435</v>
      </c>
      <c r="AS92" s="1">
        <f t="shared" ca="1" si="271"/>
        <v>116.34071133377878</v>
      </c>
      <c r="AT92" s="1">
        <f t="shared" ca="1" si="271"/>
        <v>220.24272776799469</v>
      </c>
      <c r="AU92" s="1">
        <f t="shared" ca="1" si="271"/>
        <v>42.25857692314392</v>
      </c>
      <c r="AV92" s="1">
        <f t="shared" ca="1" si="271"/>
        <v>98.226874798613551</v>
      </c>
      <c r="AW92" s="1">
        <f t="shared" ca="1" si="271"/>
        <v>220.24272776799469</v>
      </c>
      <c r="AX92" s="1">
        <f t="shared" ca="1" si="271"/>
        <v>-86.254477157488566</v>
      </c>
      <c r="AY92" s="1">
        <f t="shared" ca="1" si="271"/>
        <v>222.78114477682803</v>
      </c>
      <c r="AZ92" s="1">
        <f t="shared" ca="1" si="271"/>
        <v>222.78114477682803</v>
      </c>
      <c r="BA92" s="1">
        <f t="shared" ca="1" si="271"/>
        <v>44.388729806937249</v>
      </c>
      <c r="BB92" s="1">
        <f t="shared" ca="1" si="271"/>
        <v>220.87594637682804</v>
      </c>
      <c r="BC92" s="1">
        <f t="shared" ca="1" si="271"/>
        <v>222.78114477682803</v>
      </c>
      <c r="BD92" s="1">
        <f t="shared" ca="1" si="271"/>
        <v>-48.12821986876807</v>
      </c>
      <c r="BE92" s="1">
        <f t="shared" ca="1" si="271"/>
        <v>116.90661349936875</v>
      </c>
      <c r="BF92" s="1">
        <f t="shared" ca="1" si="271"/>
        <v>222.36716018009798</v>
      </c>
      <c r="BG92" s="1">
        <f t="shared" ca="1" si="271"/>
        <v>44.383009335247209</v>
      </c>
      <c r="BH92" s="1">
        <f t="shared" ca="1" si="271"/>
        <v>99.962506437387276</v>
      </c>
      <c r="BI92" s="1">
        <f t="shared" ca="1" si="271"/>
        <v>222.36716018009798</v>
      </c>
      <c r="BJ92" s="1">
        <f t="shared" ca="1" si="271"/>
        <v>-85.240879953782269</v>
      </c>
      <c r="BK92" s="1">
        <f t="shared" ca="1" si="271"/>
        <v>224.93096135901965</v>
      </c>
      <c r="BL92" s="1">
        <f t="shared" ca="1" si="271"/>
        <v>224.93096135901965</v>
      </c>
      <c r="BM92" s="1">
        <f t="shared" ca="1" si="271"/>
        <v>46.334414326608851</v>
      </c>
      <c r="BN92" s="1">
        <f t="shared" ca="1" si="271"/>
        <v>223.02576295901963</v>
      </c>
      <c r="BO92" s="1">
        <f t="shared" ca="1" si="271"/>
        <v>224.93096135901965</v>
      </c>
      <c r="BP92" s="1">
        <f t="shared" ca="1" si="271"/>
        <v>52434.03368096381</v>
      </c>
      <c r="BQ92" s="1">
        <f t="shared" ca="1" si="271"/>
        <v>0</v>
      </c>
      <c r="BR92" s="1">
        <f t="shared" ca="1" si="271"/>
        <v>0</v>
      </c>
      <c r="BS92" s="1">
        <f t="shared" ca="1" si="271"/>
        <v>0</v>
      </c>
      <c r="BT92" s="1">
        <f t="shared" ca="1" si="271"/>
        <v>0</v>
      </c>
      <c r="BU92" s="1">
        <f t="shared" ref="BU92:BY92" ca="1" si="272">BU22+BU29</f>
        <v>0</v>
      </c>
      <c r="BV92" s="1">
        <f t="shared" ca="1" si="272"/>
        <v>0</v>
      </c>
      <c r="BW92" s="1">
        <f t="shared" ca="1" si="272"/>
        <v>0</v>
      </c>
      <c r="BX92" s="1">
        <f t="shared" ca="1" si="272"/>
        <v>0</v>
      </c>
      <c r="BY92" s="1">
        <f t="shared" ca="1" si="272"/>
        <v>0</v>
      </c>
    </row>
    <row r="93" spans="3:77" ht="13.5" customHeight="1">
      <c r="D93" s="1" t="s">
        <v>129</v>
      </c>
      <c r="H93" s="1">
        <f>SUM(H33:H34,H40:H41)</f>
        <v>22000</v>
      </c>
      <c r="I93" s="1">
        <f t="shared" ref="I93:BT93" si="273">SUM(I33:I34,I40:I41)</f>
        <v>0</v>
      </c>
      <c r="J93" s="1">
        <f t="shared" si="273"/>
        <v>0</v>
      </c>
      <c r="K93" s="1">
        <f t="shared" si="273"/>
        <v>0</v>
      </c>
      <c r="L93" s="1">
        <f t="shared" si="273"/>
        <v>0</v>
      </c>
      <c r="M93" s="1">
        <f t="shared" si="273"/>
        <v>0</v>
      </c>
      <c r="N93" s="1">
        <f t="shared" ca="1" si="273"/>
        <v>0</v>
      </c>
      <c r="O93" s="1">
        <f t="shared" si="273"/>
        <v>0</v>
      </c>
      <c r="P93" s="1">
        <f t="shared" si="273"/>
        <v>0</v>
      </c>
      <c r="Q93" s="1">
        <f t="shared" si="273"/>
        <v>0</v>
      </c>
      <c r="R93" s="1">
        <f t="shared" si="273"/>
        <v>0</v>
      </c>
      <c r="S93" s="1">
        <f t="shared" si="273"/>
        <v>0</v>
      </c>
      <c r="T93" s="1">
        <f t="shared" ca="1" si="273"/>
        <v>0</v>
      </c>
      <c r="U93" s="1">
        <f t="shared" si="273"/>
        <v>0</v>
      </c>
      <c r="V93" s="1">
        <f t="shared" si="273"/>
        <v>0</v>
      </c>
      <c r="W93" s="1">
        <f t="shared" si="273"/>
        <v>0</v>
      </c>
      <c r="X93" s="1">
        <f t="shared" si="273"/>
        <v>0</v>
      </c>
      <c r="Y93" s="1">
        <f t="shared" si="273"/>
        <v>0</v>
      </c>
      <c r="Z93" s="1">
        <f t="shared" ca="1" si="273"/>
        <v>0</v>
      </c>
      <c r="AA93" s="1">
        <f t="shared" si="273"/>
        <v>0</v>
      </c>
      <c r="AB93" s="1">
        <f t="shared" si="273"/>
        <v>0</v>
      </c>
      <c r="AC93" s="1">
        <f t="shared" si="273"/>
        <v>0</v>
      </c>
      <c r="AD93" s="1">
        <f t="shared" si="273"/>
        <v>0</v>
      </c>
      <c r="AE93" s="1">
        <f t="shared" si="273"/>
        <v>0</v>
      </c>
      <c r="AF93" s="1">
        <f t="shared" ca="1" si="273"/>
        <v>0</v>
      </c>
      <c r="AG93" s="1">
        <f t="shared" si="273"/>
        <v>0</v>
      </c>
      <c r="AH93" s="1">
        <f t="shared" si="273"/>
        <v>0</v>
      </c>
      <c r="AI93" s="1">
        <f t="shared" si="273"/>
        <v>0</v>
      </c>
      <c r="AJ93" s="1">
        <f t="shared" si="273"/>
        <v>0</v>
      </c>
      <c r="AK93" s="1">
        <f t="shared" si="273"/>
        <v>0</v>
      </c>
      <c r="AL93" s="1">
        <f t="shared" ca="1" si="273"/>
        <v>0</v>
      </c>
      <c r="AM93" s="1">
        <f t="shared" si="273"/>
        <v>0</v>
      </c>
      <c r="AN93" s="1">
        <f t="shared" si="273"/>
        <v>0</v>
      </c>
      <c r="AO93" s="1">
        <f t="shared" si="273"/>
        <v>0</v>
      </c>
      <c r="AP93" s="1">
        <f t="shared" si="273"/>
        <v>0</v>
      </c>
      <c r="AQ93" s="1">
        <f t="shared" si="273"/>
        <v>0</v>
      </c>
      <c r="AR93" s="1">
        <f t="shared" ca="1" si="273"/>
        <v>0</v>
      </c>
      <c r="AS93" s="1">
        <f t="shared" si="273"/>
        <v>0</v>
      </c>
      <c r="AT93" s="1">
        <f t="shared" si="273"/>
        <v>0</v>
      </c>
      <c r="AU93" s="1">
        <f t="shared" si="273"/>
        <v>0</v>
      </c>
      <c r="AV93" s="1">
        <f t="shared" si="273"/>
        <v>0</v>
      </c>
      <c r="AW93" s="1">
        <f t="shared" si="273"/>
        <v>0</v>
      </c>
      <c r="AX93" s="1">
        <f t="shared" ca="1" si="273"/>
        <v>0</v>
      </c>
      <c r="AY93" s="1">
        <f t="shared" si="273"/>
        <v>0</v>
      </c>
      <c r="AZ93" s="1">
        <f t="shared" si="273"/>
        <v>0</v>
      </c>
      <c r="BA93" s="1">
        <f t="shared" si="273"/>
        <v>0</v>
      </c>
      <c r="BB93" s="1">
        <f t="shared" si="273"/>
        <v>0</v>
      </c>
      <c r="BC93" s="1">
        <f t="shared" si="273"/>
        <v>0</v>
      </c>
      <c r="BD93" s="1">
        <f t="shared" ca="1" si="273"/>
        <v>0</v>
      </c>
      <c r="BE93" s="1">
        <f t="shared" si="273"/>
        <v>0</v>
      </c>
      <c r="BF93" s="1">
        <f t="shared" si="273"/>
        <v>0</v>
      </c>
      <c r="BG93" s="1">
        <f t="shared" si="273"/>
        <v>0</v>
      </c>
      <c r="BH93" s="1">
        <f t="shared" si="273"/>
        <v>0</v>
      </c>
      <c r="BI93" s="1">
        <f t="shared" si="273"/>
        <v>0</v>
      </c>
      <c r="BJ93" s="1">
        <f t="shared" ca="1" si="273"/>
        <v>0</v>
      </c>
      <c r="BK93" s="1">
        <f t="shared" si="273"/>
        <v>0</v>
      </c>
      <c r="BL93" s="1">
        <f t="shared" si="273"/>
        <v>0</v>
      </c>
      <c r="BM93" s="1">
        <f t="shared" si="273"/>
        <v>0</v>
      </c>
      <c r="BN93" s="1">
        <f t="shared" si="273"/>
        <v>0</v>
      </c>
      <c r="BO93" s="1">
        <f t="shared" si="273"/>
        <v>0</v>
      </c>
      <c r="BP93" s="1">
        <f t="shared" ca="1" si="273"/>
        <v>-22568.340793907209</v>
      </c>
      <c r="BQ93" s="1">
        <f t="shared" si="273"/>
        <v>0</v>
      </c>
      <c r="BR93" s="1">
        <f t="shared" si="273"/>
        <v>0</v>
      </c>
      <c r="BS93" s="1">
        <f t="shared" si="273"/>
        <v>0</v>
      </c>
      <c r="BT93" s="1">
        <f t="shared" si="273"/>
        <v>0</v>
      </c>
      <c r="BU93" s="1">
        <f t="shared" ref="BU93:BY93" si="274">SUM(BU33:BU34,BU40:BU41)</f>
        <v>0</v>
      </c>
      <c r="BV93" s="1">
        <f t="shared" si="274"/>
        <v>0</v>
      </c>
      <c r="BW93" s="1">
        <f t="shared" si="274"/>
        <v>0</v>
      </c>
      <c r="BX93" s="1">
        <f t="shared" si="274"/>
        <v>0</v>
      </c>
      <c r="BY93" s="1">
        <f t="shared" si="274"/>
        <v>0</v>
      </c>
    </row>
    <row r="94" spans="3:77" ht="13.5" customHeight="1">
      <c r="D94" s="1" t="s">
        <v>133</v>
      </c>
      <c r="H94" s="1">
        <f ca="1">SUM(H36:H38,H43:H45)</f>
        <v>29905.875293976729</v>
      </c>
      <c r="I94" s="1">
        <f t="shared" ref="I94:BT94" ca="1" si="275">SUM(I36:I38,I43:I45)</f>
        <v>0</v>
      </c>
      <c r="J94" s="1">
        <f t="shared" ca="1" si="275"/>
        <v>0</v>
      </c>
      <c r="K94" s="1">
        <f t="shared" ca="1" si="275"/>
        <v>0</v>
      </c>
      <c r="L94" s="1">
        <f t="shared" ca="1" si="275"/>
        <v>0</v>
      </c>
      <c r="M94" s="1">
        <f t="shared" ca="1" si="275"/>
        <v>-3791.9680304266667</v>
      </c>
      <c r="N94" s="1">
        <f t="shared" ca="1" si="275"/>
        <v>0</v>
      </c>
      <c r="O94" s="1">
        <f t="shared" ca="1" si="275"/>
        <v>794.1</v>
      </c>
      <c r="P94" s="1">
        <f t="shared" ca="1" si="275"/>
        <v>0</v>
      </c>
      <c r="Q94" s="1">
        <f t="shared" ca="1" si="275"/>
        <v>0</v>
      </c>
      <c r="R94" s="1">
        <f t="shared" ca="1" si="275"/>
        <v>0</v>
      </c>
      <c r="S94" s="1">
        <f t="shared" ca="1" si="275"/>
        <v>0</v>
      </c>
      <c r="T94" s="1">
        <f t="shared" ca="1" si="275"/>
        <v>0</v>
      </c>
      <c r="U94" s="1">
        <f t="shared" ca="1" si="275"/>
        <v>0</v>
      </c>
      <c r="V94" s="1">
        <f t="shared" ca="1" si="275"/>
        <v>0</v>
      </c>
      <c r="W94" s="1">
        <f t="shared" ca="1" si="275"/>
        <v>0</v>
      </c>
      <c r="X94" s="1">
        <f t="shared" ca="1" si="275"/>
        <v>0</v>
      </c>
      <c r="Y94" s="1">
        <f t="shared" ca="1" si="275"/>
        <v>0</v>
      </c>
      <c r="Z94" s="1">
        <f t="shared" ca="1" si="275"/>
        <v>0</v>
      </c>
      <c r="AA94" s="1">
        <f t="shared" ca="1" si="275"/>
        <v>0</v>
      </c>
      <c r="AB94" s="1">
        <f t="shared" ca="1" si="275"/>
        <v>0</v>
      </c>
      <c r="AC94" s="1">
        <f t="shared" ca="1" si="275"/>
        <v>0</v>
      </c>
      <c r="AD94" s="1">
        <f t="shared" ca="1" si="275"/>
        <v>0</v>
      </c>
      <c r="AE94" s="1">
        <f t="shared" ca="1" si="275"/>
        <v>0</v>
      </c>
      <c r="AF94" s="1">
        <f t="shared" ca="1" si="275"/>
        <v>0</v>
      </c>
      <c r="AG94" s="1">
        <f t="shared" ca="1" si="275"/>
        <v>0</v>
      </c>
      <c r="AH94" s="1">
        <f t="shared" ca="1" si="275"/>
        <v>0</v>
      </c>
      <c r="AI94" s="1">
        <f t="shared" ca="1" si="275"/>
        <v>0</v>
      </c>
      <c r="AJ94" s="1">
        <f t="shared" ca="1" si="275"/>
        <v>0</v>
      </c>
      <c r="AK94" s="1">
        <f t="shared" ca="1" si="275"/>
        <v>-687.6</v>
      </c>
      <c r="AL94" s="1">
        <f t="shared" ca="1" si="275"/>
        <v>0</v>
      </c>
      <c r="AM94" s="1">
        <f t="shared" ca="1" si="275"/>
        <v>714.56399999999996</v>
      </c>
      <c r="AN94" s="1">
        <f t="shared" ca="1" si="275"/>
        <v>0</v>
      </c>
      <c r="AO94" s="1">
        <f t="shared" ca="1" si="275"/>
        <v>0</v>
      </c>
      <c r="AP94" s="1">
        <f t="shared" ca="1" si="275"/>
        <v>0</v>
      </c>
      <c r="AQ94" s="1">
        <f t="shared" ca="1" si="275"/>
        <v>0</v>
      </c>
      <c r="AR94" s="1">
        <f t="shared" ca="1" si="275"/>
        <v>0</v>
      </c>
      <c r="AS94" s="1">
        <f t="shared" ca="1" si="275"/>
        <v>0</v>
      </c>
      <c r="AT94" s="1">
        <f t="shared" ca="1" si="275"/>
        <v>0</v>
      </c>
      <c r="AU94" s="1">
        <f t="shared" ca="1" si="275"/>
        <v>0</v>
      </c>
      <c r="AV94" s="1">
        <f t="shared" ca="1" si="275"/>
        <v>0</v>
      </c>
      <c r="AW94" s="1">
        <f t="shared" ca="1" si="275"/>
        <v>0</v>
      </c>
      <c r="AX94" s="1">
        <f t="shared" ca="1" si="275"/>
        <v>0</v>
      </c>
      <c r="AY94" s="1">
        <f t="shared" ca="1" si="275"/>
        <v>0</v>
      </c>
      <c r="AZ94" s="1">
        <f t="shared" ca="1" si="275"/>
        <v>0</v>
      </c>
      <c r="BA94" s="1">
        <f t="shared" ca="1" si="275"/>
        <v>0</v>
      </c>
      <c r="BB94" s="1">
        <f t="shared" ca="1" si="275"/>
        <v>0</v>
      </c>
      <c r="BC94" s="1">
        <f t="shared" ca="1" si="275"/>
        <v>0</v>
      </c>
      <c r="BD94" s="1">
        <f t="shared" ca="1" si="275"/>
        <v>0</v>
      </c>
      <c r="BE94" s="1">
        <f t="shared" ca="1" si="275"/>
        <v>0</v>
      </c>
      <c r="BF94" s="1">
        <f t="shared" ca="1" si="275"/>
        <v>0</v>
      </c>
      <c r="BG94" s="1">
        <f t="shared" ca="1" si="275"/>
        <v>0</v>
      </c>
      <c r="BH94" s="1">
        <f t="shared" ca="1" si="275"/>
        <v>0</v>
      </c>
      <c r="BI94" s="1">
        <f t="shared" ca="1" si="275"/>
        <v>0</v>
      </c>
      <c r="BJ94" s="1">
        <f t="shared" ca="1" si="275"/>
        <v>0</v>
      </c>
      <c r="BK94" s="1">
        <f t="shared" ca="1" si="275"/>
        <v>0</v>
      </c>
      <c r="BL94" s="1">
        <f t="shared" ca="1" si="275"/>
        <v>0</v>
      </c>
      <c r="BM94" s="1">
        <f t="shared" ca="1" si="275"/>
        <v>0</v>
      </c>
      <c r="BN94" s="1">
        <f t="shared" ca="1" si="275"/>
        <v>0</v>
      </c>
      <c r="BO94" s="1">
        <f t="shared" ca="1" si="275"/>
        <v>0</v>
      </c>
      <c r="BP94" s="1">
        <f t="shared" ca="1" si="275"/>
        <v>-26934.971263550062</v>
      </c>
      <c r="BQ94" s="1">
        <f t="shared" ca="1" si="275"/>
        <v>0</v>
      </c>
      <c r="BR94" s="1">
        <f t="shared" ca="1" si="275"/>
        <v>0</v>
      </c>
      <c r="BS94" s="1">
        <f t="shared" ca="1" si="275"/>
        <v>0</v>
      </c>
      <c r="BT94" s="1">
        <f t="shared" ca="1" si="275"/>
        <v>0</v>
      </c>
      <c r="BU94" s="1">
        <f t="shared" ref="BU94:BY94" ca="1" si="276">SUM(BU36:BU38,BU43:BU45)</f>
        <v>0</v>
      </c>
      <c r="BV94" s="1">
        <f t="shared" ca="1" si="276"/>
        <v>0</v>
      </c>
      <c r="BW94" s="1">
        <f t="shared" ca="1" si="276"/>
        <v>0</v>
      </c>
      <c r="BX94" s="1">
        <f t="shared" ca="1" si="276"/>
        <v>0</v>
      </c>
      <c r="BY94" s="1">
        <f t="shared" ca="1" si="276"/>
        <v>0</v>
      </c>
    </row>
    <row r="95" spans="3:77" ht="13.5" customHeight="1">
      <c r="D95" s="1" t="s">
        <v>377</v>
      </c>
      <c r="H95" s="1">
        <f>SUM(H48:H49)</f>
        <v>0</v>
      </c>
      <c r="I95" s="1">
        <f t="shared" ref="I95:BT95" si="277">SUM(I48:I49)</f>
        <v>0</v>
      </c>
      <c r="J95" s="1">
        <f t="shared" si="277"/>
        <v>0</v>
      </c>
      <c r="K95" s="1">
        <f t="shared" si="277"/>
        <v>0</v>
      </c>
      <c r="L95" s="1">
        <f t="shared" si="277"/>
        <v>0</v>
      </c>
      <c r="M95" s="1">
        <f t="shared" si="277"/>
        <v>0</v>
      </c>
      <c r="N95" s="1">
        <f t="shared" ca="1" si="277"/>
        <v>0</v>
      </c>
      <c r="O95" s="1">
        <f t="shared" si="277"/>
        <v>0</v>
      </c>
      <c r="P95" s="1">
        <f t="shared" si="277"/>
        <v>0</v>
      </c>
      <c r="Q95" s="1">
        <f t="shared" si="277"/>
        <v>0</v>
      </c>
      <c r="R95" s="1">
        <f t="shared" si="277"/>
        <v>0</v>
      </c>
      <c r="S95" s="1">
        <f t="shared" si="277"/>
        <v>0</v>
      </c>
      <c r="T95" s="1">
        <f t="shared" ca="1" si="277"/>
        <v>-444.75039238012704</v>
      </c>
      <c r="U95" s="1">
        <f t="shared" si="277"/>
        <v>0</v>
      </c>
      <c r="V95" s="1">
        <f t="shared" si="277"/>
        <v>0</v>
      </c>
      <c r="W95" s="1">
        <f t="shared" si="277"/>
        <v>0</v>
      </c>
      <c r="X95" s="1">
        <f t="shared" si="277"/>
        <v>0</v>
      </c>
      <c r="Y95" s="1">
        <f t="shared" si="277"/>
        <v>0</v>
      </c>
      <c r="Z95" s="1">
        <f t="shared" ca="1" si="277"/>
        <v>-608.44136532235825</v>
      </c>
      <c r="AA95" s="1">
        <f t="shared" si="277"/>
        <v>0</v>
      </c>
      <c r="AB95" s="1">
        <f t="shared" si="277"/>
        <v>0</v>
      </c>
      <c r="AC95" s="1">
        <f t="shared" si="277"/>
        <v>0</v>
      </c>
      <c r="AD95" s="1">
        <f t="shared" si="277"/>
        <v>0</v>
      </c>
      <c r="AE95" s="1">
        <f t="shared" si="277"/>
        <v>0</v>
      </c>
      <c r="AF95" s="1">
        <f t="shared" ca="1" si="277"/>
        <v>-770.09622573600359</v>
      </c>
      <c r="AG95" s="1">
        <f t="shared" si="277"/>
        <v>0</v>
      </c>
      <c r="AH95" s="1">
        <f t="shared" si="277"/>
        <v>0</v>
      </c>
      <c r="AI95" s="1">
        <f t="shared" si="277"/>
        <v>0</v>
      </c>
      <c r="AJ95" s="1">
        <f t="shared" si="277"/>
        <v>0</v>
      </c>
      <c r="AK95" s="1">
        <f t="shared" si="277"/>
        <v>0</v>
      </c>
      <c r="AL95" s="1">
        <f t="shared" ca="1" si="277"/>
        <v>-496.5684952474457</v>
      </c>
      <c r="AM95" s="1">
        <f t="shared" si="277"/>
        <v>0</v>
      </c>
      <c r="AN95" s="1">
        <f t="shared" si="277"/>
        <v>0</v>
      </c>
      <c r="AO95" s="1">
        <f t="shared" si="277"/>
        <v>0</v>
      </c>
      <c r="AP95" s="1">
        <f t="shared" si="277"/>
        <v>0</v>
      </c>
      <c r="AQ95" s="1">
        <f t="shared" si="277"/>
        <v>0</v>
      </c>
      <c r="AR95" s="1">
        <f t="shared" ca="1" si="277"/>
        <v>-514.77997541327272</v>
      </c>
      <c r="AS95" s="1">
        <f t="shared" si="277"/>
        <v>0</v>
      </c>
      <c r="AT95" s="1">
        <f t="shared" si="277"/>
        <v>0</v>
      </c>
      <c r="AU95" s="1">
        <f t="shared" si="277"/>
        <v>0</v>
      </c>
      <c r="AV95" s="1">
        <f t="shared" si="277"/>
        <v>0</v>
      </c>
      <c r="AW95" s="1">
        <f t="shared" si="277"/>
        <v>0</v>
      </c>
      <c r="AX95" s="1">
        <f t="shared" ca="1" si="277"/>
        <v>-642.67357826255648</v>
      </c>
      <c r="AY95" s="1">
        <f t="shared" si="277"/>
        <v>0</v>
      </c>
      <c r="AZ95" s="1">
        <f t="shared" si="277"/>
        <v>0</v>
      </c>
      <c r="BA95" s="1">
        <f t="shared" si="277"/>
        <v>0</v>
      </c>
      <c r="BB95" s="1">
        <f t="shared" si="277"/>
        <v>0</v>
      </c>
      <c r="BC95" s="1">
        <f t="shared" si="277"/>
        <v>0</v>
      </c>
      <c r="BD95" s="1">
        <f t="shared" ca="1" si="277"/>
        <v>-815.01083928986509</v>
      </c>
      <c r="BE95" s="1">
        <f t="shared" si="277"/>
        <v>0</v>
      </c>
      <c r="BF95" s="1">
        <f t="shared" si="277"/>
        <v>0</v>
      </c>
      <c r="BG95" s="1">
        <f t="shared" si="277"/>
        <v>0</v>
      </c>
      <c r="BH95" s="1">
        <f t="shared" si="277"/>
        <v>0</v>
      </c>
      <c r="BI95" s="1">
        <f t="shared" si="277"/>
        <v>0</v>
      </c>
      <c r="BJ95" s="1">
        <f t="shared" ca="1" si="277"/>
        <v>-652.93713956767328</v>
      </c>
      <c r="BK95" s="1">
        <f t="shared" si="277"/>
        <v>0</v>
      </c>
      <c r="BL95" s="1">
        <f t="shared" si="277"/>
        <v>0</v>
      </c>
      <c r="BM95" s="1">
        <f t="shared" si="277"/>
        <v>0</v>
      </c>
      <c r="BN95" s="1">
        <f t="shared" si="277"/>
        <v>0</v>
      </c>
      <c r="BO95" s="1">
        <f t="shared" si="277"/>
        <v>0</v>
      </c>
      <c r="BP95" s="1">
        <f t="shared" ca="1" si="277"/>
        <v>-858.98879093919504</v>
      </c>
      <c r="BQ95" s="1">
        <f t="shared" si="277"/>
        <v>0</v>
      </c>
      <c r="BR95" s="1">
        <f t="shared" si="277"/>
        <v>0</v>
      </c>
      <c r="BS95" s="1">
        <f t="shared" si="277"/>
        <v>0</v>
      </c>
      <c r="BT95" s="1">
        <f t="shared" si="277"/>
        <v>0</v>
      </c>
      <c r="BU95" s="1">
        <f t="shared" ref="BU95:BY95" si="278">SUM(BU48:BU49)</f>
        <v>0</v>
      </c>
      <c r="BV95" s="1">
        <f t="shared" si="278"/>
        <v>0</v>
      </c>
      <c r="BW95" s="1">
        <f t="shared" si="278"/>
        <v>0</v>
      </c>
      <c r="BX95" s="1">
        <f t="shared" si="278"/>
        <v>0</v>
      </c>
      <c r="BY95" s="1">
        <f t="shared" si="278"/>
        <v>0</v>
      </c>
    </row>
    <row r="96" spans="3:77" ht="13.5" customHeight="1">
      <c r="D96" s="42" t="s">
        <v>440</v>
      </c>
      <c r="E96" s="42"/>
      <c r="F96" s="42"/>
      <c r="G96" s="42"/>
      <c r="H96" s="42">
        <f>H56</f>
        <v>0</v>
      </c>
      <c r="I96" s="42">
        <f t="shared" ref="I96:BT96" ca="1" si="279">I56</f>
        <v>-7.2759576141834259E-12</v>
      </c>
      <c r="J96" s="42">
        <f t="shared" ca="1" si="279"/>
        <v>94.910028847859422</v>
      </c>
      <c r="K96" s="42">
        <f t="shared" ca="1" si="279"/>
        <v>294.17976841310383</v>
      </c>
      <c r="L96" s="42">
        <f t="shared" ca="1" si="279"/>
        <v>285.80133199268943</v>
      </c>
      <c r="M96" s="42">
        <f t="shared" ca="1" si="279"/>
        <v>364.99725394195434</v>
      </c>
      <c r="N96" s="42">
        <f t="shared" ca="1" si="279"/>
        <v>0</v>
      </c>
      <c r="O96" s="42">
        <f t="shared" ca="1" si="279"/>
        <v>0</v>
      </c>
      <c r="P96" s="42">
        <f t="shared" ca="1" si="279"/>
        <v>240.14231094134857</v>
      </c>
      <c r="Q96" s="42">
        <f t="shared" ca="1" si="279"/>
        <v>454.25777727468187</v>
      </c>
      <c r="R96" s="42">
        <f t="shared" ca="1" si="279"/>
        <v>490.3890927631648</v>
      </c>
      <c r="S96" s="42">
        <f t="shared" ca="1" si="279"/>
        <v>702.94102576316482</v>
      </c>
      <c r="T96" s="42">
        <f t="shared" ca="1" si="279"/>
        <v>917.05649209649812</v>
      </c>
      <c r="U96" s="42">
        <f t="shared" ca="1" si="279"/>
        <v>415.51220140410885</v>
      </c>
      <c r="V96" s="42">
        <f t="shared" ca="1" si="279"/>
        <v>528.37805427244223</v>
      </c>
      <c r="W96" s="42">
        <f t="shared" ca="1" si="279"/>
        <v>742.09762010077554</v>
      </c>
      <c r="X96" s="42">
        <f t="shared" ca="1" si="279"/>
        <v>777.83303508425843</v>
      </c>
      <c r="Y96" s="42">
        <f t="shared" ca="1" si="279"/>
        <v>870.56699199306615</v>
      </c>
      <c r="Z96" s="42">
        <f t="shared" ca="1" si="279"/>
        <v>1084.2865578213996</v>
      </c>
      <c r="AA96" s="42">
        <f t="shared" ca="1" si="279"/>
        <v>385.19310290989915</v>
      </c>
      <c r="AB96" s="42">
        <f t="shared" ca="1" si="279"/>
        <v>600.23175707156588</v>
      </c>
      <c r="AC96" s="42">
        <f t="shared" ca="1" si="279"/>
        <v>815.27041123323261</v>
      </c>
      <c r="AD96" s="42">
        <f t="shared" ca="1" si="279"/>
        <v>852.14346382780855</v>
      </c>
      <c r="AE96" s="42">
        <f t="shared" ca="1" si="279"/>
        <v>1065.2930979894752</v>
      </c>
      <c r="AF96" s="42">
        <f t="shared" ca="1" si="279"/>
        <v>1280.3317521511419</v>
      </c>
      <c r="AG96" s="42">
        <f t="shared" ca="1" si="279"/>
        <v>454.36481593120925</v>
      </c>
      <c r="AH96" s="42">
        <f t="shared" ca="1" si="279"/>
        <v>566.63511242590096</v>
      </c>
      <c r="AI96" s="42">
        <f t="shared" ca="1" si="279"/>
        <v>781.27192757499256</v>
      </c>
      <c r="AJ96" s="42">
        <f t="shared" ca="1" si="279"/>
        <v>817.9245918792335</v>
      </c>
      <c r="AK96" s="42">
        <f t="shared" ca="1" si="279"/>
        <v>911.03102754089514</v>
      </c>
      <c r="AL96" s="42">
        <f t="shared" ca="1" si="279"/>
        <v>438.06784268998678</v>
      </c>
      <c r="AM96" s="42">
        <f t="shared" ca="1" si="279"/>
        <v>0</v>
      </c>
      <c r="AN96" s="42">
        <f t="shared" ca="1" si="279"/>
        <v>382.64045581659536</v>
      </c>
      <c r="AO96" s="42">
        <f t="shared" ca="1" si="279"/>
        <v>603.29105018235373</v>
      </c>
      <c r="AP96" s="42">
        <f t="shared" ca="1" si="279"/>
        <v>645.6853176199013</v>
      </c>
      <c r="AQ96" s="42">
        <f t="shared" ca="1" si="279"/>
        <v>864.57497458565967</v>
      </c>
      <c r="AR96" s="42">
        <f t="shared" ca="1" si="279"/>
        <v>1085.2255689514179</v>
      </c>
      <c r="AS96" s="42">
        <f t="shared" ca="1" si="279"/>
        <v>520.18682325830775</v>
      </c>
      <c r="AT96" s="42">
        <f t="shared" ca="1" si="279"/>
        <v>636.52753459208657</v>
      </c>
      <c r="AU96" s="42">
        <f t="shared" ca="1" si="279"/>
        <v>856.77026236008123</v>
      </c>
      <c r="AV96" s="42">
        <f t="shared" ca="1" si="279"/>
        <v>899.02883928322512</v>
      </c>
      <c r="AW96" s="42">
        <f t="shared" ca="1" si="279"/>
        <v>997.25571408183873</v>
      </c>
      <c r="AX96" s="42">
        <f t="shared" ca="1" si="279"/>
        <v>1217.4984418498334</v>
      </c>
      <c r="AY96" s="42">
        <f t="shared" ca="1" si="279"/>
        <v>488.57038642978841</v>
      </c>
      <c r="AZ96" s="42">
        <f t="shared" ca="1" si="279"/>
        <v>711.35153120661641</v>
      </c>
      <c r="BA96" s="42">
        <f t="shared" ca="1" si="279"/>
        <v>934.13267598344441</v>
      </c>
      <c r="BB96" s="42">
        <f t="shared" ca="1" si="279"/>
        <v>978.52140579038166</v>
      </c>
      <c r="BC96" s="42">
        <f t="shared" ca="1" si="279"/>
        <v>1199.3973521672096</v>
      </c>
      <c r="BD96" s="42">
        <f t="shared" ca="1" si="279"/>
        <v>1422.1784969440378</v>
      </c>
      <c r="BE96" s="42">
        <f t="shared" ca="1" si="279"/>
        <v>559.03943778540463</v>
      </c>
      <c r="BF96" s="42">
        <f t="shared" ca="1" si="279"/>
        <v>675.94605128477338</v>
      </c>
      <c r="BG96" s="42">
        <f t="shared" ca="1" si="279"/>
        <v>898.3132114648713</v>
      </c>
      <c r="BH96" s="42">
        <f t="shared" ca="1" si="279"/>
        <v>942.69622080011845</v>
      </c>
      <c r="BI96" s="42">
        <f t="shared" ca="1" si="279"/>
        <v>1042.6587272375057</v>
      </c>
      <c r="BJ96" s="42">
        <f t="shared" ca="1" si="279"/>
        <v>1265.0258874176036</v>
      </c>
      <c r="BK96" s="42">
        <f t="shared" ca="1" si="279"/>
        <v>526.84786789614805</v>
      </c>
      <c r="BL96" s="42">
        <f t="shared" ca="1" si="279"/>
        <v>751.77882925516769</v>
      </c>
      <c r="BM96" s="42">
        <f t="shared" ca="1" si="279"/>
        <v>976.70979061418734</v>
      </c>
      <c r="BN96" s="42">
        <f t="shared" ca="1" si="279"/>
        <v>1023.0442049407961</v>
      </c>
      <c r="BO96" s="42">
        <f t="shared" ca="1" si="279"/>
        <v>1246.0699678998158</v>
      </c>
      <c r="BP96" s="42">
        <f t="shared" ca="1" si="279"/>
        <v>1471.0009292588354</v>
      </c>
      <c r="BQ96" s="42">
        <f t="shared" ca="1" si="279"/>
        <v>-3.1832314562052488E-12</v>
      </c>
      <c r="BR96" s="42">
        <f t="shared" ca="1" si="279"/>
        <v>-3.1832314562052488E-12</v>
      </c>
      <c r="BS96" s="42">
        <f t="shared" ca="1" si="279"/>
        <v>-3.1832314562052488E-12</v>
      </c>
      <c r="BT96" s="42">
        <f t="shared" ca="1" si="279"/>
        <v>-3.1832314562052488E-12</v>
      </c>
      <c r="BU96" s="42">
        <f t="shared" ref="BU96:BY96" ca="1" si="280">BU56</f>
        <v>-3.1832314562052488E-12</v>
      </c>
      <c r="BV96" s="42">
        <f t="shared" ca="1" si="280"/>
        <v>-3.1832314562052488E-12</v>
      </c>
      <c r="BW96" s="42">
        <f t="shared" ca="1" si="280"/>
        <v>-3.1832314562052488E-12</v>
      </c>
      <c r="BX96" s="42">
        <f t="shared" ca="1" si="280"/>
        <v>-3.1832314562052488E-12</v>
      </c>
      <c r="BY96" s="42">
        <f t="shared" ca="1" si="280"/>
        <v>-3.1832314562052488E-12</v>
      </c>
    </row>
    <row r="97" spans="3:77" ht="13.5" customHeight="1">
      <c r="D97" s="1" t="s">
        <v>441</v>
      </c>
      <c r="H97" s="1">
        <f ca="1">SUM(H92:H96)</f>
        <v>0</v>
      </c>
      <c r="I97" s="1">
        <f t="shared" ref="I97:BT97" ca="1" si="281">SUM(I92:I96)</f>
        <v>94.910028847859422</v>
      </c>
      <c r="J97" s="1">
        <f t="shared" ca="1" si="281"/>
        <v>294.17976841310383</v>
      </c>
      <c r="K97" s="1">
        <f t="shared" ca="1" si="281"/>
        <v>285.80133199268943</v>
      </c>
      <c r="L97" s="1">
        <f t="shared" ca="1" si="281"/>
        <v>364.99725394195434</v>
      </c>
      <c r="M97" s="1">
        <f t="shared" ca="1" si="281"/>
        <v>-225.21191296369602</v>
      </c>
      <c r="N97" s="1">
        <f t="shared" ca="1" si="281"/>
        <v>-222.26960656241192</v>
      </c>
      <c r="O97" s="1">
        <f t="shared" ca="1" si="281"/>
        <v>687.62383046745651</v>
      </c>
      <c r="P97" s="1">
        <f t="shared" ca="1" si="281"/>
        <v>454.25777727468187</v>
      </c>
      <c r="Q97" s="1">
        <f t="shared" ca="1" si="281"/>
        <v>490.3890927631648</v>
      </c>
      <c r="R97" s="1">
        <f t="shared" ca="1" si="281"/>
        <v>702.94102576316482</v>
      </c>
      <c r="S97" s="1">
        <f t="shared" ca="1" si="281"/>
        <v>917.05649209649812</v>
      </c>
      <c r="T97" s="1">
        <f t="shared" ca="1" si="281"/>
        <v>415.51220140410885</v>
      </c>
      <c r="U97" s="1">
        <f t="shared" ca="1" si="281"/>
        <v>528.37805427244223</v>
      </c>
      <c r="V97" s="1">
        <f t="shared" ca="1" si="281"/>
        <v>742.09762010077554</v>
      </c>
      <c r="W97" s="1">
        <f t="shared" ca="1" si="281"/>
        <v>777.83303508425843</v>
      </c>
      <c r="X97" s="1">
        <f t="shared" ca="1" si="281"/>
        <v>870.56699199306615</v>
      </c>
      <c r="Y97" s="1">
        <f t="shared" ca="1" si="281"/>
        <v>1084.2865578213996</v>
      </c>
      <c r="Z97" s="1">
        <f t="shared" ca="1" si="281"/>
        <v>385.19310290989915</v>
      </c>
      <c r="AA97" s="1">
        <f t="shared" ca="1" si="281"/>
        <v>600.23175707156588</v>
      </c>
      <c r="AB97" s="1">
        <f t="shared" ca="1" si="281"/>
        <v>815.27041123323261</v>
      </c>
      <c r="AC97" s="1">
        <f t="shared" ca="1" si="281"/>
        <v>852.14346382780855</v>
      </c>
      <c r="AD97" s="1">
        <f t="shared" ca="1" si="281"/>
        <v>1065.2930979894752</v>
      </c>
      <c r="AE97" s="1">
        <f t="shared" ca="1" si="281"/>
        <v>1280.3317521511419</v>
      </c>
      <c r="AF97" s="1">
        <f t="shared" ca="1" si="281"/>
        <v>454.36481593120925</v>
      </c>
      <c r="AG97" s="1">
        <f t="shared" ca="1" si="281"/>
        <v>566.63511242590096</v>
      </c>
      <c r="AH97" s="1">
        <f t="shared" ca="1" si="281"/>
        <v>781.27192757499256</v>
      </c>
      <c r="AI97" s="1">
        <f t="shared" ca="1" si="281"/>
        <v>817.9245918792335</v>
      </c>
      <c r="AJ97" s="1">
        <f t="shared" ca="1" si="281"/>
        <v>911.03102754089514</v>
      </c>
      <c r="AK97" s="1">
        <f t="shared" ca="1" si="281"/>
        <v>438.06784268998678</v>
      </c>
      <c r="AL97" s="1">
        <f t="shared" ca="1" si="281"/>
        <v>-264.32310004908112</v>
      </c>
      <c r="AM97" s="1">
        <f t="shared" ca="1" si="281"/>
        <v>646.96355586567654</v>
      </c>
      <c r="AN97" s="1">
        <f t="shared" ca="1" si="281"/>
        <v>603.29105018235373</v>
      </c>
      <c r="AO97" s="1">
        <f t="shared" ca="1" si="281"/>
        <v>645.6853176199013</v>
      </c>
      <c r="AP97" s="1">
        <f t="shared" ca="1" si="281"/>
        <v>864.57497458565967</v>
      </c>
      <c r="AQ97" s="1">
        <f t="shared" ca="1" si="281"/>
        <v>1085.2255689514179</v>
      </c>
      <c r="AR97" s="1">
        <f t="shared" ca="1" si="281"/>
        <v>520.18682325830775</v>
      </c>
      <c r="AS97" s="1">
        <f t="shared" ca="1" si="281"/>
        <v>636.52753459208657</v>
      </c>
      <c r="AT97" s="1">
        <f t="shared" ca="1" si="281"/>
        <v>856.77026236008123</v>
      </c>
      <c r="AU97" s="1">
        <f t="shared" ca="1" si="281"/>
        <v>899.02883928322512</v>
      </c>
      <c r="AV97" s="1">
        <f t="shared" ca="1" si="281"/>
        <v>997.25571408183873</v>
      </c>
      <c r="AW97" s="1">
        <f t="shared" ca="1" si="281"/>
        <v>1217.4984418498334</v>
      </c>
      <c r="AX97" s="1">
        <f t="shared" ca="1" si="281"/>
        <v>488.57038642978841</v>
      </c>
      <c r="AY97" s="1">
        <f t="shared" ca="1" si="281"/>
        <v>711.35153120661641</v>
      </c>
      <c r="AZ97" s="1">
        <f t="shared" ca="1" si="281"/>
        <v>934.13267598344441</v>
      </c>
      <c r="BA97" s="1">
        <f t="shared" ca="1" si="281"/>
        <v>978.52140579038166</v>
      </c>
      <c r="BB97" s="1">
        <f t="shared" ca="1" si="281"/>
        <v>1199.3973521672096</v>
      </c>
      <c r="BC97" s="1">
        <f t="shared" ca="1" si="281"/>
        <v>1422.1784969440378</v>
      </c>
      <c r="BD97" s="1">
        <f t="shared" ca="1" si="281"/>
        <v>559.03943778540463</v>
      </c>
      <c r="BE97" s="1">
        <f t="shared" ca="1" si="281"/>
        <v>675.94605128477338</v>
      </c>
      <c r="BF97" s="1">
        <f t="shared" ca="1" si="281"/>
        <v>898.3132114648713</v>
      </c>
      <c r="BG97" s="1">
        <f t="shared" ca="1" si="281"/>
        <v>942.69622080011845</v>
      </c>
      <c r="BH97" s="1">
        <f t="shared" ca="1" si="281"/>
        <v>1042.6587272375057</v>
      </c>
      <c r="BI97" s="1">
        <f t="shared" ca="1" si="281"/>
        <v>1265.0258874176036</v>
      </c>
      <c r="BJ97" s="1">
        <f t="shared" ca="1" si="281"/>
        <v>526.84786789614805</v>
      </c>
      <c r="BK97" s="1">
        <f t="shared" ca="1" si="281"/>
        <v>751.77882925516769</v>
      </c>
      <c r="BL97" s="1">
        <f t="shared" ca="1" si="281"/>
        <v>976.70979061418734</v>
      </c>
      <c r="BM97" s="1">
        <f t="shared" ca="1" si="281"/>
        <v>1023.0442049407961</v>
      </c>
      <c r="BN97" s="1">
        <f t="shared" ca="1" si="281"/>
        <v>1246.0699678998158</v>
      </c>
      <c r="BO97" s="1">
        <f t="shared" ca="1" si="281"/>
        <v>1471.0009292588354</v>
      </c>
      <c r="BP97" s="1">
        <f t="shared" ca="1" si="281"/>
        <v>3542.733761826179</v>
      </c>
      <c r="BQ97" s="1">
        <f t="shared" ca="1" si="281"/>
        <v>-3.1832314562052488E-12</v>
      </c>
      <c r="BR97" s="1">
        <f t="shared" ca="1" si="281"/>
        <v>-3.1832314562052488E-12</v>
      </c>
      <c r="BS97" s="1">
        <f t="shared" ca="1" si="281"/>
        <v>-3.1832314562052488E-12</v>
      </c>
      <c r="BT97" s="1">
        <f t="shared" ca="1" si="281"/>
        <v>-3.1832314562052488E-12</v>
      </c>
      <c r="BU97" s="1">
        <f t="shared" ref="BU97:BY97" ca="1" si="282">SUM(BU92:BU96)</f>
        <v>-3.1832314562052488E-12</v>
      </c>
      <c r="BV97" s="1">
        <f t="shared" ca="1" si="282"/>
        <v>-3.1832314562052488E-12</v>
      </c>
      <c r="BW97" s="1">
        <f t="shared" ca="1" si="282"/>
        <v>-3.1832314562052488E-12</v>
      </c>
      <c r="BX97" s="1">
        <f t="shared" ca="1" si="282"/>
        <v>-3.1832314562052488E-12</v>
      </c>
      <c r="BY97" s="1">
        <f t="shared" ca="1" si="282"/>
        <v>-3.1832314562052488E-12</v>
      </c>
    </row>
    <row r="99" spans="3:77" ht="13.5" customHeight="1">
      <c r="D99" s="1" t="s">
        <v>169</v>
      </c>
      <c r="H99" s="1">
        <v>0</v>
      </c>
      <c r="I99" s="1">
        <f ca="1">H101</f>
        <v>0</v>
      </c>
      <c r="J99" s="1">
        <f t="shared" ref="J99:BU99" ca="1" si="283">I101</f>
        <v>0</v>
      </c>
      <c r="K99" s="1">
        <f t="shared" ca="1" si="283"/>
        <v>0</v>
      </c>
      <c r="L99" s="1">
        <f t="shared" ca="1" si="283"/>
        <v>0</v>
      </c>
      <c r="M99" s="1">
        <f t="shared" ca="1" si="283"/>
        <v>0</v>
      </c>
      <c r="N99" s="1">
        <f t="shared" ca="1" si="283"/>
        <v>225.21191296369602</v>
      </c>
      <c r="O99" s="1">
        <f t="shared" ca="1" si="283"/>
        <v>447.48151952610795</v>
      </c>
      <c r="P99" s="1">
        <f t="shared" ca="1" si="283"/>
        <v>0</v>
      </c>
      <c r="Q99" s="1">
        <f t="shared" ca="1" si="283"/>
        <v>0</v>
      </c>
      <c r="R99" s="1">
        <f t="shared" ca="1" si="283"/>
        <v>0</v>
      </c>
      <c r="S99" s="1">
        <f t="shared" ca="1" si="283"/>
        <v>0</v>
      </c>
      <c r="T99" s="1">
        <f t="shared" ca="1" si="283"/>
        <v>0</v>
      </c>
      <c r="U99" s="1">
        <f t="shared" ca="1" si="283"/>
        <v>0</v>
      </c>
      <c r="V99" s="1">
        <f t="shared" ca="1" si="283"/>
        <v>0</v>
      </c>
      <c r="W99" s="1">
        <f t="shared" ca="1" si="283"/>
        <v>0</v>
      </c>
      <c r="X99" s="1">
        <f t="shared" ca="1" si="283"/>
        <v>0</v>
      </c>
      <c r="Y99" s="1">
        <f t="shared" ca="1" si="283"/>
        <v>0</v>
      </c>
      <c r="Z99" s="1">
        <f t="shared" ca="1" si="283"/>
        <v>0</v>
      </c>
      <c r="AA99" s="1">
        <f t="shared" ca="1" si="283"/>
        <v>0</v>
      </c>
      <c r="AB99" s="1">
        <f t="shared" ca="1" si="283"/>
        <v>0</v>
      </c>
      <c r="AC99" s="1">
        <f t="shared" ca="1" si="283"/>
        <v>0</v>
      </c>
      <c r="AD99" s="1">
        <f t="shared" ca="1" si="283"/>
        <v>0</v>
      </c>
      <c r="AE99" s="1">
        <f t="shared" ca="1" si="283"/>
        <v>0</v>
      </c>
      <c r="AF99" s="1">
        <f t="shared" ca="1" si="283"/>
        <v>0</v>
      </c>
      <c r="AG99" s="1">
        <f t="shared" ca="1" si="283"/>
        <v>0</v>
      </c>
      <c r="AH99" s="1">
        <f t="shared" ca="1" si="283"/>
        <v>0</v>
      </c>
      <c r="AI99" s="1">
        <f t="shared" ca="1" si="283"/>
        <v>0</v>
      </c>
      <c r="AJ99" s="1">
        <f t="shared" ca="1" si="283"/>
        <v>0</v>
      </c>
      <c r="AK99" s="1">
        <f t="shared" ca="1" si="283"/>
        <v>0</v>
      </c>
      <c r="AL99" s="1">
        <f t="shared" ca="1" si="283"/>
        <v>0</v>
      </c>
      <c r="AM99" s="1">
        <f t="shared" ca="1" si="283"/>
        <v>264.32310004908112</v>
      </c>
      <c r="AN99" s="1">
        <f t="shared" ca="1" si="283"/>
        <v>0</v>
      </c>
      <c r="AO99" s="1">
        <f t="shared" ca="1" si="283"/>
        <v>0</v>
      </c>
      <c r="AP99" s="1">
        <f t="shared" ca="1" si="283"/>
        <v>0</v>
      </c>
      <c r="AQ99" s="1">
        <f t="shared" ca="1" si="283"/>
        <v>0</v>
      </c>
      <c r="AR99" s="1">
        <f t="shared" ca="1" si="283"/>
        <v>0</v>
      </c>
      <c r="AS99" s="1">
        <f t="shared" ca="1" si="283"/>
        <v>0</v>
      </c>
      <c r="AT99" s="1">
        <f t="shared" ca="1" si="283"/>
        <v>0</v>
      </c>
      <c r="AU99" s="1">
        <f t="shared" ca="1" si="283"/>
        <v>0</v>
      </c>
      <c r="AV99" s="1">
        <f t="shared" ca="1" si="283"/>
        <v>0</v>
      </c>
      <c r="AW99" s="1">
        <f t="shared" ca="1" si="283"/>
        <v>0</v>
      </c>
      <c r="AX99" s="1">
        <f t="shared" ca="1" si="283"/>
        <v>0</v>
      </c>
      <c r="AY99" s="1">
        <f t="shared" ca="1" si="283"/>
        <v>0</v>
      </c>
      <c r="AZ99" s="1">
        <f t="shared" ca="1" si="283"/>
        <v>0</v>
      </c>
      <c r="BA99" s="1">
        <f t="shared" ca="1" si="283"/>
        <v>0</v>
      </c>
      <c r="BB99" s="1">
        <f t="shared" ca="1" si="283"/>
        <v>0</v>
      </c>
      <c r="BC99" s="1">
        <f t="shared" ca="1" si="283"/>
        <v>0</v>
      </c>
      <c r="BD99" s="1">
        <f t="shared" ca="1" si="283"/>
        <v>0</v>
      </c>
      <c r="BE99" s="1">
        <f t="shared" ca="1" si="283"/>
        <v>0</v>
      </c>
      <c r="BF99" s="1">
        <f t="shared" ca="1" si="283"/>
        <v>0</v>
      </c>
      <c r="BG99" s="1">
        <f t="shared" ca="1" si="283"/>
        <v>0</v>
      </c>
      <c r="BH99" s="1">
        <f t="shared" ca="1" si="283"/>
        <v>0</v>
      </c>
      <c r="BI99" s="1">
        <f t="shared" ca="1" si="283"/>
        <v>0</v>
      </c>
      <c r="BJ99" s="1">
        <f t="shared" ca="1" si="283"/>
        <v>0</v>
      </c>
      <c r="BK99" s="1">
        <f t="shared" ca="1" si="283"/>
        <v>0</v>
      </c>
      <c r="BL99" s="1">
        <f t="shared" ca="1" si="283"/>
        <v>0</v>
      </c>
      <c r="BM99" s="1">
        <f t="shared" ca="1" si="283"/>
        <v>0</v>
      </c>
      <c r="BN99" s="1">
        <f t="shared" ca="1" si="283"/>
        <v>0</v>
      </c>
      <c r="BO99" s="1">
        <f t="shared" ca="1" si="283"/>
        <v>0</v>
      </c>
      <c r="BP99" s="1">
        <f t="shared" ca="1" si="283"/>
        <v>0</v>
      </c>
      <c r="BQ99" s="1">
        <f t="shared" ca="1" si="283"/>
        <v>0</v>
      </c>
      <c r="BR99" s="1">
        <f t="shared" ca="1" si="283"/>
        <v>0</v>
      </c>
      <c r="BS99" s="1">
        <f t="shared" ca="1" si="283"/>
        <v>0</v>
      </c>
      <c r="BT99" s="1">
        <f t="shared" ca="1" si="283"/>
        <v>0</v>
      </c>
      <c r="BU99" s="1">
        <f t="shared" ca="1" si="283"/>
        <v>0</v>
      </c>
      <c r="BV99" s="1">
        <f t="shared" ref="BV99:BY99" ca="1" si="284">BU101</f>
        <v>0</v>
      </c>
      <c r="BW99" s="1">
        <f t="shared" ca="1" si="284"/>
        <v>0</v>
      </c>
      <c r="BX99" s="1">
        <f t="shared" ca="1" si="284"/>
        <v>0</v>
      </c>
      <c r="BY99" s="1">
        <f t="shared" ca="1" si="284"/>
        <v>0</v>
      </c>
    </row>
    <row r="100" spans="3:77" ht="13.5" customHeight="1">
      <c r="D100" s="42" t="s">
        <v>442</v>
      </c>
      <c r="E100" s="42"/>
      <c r="F100" s="42">
        <f ca="1">SUM(G100:XFD100)</f>
        <v>0</v>
      </c>
      <c r="G100" s="42"/>
      <c r="H100" s="42">
        <f t="shared" ref="H100:AM100" ca="1" si="285">MIN(H99,H97)*-1*(H14&lt;exit)</f>
        <v>0</v>
      </c>
      <c r="I100" s="42">
        <f t="shared" ca="1" si="285"/>
        <v>0</v>
      </c>
      <c r="J100" s="42">
        <f t="shared" ca="1" si="285"/>
        <v>0</v>
      </c>
      <c r="K100" s="42">
        <f t="shared" ca="1" si="285"/>
        <v>0</v>
      </c>
      <c r="L100" s="42">
        <f t="shared" ca="1" si="285"/>
        <v>0</v>
      </c>
      <c r="M100" s="42">
        <f t="shared" ca="1" si="285"/>
        <v>225.21191296369602</v>
      </c>
      <c r="N100" s="42">
        <f t="shared" ca="1" si="285"/>
        <v>222.26960656241192</v>
      </c>
      <c r="O100" s="42">
        <f t="shared" ca="1" si="285"/>
        <v>-447.48151952610795</v>
      </c>
      <c r="P100" s="42">
        <f t="shared" ca="1" si="285"/>
        <v>0</v>
      </c>
      <c r="Q100" s="42">
        <f t="shared" ca="1" si="285"/>
        <v>0</v>
      </c>
      <c r="R100" s="42">
        <f t="shared" ca="1" si="285"/>
        <v>0</v>
      </c>
      <c r="S100" s="42">
        <f t="shared" ca="1" si="285"/>
        <v>0</v>
      </c>
      <c r="T100" s="42">
        <f t="shared" ca="1" si="285"/>
        <v>0</v>
      </c>
      <c r="U100" s="42">
        <f t="shared" ca="1" si="285"/>
        <v>0</v>
      </c>
      <c r="V100" s="42">
        <f t="shared" ca="1" si="285"/>
        <v>0</v>
      </c>
      <c r="W100" s="42">
        <f t="shared" ca="1" si="285"/>
        <v>0</v>
      </c>
      <c r="X100" s="42">
        <f t="shared" ca="1" si="285"/>
        <v>0</v>
      </c>
      <c r="Y100" s="42">
        <f t="shared" ca="1" si="285"/>
        <v>0</v>
      </c>
      <c r="Z100" s="42">
        <f t="shared" ca="1" si="285"/>
        <v>0</v>
      </c>
      <c r="AA100" s="42">
        <f t="shared" ca="1" si="285"/>
        <v>0</v>
      </c>
      <c r="AB100" s="42">
        <f t="shared" ca="1" si="285"/>
        <v>0</v>
      </c>
      <c r="AC100" s="42">
        <f t="shared" ca="1" si="285"/>
        <v>0</v>
      </c>
      <c r="AD100" s="42">
        <f t="shared" ca="1" si="285"/>
        <v>0</v>
      </c>
      <c r="AE100" s="42">
        <f t="shared" ca="1" si="285"/>
        <v>0</v>
      </c>
      <c r="AF100" s="42">
        <f t="shared" ca="1" si="285"/>
        <v>0</v>
      </c>
      <c r="AG100" s="42">
        <f t="shared" ca="1" si="285"/>
        <v>0</v>
      </c>
      <c r="AH100" s="42">
        <f t="shared" ca="1" si="285"/>
        <v>0</v>
      </c>
      <c r="AI100" s="42">
        <f t="shared" ca="1" si="285"/>
        <v>0</v>
      </c>
      <c r="AJ100" s="42">
        <f t="shared" ca="1" si="285"/>
        <v>0</v>
      </c>
      <c r="AK100" s="42">
        <f t="shared" ca="1" si="285"/>
        <v>0</v>
      </c>
      <c r="AL100" s="42">
        <f t="shared" ca="1" si="285"/>
        <v>264.32310004908112</v>
      </c>
      <c r="AM100" s="42">
        <f t="shared" ca="1" si="285"/>
        <v>-264.32310004908112</v>
      </c>
      <c r="AN100" s="42">
        <f t="shared" ref="AN100:BS100" ca="1" si="286">MIN(AN99,AN97)*-1*(AN14&lt;exit)</f>
        <v>0</v>
      </c>
      <c r="AO100" s="42">
        <f t="shared" ca="1" si="286"/>
        <v>0</v>
      </c>
      <c r="AP100" s="42">
        <f t="shared" ca="1" si="286"/>
        <v>0</v>
      </c>
      <c r="AQ100" s="42">
        <f t="shared" ca="1" si="286"/>
        <v>0</v>
      </c>
      <c r="AR100" s="42">
        <f t="shared" ca="1" si="286"/>
        <v>0</v>
      </c>
      <c r="AS100" s="42">
        <f t="shared" ca="1" si="286"/>
        <v>0</v>
      </c>
      <c r="AT100" s="42">
        <f t="shared" ca="1" si="286"/>
        <v>0</v>
      </c>
      <c r="AU100" s="42">
        <f t="shared" ca="1" si="286"/>
        <v>0</v>
      </c>
      <c r="AV100" s="42">
        <f t="shared" ca="1" si="286"/>
        <v>0</v>
      </c>
      <c r="AW100" s="42">
        <f t="shared" ca="1" si="286"/>
        <v>0</v>
      </c>
      <c r="AX100" s="42">
        <f t="shared" ca="1" si="286"/>
        <v>0</v>
      </c>
      <c r="AY100" s="42">
        <f t="shared" ca="1" si="286"/>
        <v>0</v>
      </c>
      <c r="AZ100" s="42">
        <f t="shared" ca="1" si="286"/>
        <v>0</v>
      </c>
      <c r="BA100" s="42">
        <f t="shared" ca="1" si="286"/>
        <v>0</v>
      </c>
      <c r="BB100" s="42">
        <f t="shared" ca="1" si="286"/>
        <v>0</v>
      </c>
      <c r="BC100" s="42">
        <f t="shared" ca="1" si="286"/>
        <v>0</v>
      </c>
      <c r="BD100" s="42">
        <f t="shared" ca="1" si="286"/>
        <v>0</v>
      </c>
      <c r="BE100" s="42">
        <f t="shared" ca="1" si="286"/>
        <v>0</v>
      </c>
      <c r="BF100" s="42">
        <f t="shared" ca="1" si="286"/>
        <v>0</v>
      </c>
      <c r="BG100" s="42">
        <f t="shared" ca="1" si="286"/>
        <v>0</v>
      </c>
      <c r="BH100" s="42">
        <f t="shared" ca="1" si="286"/>
        <v>0</v>
      </c>
      <c r="BI100" s="42">
        <f t="shared" ca="1" si="286"/>
        <v>0</v>
      </c>
      <c r="BJ100" s="42">
        <f t="shared" ca="1" si="286"/>
        <v>0</v>
      </c>
      <c r="BK100" s="42">
        <f t="shared" ca="1" si="286"/>
        <v>0</v>
      </c>
      <c r="BL100" s="42">
        <f t="shared" ca="1" si="286"/>
        <v>0</v>
      </c>
      <c r="BM100" s="42">
        <f t="shared" ca="1" si="286"/>
        <v>0</v>
      </c>
      <c r="BN100" s="42">
        <f t="shared" ca="1" si="286"/>
        <v>0</v>
      </c>
      <c r="BO100" s="42">
        <f t="shared" ca="1" si="286"/>
        <v>0</v>
      </c>
      <c r="BP100" s="42">
        <f t="shared" ca="1" si="286"/>
        <v>0</v>
      </c>
      <c r="BQ100" s="42">
        <f t="shared" ca="1" si="286"/>
        <v>0</v>
      </c>
      <c r="BR100" s="42">
        <f t="shared" ca="1" si="286"/>
        <v>0</v>
      </c>
      <c r="BS100" s="42">
        <f t="shared" ca="1" si="286"/>
        <v>0</v>
      </c>
      <c r="BT100" s="42">
        <f t="shared" ref="BT100:BY100" ca="1" si="287">MIN(BT99,BT97)*-1*(BT14&lt;exit)</f>
        <v>0</v>
      </c>
      <c r="BU100" s="42">
        <f t="shared" ca="1" si="287"/>
        <v>0</v>
      </c>
      <c r="BV100" s="42">
        <f t="shared" ca="1" si="287"/>
        <v>0</v>
      </c>
      <c r="BW100" s="42">
        <f t="shared" ca="1" si="287"/>
        <v>0</v>
      </c>
      <c r="BX100" s="42">
        <f t="shared" ca="1" si="287"/>
        <v>0</v>
      </c>
      <c r="BY100" s="42">
        <f t="shared" ca="1" si="287"/>
        <v>0</v>
      </c>
    </row>
    <row r="101" spans="3:77" ht="13.5" customHeight="1">
      <c r="D101" s="1" t="s">
        <v>172</v>
      </c>
      <c r="E101" s="11">
        <f ca="1">MAX(H101:XFD101)</f>
        <v>447.48151952610795</v>
      </c>
      <c r="H101" s="1">
        <f ca="1">SUM(H99:H100)</f>
        <v>0</v>
      </c>
      <c r="I101" s="1">
        <f t="shared" ref="I101" ca="1" si="288">SUM(I99:I100)</f>
        <v>0</v>
      </c>
      <c r="J101" s="1">
        <f t="shared" ref="J101" ca="1" si="289">SUM(J99:J100)</f>
        <v>0</v>
      </c>
      <c r="K101" s="1">
        <f t="shared" ref="K101" ca="1" si="290">SUM(K99:K100)</f>
        <v>0</v>
      </c>
      <c r="L101" s="1">
        <f t="shared" ref="L101" ca="1" si="291">SUM(L99:L100)</f>
        <v>0</v>
      </c>
      <c r="M101" s="1">
        <f t="shared" ref="M101" ca="1" si="292">SUM(M99:M100)</f>
        <v>225.21191296369602</v>
      </c>
      <c r="N101" s="1">
        <f t="shared" ref="N101" ca="1" si="293">SUM(N99:N100)</f>
        <v>447.48151952610795</v>
      </c>
      <c r="O101" s="1">
        <f t="shared" ref="O101" ca="1" si="294">SUM(O99:O100)</f>
        <v>0</v>
      </c>
      <c r="P101" s="1">
        <f t="shared" ref="P101" ca="1" si="295">SUM(P99:P100)</f>
        <v>0</v>
      </c>
      <c r="Q101" s="1">
        <f t="shared" ref="Q101" ca="1" si="296">SUM(Q99:Q100)</f>
        <v>0</v>
      </c>
      <c r="R101" s="1">
        <f t="shared" ref="R101" ca="1" si="297">SUM(R99:R100)</f>
        <v>0</v>
      </c>
      <c r="S101" s="1">
        <f t="shared" ref="S101" ca="1" si="298">SUM(S99:S100)</f>
        <v>0</v>
      </c>
      <c r="T101" s="1">
        <f t="shared" ref="T101" ca="1" si="299">SUM(T99:T100)</f>
        <v>0</v>
      </c>
      <c r="U101" s="1">
        <f t="shared" ref="U101" ca="1" si="300">SUM(U99:U100)</f>
        <v>0</v>
      </c>
      <c r="V101" s="1">
        <f t="shared" ref="V101" ca="1" si="301">SUM(V99:V100)</f>
        <v>0</v>
      </c>
      <c r="W101" s="1">
        <f t="shared" ref="W101" ca="1" si="302">SUM(W99:W100)</f>
        <v>0</v>
      </c>
      <c r="X101" s="1">
        <f t="shared" ref="X101" ca="1" si="303">SUM(X99:X100)</f>
        <v>0</v>
      </c>
      <c r="Y101" s="1">
        <f t="shared" ref="Y101" ca="1" si="304">SUM(Y99:Y100)</f>
        <v>0</v>
      </c>
      <c r="Z101" s="1">
        <f t="shared" ref="Z101" ca="1" si="305">SUM(Z99:Z100)</f>
        <v>0</v>
      </c>
      <c r="AA101" s="1">
        <f t="shared" ref="AA101" ca="1" si="306">SUM(AA99:AA100)</f>
        <v>0</v>
      </c>
      <c r="AB101" s="1">
        <f t="shared" ref="AB101" ca="1" si="307">SUM(AB99:AB100)</f>
        <v>0</v>
      </c>
      <c r="AC101" s="1">
        <f t="shared" ref="AC101" ca="1" si="308">SUM(AC99:AC100)</f>
        <v>0</v>
      </c>
      <c r="AD101" s="1">
        <f t="shared" ref="AD101" ca="1" si="309">SUM(AD99:AD100)</f>
        <v>0</v>
      </c>
      <c r="AE101" s="1">
        <f t="shared" ref="AE101" ca="1" si="310">SUM(AE99:AE100)</f>
        <v>0</v>
      </c>
      <c r="AF101" s="1">
        <f t="shared" ref="AF101" ca="1" si="311">SUM(AF99:AF100)</f>
        <v>0</v>
      </c>
      <c r="AG101" s="1">
        <f t="shared" ref="AG101" ca="1" si="312">SUM(AG99:AG100)</f>
        <v>0</v>
      </c>
      <c r="AH101" s="1">
        <f t="shared" ref="AH101" ca="1" si="313">SUM(AH99:AH100)</f>
        <v>0</v>
      </c>
      <c r="AI101" s="1">
        <f t="shared" ref="AI101" ca="1" si="314">SUM(AI99:AI100)</f>
        <v>0</v>
      </c>
      <c r="AJ101" s="1">
        <f t="shared" ref="AJ101" ca="1" si="315">SUM(AJ99:AJ100)</f>
        <v>0</v>
      </c>
      <c r="AK101" s="1">
        <f t="shared" ref="AK101" ca="1" si="316">SUM(AK99:AK100)</f>
        <v>0</v>
      </c>
      <c r="AL101" s="1">
        <f t="shared" ref="AL101" ca="1" si="317">SUM(AL99:AL100)</f>
        <v>264.32310004908112</v>
      </c>
      <c r="AM101" s="1">
        <f t="shared" ref="AM101" ca="1" si="318">SUM(AM99:AM100)</f>
        <v>0</v>
      </c>
      <c r="AN101" s="1">
        <f t="shared" ref="AN101" ca="1" si="319">SUM(AN99:AN100)</f>
        <v>0</v>
      </c>
      <c r="AO101" s="1">
        <f t="shared" ref="AO101" ca="1" si="320">SUM(AO99:AO100)</f>
        <v>0</v>
      </c>
      <c r="AP101" s="1">
        <f t="shared" ref="AP101" ca="1" si="321">SUM(AP99:AP100)</f>
        <v>0</v>
      </c>
      <c r="AQ101" s="1">
        <f t="shared" ref="AQ101" ca="1" si="322">SUM(AQ99:AQ100)</f>
        <v>0</v>
      </c>
      <c r="AR101" s="1">
        <f t="shared" ref="AR101" ca="1" si="323">SUM(AR99:AR100)</f>
        <v>0</v>
      </c>
      <c r="AS101" s="1">
        <f t="shared" ref="AS101" ca="1" si="324">SUM(AS99:AS100)</f>
        <v>0</v>
      </c>
      <c r="AT101" s="1">
        <f t="shared" ref="AT101" ca="1" si="325">SUM(AT99:AT100)</f>
        <v>0</v>
      </c>
      <c r="AU101" s="1">
        <f t="shared" ref="AU101" ca="1" si="326">SUM(AU99:AU100)</f>
        <v>0</v>
      </c>
      <c r="AV101" s="1">
        <f t="shared" ref="AV101" ca="1" si="327">SUM(AV99:AV100)</f>
        <v>0</v>
      </c>
      <c r="AW101" s="1">
        <f t="shared" ref="AW101" ca="1" si="328">SUM(AW99:AW100)</f>
        <v>0</v>
      </c>
      <c r="AX101" s="1">
        <f t="shared" ref="AX101" ca="1" si="329">SUM(AX99:AX100)</f>
        <v>0</v>
      </c>
      <c r="AY101" s="1">
        <f t="shared" ref="AY101" ca="1" si="330">SUM(AY99:AY100)</f>
        <v>0</v>
      </c>
      <c r="AZ101" s="1">
        <f t="shared" ref="AZ101" ca="1" si="331">SUM(AZ99:AZ100)</f>
        <v>0</v>
      </c>
      <c r="BA101" s="1">
        <f t="shared" ref="BA101" ca="1" si="332">SUM(BA99:BA100)</f>
        <v>0</v>
      </c>
      <c r="BB101" s="1">
        <f t="shared" ref="BB101" ca="1" si="333">SUM(BB99:BB100)</f>
        <v>0</v>
      </c>
      <c r="BC101" s="1">
        <f t="shared" ref="BC101" ca="1" si="334">SUM(BC99:BC100)</f>
        <v>0</v>
      </c>
      <c r="BD101" s="1">
        <f t="shared" ref="BD101" ca="1" si="335">SUM(BD99:BD100)</f>
        <v>0</v>
      </c>
      <c r="BE101" s="1">
        <f t="shared" ref="BE101" ca="1" si="336">SUM(BE99:BE100)</f>
        <v>0</v>
      </c>
      <c r="BF101" s="1">
        <f t="shared" ref="BF101" ca="1" si="337">SUM(BF99:BF100)</f>
        <v>0</v>
      </c>
      <c r="BG101" s="1">
        <f t="shared" ref="BG101" ca="1" si="338">SUM(BG99:BG100)</f>
        <v>0</v>
      </c>
      <c r="BH101" s="1">
        <f t="shared" ref="BH101" ca="1" si="339">SUM(BH99:BH100)</f>
        <v>0</v>
      </c>
      <c r="BI101" s="1">
        <f t="shared" ref="BI101" ca="1" si="340">SUM(BI99:BI100)</f>
        <v>0</v>
      </c>
      <c r="BJ101" s="1">
        <f t="shared" ref="BJ101" ca="1" si="341">SUM(BJ99:BJ100)</f>
        <v>0</v>
      </c>
      <c r="BK101" s="1">
        <f t="shared" ref="BK101" ca="1" si="342">SUM(BK99:BK100)</f>
        <v>0</v>
      </c>
      <c r="BL101" s="1">
        <f t="shared" ref="BL101" ca="1" si="343">SUM(BL99:BL100)</f>
        <v>0</v>
      </c>
      <c r="BM101" s="1">
        <f t="shared" ref="BM101" ca="1" si="344">SUM(BM99:BM100)</f>
        <v>0</v>
      </c>
      <c r="BN101" s="1">
        <f t="shared" ref="BN101" ca="1" si="345">SUM(BN99:BN100)</f>
        <v>0</v>
      </c>
      <c r="BO101" s="1">
        <f t="shared" ref="BO101" ca="1" si="346">SUM(BO99:BO100)</f>
        <v>0</v>
      </c>
      <c r="BP101" s="1">
        <f t="shared" ref="BP101" ca="1" si="347">SUM(BP99:BP100)</f>
        <v>0</v>
      </c>
      <c r="BQ101" s="1">
        <f t="shared" ref="BQ101" ca="1" si="348">SUM(BQ99:BQ100)</f>
        <v>0</v>
      </c>
      <c r="BR101" s="1">
        <f t="shared" ref="BR101" ca="1" si="349">SUM(BR99:BR100)</f>
        <v>0</v>
      </c>
      <c r="BS101" s="1">
        <f t="shared" ref="BS101" ca="1" si="350">SUM(BS99:BS100)</f>
        <v>0</v>
      </c>
      <c r="BT101" s="1">
        <f t="shared" ref="BT101" ca="1" si="351">SUM(BT99:BT100)</f>
        <v>0</v>
      </c>
      <c r="BU101" s="1">
        <f t="shared" ref="BU101" ca="1" si="352">SUM(BU99:BU100)</f>
        <v>0</v>
      </c>
      <c r="BV101" s="1">
        <f t="shared" ref="BV101" ca="1" si="353">SUM(BV99:BV100)</f>
        <v>0</v>
      </c>
      <c r="BW101" s="1">
        <f t="shared" ref="BW101" ca="1" si="354">SUM(BW99:BW100)</f>
        <v>0</v>
      </c>
      <c r="BX101" s="1">
        <f t="shared" ref="BX101" ca="1" si="355">SUM(BX99:BX100)</f>
        <v>0</v>
      </c>
      <c r="BY101" s="1">
        <f t="shared" ref="BY101" ca="1" si="356">SUM(BY99:BY100)</f>
        <v>0</v>
      </c>
    </row>
    <row r="102" spans="3:77" ht="13.5" customHeight="1">
      <c r="D102" s="51" t="s">
        <v>386</v>
      </c>
      <c r="E102" s="51"/>
      <c r="F102" s="51"/>
      <c r="G102" s="51"/>
      <c r="H102" s="51">
        <f ca="1">AVERAGE(H99,H101)</f>
        <v>0</v>
      </c>
      <c r="I102" s="51">
        <f t="shared" ref="I102:BT102" ca="1" si="357">AVERAGE(I99,I101)</f>
        <v>0</v>
      </c>
      <c r="J102" s="51">
        <f t="shared" ca="1" si="357"/>
        <v>0</v>
      </c>
      <c r="K102" s="51">
        <f t="shared" ca="1" si="357"/>
        <v>0</v>
      </c>
      <c r="L102" s="51">
        <f t="shared" ca="1" si="357"/>
        <v>0</v>
      </c>
      <c r="M102" s="51">
        <f t="shared" ca="1" si="357"/>
        <v>112.60595648184801</v>
      </c>
      <c r="N102" s="51">
        <f t="shared" ca="1" si="357"/>
        <v>336.34671624490198</v>
      </c>
      <c r="O102" s="51">
        <f t="shared" ca="1" si="357"/>
        <v>223.74075976305397</v>
      </c>
      <c r="P102" s="51">
        <f t="shared" ca="1" si="357"/>
        <v>0</v>
      </c>
      <c r="Q102" s="51">
        <f t="shared" ca="1" si="357"/>
        <v>0</v>
      </c>
      <c r="R102" s="51">
        <f t="shared" ca="1" si="357"/>
        <v>0</v>
      </c>
      <c r="S102" s="51">
        <f t="shared" ca="1" si="357"/>
        <v>0</v>
      </c>
      <c r="T102" s="51">
        <f t="shared" ca="1" si="357"/>
        <v>0</v>
      </c>
      <c r="U102" s="51">
        <f t="shared" ca="1" si="357"/>
        <v>0</v>
      </c>
      <c r="V102" s="51">
        <f t="shared" ca="1" si="357"/>
        <v>0</v>
      </c>
      <c r="W102" s="51">
        <f t="shared" ca="1" si="357"/>
        <v>0</v>
      </c>
      <c r="X102" s="51">
        <f t="shared" ca="1" si="357"/>
        <v>0</v>
      </c>
      <c r="Y102" s="51">
        <f t="shared" ca="1" si="357"/>
        <v>0</v>
      </c>
      <c r="Z102" s="51">
        <f t="shared" ca="1" si="357"/>
        <v>0</v>
      </c>
      <c r="AA102" s="51">
        <f t="shared" ca="1" si="357"/>
        <v>0</v>
      </c>
      <c r="AB102" s="51">
        <f t="shared" ca="1" si="357"/>
        <v>0</v>
      </c>
      <c r="AC102" s="51">
        <f t="shared" ca="1" si="357"/>
        <v>0</v>
      </c>
      <c r="AD102" s="51">
        <f t="shared" ca="1" si="357"/>
        <v>0</v>
      </c>
      <c r="AE102" s="51">
        <f t="shared" ca="1" si="357"/>
        <v>0</v>
      </c>
      <c r="AF102" s="51">
        <f t="shared" ca="1" si="357"/>
        <v>0</v>
      </c>
      <c r="AG102" s="51">
        <f t="shared" ca="1" si="357"/>
        <v>0</v>
      </c>
      <c r="AH102" s="51">
        <f t="shared" ca="1" si="357"/>
        <v>0</v>
      </c>
      <c r="AI102" s="51">
        <f t="shared" ca="1" si="357"/>
        <v>0</v>
      </c>
      <c r="AJ102" s="51">
        <f t="shared" ca="1" si="357"/>
        <v>0</v>
      </c>
      <c r="AK102" s="51">
        <f t="shared" ca="1" si="357"/>
        <v>0</v>
      </c>
      <c r="AL102" s="51">
        <f t="shared" ca="1" si="357"/>
        <v>132.16155002454056</v>
      </c>
      <c r="AM102" s="51">
        <f t="shared" ca="1" si="357"/>
        <v>132.16155002454056</v>
      </c>
      <c r="AN102" s="51">
        <f t="shared" ca="1" si="357"/>
        <v>0</v>
      </c>
      <c r="AO102" s="51">
        <f t="shared" ca="1" si="357"/>
        <v>0</v>
      </c>
      <c r="AP102" s="51">
        <f t="shared" ca="1" si="357"/>
        <v>0</v>
      </c>
      <c r="AQ102" s="51">
        <f t="shared" ca="1" si="357"/>
        <v>0</v>
      </c>
      <c r="AR102" s="51">
        <f t="shared" ca="1" si="357"/>
        <v>0</v>
      </c>
      <c r="AS102" s="51">
        <f t="shared" ca="1" si="357"/>
        <v>0</v>
      </c>
      <c r="AT102" s="51">
        <f t="shared" ca="1" si="357"/>
        <v>0</v>
      </c>
      <c r="AU102" s="51">
        <f t="shared" ca="1" si="357"/>
        <v>0</v>
      </c>
      <c r="AV102" s="51">
        <f t="shared" ca="1" si="357"/>
        <v>0</v>
      </c>
      <c r="AW102" s="51">
        <f t="shared" ca="1" si="357"/>
        <v>0</v>
      </c>
      <c r="AX102" s="51">
        <f t="shared" ca="1" si="357"/>
        <v>0</v>
      </c>
      <c r="AY102" s="51">
        <f t="shared" ca="1" si="357"/>
        <v>0</v>
      </c>
      <c r="AZ102" s="51">
        <f t="shared" ca="1" si="357"/>
        <v>0</v>
      </c>
      <c r="BA102" s="51">
        <f t="shared" ca="1" si="357"/>
        <v>0</v>
      </c>
      <c r="BB102" s="51">
        <f t="shared" ca="1" si="357"/>
        <v>0</v>
      </c>
      <c r="BC102" s="51">
        <f t="shared" ca="1" si="357"/>
        <v>0</v>
      </c>
      <c r="BD102" s="51">
        <f t="shared" ca="1" si="357"/>
        <v>0</v>
      </c>
      <c r="BE102" s="51">
        <f t="shared" ca="1" si="357"/>
        <v>0</v>
      </c>
      <c r="BF102" s="51">
        <f t="shared" ca="1" si="357"/>
        <v>0</v>
      </c>
      <c r="BG102" s="51">
        <f t="shared" ca="1" si="357"/>
        <v>0</v>
      </c>
      <c r="BH102" s="51">
        <f t="shared" ca="1" si="357"/>
        <v>0</v>
      </c>
      <c r="BI102" s="51">
        <f t="shared" ca="1" si="357"/>
        <v>0</v>
      </c>
      <c r="BJ102" s="51">
        <f t="shared" ca="1" si="357"/>
        <v>0</v>
      </c>
      <c r="BK102" s="51">
        <f t="shared" ca="1" si="357"/>
        <v>0</v>
      </c>
      <c r="BL102" s="51">
        <f t="shared" ca="1" si="357"/>
        <v>0</v>
      </c>
      <c r="BM102" s="51">
        <f t="shared" ca="1" si="357"/>
        <v>0</v>
      </c>
      <c r="BN102" s="51">
        <f t="shared" ca="1" si="357"/>
        <v>0</v>
      </c>
      <c r="BO102" s="51">
        <f t="shared" ca="1" si="357"/>
        <v>0</v>
      </c>
      <c r="BP102" s="51">
        <f t="shared" ca="1" si="357"/>
        <v>0</v>
      </c>
      <c r="BQ102" s="51">
        <f t="shared" ca="1" si="357"/>
        <v>0</v>
      </c>
      <c r="BR102" s="51">
        <f t="shared" ca="1" si="357"/>
        <v>0</v>
      </c>
      <c r="BS102" s="51">
        <f t="shared" ca="1" si="357"/>
        <v>0</v>
      </c>
      <c r="BT102" s="51">
        <f t="shared" ca="1" si="357"/>
        <v>0</v>
      </c>
      <c r="BU102" s="51">
        <f t="shared" ref="BU102:BY102" ca="1" si="358">AVERAGE(BU99,BU101)</f>
        <v>0</v>
      </c>
      <c r="BV102" s="51">
        <f t="shared" ca="1" si="358"/>
        <v>0</v>
      </c>
      <c r="BW102" s="51">
        <f t="shared" ca="1" si="358"/>
        <v>0</v>
      </c>
      <c r="BX102" s="51">
        <f t="shared" ca="1" si="358"/>
        <v>0</v>
      </c>
      <c r="BY102" s="51">
        <f t="shared" ca="1" si="358"/>
        <v>0</v>
      </c>
    </row>
    <row r="103" spans="3:77" ht="13.5" customHeight="1">
      <c r="D103" s="44" t="s">
        <v>364</v>
      </c>
      <c r="E103" s="212">
        <f>'A&amp;R'!D86</f>
        <v>0.04</v>
      </c>
      <c r="F103" s="44">
        <f ca="1">SUM(G103:XFD103)</f>
        <v>3.1233884417962838</v>
      </c>
      <c r="G103" s="44"/>
      <c r="H103" s="44">
        <f ca="1">H102*$E$103/12</f>
        <v>0</v>
      </c>
      <c r="I103" s="44">
        <f t="shared" ref="I103:BT103" ca="1" si="359">I102*$E$103/12</f>
        <v>0</v>
      </c>
      <c r="J103" s="44">
        <f t="shared" ca="1" si="359"/>
        <v>0</v>
      </c>
      <c r="K103" s="44">
        <f t="shared" ca="1" si="359"/>
        <v>0</v>
      </c>
      <c r="L103" s="44">
        <f t="shared" ca="1" si="359"/>
        <v>0</v>
      </c>
      <c r="M103" s="44">
        <f t="shared" ca="1" si="359"/>
        <v>0.37535318827282671</v>
      </c>
      <c r="N103" s="44">
        <f t="shared" ca="1" si="359"/>
        <v>1.1211557208163401</v>
      </c>
      <c r="O103" s="44">
        <f t="shared" ca="1" si="359"/>
        <v>0.74580253254351325</v>
      </c>
      <c r="P103" s="44">
        <f t="shared" ca="1" si="359"/>
        <v>0</v>
      </c>
      <c r="Q103" s="44">
        <f t="shared" ca="1" si="359"/>
        <v>0</v>
      </c>
      <c r="R103" s="44">
        <f t="shared" ca="1" si="359"/>
        <v>0</v>
      </c>
      <c r="S103" s="44">
        <f t="shared" ca="1" si="359"/>
        <v>0</v>
      </c>
      <c r="T103" s="44">
        <f t="shared" ca="1" si="359"/>
        <v>0</v>
      </c>
      <c r="U103" s="44">
        <f t="shared" ca="1" si="359"/>
        <v>0</v>
      </c>
      <c r="V103" s="44">
        <f t="shared" ca="1" si="359"/>
        <v>0</v>
      </c>
      <c r="W103" s="44">
        <f t="shared" ca="1" si="359"/>
        <v>0</v>
      </c>
      <c r="X103" s="44">
        <f t="shared" ca="1" si="359"/>
        <v>0</v>
      </c>
      <c r="Y103" s="44">
        <f t="shared" ca="1" si="359"/>
        <v>0</v>
      </c>
      <c r="Z103" s="44">
        <f t="shared" ca="1" si="359"/>
        <v>0</v>
      </c>
      <c r="AA103" s="44">
        <f t="shared" ca="1" si="359"/>
        <v>0</v>
      </c>
      <c r="AB103" s="44">
        <f t="shared" ca="1" si="359"/>
        <v>0</v>
      </c>
      <c r="AC103" s="44">
        <f t="shared" ca="1" si="359"/>
        <v>0</v>
      </c>
      <c r="AD103" s="44">
        <f t="shared" ca="1" si="359"/>
        <v>0</v>
      </c>
      <c r="AE103" s="44">
        <f t="shared" ca="1" si="359"/>
        <v>0</v>
      </c>
      <c r="AF103" s="44">
        <f t="shared" ca="1" si="359"/>
        <v>0</v>
      </c>
      <c r="AG103" s="44">
        <f t="shared" ca="1" si="359"/>
        <v>0</v>
      </c>
      <c r="AH103" s="44">
        <f t="shared" ca="1" si="359"/>
        <v>0</v>
      </c>
      <c r="AI103" s="44">
        <f t="shared" ca="1" si="359"/>
        <v>0</v>
      </c>
      <c r="AJ103" s="44">
        <f t="shared" ca="1" si="359"/>
        <v>0</v>
      </c>
      <c r="AK103" s="44">
        <f t="shared" ca="1" si="359"/>
        <v>0</v>
      </c>
      <c r="AL103" s="44">
        <f t="shared" ca="1" si="359"/>
        <v>0.44053850008180184</v>
      </c>
      <c r="AM103" s="44">
        <f t="shared" ca="1" si="359"/>
        <v>0.44053850008180184</v>
      </c>
      <c r="AN103" s="44">
        <f t="shared" ca="1" si="359"/>
        <v>0</v>
      </c>
      <c r="AO103" s="44">
        <f t="shared" ca="1" si="359"/>
        <v>0</v>
      </c>
      <c r="AP103" s="44">
        <f t="shared" ca="1" si="359"/>
        <v>0</v>
      </c>
      <c r="AQ103" s="44">
        <f t="shared" ca="1" si="359"/>
        <v>0</v>
      </c>
      <c r="AR103" s="44">
        <f t="shared" ca="1" si="359"/>
        <v>0</v>
      </c>
      <c r="AS103" s="44">
        <f t="shared" ca="1" si="359"/>
        <v>0</v>
      </c>
      <c r="AT103" s="44">
        <f t="shared" ca="1" si="359"/>
        <v>0</v>
      </c>
      <c r="AU103" s="44">
        <f t="shared" ca="1" si="359"/>
        <v>0</v>
      </c>
      <c r="AV103" s="44">
        <f t="shared" ca="1" si="359"/>
        <v>0</v>
      </c>
      <c r="AW103" s="44">
        <f t="shared" ca="1" si="359"/>
        <v>0</v>
      </c>
      <c r="AX103" s="44">
        <f t="shared" ca="1" si="359"/>
        <v>0</v>
      </c>
      <c r="AY103" s="44">
        <f t="shared" ca="1" si="359"/>
        <v>0</v>
      </c>
      <c r="AZ103" s="44">
        <f t="shared" ca="1" si="359"/>
        <v>0</v>
      </c>
      <c r="BA103" s="44">
        <f t="shared" ca="1" si="359"/>
        <v>0</v>
      </c>
      <c r="BB103" s="44">
        <f t="shared" ca="1" si="359"/>
        <v>0</v>
      </c>
      <c r="BC103" s="44">
        <f t="shared" ca="1" si="359"/>
        <v>0</v>
      </c>
      <c r="BD103" s="44">
        <f t="shared" ca="1" si="359"/>
        <v>0</v>
      </c>
      <c r="BE103" s="44">
        <f t="shared" ca="1" si="359"/>
        <v>0</v>
      </c>
      <c r="BF103" s="44">
        <f t="shared" ca="1" si="359"/>
        <v>0</v>
      </c>
      <c r="BG103" s="44">
        <f t="shared" ca="1" si="359"/>
        <v>0</v>
      </c>
      <c r="BH103" s="44">
        <f t="shared" ca="1" si="359"/>
        <v>0</v>
      </c>
      <c r="BI103" s="44">
        <f t="shared" ca="1" si="359"/>
        <v>0</v>
      </c>
      <c r="BJ103" s="44">
        <f t="shared" ca="1" si="359"/>
        <v>0</v>
      </c>
      <c r="BK103" s="44">
        <f t="shared" ca="1" si="359"/>
        <v>0</v>
      </c>
      <c r="BL103" s="44">
        <f t="shared" ca="1" si="359"/>
        <v>0</v>
      </c>
      <c r="BM103" s="44">
        <f t="shared" ca="1" si="359"/>
        <v>0</v>
      </c>
      <c r="BN103" s="44">
        <f t="shared" ca="1" si="359"/>
        <v>0</v>
      </c>
      <c r="BO103" s="44">
        <f t="shared" ca="1" si="359"/>
        <v>0</v>
      </c>
      <c r="BP103" s="44">
        <f t="shared" ca="1" si="359"/>
        <v>0</v>
      </c>
      <c r="BQ103" s="44">
        <f t="shared" ca="1" si="359"/>
        <v>0</v>
      </c>
      <c r="BR103" s="44">
        <f t="shared" ca="1" si="359"/>
        <v>0</v>
      </c>
      <c r="BS103" s="44">
        <f t="shared" ca="1" si="359"/>
        <v>0</v>
      </c>
      <c r="BT103" s="44">
        <f t="shared" ca="1" si="359"/>
        <v>0</v>
      </c>
      <c r="BU103" s="44">
        <f t="shared" ref="BU103:BY103" ca="1" si="360">BU102*$E$103/12</f>
        <v>0</v>
      </c>
      <c r="BV103" s="44">
        <f t="shared" ca="1" si="360"/>
        <v>0</v>
      </c>
      <c r="BW103" s="44">
        <f t="shared" ca="1" si="360"/>
        <v>0</v>
      </c>
      <c r="BX103" s="44">
        <f t="shared" ca="1" si="360"/>
        <v>0</v>
      </c>
      <c r="BY103" s="44">
        <f t="shared" ca="1" si="360"/>
        <v>0</v>
      </c>
    </row>
    <row r="105" spans="3:77" ht="13.5" customHeight="1">
      <c r="C105" s="173" t="s">
        <v>393</v>
      </c>
      <c r="D105" s="173"/>
      <c r="E105" s="173"/>
      <c r="F105" s="173">
        <f ca="1">SUM(G105:XFD105)</f>
        <v>3612.7708725125872</v>
      </c>
      <c r="G105" s="173"/>
      <c r="H105" s="173">
        <f ca="1">H74+H89+H103</f>
        <v>0</v>
      </c>
      <c r="I105" s="173">
        <f t="shared" ref="I105:BT105" ca="1" si="361">I74+I89+I103</f>
        <v>14.989340152133334</v>
      </c>
      <c r="J105" s="173">
        <f t="shared" ca="1" si="361"/>
        <v>9.9928934347555547</v>
      </c>
      <c r="K105" s="173">
        <f t="shared" ca="1" si="361"/>
        <v>217.6410694204144</v>
      </c>
      <c r="L105" s="173">
        <f t="shared" ca="1" si="361"/>
        <v>9.9928934347555582</v>
      </c>
      <c r="M105" s="173">
        <f t="shared" ca="1" si="361"/>
        <v>5.3717999056506063</v>
      </c>
      <c r="N105" s="173">
        <f t="shared" ca="1" si="361"/>
        <v>179.10530656566678</v>
      </c>
      <c r="O105" s="173">
        <f t="shared" ca="1" si="361"/>
        <v>0.74580253254351325</v>
      </c>
      <c r="P105" s="173">
        <f t="shared" ca="1" si="361"/>
        <v>0</v>
      </c>
      <c r="Q105" s="173">
        <f t="shared" ca="1" si="361"/>
        <v>177.98415084485038</v>
      </c>
      <c r="R105" s="173">
        <f t="shared" ca="1" si="361"/>
        <v>0</v>
      </c>
      <c r="S105" s="173">
        <f t="shared" ca="1" si="361"/>
        <v>0</v>
      </c>
      <c r="T105" s="173">
        <f t="shared" ca="1" si="361"/>
        <v>177.98415084485043</v>
      </c>
      <c r="U105" s="173">
        <f t="shared" ca="1" si="361"/>
        <v>0</v>
      </c>
      <c r="V105" s="173">
        <f t="shared" ca="1" si="361"/>
        <v>0</v>
      </c>
      <c r="W105" s="173">
        <f t="shared" ca="1" si="361"/>
        <v>177.98415084485043</v>
      </c>
      <c r="X105" s="173">
        <f t="shared" ca="1" si="361"/>
        <v>0</v>
      </c>
      <c r="Y105" s="173">
        <f t="shared" ca="1" si="361"/>
        <v>0</v>
      </c>
      <c r="Z105" s="173">
        <f t="shared" ca="1" si="361"/>
        <v>177.98415084485032</v>
      </c>
      <c r="AA105" s="173">
        <f t="shared" ca="1" si="361"/>
        <v>0</v>
      </c>
      <c r="AB105" s="173">
        <f t="shared" ca="1" si="361"/>
        <v>0</v>
      </c>
      <c r="AC105" s="173">
        <f t="shared" ca="1" si="361"/>
        <v>177.98415084485077</v>
      </c>
      <c r="AD105" s="173">
        <f t="shared" ca="1" si="361"/>
        <v>0</v>
      </c>
      <c r="AE105" s="173">
        <f t="shared" ca="1" si="361"/>
        <v>0</v>
      </c>
      <c r="AF105" s="173">
        <f t="shared" ca="1" si="361"/>
        <v>177.98415084485077</v>
      </c>
      <c r="AG105" s="173">
        <f t="shared" ca="1" si="361"/>
        <v>0</v>
      </c>
      <c r="AH105" s="173">
        <f t="shared" ca="1" si="361"/>
        <v>0</v>
      </c>
      <c r="AI105" s="173">
        <f t="shared" ca="1" si="361"/>
        <v>177.98415084485077</v>
      </c>
      <c r="AJ105" s="173">
        <f t="shared" ca="1" si="361"/>
        <v>0</v>
      </c>
      <c r="AK105" s="173">
        <f t="shared" ca="1" si="361"/>
        <v>0</v>
      </c>
      <c r="AL105" s="173">
        <f t="shared" ca="1" si="361"/>
        <v>178.42468934493257</v>
      </c>
      <c r="AM105" s="173">
        <f t="shared" ca="1" si="361"/>
        <v>0.44053850008180184</v>
      </c>
      <c r="AN105" s="173">
        <f t="shared" ca="1" si="361"/>
        <v>0</v>
      </c>
      <c r="AO105" s="173">
        <f t="shared" ca="1" si="361"/>
        <v>177.98415084485077</v>
      </c>
      <c r="AP105" s="173">
        <f t="shared" ca="1" si="361"/>
        <v>0</v>
      </c>
      <c r="AQ105" s="173">
        <f t="shared" ca="1" si="361"/>
        <v>0</v>
      </c>
      <c r="AR105" s="173">
        <f t="shared" ca="1" si="361"/>
        <v>177.98415084485077</v>
      </c>
      <c r="AS105" s="173">
        <f t="shared" ca="1" si="361"/>
        <v>0</v>
      </c>
      <c r="AT105" s="173">
        <f t="shared" ca="1" si="361"/>
        <v>0</v>
      </c>
      <c r="AU105" s="173">
        <f t="shared" ca="1" si="361"/>
        <v>177.98415084485077</v>
      </c>
      <c r="AV105" s="173">
        <f t="shared" ca="1" si="361"/>
        <v>0</v>
      </c>
      <c r="AW105" s="173">
        <f t="shared" ca="1" si="361"/>
        <v>0</v>
      </c>
      <c r="AX105" s="173">
        <f t="shared" ca="1" si="361"/>
        <v>177.98415084485077</v>
      </c>
      <c r="AY105" s="173">
        <f t="shared" ca="1" si="361"/>
        <v>0</v>
      </c>
      <c r="AZ105" s="173">
        <f t="shared" ca="1" si="361"/>
        <v>0</v>
      </c>
      <c r="BA105" s="173">
        <f t="shared" ca="1" si="361"/>
        <v>177.98415084485077</v>
      </c>
      <c r="BB105" s="173">
        <f t="shared" ca="1" si="361"/>
        <v>0</v>
      </c>
      <c r="BC105" s="173">
        <f t="shared" ca="1" si="361"/>
        <v>0</v>
      </c>
      <c r="BD105" s="173">
        <f t="shared" ca="1" si="361"/>
        <v>177.98415084485077</v>
      </c>
      <c r="BE105" s="173">
        <f t="shared" ca="1" si="361"/>
        <v>0</v>
      </c>
      <c r="BF105" s="173">
        <f t="shared" ca="1" si="361"/>
        <v>0</v>
      </c>
      <c r="BG105" s="173">
        <f t="shared" ca="1" si="361"/>
        <v>177.98415084485077</v>
      </c>
      <c r="BH105" s="173">
        <f t="shared" ca="1" si="361"/>
        <v>0</v>
      </c>
      <c r="BI105" s="173">
        <f t="shared" ca="1" si="361"/>
        <v>0</v>
      </c>
      <c r="BJ105" s="173">
        <f t="shared" ca="1" si="361"/>
        <v>177.98415084485077</v>
      </c>
      <c r="BK105" s="173">
        <f t="shared" ca="1" si="361"/>
        <v>0</v>
      </c>
      <c r="BL105" s="173">
        <f t="shared" ca="1" si="361"/>
        <v>0</v>
      </c>
      <c r="BM105" s="173">
        <f t="shared" ca="1" si="361"/>
        <v>177.98415084485077</v>
      </c>
      <c r="BN105" s="173">
        <f t="shared" ca="1" si="361"/>
        <v>0</v>
      </c>
      <c r="BO105" s="173">
        <f t="shared" ca="1" si="361"/>
        <v>0</v>
      </c>
      <c r="BP105" s="173">
        <f t="shared" ca="1" si="361"/>
        <v>148.32012570404231</v>
      </c>
      <c r="BQ105" s="173">
        <f t="shared" ca="1" si="361"/>
        <v>0</v>
      </c>
      <c r="BR105" s="173">
        <f t="shared" ca="1" si="361"/>
        <v>0</v>
      </c>
      <c r="BS105" s="173">
        <f t="shared" ca="1" si="361"/>
        <v>0</v>
      </c>
      <c r="BT105" s="173">
        <f t="shared" ca="1" si="361"/>
        <v>0</v>
      </c>
      <c r="BU105" s="173">
        <f t="shared" ref="BU105:BY105" ca="1" si="362">BU74+BU89+BU103</f>
        <v>0</v>
      </c>
      <c r="BV105" s="173">
        <f t="shared" ca="1" si="362"/>
        <v>0</v>
      </c>
      <c r="BW105" s="173">
        <f t="shared" ca="1" si="362"/>
        <v>0</v>
      </c>
      <c r="BX105" s="173">
        <f t="shared" ca="1" si="362"/>
        <v>0</v>
      </c>
      <c r="BY105" s="173">
        <f t="shared" ca="1" si="362"/>
        <v>0</v>
      </c>
    </row>
    <row r="107" spans="3:77" s="11" customFormat="1" ht="13.5" customHeight="1" outlineLevel="1">
      <c r="C107" s="11" t="s">
        <v>463</v>
      </c>
    </row>
    <row r="108" spans="3:77" s="11" customFormat="1" ht="13.5" customHeight="1" outlineLevel="1">
      <c r="D108" s="11" t="str">
        <f>C61</f>
        <v>1) 담보대출</v>
      </c>
      <c r="E108" s="228">
        <f>'A&amp;R'!L80</f>
        <v>0.03</v>
      </c>
      <c r="H108" s="11">
        <f ca="1">H72*$E108/12</f>
        <v>31.782884079437576</v>
      </c>
      <c r="I108" s="11">
        <f t="shared" ref="I108:BT108" ca="1" si="363">I72*$E108/12</f>
        <v>63.565768158875152</v>
      </c>
      <c r="J108" s="11">
        <f t="shared" ca="1" si="363"/>
        <v>63.565768158875152</v>
      </c>
      <c r="K108" s="11">
        <f t="shared" ca="1" si="363"/>
        <v>63.565768158875152</v>
      </c>
      <c r="L108" s="11">
        <f t="shared" ca="1" si="363"/>
        <v>63.565768158875152</v>
      </c>
      <c r="M108" s="11">
        <f t="shared" ca="1" si="363"/>
        <v>63.565768158875152</v>
      </c>
      <c r="N108" s="11">
        <f t="shared" ca="1" si="363"/>
        <v>63.565768158875152</v>
      </c>
      <c r="O108" s="11">
        <f t="shared" ca="1" si="363"/>
        <v>63.565768158875152</v>
      </c>
      <c r="P108" s="11">
        <f t="shared" ca="1" si="363"/>
        <v>63.565768158875152</v>
      </c>
      <c r="Q108" s="11">
        <f t="shared" ca="1" si="363"/>
        <v>63.565768158875152</v>
      </c>
      <c r="R108" s="11">
        <f t="shared" ca="1" si="363"/>
        <v>63.565768158875152</v>
      </c>
      <c r="S108" s="11">
        <f t="shared" ca="1" si="363"/>
        <v>63.565768158875152</v>
      </c>
      <c r="T108" s="11">
        <f t="shared" ca="1" si="363"/>
        <v>63.565768158875152</v>
      </c>
      <c r="U108" s="11">
        <f t="shared" ca="1" si="363"/>
        <v>63.565768158875152</v>
      </c>
      <c r="V108" s="11">
        <f t="shared" ca="1" si="363"/>
        <v>63.565768158875152</v>
      </c>
      <c r="W108" s="11">
        <f t="shared" ca="1" si="363"/>
        <v>63.565768158875152</v>
      </c>
      <c r="X108" s="11">
        <f t="shared" ca="1" si="363"/>
        <v>63.565768158875152</v>
      </c>
      <c r="Y108" s="11">
        <f t="shared" ca="1" si="363"/>
        <v>63.565768158875152</v>
      </c>
      <c r="Z108" s="11">
        <f t="shared" ca="1" si="363"/>
        <v>63.565768158875152</v>
      </c>
      <c r="AA108" s="11">
        <f t="shared" ca="1" si="363"/>
        <v>63.565768158875152</v>
      </c>
      <c r="AB108" s="11">
        <f t="shared" ca="1" si="363"/>
        <v>63.565768158875152</v>
      </c>
      <c r="AC108" s="11">
        <f t="shared" ca="1" si="363"/>
        <v>63.565768158875152</v>
      </c>
      <c r="AD108" s="11">
        <f t="shared" ca="1" si="363"/>
        <v>63.565768158875152</v>
      </c>
      <c r="AE108" s="11">
        <f t="shared" ca="1" si="363"/>
        <v>63.565768158875152</v>
      </c>
      <c r="AF108" s="11">
        <f t="shared" ca="1" si="363"/>
        <v>63.565768158875152</v>
      </c>
      <c r="AG108" s="11">
        <f t="shared" ca="1" si="363"/>
        <v>63.565768158875152</v>
      </c>
      <c r="AH108" s="11">
        <f t="shared" ca="1" si="363"/>
        <v>63.565768158875152</v>
      </c>
      <c r="AI108" s="11">
        <f t="shared" ca="1" si="363"/>
        <v>63.565768158875152</v>
      </c>
      <c r="AJ108" s="11">
        <f t="shared" ca="1" si="363"/>
        <v>63.565768158875152</v>
      </c>
      <c r="AK108" s="11">
        <f t="shared" ca="1" si="363"/>
        <v>63.565768158875152</v>
      </c>
      <c r="AL108" s="11">
        <f t="shared" ca="1" si="363"/>
        <v>63.565768158875152</v>
      </c>
      <c r="AM108" s="11">
        <f t="shared" ca="1" si="363"/>
        <v>63.565768158875152</v>
      </c>
      <c r="AN108" s="11">
        <f t="shared" ca="1" si="363"/>
        <v>63.565768158875152</v>
      </c>
      <c r="AO108" s="11">
        <f t="shared" ca="1" si="363"/>
        <v>63.565768158875152</v>
      </c>
      <c r="AP108" s="11">
        <f t="shared" ca="1" si="363"/>
        <v>63.565768158875152</v>
      </c>
      <c r="AQ108" s="11">
        <f t="shared" ca="1" si="363"/>
        <v>63.565768158875152</v>
      </c>
      <c r="AR108" s="11">
        <f t="shared" ca="1" si="363"/>
        <v>63.565768158875152</v>
      </c>
      <c r="AS108" s="11">
        <f t="shared" ca="1" si="363"/>
        <v>63.565768158875152</v>
      </c>
      <c r="AT108" s="11">
        <f t="shared" ca="1" si="363"/>
        <v>63.565768158875152</v>
      </c>
      <c r="AU108" s="11">
        <f t="shared" ca="1" si="363"/>
        <v>63.565768158875152</v>
      </c>
      <c r="AV108" s="11">
        <f t="shared" ca="1" si="363"/>
        <v>63.565768158875152</v>
      </c>
      <c r="AW108" s="11">
        <f t="shared" ca="1" si="363"/>
        <v>63.565768158875152</v>
      </c>
      <c r="AX108" s="11">
        <f t="shared" ca="1" si="363"/>
        <v>63.565768158875152</v>
      </c>
      <c r="AY108" s="11">
        <f t="shared" ca="1" si="363"/>
        <v>63.565768158875152</v>
      </c>
      <c r="AZ108" s="11">
        <f t="shared" ca="1" si="363"/>
        <v>63.565768158875152</v>
      </c>
      <c r="BA108" s="11">
        <f t="shared" ca="1" si="363"/>
        <v>63.565768158875152</v>
      </c>
      <c r="BB108" s="11">
        <f t="shared" ca="1" si="363"/>
        <v>63.565768158875152</v>
      </c>
      <c r="BC108" s="11">
        <f t="shared" ca="1" si="363"/>
        <v>63.565768158875152</v>
      </c>
      <c r="BD108" s="11">
        <f t="shared" ca="1" si="363"/>
        <v>63.565768158875152</v>
      </c>
      <c r="BE108" s="11">
        <f t="shared" ca="1" si="363"/>
        <v>63.565768158875152</v>
      </c>
      <c r="BF108" s="11">
        <f t="shared" ca="1" si="363"/>
        <v>63.565768158875152</v>
      </c>
      <c r="BG108" s="11">
        <f t="shared" ca="1" si="363"/>
        <v>63.565768158875152</v>
      </c>
      <c r="BH108" s="11">
        <f t="shared" ca="1" si="363"/>
        <v>63.565768158875152</v>
      </c>
      <c r="BI108" s="11">
        <f t="shared" ca="1" si="363"/>
        <v>63.565768158875152</v>
      </c>
      <c r="BJ108" s="11">
        <f t="shared" ca="1" si="363"/>
        <v>63.565768158875152</v>
      </c>
      <c r="BK108" s="11">
        <f t="shared" ca="1" si="363"/>
        <v>63.565768158875152</v>
      </c>
      <c r="BL108" s="11">
        <f t="shared" ca="1" si="363"/>
        <v>63.565768158875152</v>
      </c>
      <c r="BM108" s="11">
        <f t="shared" ca="1" si="363"/>
        <v>63.565768158875152</v>
      </c>
      <c r="BN108" s="11">
        <f t="shared" ca="1" si="363"/>
        <v>63.565768158875152</v>
      </c>
      <c r="BO108" s="11">
        <f t="shared" ca="1" si="363"/>
        <v>63.565768158875152</v>
      </c>
      <c r="BP108" s="11">
        <f t="shared" ca="1" si="363"/>
        <v>31.782884079437576</v>
      </c>
      <c r="BQ108" s="11">
        <f t="shared" ca="1" si="363"/>
        <v>0</v>
      </c>
      <c r="BR108" s="11">
        <f t="shared" ca="1" si="363"/>
        <v>0</v>
      </c>
      <c r="BS108" s="11">
        <f t="shared" ca="1" si="363"/>
        <v>0</v>
      </c>
      <c r="BT108" s="11">
        <f t="shared" ca="1" si="363"/>
        <v>0</v>
      </c>
      <c r="BU108" s="11">
        <f t="shared" ref="BU108:BY108" ca="1" si="364">BU72*$E108/12</f>
        <v>0</v>
      </c>
      <c r="BV108" s="11">
        <f t="shared" ca="1" si="364"/>
        <v>0</v>
      </c>
      <c r="BW108" s="11">
        <f t="shared" ca="1" si="364"/>
        <v>0</v>
      </c>
      <c r="BX108" s="11">
        <f t="shared" ca="1" si="364"/>
        <v>0</v>
      </c>
      <c r="BY108" s="11">
        <f t="shared" ca="1" si="364"/>
        <v>0</v>
      </c>
    </row>
    <row r="109" spans="3:77" s="11" customFormat="1" ht="13.5" customHeight="1" outlineLevel="1">
      <c r="D109" s="11" t="str">
        <f>C76</f>
        <v>2) VAT Loan</v>
      </c>
      <c r="E109" s="228">
        <f>'A&amp;R'!L81</f>
        <v>0.04</v>
      </c>
      <c r="H109" s="11">
        <f ca="1">H87*$E109/12</f>
        <v>4.9964467173777782</v>
      </c>
      <c r="I109" s="11">
        <f t="shared" ref="I109:BT109" ca="1" si="365">I87*$E109/12</f>
        <v>9.9928934347555565</v>
      </c>
      <c r="J109" s="11">
        <f t="shared" ca="1" si="365"/>
        <v>9.9928934347555565</v>
      </c>
      <c r="K109" s="11">
        <f t="shared" ca="1" si="365"/>
        <v>9.9928934347555565</v>
      </c>
      <c r="L109" s="11">
        <f t="shared" ca="1" si="365"/>
        <v>9.9928934347555565</v>
      </c>
      <c r="M109" s="11">
        <f t="shared" ca="1" si="365"/>
        <v>4.9964467173777782</v>
      </c>
      <c r="N109" s="11">
        <f t="shared" ca="1" si="365"/>
        <v>0</v>
      </c>
      <c r="O109" s="11">
        <f t="shared" ca="1" si="365"/>
        <v>0</v>
      </c>
      <c r="P109" s="11">
        <f t="shared" ca="1" si="365"/>
        <v>0</v>
      </c>
      <c r="Q109" s="11">
        <f t="shared" ca="1" si="365"/>
        <v>0</v>
      </c>
      <c r="R109" s="11">
        <f t="shared" ca="1" si="365"/>
        <v>0</v>
      </c>
      <c r="S109" s="11">
        <f t="shared" ca="1" si="365"/>
        <v>0</v>
      </c>
      <c r="T109" s="11">
        <f t="shared" ca="1" si="365"/>
        <v>0</v>
      </c>
      <c r="U109" s="11">
        <f t="shared" ca="1" si="365"/>
        <v>0</v>
      </c>
      <c r="V109" s="11">
        <f t="shared" ca="1" si="365"/>
        <v>0</v>
      </c>
      <c r="W109" s="11">
        <f t="shared" ca="1" si="365"/>
        <v>0</v>
      </c>
      <c r="X109" s="11">
        <f t="shared" ca="1" si="365"/>
        <v>0</v>
      </c>
      <c r="Y109" s="11">
        <f t="shared" ca="1" si="365"/>
        <v>0</v>
      </c>
      <c r="Z109" s="11">
        <f t="shared" ca="1" si="365"/>
        <v>0</v>
      </c>
      <c r="AA109" s="11">
        <f t="shared" ca="1" si="365"/>
        <v>0</v>
      </c>
      <c r="AB109" s="11">
        <f t="shared" ca="1" si="365"/>
        <v>0</v>
      </c>
      <c r="AC109" s="11">
        <f t="shared" ca="1" si="365"/>
        <v>0</v>
      </c>
      <c r="AD109" s="11">
        <f t="shared" ca="1" si="365"/>
        <v>0</v>
      </c>
      <c r="AE109" s="11">
        <f t="shared" ca="1" si="365"/>
        <v>0</v>
      </c>
      <c r="AF109" s="11">
        <f t="shared" ca="1" si="365"/>
        <v>0</v>
      </c>
      <c r="AG109" s="11">
        <f t="shared" ca="1" si="365"/>
        <v>0</v>
      </c>
      <c r="AH109" s="11">
        <f t="shared" ca="1" si="365"/>
        <v>0</v>
      </c>
      <c r="AI109" s="11">
        <f t="shared" ca="1" si="365"/>
        <v>0</v>
      </c>
      <c r="AJ109" s="11">
        <f t="shared" ca="1" si="365"/>
        <v>0</v>
      </c>
      <c r="AK109" s="11">
        <f t="shared" ca="1" si="365"/>
        <v>0</v>
      </c>
      <c r="AL109" s="11">
        <f t="shared" ca="1" si="365"/>
        <v>0</v>
      </c>
      <c r="AM109" s="11">
        <f t="shared" ca="1" si="365"/>
        <v>0</v>
      </c>
      <c r="AN109" s="11">
        <f t="shared" ca="1" si="365"/>
        <v>0</v>
      </c>
      <c r="AO109" s="11">
        <f t="shared" ca="1" si="365"/>
        <v>0</v>
      </c>
      <c r="AP109" s="11">
        <f t="shared" ca="1" si="365"/>
        <v>0</v>
      </c>
      <c r="AQ109" s="11">
        <f t="shared" ca="1" si="365"/>
        <v>0</v>
      </c>
      <c r="AR109" s="11">
        <f t="shared" ca="1" si="365"/>
        <v>0</v>
      </c>
      <c r="AS109" s="11">
        <f t="shared" ca="1" si="365"/>
        <v>0</v>
      </c>
      <c r="AT109" s="11">
        <f t="shared" ca="1" si="365"/>
        <v>0</v>
      </c>
      <c r="AU109" s="11">
        <f t="shared" ca="1" si="365"/>
        <v>0</v>
      </c>
      <c r="AV109" s="11">
        <f t="shared" ca="1" si="365"/>
        <v>0</v>
      </c>
      <c r="AW109" s="11">
        <f t="shared" ca="1" si="365"/>
        <v>0</v>
      </c>
      <c r="AX109" s="11">
        <f t="shared" ca="1" si="365"/>
        <v>0</v>
      </c>
      <c r="AY109" s="11">
        <f t="shared" ca="1" si="365"/>
        <v>0</v>
      </c>
      <c r="AZ109" s="11">
        <f t="shared" ca="1" si="365"/>
        <v>0</v>
      </c>
      <c r="BA109" s="11">
        <f t="shared" ca="1" si="365"/>
        <v>0</v>
      </c>
      <c r="BB109" s="11">
        <f t="shared" ca="1" si="365"/>
        <v>0</v>
      </c>
      <c r="BC109" s="11">
        <f t="shared" ca="1" si="365"/>
        <v>0</v>
      </c>
      <c r="BD109" s="11">
        <f t="shared" ca="1" si="365"/>
        <v>0</v>
      </c>
      <c r="BE109" s="11">
        <f t="shared" ca="1" si="365"/>
        <v>0</v>
      </c>
      <c r="BF109" s="11">
        <f t="shared" ca="1" si="365"/>
        <v>0</v>
      </c>
      <c r="BG109" s="11">
        <f t="shared" ca="1" si="365"/>
        <v>0</v>
      </c>
      <c r="BH109" s="11">
        <f t="shared" ca="1" si="365"/>
        <v>0</v>
      </c>
      <c r="BI109" s="11">
        <f t="shared" ca="1" si="365"/>
        <v>0</v>
      </c>
      <c r="BJ109" s="11">
        <f t="shared" ca="1" si="365"/>
        <v>0</v>
      </c>
      <c r="BK109" s="11">
        <f t="shared" ca="1" si="365"/>
        <v>0</v>
      </c>
      <c r="BL109" s="11">
        <f t="shared" ca="1" si="365"/>
        <v>0</v>
      </c>
      <c r="BM109" s="11">
        <f t="shared" ca="1" si="365"/>
        <v>0</v>
      </c>
      <c r="BN109" s="11">
        <f t="shared" ca="1" si="365"/>
        <v>0</v>
      </c>
      <c r="BO109" s="11">
        <f t="shared" ca="1" si="365"/>
        <v>0</v>
      </c>
      <c r="BP109" s="11">
        <f t="shared" ca="1" si="365"/>
        <v>0</v>
      </c>
      <c r="BQ109" s="11">
        <f t="shared" ca="1" si="365"/>
        <v>0</v>
      </c>
      <c r="BR109" s="11">
        <f t="shared" ca="1" si="365"/>
        <v>0</v>
      </c>
      <c r="BS109" s="11">
        <f t="shared" ca="1" si="365"/>
        <v>0</v>
      </c>
      <c r="BT109" s="11">
        <f t="shared" ca="1" si="365"/>
        <v>0</v>
      </c>
      <c r="BU109" s="11">
        <f t="shared" ref="BU109:BY109" ca="1" si="366">BU87*$E109/12</f>
        <v>0</v>
      </c>
      <c r="BV109" s="11">
        <f t="shared" ca="1" si="366"/>
        <v>0</v>
      </c>
      <c r="BW109" s="11">
        <f t="shared" ca="1" si="366"/>
        <v>0</v>
      </c>
      <c r="BX109" s="11">
        <f t="shared" ca="1" si="366"/>
        <v>0</v>
      </c>
      <c r="BY109" s="11">
        <f t="shared" ca="1" si="366"/>
        <v>0</v>
      </c>
    </row>
    <row r="110" spans="3:77" s="11" customFormat="1" ht="13.5" customHeight="1" outlineLevel="1">
      <c r="D110" s="229" t="str">
        <f>C91</f>
        <v>3) 한도대출</v>
      </c>
      <c r="E110" s="164">
        <f>'A&amp;R'!D86</f>
        <v>0.04</v>
      </c>
      <c r="F110" s="229"/>
      <c r="G110" s="229"/>
      <c r="H110" s="229">
        <f ca="1">H102*$E110/12</f>
        <v>0</v>
      </c>
      <c r="I110" s="229">
        <f t="shared" ref="I110:BT110" ca="1" si="367">I102*$E110/12</f>
        <v>0</v>
      </c>
      <c r="J110" s="229">
        <f t="shared" ca="1" si="367"/>
        <v>0</v>
      </c>
      <c r="K110" s="229">
        <f t="shared" ca="1" si="367"/>
        <v>0</v>
      </c>
      <c r="L110" s="229">
        <f t="shared" ca="1" si="367"/>
        <v>0</v>
      </c>
      <c r="M110" s="229">
        <f t="shared" ca="1" si="367"/>
        <v>0.37535318827282671</v>
      </c>
      <c r="N110" s="229">
        <f t="shared" ca="1" si="367"/>
        <v>1.1211557208163401</v>
      </c>
      <c r="O110" s="229">
        <f t="shared" ca="1" si="367"/>
        <v>0.74580253254351325</v>
      </c>
      <c r="P110" s="229">
        <f t="shared" ca="1" si="367"/>
        <v>0</v>
      </c>
      <c r="Q110" s="229">
        <f t="shared" ca="1" si="367"/>
        <v>0</v>
      </c>
      <c r="R110" s="229">
        <f t="shared" ca="1" si="367"/>
        <v>0</v>
      </c>
      <c r="S110" s="229">
        <f t="shared" ca="1" si="367"/>
        <v>0</v>
      </c>
      <c r="T110" s="229">
        <f t="shared" ca="1" si="367"/>
        <v>0</v>
      </c>
      <c r="U110" s="229">
        <f t="shared" ca="1" si="367"/>
        <v>0</v>
      </c>
      <c r="V110" s="229">
        <f t="shared" ca="1" si="367"/>
        <v>0</v>
      </c>
      <c r="W110" s="229">
        <f t="shared" ca="1" si="367"/>
        <v>0</v>
      </c>
      <c r="X110" s="229">
        <f t="shared" ca="1" si="367"/>
        <v>0</v>
      </c>
      <c r="Y110" s="229">
        <f t="shared" ca="1" si="367"/>
        <v>0</v>
      </c>
      <c r="Z110" s="229">
        <f t="shared" ca="1" si="367"/>
        <v>0</v>
      </c>
      <c r="AA110" s="229">
        <f t="shared" ca="1" si="367"/>
        <v>0</v>
      </c>
      <c r="AB110" s="229">
        <f t="shared" ca="1" si="367"/>
        <v>0</v>
      </c>
      <c r="AC110" s="229">
        <f t="shared" ca="1" si="367"/>
        <v>0</v>
      </c>
      <c r="AD110" s="229">
        <f t="shared" ca="1" si="367"/>
        <v>0</v>
      </c>
      <c r="AE110" s="229">
        <f t="shared" ca="1" si="367"/>
        <v>0</v>
      </c>
      <c r="AF110" s="229">
        <f t="shared" ca="1" si="367"/>
        <v>0</v>
      </c>
      <c r="AG110" s="229">
        <f t="shared" ca="1" si="367"/>
        <v>0</v>
      </c>
      <c r="AH110" s="229">
        <f t="shared" ca="1" si="367"/>
        <v>0</v>
      </c>
      <c r="AI110" s="229">
        <f t="shared" ca="1" si="367"/>
        <v>0</v>
      </c>
      <c r="AJ110" s="229">
        <f t="shared" ca="1" si="367"/>
        <v>0</v>
      </c>
      <c r="AK110" s="229">
        <f t="shared" ca="1" si="367"/>
        <v>0</v>
      </c>
      <c r="AL110" s="229">
        <f t="shared" ca="1" si="367"/>
        <v>0.44053850008180184</v>
      </c>
      <c r="AM110" s="229">
        <f t="shared" ca="1" si="367"/>
        <v>0.44053850008180184</v>
      </c>
      <c r="AN110" s="229">
        <f t="shared" ca="1" si="367"/>
        <v>0</v>
      </c>
      <c r="AO110" s="229">
        <f t="shared" ca="1" si="367"/>
        <v>0</v>
      </c>
      <c r="AP110" s="229">
        <f t="shared" ca="1" si="367"/>
        <v>0</v>
      </c>
      <c r="AQ110" s="229">
        <f t="shared" ca="1" si="367"/>
        <v>0</v>
      </c>
      <c r="AR110" s="229">
        <f t="shared" ca="1" si="367"/>
        <v>0</v>
      </c>
      <c r="AS110" s="229">
        <f t="shared" ca="1" si="367"/>
        <v>0</v>
      </c>
      <c r="AT110" s="229">
        <f t="shared" ca="1" si="367"/>
        <v>0</v>
      </c>
      <c r="AU110" s="229">
        <f t="shared" ca="1" si="367"/>
        <v>0</v>
      </c>
      <c r="AV110" s="229">
        <f t="shared" ca="1" si="367"/>
        <v>0</v>
      </c>
      <c r="AW110" s="229">
        <f t="shared" ca="1" si="367"/>
        <v>0</v>
      </c>
      <c r="AX110" s="229">
        <f t="shared" ca="1" si="367"/>
        <v>0</v>
      </c>
      <c r="AY110" s="229">
        <f t="shared" ca="1" si="367"/>
        <v>0</v>
      </c>
      <c r="AZ110" s="229">
        <f t="shared" ca="1" si="367"/>
        <v>0</v>
      </c>
      <c r="BA110" s="229">
        <f t="shared" ca="1" si="367"/>
        <v>0</v>
      </c>
      <c r="BB110" s="229">
        <f t="shared" ca="1" si="367"/>
        <v>0</v>
      </c>
      <c r="BC110" s="229">
        <f t="shared" ca="1" si="367"/>
        <v>0</v>
      </c>
      <c r="BD110" s="229">
        <f t="shared" ca="1" si="367"/>
        <v>0</v>
      </c>
      <c r="BE110" s="229">
        <f t="shared" ca="1" si="367"/>
        <v>0</v>
      </c>
      <c r="BF110" s="229">
        <f t="shared" ca="1" si="367"/>
        <v>0</v>
      </c>
      <c r="BG110" s="229">
        <f t="shared" ca="1" si="367"/>
        <v>0</v>
      </c>
      <c r="BH110" s="229">
        <f t="shared" ca="1" si="367"/>
        <v>0</v>
      </c>
      <c r="BI110" s="229">
        <f t="shared" ca="1" si="367"/>
        <v>0</v>
      </c>
      <c r="BJ110" s="229">
        <f t="shared" ca="1" si="367"/>
        <v>0</v>
      </c>
      <c r="BK110" s="229">
        <f t="shared" ca="1" si="367"/>
        <v>0</v>
      </c>
      <c r="BL110" s="229">
        <f t="shared" ca="1" si="367"/>
        <v>0</v>
      </c>
      <c r="BM110" s="229">
        <f t="shared" ca="1" si="367"/>
        <v>0</v>
      </c>
      <c r="BN110" s="229">
        <f t="shared" ca="1" si="367"/>
        <v>0</v>
      </c>
      <c r="BO110" s="229">
        <f t="shared" ca="1" si="367"/>
        <v>0</v>
      </c>
      <c r="BP110" s="229">
        <f t="shared" ca="1" si="367"/>
        <v>0</v>
      </c>
      <c r="BQ110" s="229">
        <f t="shared" ca="1" si="367"/>
        <v>0</v>
      </c>
      <c r="BR110" s="229">
        <f t="shared" ca="1" si="367"/>
        <v>0</v>
      </c>
      <c r="BS110" s="229">
        <f t="shared" ca="1" si="367"/>
        <v>0</v>
      </c>
      <c r="BT110" s="229">
        <f t="shared" ca="1" si="367"/>
        <v>0</v>
      </c>
      <c r="BU110" s="229">
        <f t="shared" ref="BU110:BY110" ca="1" si="368">BU102*$E110/12</f>
        <v>0</v>
      </c>
      <c r="BV110" s="229">
        <f t="shared" ca="1" si="368"/>
        <v>0</v>
      </c>
      <c r="BW110" s="229">
        <f t="shared" ca="1" si="368"/>
        <v>0</v>
      </c>
      <c r="BX110" s="229">
        <f t="shared" ca="1" si="368"/>
        <v>0</v>
      </c>
      <c r="BY110" s="229">
        <f t="shared" ca="1" si="368"/>
        <v>0</v>
      </c>
    </row>
    <row r="111" spans="3:77" s="11" customFormat="1" ht="13.5" customHeight="1" outlineLevel="1">
      <c r="D111" s="11" t="s">
        <v>464</v>
      </c>
      <c r="H111" s="11">
        <f ca="1">SUM(H108:H110)</f>
        <v>36.779330796815351</v>
      </c>
      <c r="I111" s="11">
        <f t="shared" ref="I111:BT111" ca="1" si="369">SUM(I108:I110)</f>
        <v>73.558661593630703</v>
      </c>
      <c r="J111" s="11">
        <f t="shared" ca="1" si="369"/>
        <v>73.558661593630703</v>
      </c>
      <c r="K111" s="11">
        <f t="shared" ca="1" si="369"/>
        <v>73.558661593630703</v>
      </c>
      <c r="L111" s="11">
        <f t="shared" ca="1" si="369"/>
        <v>73.558661593630703</v>
      </c>
      <c r="M111" s="11">
        <f t="shared" ca="1" si="369"/>
        <v>68.937568064525749</v>
      </c>
      <c r="N111" s="11">
        <f t="shared" ca="1" si="369"/>
        <v>64.686923879691491</v>
      </c>
      <c r="O111" s="11">
        <f t="shared" ca="1" si="369"/>
        <v>64.311570691418666</v>
      </c>
      <c r="P111" s="11">
        <f t="shared" ca="1" si="369"/>
        <v>63.565768158875152</v>
      </c>
      <c r="Q111" s="11">
        <f t="shared" ca="1" si="369"/>
        <v>63.565768158875152</v>
      </c>
      <c r="R111" s="11">
        <f t="shared" ca="1" si="369"/>
        <v>63.565768158875152</v>
      </c>
      <c r="S111" s="11">
        <f t="shared" ca="1" si="369"/>
        <v>63.565768158875152</v>
      </c>
      <c r="T111" s="11">
        <f t="shared" ca="1" si="369"/>
        <v>63.565768158875152</v>
      </c>
      <c r="U111" s="11">
        <f t="shared" ca="1" si="369"/>
        <v>63.565768158875152</v>
      </c>
      <c r="V111" s="11">
        <f t="shared" ca="1" si="369"/>
        <v>63.565768158875152</v>
      </c>
      <c r="W111" s="11">
        <f t="shared" ca="1" si="369"/>
        <v>63.565768158875152</v>
      </c>
      <c r="X111" s="11">
        <f t="shared" ca="1" si="369"/>
        <v>63.565768158875152</v>
      </c>
      <c r="Y111" s="11">
        <f t="shared" ca="1" si="369"/>
        <v>63.565768158875152</v>
      </c>
      <c r="Z111" s="11">
        <f t="shared" ca="1" si="369"/>
        <v>63.565768158875152</v>
      </c>
      <c r="AA111" s="11">
        <f t="shared" ca="1" si="369"/>
        <v>63.565768158875152</v>
      </c>
      <c r="AB111" s="11">
        <f t="shared" ca="1" si="369"/>
        <v>63.565768158875152</v>
      </c>
      <c r="AC111" s="11">
        <f t="shared" ca="1" si="369"/>
        <v>63.565768158875152</v>
      </c>
      <c r="AD111" s="11">
        <f t="shared" ca="1" si="369"/>
        <v>63.565768158875152</v>
      </c>
      <c r="AE111" s="11">
        <f t="shared" ca="1" si="369"/>
        <v>63.565768158875152</v>
      </c>
      <c r="AF111" s="11">
        <f t="shared" ca="1" si="369"/>
        <v>63.565768158875152</v>
      </c>
      <c r="AG111" s="11">
        <f t="shared" ca="1" si="369"/>
        <v>63.565768158875152</v>
      </c>
      <c r="AH111" s="11">
        <f t="shared" ca="1" si="369"/>
        <v>63.565768158875152</v>
      </c>
      <c r="AI111" s="11">
        <f t="shared" ca="1" si="369"/>
        <v>63.565768158875152</v>
      </c>
      <c r="AJ111" s="11">
        <f t="shared" ca="1" si="369"/>
        <v>63.565768158875152</v>
      </c>
      <c r="AK111" s="11">
        <f t="shared" ca="1" si="369"/>
        <v>63.565768158875152</v>
      </c>
      <c r="AL111" s="11">
        <f t="shared" ca="1" si="369"/>
        <v>64.006306658956959</v>
      </c>
      <c r="AM111" s="11">
        <f t="shared" ca="1" si="369"/>
        <v>64.006306658956959</v>
      </c>
      <c r="AN111" s="11">
        <f t="shared" ca="1" si="369"/>
        <v>63.565768158875152</v>
      </c>
      <c r="AO111" s="11">
        <f t="shared" ca="1" si="369"/>
        <v>63.565768158875152</v>
      </c>
      <c r="AP111" s="11">
        <f t="shared" ca="1" si="369"/>
        <v>63.565768158875152</v>
      </c>
      <c r="AQ111" s="11">
        <f t="shared" ca="1" si="369"/>
        <v>63.565768158875152</v>
      </c>
      <c r="AR111" s="11">
        <f t="shared" ca="1" si="369"/>
        <v>63.565768158875152</v>
      </c>
      <c r="AS111" s="11">
        <f t="shared" ca="1" si="369"/>
        <v>63.565768158875152</v>
      </c>
      <c r="AT111" s="11">
        <f t="shared" ca="1" si="369"/>
        <v>63.565768158875152</v>
      </c>
      <c r="AU111" s="11">
        <f t="shared" ca="1" si="369"/>
        <v>63.565768158875152</v>
      </c>
      <c r="AV111" s="11">
        <f t="shared" ca="1" si="369"/>
        <v>63.565768158875152</v>
      </c>
      <c r="AW111" s="11">
        <f t="shared" ca="1" si="369"/>
        <v>63.565768158875152</v>
      </c>
      <c r="AX111" s="11">
        <f t="shared" ca="1" si="369"/>
        <v>63.565768158875152</v>
      </c>
      <c r="AY111" s="11">
        <f t="shared" ca="1" si="369"/>
        <v>63.565768158875152</v>
      </c>
      <c r="AZ111" s="11">
        <f t="shared" ca="1" si="369"/>
        <v>63.565768158875152</v>
      </c>
      <c r="BA111" s="11">
        <f t="shared" ca="1" si="369"/>
        <v>63.565768158875152</v>
      </c>
      <c r="BB111" s="11">
        <f t="shared" ca="1" si="369"/>
        <v>63.565768158875152</v>
      </c>
      <c r="BC111" s="11">
        <f t="shared" ca="1" si="369"/>
        <v>63.565768158875152</v>
      </c>
      <c r="BD111" s="11">
        <f t="shared" ca="1" si="369"/>
        <v>63.565768158875152</v>
      </c>
      <c r="BE111" s="11">
        <f t="shared" ca="1" si="369"/>
        <v>63.565768158875152</v>
      </c>
      <c r="BF111" s="11">
        <f t="shared" ca="1" si="369"/>
        <v>63.565768158875152</v>
      </c>
      <c r="BG111" s="11">
        <f t="shared" ca="1" si="369"/>
        <v>63.565768158875152</v>
      </c>
      <c r="BH111" s="11">
        <f t="shared" ca="1" si="369"/>
        <v>63.565768158875152</v>
      </c>
      <c r="BI111" s="11">
        <f t="shared" ca="1" si="369"/>
        <v>63.565768158875152</v>
      </c>
      <c r="BJ111" s="11">
        <f t="shared" ca="1" si="369"/>
        <v>63.565768158875152</v>
      </c>
      <c r="BK111" s="11">
        <f t="shared" ca="1" si="369"/>
        <v>63.565768158875152</v>
      </c>
      <c r="BL111" s="11">
        <f t="shared" ca="1" si="369"/>
        <v>63.565768158875152</v>
      </c>
      <c r="BM111" s="11">
        <f t="shared" ca="1" si="369"/>
        <v>63.565768158875152</v>
      </c>
      <c r="BN111" s="11">
        <f t="shared" ca="1" si="369"/>
        <v>63.565768158875152</v>
      </c>
      <c r="BO111" s="11">
        <f t="shared" ca="1" si="369"/>
        <v>63.565768158875152</v>
      </c>
      <c r="BP111" s="11">
        <f t="shared" ca="1" si="369"/>
        <v>31.782884079437576</v>
      </c>
      <c r="BQ111" s="11">
        <f t="shared" ca="1" si="369"/>
        <v>0</v>
      </c>
      <c r="BR111" s="11">
        <f t="shared" ca="1" si="369"/>
        <v>0</v>
      </c>
      <c r="BS111" s="11">
        <f t="shared" ca="1" si="369"/>
        <v>0</v>
      </c>
      <c r="BT111" s="11">
        <f t="shared" ca="1" si="369"/>
        <v>0</v>
      </c>
      <c r="BU111" s="11">
        <f t="shared" ref="BU111:BY111" ca="1" si="370">SUM(BU108:BU110)</f>
        <v>0</v>
      </c>
      <c r="BV111" s="11">
        <f t="shared" ca="1" si="370"/>
        <v>0</v>
      </c>
      <c r="BW111" s="11">
        <f t="shared" ca="1" si="370"/>
        <v>0</v>
      </c>
      <c r="BX111" s="11">
        <f t="shared" ca="1" si="370"/>
        <v>0</v>
      </c>
      <c r="BY111" s="11">
        <f t="shared" ca="1" si="370"/>
        <v>0</v>
      </c>
    </row>
    <row r="115" spans="3:77" s="11" customFormat="1" ht="13.5" customHeight="1" outlineLevel="1">
      <c r="H115" s="11" t="b">
        <f ca="1">F57</f>
        <v>1</v>
      </c>
      <c r="I115" s="11" t="b">
        <f ca="1">E74</f>
        <v>1</v>
      </c>
      <c r="J115" s="11" t="b">
        <f ca="1">E89</f>
        <v>1</v>
      </c>
    </row>
    <row r="117" spans="3:77" ht="13.5" customHeight="1">
      <c r="C117" s="1" t="s">
        <v>509</v>
      </c>
    </row>
    <row r="118" spans="3:77" ht="13.5" customHeight="1">
      <c r="D118" s="1" t="s">
        <v>510</v>
      </c>
      <c r="H118" s="1">
        <f ca="1">SUM(H18:H19,H21)</f>
        <v>0</v>
      </c>
      <c r="I118" s="1">
        <f t="shared" ref="I118:BT118" ca="1" si="371">SUM(I18:I19,I21)</f>
        <v>110.89936900000004</v>
      </c>
      <c r="J118" s="1">
        <f t="shared" ca="1" si="371"/>
        <v>210.26263299999999</v>
      </c>
      <c r="K118" s="1">
        <f t="shared" ca="1" si="371"/>
        <v>210.26263299999999</v>
      </c>
      <c r="L118" s="1">
        <f t="shared" ca="1" si="371"/>
        <v>90.188815384020472</v>
      </c>
      <c r="M118" s="1">
        <f t="shared" ca="1" si="371"/>
        <v>210.26263299999999</v>
      </c>
      <c r="N118" s="1">
        <f t="shared" ca="1" si="371"/>
        <v>-42.164299996745136</v>
      </c>
      <c r="O118" s="1">
        <f t="shared" ca="1" si="371"/>
        <v>-104.730367</v>
      </c>
      <c r="P118" s="1">
        <f t="shared" ca="1" si="371"/>
        <v>215.1154663333333</v>
      </c>
      <c r="Q118" s="1">
        <f t="shared" ca="1" si="371"/>
        <v>215.1154663333333</v>
      </c>
      <c r="R118" s="1">
        <f t="shared" ca="1" si="371"/>
        <v>213.55193299999999</v>
      </c>
      <c r="S118" s="1">
        <f t="shared" ca="1" si="371"/>
        <v>215.1154663333333</v>
      </c>
      <c r="T118" s="1">
        <f t="shared" ca="1" si="371"/>
        <v>122.19025253258819</v>
      </c>
      <c r="U118" s="1">
        <f t="shared" ca="1" si="371"/>
        <v>113.86585286833335</v>
      </c>
      <c r="V118" s="1">
        <f t="shared" ca="1" si="371"/>
        <v>214.71956582833332</v>
      </c>
      <c r="W118" s="1">
        <f t="shared" ca="1" si="371"/>
        <v>214.71956582833332</v>
      </c>
      <c r="X118" s="1">
        <f t="shared" ca="1" si="371"/>
        <v>93.733956908807727</v>
      </c>
      <c r="Y118" s="1">
        <f t="shared" ca="1" si="371"/>
        <v>214.71956582833332</v>
      </c>
      <c r="Z118" s="1">
        <f t="shared" ca="1" si="371"/>
        <v>88.332061255708197</v>
      </c>
      <c r="AA118" s="1">
        <f t="shared" ca="1" si="371"/>
        <v>216.03865416166667</v>
      </c>
      <c r="AB118" s="1">
        <f t="shared" ca="1" si="371"/>
        <v>216.03865416166667</v>
      </c>
      <c r="AC118" s="1">
        <f t="shared" ca="1" si="371"/>
        <v>215.85720343942666</v>
      </c>
      <c r="AD118" s="1">
        <f t="shared" ca="1" si="371"/>
        <v>214.14963416166668</v>
      </c>
      <c r="AE118" s="1">
        <f t="shared" ca="1" si="371"/>
        <v>216.03865416166667</v>
      </c>
      <c r="AF118" s="1">
        <f t="shared" ca="1" si="371"/>
        <v>123.11344036092163</v>
      </c>
      <c r="AG118" s="1">
        <f t="shared" ca="1" si="371"/>
        <v>113.27029649469171</v>
      </c>
      <c r="AH118" s="1">
        <f t="shared" ca="1" si="371"/>
        <v>215.63681514909166</v>
      </c>
      <c r="AI118" s="1">
        <f t="shared" ca="1" si="371"/>
        <v>215.63681514909166</v>
      </c>
      <c r="AJ118" s="1">
        <f t="shared" ca="1" si="371"/>
        <v>94.106435661661635</v>
      </c>
      <c r="AK118" s="1">
        <f t="shared" ca="1" si="371"/>
        <v>215.63681514909166</v>
      </c>
      <c r="AL118" s="1">
        <f t="shared" ca="1" si="371"/>
        <v>-26.397758146689682</v>
      </c>
      <c r="AM118" s="1">
        <f t="shared" ca="1" si="371"/>
        <v>-66.159905634241653</v>
      </c>
      <c r="AN118" s="1">
        <f t="shared" ca="1" si="371"/>
        <v>221.65059436575831</v>
      </c>
      <c r="AO118" s="1">
        <f t="shared" ca="1" si="371"/>
        <v>221.37841828239834</v>
      </c>
      <c r="AP118" s="1">
        <f t="shared" ca="1" si="371"/>
        <v>219.88965696575832</v>
      </c>
      <c r="AQ118" s="1">
        <f t="shared" ca="1" si="371"/>
        <v>221.65059436575831</v>
      </c>
      <c r="AR118" s="1">
        <f t="shared" ca="1" si="371"/>
        <v>128.72538056501332</v>
      </c>
      <c r="AS118" s="1">
        <f t="shared" ca="1" si="371"/>
        <v>117.34071133377878</v>
      </c>
      <c r="AT118" s="1">
        <f t="shared" ca="1" si="371"/>
        <v>221.24272776799469</v>
      </c>
      <c r="AU118" s="1">
        <f t="shared" ca="1" si="371"/>
        <v>221.24272776799469</v>
      </c>
      <c r="AV118" s="1">
        <f t="shared" ca="1" si="371"/>
        <v>99.226874798613551</v>
      </c>
      <c r="AW118" s="1">
        <f t="shared" ca="1" si="371"/>
        <v>221.24272776799469</v>
      </c>
      <c r="AX118" s="1">
        <f t="shared" ca="1" si="371"/>
        <v>92.729673687362208</v>
      </c>
      <c r="AY118" s="1">
        <f t="shared" ca="1" si="371"/>
        <v>223.78114477682803</v>
      </c>
      <c r="AZ118" s="1">
        <f t="shared" ca="1" si="371"/>
        <v>223.78114477682803</v>
      </c>
      <c r="BA118" s="1">
        <f t="shared" ca="1" si="371"/>
        <v>223.37288065178802</v>
      </c>
      <c r="BB118" s="1">
        <f t="shared" ca="1" si="371"/>
        <v>221.87594637682804</v>
      </c>
      <c r="BC118" s="1">
        <f t="shared" ca="1" si="371"/>
        <v>223.78114477682803</v>
      </c>
      <c r="BD118" s="1">
        <f t="shared" ca="1" si="371"/>
        <v>130.8559309760827</v>
      </c>
      <c r="BE118" s="1">
        <f t="shared" ca="1" si="371"/>
        <v>117.90661349936875</v>
      </c>
      <c r="BF118" s="1">
        <f t="shared" ca="1" si="371"/>
        <v>223.36716018009798</v>
      </c>
      <c r="BG118" s="1">
        <f t="shared" ca="1" si="371"/>
        <v>223.36716018009798</v>
      </c>
      <c r="BH118" s="1">
        <f t="shared" ca="1" si="371"/>
        <v>100.96250643738728</v>
      </c>
      <c r="BI118" s="1">
        <f t="shared" ca="1" si="371"/>
        <v>223.36716018009798</v>
      </c>
      <c r="BJ118" s="1">
        <f t="shared" ca="1" si="371"/>
        <v>93.743270891068505</v>
      </c>
      <c r="BK118" s="1">
        <f t="shared" ca="1" si="371"/>
        <v>225.93096135901965</v>
      </c>
      <c r="BL118" s="1">
        <f t="shared" ca="1" si="371"/>
        <v>225.93096135901965</v>
      </c>
      <c r="BM118" s="1">
        <f t="shared" ca="1" si="371"/>
        <v>225.31856517145962</v>
      </c>
      <c r="BN118" s="1">
        <f t="shared" ca="1" si="371"/>
        <v>224.02576295901963</v>
      </c>
      <c r="BO118" s="1">
        <f t="shared" ca="1" si="371"/>
        <v>225.93096135901965</v>
      </c>
      <c r="BP118" s="1">
        <f t="shared" ca="1" si="371"/>
        <v>132.61278129160763</v>
      </c>
      <c r="BQ118" s="1">
        <f t="shared" ca="1" si="371"/>
        <v>0</v>
      </c>
      <c r="BR118" s="1">
        <f t="shared" ca="1" si="371"/>
        <v>0</v>
      </c>
      <c r="BS118" s="1">
        <f t="shared" ca="1" si="371"/>
        <v>0</v>
      </c>
      <c r="BT118" s="1">
        <f t="shared" ca="1" si="371"/>
        <v>0</v>
      </c>
      <c r="BU118" s="1">
        <f t="shared" ref="BU118:BY118" ca="1" si="372">SUM(BU18:BU19,BU21)</f>
        <v>0</v>
      </c>
      <c r="BV118" s="1">
        <f t="shared" ca="1" si="372"/>
        <v>0</v>
      </c>
      <c r="BW118" s="1">
        <f t="shared" ca="1" si="372"/>
        <v>0</v>
      </c>
      <c r="BX118" s="1">
        <f t="shared" ca="1" si="372"/>
        <v>0</v>
      </c>
      <c r="BY118" s="1">
        <f t="shared" ca="1" si="372"/>
        <v>0</v>
      </c>
    </row>
    <row r="119" spans="3:77" ht="13.5" customHeight="1">
      <c r="D119" s="1" t="s">
        <v>511</v>
      </c>
      <c r="H119" s="1">
        <f ca="1">(SUM($H118:H118)-SUM($G119:G119))*H67</f>
        <v>0</v>
      </c>
      <c r="I119" s="1">
        <f ca="1">(SUM($H118:I118)-SUM($G119:H119))*I67</f>
        <v>0</v>
      </c>
      <c r="J119" s="1">
        <f ca="1">(SUM($H118:J118)-SUM($G119:I119))*J67</f>
        <v>0</v>
      </c>
      <c r="K119" s="1">
        <f ca="1">(SUM($H118:K118)-SUM($G119:J119))*K67</f>
        <v>531.42463500000008</v>
      </c>
      <c r="L119" s="1">
        <f ca="1">(SUM($H118:L118)-SUM($G119:K119))*L67</f>
        <v>0</v>
      </c>
      <c r="M119" s="1">
        <f ca="1">(SUM($H118:M118)-SUM($G119:L119))*M67</f>
        <v>0</v>
      </c>
      <c r="N119" s="1">
        <f ca="1">(SUM($H118:N118)-SUM($G119:M119))*N67</f>
        <v>258.28714838727535</v>
      </c>
      <c r="O119" s="1">
        <f ca="1">(SUM($H118:O118)-SUM($G119:N119))*O67</f>
        <v>0</v>
      </c>
      <c r="P119" s="1">
        <f ca="1">(SUM($H118:P118)-SUM($G119:O119))*P67</f>
        <v>0</v>
      </c>
      <c r="Q119" s="1">
        <f ca="1">(SUM($H118:Q118)-SUM($G119:P119))*Q67</f>
        <v>325.5005656666666</v>
      </c>
      <c r="R119" s="1">
        <f ca="1">(SUM($H118:R118)-SUM($G119:Q119))*R67</f>
        <v>0</v>
      </c>
      <c r="S119" s="1">
        <f ca="1">(SUM($H118:S118)-SUM($G119:R119))*S67</f>
        <v>0</v>
      </c>
      <c r="T119" s="1">
        <f ca="1">(SUM($H118:T118)-SUM($G119:S119))*T67</f>
        <v>550.85765186592153</v>
      </c>
      <c r="U119" s="1">
        <f ca="1">(SUM($H118:U118)-SUM($G119:T119))*U67</f>
        <v>0</v>
      </c>
      <c r="V119" s="1">
        <f ca="1">(SUM($H118:V118)-SUM($G119:U119))*V67</f>
        <v>0</v>
      </c>
      <c r="W119" s="1">
        <f ca="1">(SUM($H118:W118)-SUM($G119:V119))*W67</f>
        <v>543.30498452499978</v>
      </c>
      <c r="X119" s="1">
        <f ca="1">(SUM($H118:X118)-SUM($G119:W119))*X67</f>
        <v>0</v>
      </c>
      <c r="Y119" s="1">
        <f ca="1">(SUM($H118:Y118)-SUM($G119:X119))*Y67</f>
        <v>0</v>
      </c>
      <c r="Z119" s="1">
        <f ca="1">(SUM($H118:Z118)-SUM($G119:Y119))*Z67</f>
        <v>396.78558399284884</v>
      </c>
      <c r="AA119" s="1">
        <f ca="1">(SUM($H118:AA118)-SUM($G119:Z119))*AA67</f>
        <v>0</v>
      </c>
      <c r="AB119" s="1">
        <f ca="1">(SUM($H118:AB118)-SUM($G119:AA119))*AB67</f>
        <v>0</v>
      </c>
      <c r="AC119" s="1">
        <f ca="1">(SUM($H118:AC118)-SUM($G119:AB119))*AC67</f>
        <v>647.93451176275994</v>
      </c>
      <c r="AD119" s="1">
        <f ca="1">(SUM($H118:AD118)-SUM($G119:AC119))*AD67</f>
        <v>0</v>
      </c>
      <c r="AE119" s="1">
        <f ca="1">(SUM($H118:AE118)-SUM($G119:AD119))*AE67</f>
        <v>0</v>
      </c>
      <c r="AF119" s="1">
        <f ca="1">(SUM($H118:AF118)-SUM($G119:AE119))*AF67</f>
        <v>553.30172868425507</v>
      </c>
      <c r="AG119" s="1">
        <f ca="1">(SUM($H118:AG118)-SUM($G119:AF119))*AG67</f>
        <v>0</v>
      </c>
      <c r="AH119" s="1">
        <f ca="1">(SUM($H118:AH118)-SUM($G119:AG119))*AH67</f>
        <v>0</v>
      </c>
      <c r="AI119" s="1">
        <f ca="1">(SUM($H118:AI118)-SUM($G119:AH119))*AI67</f>
        <v>544.54392679287503</v>
      </c>
      <c r="AJ119" s="1">
        <f ca="1">(SUM($H118:AJ118)-SUM($G119:AI119))*AJ67</f>
        <v>0</v>
      </c>
      <c r="AK119" s="1">
        <f ca="1">(SUM($H118:AK118)-SUM($G119:AJ119))*AK67</f>
        <v>0</v>
      </c>
      <c r="AL119" s="1">
        <f ca="1">(SUM($H118:AL118)-SUM($G119:AK119))*AL67</f>
        <v>283.34549266406339</v>
      </c>
      <c r="AM119" s="1">
        <f ca="1">(SUM($H118:AM118)-SUM($G119:AL119))*AM67</f>
        <v>0</v>
      </c>
      <c r="AN119" s="1">
        <f ca="1">(SUM($H118:AN118)-SUM($G119:AM119))*AN67</f>
        <v>0</v>
      </c>
      <c r="AO119" s="1">
        <f ca="1">(SUM($H118:AO118)-SUM($G119:AN119))*AO67</f>
        <v>376.8691070139148</v>
      </c>
      <c r="AP119" s="1">
        <f ca="1">(SUM($H118:AP118)-SUM($G119:AO119))*AP67</f>
        <v>0</v>
      </c>
      <c r="AQ119" s="1">
        <f ca="1">(SUM($H118:AQ118)-SUM($G119:AP119))*AQ67</f>
        <v>0</v>
      </c>
      <c r="AR119" s="1">
        <f ca="1">(SUM($H118:AR118)-SUM($G119:AQ119))*AR67</f>
        <v>570.26563189653007</v>
      </c>
      <c r="AS119" s="1">
        <f ca="1">(SUM($H118:AS118)-SUM($G119:AR119))*AS67</f>
        <v>0</v>
      </c>
      <c r="AT119" s="1">
        <f ca="1">(SUM($H118:AT118)-SUM($G119:AS119))*AT67</f>
        <v>0</v>
      </c>
      <c r="AU119" s="1">
        <f ca="1">(SUM($H118:AU118)-SUM($G119:AT119))*AU67</f>
        <v>559.8261668697678</v>
      </c>
      <c r="AV119" s="1">
        <f ca="1">(SUM($H118:AV118)-SUM($G119:AU119))*AV67</f>
        <v>0</v>
      </c>
      <c r="AW119" s="1">
        <f ca="1">(SUM($H118:AW118)-SUM($G119:AV119))*AW67</f>
        <v>0</v>
      </c>
      <c r="AX119" s="1">
        <f ca="1">(SUM($H118:AX118)-SUM($G119:AW119))*AX67</f>
        <v>413.19927625397031</v>
      </c>
      <c r="AY119" s="1">
        <f ca="1">(SUM($H118:AY118)-SUM($G119:AX119))*AY67</f>
        <v>0</v>
      </c>
      <c r="AZ119" s="1">
        <f ca="1">(SUM($H118:AZ118)-SUM($G119:AY119))*AZ67</f>
        <v>0</v>
      </c>
      <c r="BA119" s="1">
        <f ca="1">(SUM($H118:BA118)-SUM($G119:AZ119))*BA67</f>
        <v>670.93517020544459</v>
      </c>
      <c r="BB119" s="1">
        <f ca="1">(SUM($H118:BB118)-SUM($G119:BA119))*BB67</f>
        <v>0</v>
      </c>
      <c r="BC119" s="1">
        <f ca="1">(SUM($H118:BC118)-SUM($G119:BB119))*BC67</f>
        <v>0</v>
      </c>
      <c r="BD119" s="1">
        <f ca="1">(SUM($H118:BD118)-SUM($G119:BC119))*BD67</f>
        <v>576.51302212973951</v>
      </c>
      <c r="BE119" s="1">
        <f ca="1">(SUM($H118:BE118)-SUM($G119:BD119))*BE67</f>
        <v>0</v>
      </c>
      <c r="BF119" s="1">
        <f ca="1">(SUM($H118:BF118)-SUM($G119:BE119))*BF67</f>
        <v>0</v>
      </c>
      <c r="BG119" s="1">
        <f ca="1">(SUM($H118:BG118)-SUM($G119:BF119))*BG67</f>
        <v>564.64093385956585</v>
      </c>
      <c r="BH119" s="1">
        <f ca="1">(SUM($H118:BH118)-SUM($G119:BG119))*BH67</f>
        <v>0</v>
      </c>
      <c r="BI119" s="1">
        <f ca="1">(SUM($H118:BI118)-SUM($G119:BH119))*BI67</f>
        <v>0</v>
      </c>
      <c r="BJ119" s="1">
        <f ca="1">(SUM($H118:BJ118)-SUM($G119:BI119))*BJ67</f>
        <v>418.07293750855388</v>
      </c>
      <c r="BK119" s="1">
        <f ca="1">(SUM($H118:BK118)-SUM($G119:BJ119))*BK67</f>
        <v>0</v>
      </c>
      <c r="BL119" s="1">
        <f ca="1">(SUM($H118:BL118)-SUM($G119:BK119))*BL67</f>
        <v>0</v>
      </c>
      <c r="BM119" s="1">
        <f ca="1">(SUM($H118:BM118)-SUM($G119:BL119))*BM67</f>
        <v>677.18048788949818</v>
      </c>
      <c r="BN119" s="1">
        <f ca="1">(SUM($H118:BN118)-SUM($G119:BM119))*BN67</f>
        <v>0</v>
      </c>
      <c r="BO119" s="1">
        <f ca="1">(SUM($H118:BO118)-SUM($G119:BN119))*BO67</f>
        <v>0</v>
      </c>
      <c r="BP119" s="1">
        <f ca="1">(SUM($H118:BP118)-SUM($G119:BO119))*BP67</f>
        <v>582.56950560964651</v>
      </c>
      <c r="BQ119" s="1">
        <f ca="1">(SUM($H118:BQ118)-SUM($G119:BP119))*BQ67</f>
        <v>0</v>
      </c>
      <c r="BR119" s="1">
        <f ca="1">(SUM($H118:BR118)-SUM($G119:BQ119))*BR67</f>
        <v>0</v>
      </c>
      <c r="BS119" s="1">
        <f ca="1">(SUM($H118:BS118)-SUM($G119:BR119))*BS67</f>
        <v>0</v>
      </c>
      <c r="BT119" s="1">
        <f ca="1">(SUM($H118:BT118)-SUM($G119:BS119))*BT67</f>
        <v>0</v>
      </c>
      <c r="BU119" s="1">
        <f ca="1">(SUM($H118:BU118)-SUM($G119:BT119))*BU67</f>
        <v>0</v>
      </c>
      <c r="BV119" s="1">
        <f ca="1">(SUM($H118:BV118)-SUM($G119:BU119))*BV67</f>
        <v>0</v>
      </c>
      <c r="BW119" s="1">
        <f ca="1">(SUM($H118:BW118)-SUM($G119:BV119))*BW67</f>
        <v>0</v>
      </c>
      <c r="BX119" s="1">
        <f ca="1">(SUM($H118:BX118)-SUM($G119:BW119))*BX67</f>
        <v>0</v>
      </c>
      <c r="BY119" s="1">
        <f ca="1">(SUM($H118:BY118)-SUM($G119:BX119))*BY67</f>
        <v>0</v>
      </c>
    </row>
    <row r="120" spans="3:77" ht="13.5" customHeight="1">
      <c r="D120" s="1" t="s">
        <v>364</v>
      </c>
      <c r="H120" s="1">
        <f ca="1">H74</f>
        <v>0</v>
      </c>
      <c r="I120" s="1">
        <f t="shared" ref="I120:BT120" ca="1" si="373">I74</f>
        <v>0</v>
      </c>
      <c r="J120" s="1">
        <f t="shared" ca="1" si="373"/>
        <v>0</v>
      </c>
      <c r="K120" s="1">
        <f t="shared" ca="1" si="373"/>
        <v>207.64817598565884</v>
      </c>
      <c r="L120" s="1">
        <f t="shared" ca="1" si="373"/>
        <v>0</v>
      </c>
      <c r="M120" s="1">
        <f t="shared" ca="1" si="373"/>
        <v>0</v>
      </c>
      <c r="N120" s="1">
        <f t="shared" ca="1" si="373"/>
        <v>177.98415084485043</v>
      </c>
      <c r="O120" s="1">
        <f t="shared" ca="1" si="373"/>
        <v>0</v>
      </c>
      <c r="P120" s="1">
        <f t="shared" ca="1" si="373"/>
        <v>0</v>
      </c>
      <c r="Q120" s="1">
        <f t="shared" ca="1" si="373"/>
        <v>177.98415084485038</v>
      </c>
      <c r="R120" s="1">
        <f t="shared" ca="1" si="373"/>
        <v>0</v>
      </c>
      <c r="S120" s="1">
        <f t="shared" ca="1" si="373"/>
        <v>0</v>
      </c>
      <c r="T120" s="1">
        <f t="shared" ca="1" si="373"/>
        <v>177.98415084485043</v>
      </c>
      <c r="U120" s="1">
        <f t="shared" ca="1" si="373"/>
        <v>0</v>
      </c>
      <c r="V120" s="1">
        <f t="shared" ca="1" si="373"/>
        <v>0</v>
      </c>
      <c r="W120" s="1">
        <f t="shared" ca="1" si="373"/>
        <v>177.98415084485043</v>
      </c>
      <c r="X120" s="1">
        <f t="shared" ca="1" si="373"/>
        <v>0</v>
      </c>
      <c r="Y120" s="1">
        <f t="shared" ca="1" si="373"/>
        <v>0</v>
      </c>
      <c r="Z120" s="1">
        <f t="shared" ca="1" si="373"/>
        <v>177.98415084485032</v>
      </c>
      <c r="AA120" s="1">
        <f t="shared" ca="1" si="373"/>
        <v>0</v>
      </c>
      <c r="AB120" s="1">
        <f t="shared" ca="1" si="373"/>
        <v>0</v>
      </c>
      <c r="AC120" s="1">
        <f t="shared" ca="1" si="373"/>
        <v>177.98415084485077</v>
      </c>
      <c r="AD120" s="1">
        <f t="shared" ca="1" si="373"/>
        <v>0</v>
      </c>
      <c r="AE120" s="1">
        <f t="shared" ca="1" si="373"/>
        <v>0</v>
      </c>
      <c r="AF120" s="1">
        <f t="shared" ca="1" si="373"/>
        <v>177.98415084485077</v>
      </c>
      <c r="AG120" s="1">
        <f t="shared" ca="1" si="373"/>
        <v>0</v>
      </c>
      <c r="AH120" s="1">
        <f t="shared" ca="1" si="373"/>
        <v>0</v>
      </c>
      <c r="AI120" s="1">
        <f t="shared" ca="1" si="373"/>
        <v>177.98415084485077</v>
      </c>
      <c r="AJ120" s="1">
        <f t="shared" ca="1" si="373"/>
        <v>0</v>
      </c>
      <c r="AK120" s="1">
        <f t="shared" ca="1" si="373"/>
        <v>0</v>
      </c>
      <c r="AL120" s="1">
        <f t="shared" ca="1" si="373"/>
        <v>177.98415084485077</v>
      </c>
      <c r="AM120" s="1">
        <f t="shared" ca="1" si="373"/>
        <v>0</v>
      </c>
      <c r="AN120" s="1">
        <f t="shared" ca="1" si="373"/>
        <v>0</v>
      </c>
      <c r="AO120" s="1">
        <f t="shared" ca="1" si="373"/>
        <v>177.98415084485077</v>
      </c>
      <c r="AP120" s="1">
        <f t="shared" ca="1" si="373"/>
        <v>0</v>
      </c>
      <c r="AQ120" s="1">
        <f t="shared" ca="1" si="373"/>
        <v>0</v>
      </c>
      <c r="AR120" s="1">
        <f t="shared" ca="1" si="373"/>
        <v>177.98415084485077</v>
      </c>
      <c r="AS120" s="1">
        <f t="shared" ca="1" si="373"/>
        <v>0</v>
      </c>
      <c r="AT120" s="1">
        <f t="shared" ca="1" si="373"/>
        <v>0</v>
      </c>
      <c r="AU120" s="1">
        <f t="shared" ca="1" si="373"/>
        <v>177.98415084485077</v>
      </c>
      <c r="AV120" s="1">
        <f t="shared" ca="1" si="373"/>
        <v>0</v>
      </c>
      <c r="AW120" s="1">
        <f t="shared" ca="1" si="373"/>
        <v>0</v>
      </c>
      <c r="AX120" s="1">
        <f t="shared" ca="1" si="373"/>
        <v>177.98415084485077</v>
      </c>
      <c r="AY120" s="1">
        <f t="shared" ca="1" si="373"/>
        <v>0</v>
      </c>
      <c r="AZ120" s="1">
        <f t="shared" ca="1" si="373"/>
        <v>0</v>
      </c>
      <c r="BA120" s="1">
        <f t="shared" ca="1" si="373"/>
        <v>177.98415084485077</v>
      </c>
      <c r="BB120" s="1">
        <f t="shared" ca="1" si="373"/>
        <v>0</v>
      </c>
      <c r="BC120" s="1">
        <f t="shared" ca="1" si="373"/>
        <v>0</v>
      </c>
      <c r="BD120" s="1">
        <f t="shared" ca="1" si="373"/>
        <v>177.98415084485077</v>
      </c>
      <c r="BE120" s="1">
        <f t="shared" ca="1" si="373"/>
        <v>0</v>
      </c>
      <c r="BF120" s="1">
        <f t="shared" ca="1" si="373"/>
        <v>0</v>
      </c>
      <c r="BG120" s="1">
        <f t="shared" ca="1" si="373"/>
        <v>177.98415084485077</v>
      </c>
      <c r="BH120" s="1">
        <f t="shared" ca="1" si="373"/>
        <v>0</v>
      </c>
      <c r="BI120" s="1">
        <f t="shared" ca="1" si="373"/>
        <v>0</v>
      </c>
      <c r="BJ120" s="1">
        <f t="shared" ca="1" si="373"/>
        <v>177.98415084485077</v>
      </c>
      <c r="BK120" s="1">
        <f t="shared" ca="1" si="373"/>
        <v>0</v>
      </c>
      <c r="BL120" s="1">
        <f t="shared" ca="1" si="373"/>
        <v>0</v>
      </c>
      <c r="BM120" s="1">
        <f t="shared" ca="1" si="373"/>
        <v>177.98415084485077</v>
      </c>
      <c r="BN120" s="1">
        <f t="shared" ca="1" si="373"/>
        <v>0</v>
      </c>
      <c r="BO120" s="1">
        <f t="shared" ca="1" si="373"/>
        <v>0</v>
      </c>
      <c r="BP120" s="1">
        <f t="shared" ca="1" si="373"/>
        <v>148.32012570404231</v>
      </c>
      <c r="BQ120" s="1">
        <f t="shared" ca="1" si="373"/>
        <v>0</v>
      </c>
      <c r="BR120" s="1">
        <f t="shared" ca="1" si="373"/>
        <v>0</v>
      </c>
      <c r="BS120" s="1">
        <f t="shared" ca="1" si="373"/>
        <v>0</v>
      </c>
      <c r="BT120" s="1">
        <f t="shared" ca="1" si="373"/>
        <v>0</v>
      </c>
      <c r="BU120" s="1">
        <f t="shared" ref="BU120:BY120" ca="1" si="374">BU74</f>
        <v>0</v>
      </c>
      <c r="BV120" s="1">
        <f t="shared" ca="1" si="374"/>
        <v>0</v>
      </c>
      <c r="BW120" s="1">
        <f t="shared" ca="1" si="374"/>
        <v>0</v>
      </c>
      <c r="BX120" s="1">
        <f t="shared" ca="1" si="374"/>
        <v>0</v>
      </c>
      <c r="BY120" s="1">
        <f t="shared" ca="1" si="374"/>
        <v>0</v>
      </c>
    </row>
    <row r="121" spans="3:77" ht="13.5" customHeight="1">
      <c r="D121" s="44" t="s">
        <v>512</v>
      </c>
      <c r="E121" s="44"/>
      <c r="F121" s="44"/>
      <c r="G121" s="44"/>
      <c r="H121" s="245" t="str">
        <f ca="1">IFERROR(H119/H120,"")</f>
        <v/>
      </c>
      <c r="I121" s="245" t="str">
        <f t="shared" ref="I121:BT121" ca="1" si="375">IFERROR(I119/I120,"")</f>
        <v/>
      </c>
      <c r="J121" s="245" t="str">
        <f t="shared" ca="1" si="375"/>
        <v/>
      </c>
      <c r="K121" s="245">
        <f t="shared" ca="1" si="375"/>
        <v>2.5592550114030512</v>
      </c>
      <c r="L121" s="245" t="str">
        <f t="shared" ca="1" si="375"/>
        <v/>
      </c>
      <c r="M121" s="245" t="str">
        <f t="shared" ca="1" si="375"/>
        <v/>
      </c>
      <c r="N121" s="245">
        <f t="shared" ca="1" si="375"/>
        <v>1.4511806088421064</v>
      </c>
      <c r="O121" s="245" t="str">
        <f t="shared" ca="1" si="375"/>
        <v/>
      </c>
      <c r="P121" s="245" t="str">
        <f t="shared" ca="1" si="375"/>
        <v/>
      </c>
      <c r="Q121" s="245">
        <f t="shared" ca="1" si="375"/>
        <v>1.8288177015851652</v>
      </c>
      <c r="R121" s="245" t="str">
        <f t="shared" ca="1" si="375"/>
        <v/>
      </c>
      <c r="S121" s="245" t="str">
        <f t="shared" ca="1" si="375"/>
        <v/>
      </c>
      <c r="T121" s="245">
        <f t="shared" ca="1" si="375"/>
        <v>3.0949814871218875</v>
      </c>
      <c r="U121" s="245" t="str">
        <f t="shared" ca="1" si="375"/>
        <v/>
      </c>
      <c r="V121" s="245" t="str">
        <f t="shared" ca="1" si="375"/>
        <v/>
      </c>
      <c r="W121" s="245">
        <f t="shared" ca="1" si="375"/>
        <v>3.0525469933477454</v>
      </c>
      <c r="X121" s="245" t="str">
        <f t="shared" ca="1" si="375"/>
        <v/>
      </c>
      <c r="Y121" s="245" t="str">
        <f t="shared" ca="1" si="375"/>
        <v/>
      </c>
      <c r="Z121" s="245">
        <f t="shared" ca="1" si="375"/>
        <v>2.2293309944138162</v>
      </c>
      <c r="AA121" s="245" t="str">
        <f t="shared" ca="1" si="375"/>
        <v/>
      </c>
      <c r="AB121" s="245" t="str">
        <f t="shared" ca="1" si="375"/>
        <v/>
      </c>
      <c r="AC121" s="245">
        <f t="shared" ca="1" si="375"/>
        <v>3.6404056691967255</v>
      </c>
      <c r="AD121" s="245" t="str">
        <f t="shared" ca="1" si="375"/>
        <v/>
      </c>
      <c r="AE121" s="245" t="str">
        <f t="shared" ca="1" si="375"/>
        <v/>
      </c>
      <c r="AF121" s="245">
        <f t="shared" ca="1" si="375"/>
        <v>3.1087134784634256</v>
      </c>
      <c r="AG121" s="245" t="str">
        <f t="shared" ca="1" si="375"/>
        <v/>
      </c>
      <c r="AH121" s="245" t="str">
        <f t="shared" ca="1" si="375"/>
        <v/>
      </c>
      <c r="AI121" s="245">
        <f t="shared" ca="1" si="375"/>
        <v>3.0595079629733735</v>
      </c>
      <c r="AJ121" s="245" t="str">
        <f t="shared" ca="1" si="375"/>
        <v/>
      </c>
      <c r="AK121" s="245" t="str">
        <f t="shared" ca="1" si="375"/>
        <v/>
      </c>
      <c r="AL121" s="245">
        <f t="shared" ca="1" si="375"/>
        <v>1.5919703598274677</v>
      </c>
      <c r="AM121" s="245" t="str">
        <f t="shared" ca="1" si="375"/>
        <v/>
      </c>
      <c r="AN121" s="245" t="str">
        <f t="shared" ca="1" si="375"/>
        <v/>
      </c>
      <c r="AO121" s="245">
        <f t="shared" ca="1" si="375"/>
        <v>2.1174307106840797</v>
      </c>
      <c r="AP121" s="245" t="str">
        <f t="shared" ca="1" si="375"/>
        <v/>
      </c>
      <c r="AQ121" s="245" t="str">
        <f t="shared" ca="1" si="375"/>
        <v/>
      </c>
      <c r="AR121" s="245">
        <f t="shared" ca="1" si="375"/>
        <v>3.2040247920368596</v>
      </c>
      <c r="AS121" s="245" t="str">
        <f t="shared" ca="1" si="375"/>
        <v/>
      </c>
      <c r="AT121" s="245" t="str">
        <f t="shared" ca="1" si="375"/>
        <v/>
      </c>
      <c r="AU121" s="245">
        <f t="shared" ca="1" si="375"/>
        <v>3.1453708895561698</v>
      </c>
      <c r="AV121" s="245" t="str">
        <f t="shared" ca="1" si="375"/>
        <v/>
      </c>
      <c r="AW121" s="245" t="str">
        <f t="shared" ca="1" si="375"/>
        <v/>
      </c>
      <c r="AX121" s="245">
        <f t="shared" ca="1" si="375"/>
        <v>2.3215509599737176</v>
      </c>
      <c r="AY121" s="245" t="str">
        <f t="shared" ca="1" si="375"/>
        <v/>
      </c>
      <c r="AZ121" s="245" t="str">
        <f t="shared" ca="1" si="375"/>
        <v/>
      </c>
      <c r="BA121" s="245">
        <f t="shared" ca="1" si="375"/>
        <v>3.7696343580069689</v>
      </c>
      <c r="BB121" s="245" t="str">
        <f t="shared" ca="1" si="375"/>
        <v/>
      </c>
      <c r="BC121" s="245" t="str">
        <f t="shared" ca="1" si="375"/>
        <v/>
      </c>
      <c r="BD121" s="245">
        <f t="shared" ca="1" si="375"/>
        <v>3.2391256153604786</v>
      </c>
      <c r="BE121" s="245" t="str">
        <f t="shared" ca="1" si="375"/>
        <v/>
      </c>
      <c r="BF121" s="245" t="str">
        <f t="shared" ca="1" si="375"/>
        <v/>
      </c>
      <c r="BG121" s="245">
        <f t="shared" ca="1" si="375"/>
        <v>3.1724225509931205</v>
      </c>
      <c r="BH121" s="245" t="str">
        <f t="shared" ca="1" si="375"/>
        <v/>
      </c>
      <c r="BI121" s="245" t="str">
        <f t="shared" ca="1" si="375"/>
        <v/>
      </c>
      <c r="BJ121" s="245">
        <f t="shared" ca="1" si="375"/>
        <v>2.3489335175298227</v>
      </c>
      <c r="BK121" s="245" t="str">
        <f t="shared" ca="1" si="375"/>
        <v/>
      </c>
      <c r="BL121" s="245" t="str">
        <f t="shared" ca="1" si="375"/>
        <v/>
      </c>
      <c r="BM121" s="245">
        <f t="shared" ca="1" si="375"/>
        <v>3.8047235367591696</v>
      </c>
      <c r="BN121" s="245" t="str">
        <f t="shared" ca="1" si="375"/>
        <v/>
      </c>
      <c r="BO121" s="245" t="str">
        <f t="shared" ca="1" si="375"/>
        <v/>
      </c>
      <c r="BP121" s="245">
        <f t="shared" ca="1" si="375"/>
        <v>3.9277845999949093</v>
      </c>
      <c r="BQ121" s="245" t="str">
        <f t="shared" ca="1" si="375"/>
        <v/>
      </c>
      <c r="BR121" s="245" t="str">
        <f t="shared" ca="1" si="375"/>
        <v/>
      </c>
      <c r="BS121" s="245" t="str">
        <f t="shared" ca="1" si="375"/>
        <v/>
      </c>
      <c r="BT121" s="245" t="str">
        <f t="shared" ca="1" si="375"/>
        <v/>
      </c>
      <c r="BU121" s="245" t="str">
        <f t="shared" ref="BU121:BY121" ca="1" si="376">IFERROR(BU119/BU120,"")</f>
        <v/>
      </c>
      <c r="BV121" s="245" t="str">
        <f t="shared" ca="1" si="376"/>
        <v/>
      </c>
      <c r="BW121" s="245" t="str">
        <f t="shared" ca="1" si="376"/>
        <v/>
      </c>
      <c r="BX121" s="245" t="str">
        <f t="shared" ca="1" si="376"/>
        <v/>
      </c>
      <c r="BY121" s="245" t="str">
        <f t="shared" ca="1" si="376"/>
        <v/>
      </c>
    </row>
    <row r="122" spans="3:77" ht="13.5" customHeight="1">
      <c r="D122" s="174" t="s">
        <v>513</v>
      </c>
      <c r="E122" s="175"/>
      <c r="F122" s="246">
        <f ca="1">AVERAGE(H121:XFD121)</f>
        <v>2.8333855899035028</v>
      </c>
    </row>
    <row r="123" spans="3:77" ht="13.5" customHeight="1">
      <c r="D123" s="176" t="s">
        <v>514</v>
      </c>
      <c r="E123" s="177"/>
      <c r="F123" s="247">
        <f ca="1">MIN(H121:XFD121)</f>
        <v>1.4511806088421064</v>
      </c>
    </row>
  </sheetData>
  <phoneticPr fontId="2" type="noConversion"/>
  <printOptions horizontalCentered="1"/>
  <pageMargins left="0.31496062992125984" right="0.31496062992125984" top="0.55118110236220474" bottom="0.55118110236220474" header="0.31496062992125984" footer="0.31496062992125984"/>
  <pageSetup paperSize="8" scale="70" orientation="landscape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84ECB7-DBF3-4347-BD7B-1331533FE5FD}">
  <sheetPr codeName="Sheet7"/>
  <dimension ref="A2:AD94"/>
  <sheetViews>
    <sheetView showGridLines="0" topLeftCell="A63" workbookViewId="0">
      <selection activeCell="R94" sqref="R94"/>
    </sheetView>
  </sheetViews>
  <sheetFormatPr defaultRowHeight="13.5" customHeight="1" outlineLevelRow="1"/>
  <cols>
    <col min="1" max="1" width="2.5" style="1" customWidth="1"/>
    <col min="2" max="2" width="3.25" style="1" customWidth="1"/>
    <col min="3" max="3" width="2.75" style="1" customWidth="1"/>
    <col min="4" max="4" width="3.625" style="1" customWidth="1"/>
    <col min="5" max="5" width="4.75" style="1" customWidth="1"/>
    <col min="6" max="8" width="9" style="1"/>
    <col min="9" max="9" width="3.5" style="1" customWidth="1"/>
    <col min="10" max="29" width="9" style="1"/>
    <col min="30" max="30" width="9.75" style="1" bestFit="1" customWidth="1"/>
    <col min="31" max="16384" width="9" style="1"/>
  </cols>
  <sheetData>
    <row r="2" spans="1:30" ht="13.5" customHeight="1">
      <c r="A2" s="14" t="s">
        <v>0</v>
      </c>
      <c r="AB2" s="3" t="s">
        <v>1</v>
      </c>
      <c r="AC2" s="6" t="s">
        <v>4</v>
      </c>
      <c r="AD2" s="9" t="s">
        <v>7</v>
      </c>
    </row>
    <row r="3" spans="1:30" ht="13.5" customHeight="1">
      <c r="AB3" s="4" t="s">
        <v>2</v>
      </c>
      <c r="AC3" s="7" t="s">
        <v>5</v>
      </c>
      <c r="AD3" s="10" t="s">
        <v>8</v>
      </c>
    </row>
    <row r="4" spans="1:30" ht="13.5" customHeight="1">
      <c r="AB4" s="5" t="s">
        <v>3</v>
      </c>
      <c r="AC4" s="8" t="s">
        <v>6</v>
      </c>
      <c r="AD4" s="11" t="s">
        <v>9</v>
      </c>
    </row>
    <row r="5" spans="1:30" s="2" customFormat="1" ht="13.5" customHeight="1" thickBot="1"/>
    <row r="6" spans="1:30" ht="13.5" customHeight="1" thickTop="1">
      <c r="A6" s="1" t="s">
        <v>10</v>
      </c>
      <c r="AD6" s="12">
        <v>44381</v>
      </c>
    </row>
    <row r="7" spans="1:30" ht="13.5" customHeight="1">
      <c r="A7" s="13" t="s">
        <v>18</v>
      </c>
    </row>
    <row r="8" spans="1:30" ht="13.5" customHeight="1">
      <c r="B8" s="90"/>
      <c r="C8" s="90"/>
      <c r="D8" s="90"/>
      <c r="E8" s="90"/>
      <c r="F8" s="90"/>
      <c r="G8" s="90"/>
      <c r="H8" s="90" t="s">
        <v>150</v>
      </c>
      <c r="I8" s="90"/>
      <c r="J8" s="92">
        <v>1</v>
      </c>
      <c r="K8" s="92">
        <v>2</v>
      </c>
      <c r="L8" s="92">
        <v>3</v>
      </c>
      <c r="M8" s="92">
        <v>4</v>
      </c>
      <c r="N8" s="92">
        <v>5</v>
      </c>
      <c r="O8" s="92">
        <v>6</v>
      </c>
      <c r="P8" s="92">
        <v>7</v>
      </c>
      <c r="Q8" s="92">
        <v>8</v>
      </c>
      <c r="R8" s="92">
        <v>9</v>
      </c>
      <c r="S8" s="92">
        <v>10</v>
      </c>
    </row>
    <row r="9" spans="1:30" ht="13.5" customHeight="1">
      <c r="B9" s="90"/>
      <c r="C9" s="90"/>
      <c r="D9" s="90"/>
      <c r="E9" s="90"/>
      <c r="F9" s="90"/>
      <c r="G9" s="90"/>
      <c r="H9" s="90" t="s">
        <v>74</v>
      </c>
      <c r="I9" s="90"/>
      <c r="J9" s="91">
        <f>운영수입!I9</f>
        <v>44316</v>
      </c>
      <c r="K9" s="91">
        <f>운영수입!J9</f>
        <v>44500</v>
      </c>
      <c r="L9" s="91">
        <f>운영수입!K9</f>
        <v>44681</v>
      </c>
      <c r="M9" s="91">
        <f>운영수입!L9</f>
        <v>44865</v>
      </c>
      <c r="N9" s="91">
        <f>운영수입!M9</f>
        <v>45046</v>
      </c>
      <c r="O9" s="91">
        <f>운영수입!N9</f>
        <v>45230</v>
      </c>
      <c r="P9" s="91">
        <f>운영수입!O9</f>
        <v>45412</v>
      </c>
      <c r="Q9" s="91">
        <f>운영수입!P9</f>
        <v>45596</v>
      </c>
      <c r="R9" s="91">
        <f>운영수입!Q9</f>
        <v>45777</v>
      </c>
      <c r="S9" s="91">
        <f>운영수입!R9</f>
        <v>45961</v>
      </c>
    </row>
    <row r="10" spans="1:30" ht="13.5" customHeight="1">
      <c r="B10" s="90"/>
      <c r="C10" s="90"/>
      <c r="D10" s="90"/>
      <c r="E10" s="90"/>
      <c r="F10" s="90"/>
      <c r="G10" s="90"/>
      <c r="H10" s="90" t="s">
        <v>75</v>
      </c>
      <c r="I10" s="90"/>
      <c r="J10" s="91">
        <f>운영수입!I10</f>
        <v>44469</v>
      </c>
      <c r="K10" s="91">
        <f>운영수입!J10</f>
        <v>44651</v>
      </c>
      <c r="L10" s="91">
        <f>운영수입!K10</f>
        <v>44834</v>
      </c>
      <c r="M10" s="91">
        <f>운영수입!L10</f>
        <v>45016</v>
      </c>
      <c r="N10" s="91">
        <f>운영수입!M10</f>
        <v>45199</v>
      </c>
      <c r="O10" s="91">
        <f>운영수입!N10</f>
        <v>45382</v>
      </c>
      <c r="P10" s="91">
        <f>운영수입!O10</f>
        <v>45565</v>
      </c>
      <c r="Q10" s="91">
        <f>운영수입!P10</f>
        <v>45747</v>
      </c>
      <c r="R10" s="91">
        <f>운영수입!Q10</f>
        <v>45930</v>
      </c>
      <c r="S10" s="91">
        <f>운영수입!R10</f>
        <v>46112</v>
      </c>
    </row>
    <row r="11" spans="1:30" ht="13.5" customHeight="1">
      <c r="B11" s="93"/>
      <c r="C11" s="93"/>
      <c r="D11" s="93"/>
      <c r="E11" s="93"/>
      <c r="F11" s="93"/>
      <c r="G11" s="93"/>
      <c r="H11" s="93" t="s">
        <v>446</v>
      </c>
      <c r="I11" s="93"/>
      <c r="J11" s="214">
        <f>DATEDIF(J9,J10,"m")+1</f>
        <v>6</v>
      </c>
      <c r="K11" s="214">
        <f t="shared" ref="K11:S11" si="0">DATEDIF(K9,K10,"m")+1</f>
        <v>6</v>
      </c>
      <c r="L11" s="214">
        <f t="shared" si="0"/>
        <v>6</v>
      </c>
      <c r="M11" s="214">
        <f t="shared" si="0"/>
        <v>6</v>
      </c>
      <c r="N11" s="214">
        <f t="shared" si="0"/>
        <v>6</v>
      </c>
      <c r="O11" s="214">
        <f t="shared" si="0"/>
        <v>6</v>
      </c>
      <c r="P11" s="214">
        <f t="shared" si="0"/>
        <v>6</v>
      </c>
      <c r="Q11" s="214">
        <f t="shared" si="0"/>
        <v>6</v>
      </c>
      <c r="R11" s="214">
        <f t="shared" si="0"/>
        <v>6</v>
      </c>
      <c r="S11" s="214">
        <f t="shared" si="0"/>
        <v>6</v>
      </c>
    </row>
    <row r="12" spans="1:30" ht="13.5" customHeight="1">
      <c r="B12" s="13" t="s">
        <v>447</v>
      </c>
    </row>
    <row r="13" spans="1:30" ht="13.5" customHeight="1">
      <c r="C13" s="13" t="s">
        <v>448</v>
      </c>
      <c r="D13" s="13"/>
      <c r="E13" s="13"/>
      <c r="F13" s="13"/>
      <c r="G13" s="13"/>
      <c r="H13" s="13">
        <f ca="1">SUM(I13:XFD13)</f>
        <v>14586.156066399197</v>
      </c>
      <c r="I13" s="13"/>
      <c r="J13" s="13">
        <f ca="1">SUM(J14:J15)</f>
        <v>1322.88</v>
      </c>
      <c r="K13" s="13">
        <f t="shared" ref="K13:S13" ca="1" si="1">SUM(K14:K15)</f>
        <v>1357.7321666666664</v>
      </c>
      <c r="L13" s="13">
        <f t="shared" ca="1" si="1"/>
        <v>1479.0529999999999</v>
      </c>
      <c r="M13" s="13">
        <f t="shared" ca="1" si="1"/>
        <v>1486.9675300000001</v>
      </c>
      <c r="N13" s="13">
        <f t="shared" ca="1" si="1"/>
        <v>1372.3675300000002</v>
      </c>
      <c r="O13" s="13">
        <f t="shared" ca="1" si="1"/>
        <v>1413.8807052999998</v>
      </c>
      <c r="P13" s="13">
        <f t="shared" ca="1" si="1"/>
        <v>1523.0502053</v>
      </c>
      <c r="Q13" s="13">
        <f t="shared" ca="1" si="1"/>
        <v>1538.280707353</v>
      </c>
      <c r="R13" s="13">
        <f t="shared" ca="1" si="1"/>
        <v>1538.280707353</v>
      </c>
      <c r="S13" s="13">
        <f t="shared" ca="1" si="1"/>
        <v>1553.6635144265297</v>
      </c>
    </row>
    <row r="14" spans="1:30" ht="13.5" customHeight="1">
      <c r="D14" s="30" t="s">
        <v>450</v>
      </c>
      <c r="E14" s="41"/>
      <c r="F14" s="41"/>
      <c r="G14" s="182" t="b">
        <f ca="1">ABS(H14-운영수입!F328)&lt;0.001</f>
        <v>1</v>
      </c>
      <c r="H14" s="41">
        <f ca="1">SUM(I14:XFD14)</f>
        <v>13384.765318195916</v>
      </c>
      <c r="I14" s="41"/>
      <c r="J14" s="41">
        <f ca="1">SUMIF(운영수입!$15:$15,배당!J$8,운영수입!328:328)</f>
        <v>1216.0120000000002</v>
      </c>
      <c r="K14" s="41">
        <f ca="1">SUMIF(운영수입!$15:$15,배당!K$8,운영수입!328:328)</f>
        <v>1240.2761666666665</v>
      </c>
      <c r="L14" s="41">
        <f ca="1">SUMIF(운영수입!$15:$15,배당!L$8,운영수입!328:328)</f>
        <v>1361.597</v>
      </c>
      <c r="M14" s="41">
        <f ca="1">SUMIF(운영수입!$15:$15,배당!M$8,운영수입!328:328)</f>
        <v>1368.87625</v>
      </c>
      <c r="N14" s="41">
        <f ca="1">SUMIF(운영수입!$15:$15,배당!N$8,운영수입!328:328)</f>
        <v>1263.2642500000002</v>
      </c>
      <c r="O14" s="41">
        <f ca="1">SUMIF(운영수입!$15:$15,배당!O$8,운영수입!328:328)</f>
        <v>1288.4037924999998</v>
      </c>
      <c r="P14" s="41">
        <f ca="1">SUMIF(운영수입!$15:$15,배당!P$8,운영수입!328:328)</f>
        <v>1397.5732925</v>
      </c>
      <c r="Q14" s="41">
        <f ca="1">SUMIF(운영수입!$15:$15,배당!Q$8,운영수입!328:328)</f>
        <v>1411.5490254250001</v>
      </c>
      <c r="R14" s="41">
        <f ca="1">SUMIF(운영수입!$15:$15,배당!R$8,운영수입!328:328)</f>
        <v>1411.5490254250001</v>
      </c>
      <c r="S14" s="41">
        <f ca="1">SUMIF(운영수입!$15:$15,배당!S$8,운영수입!328:328)</f>
        <v>1425.6645156792497</v>
      </c>
    </row>
    <row r="15" spans="1:30" ht="13.5" customHeight="1">
      <c r="C15" s="34"/>
      <c r="D15" s="36" t="s">
        <v>449</v>
      </c>
      <c r="E15" s="42"/>
      <c r="F15" s="42"/>
      <c r="G15" s="183" t="b">
        <f ca="1">ABS(H15-운영수입!F329)&lt;0.001</f>
        <v>1</v>
      </c>
      <c r="H15" s="42">
        <f t="shared" ref="H15" ca="1" si="2">SUM(I15:XFD15)</f>
        <v>1201.3907482032798</v>
      </c>
      <c r="I15" s="42"/>
      <c r="J15" s="42">
        <f ca="1">SUMIF(운영수입!$15:$15,배당!J$8,운영수입!329:329)</f>
        <v>106.86799999999999</v>
      </c>
      <c r="K15" s="42">
        <f ca="1">SUMIF(운영수입!$15:$15,배당!K$8,운영수입!329:329)</f>
        <v>117.45599999999999</v>
      </c>
      <c r="L15" s="42">
        <f ca="1">SUMIF(운영수입!$15:$15,배당!L$8,운영수입!329:329)</f>
        <v>117.45599999999999</v>
      </c>
      <c r="M15" s="42">
        <f ca="1">SUMIF(운영수입!$15:$15,배당!M$8,운영수입!329:329)</f>
        <v>118.09128000000001</v>
      </c>
      <c r="N15" s="42">
        <f ca="1">SUMIF(운영수입!$15:$15,배당!N$8,운영수입!329:329)</f>
        <v>109.10328000000001</v>
      </c>
      <c r="O15" s="42">
        <f ca="1">SUMIF(운영수입!$15:$15,배당!O$8,운영수입!329:329)</f>
        <v>125.47691279999998</v>
      </c>
      <c r="P15" s="42">
        <f ca="1">SUMIF(운영수입!$15:$15,배당!P$8,운영수입!329:329)</f>
        <v>125.47691279999998</v>
      </c>
      <c r="Q15" s="42">
        <f ca="1">SUMIF(운영수입!$15:$15,배당!Q$8,운영수입!329:329)</f>
        <v>126.73168192799997</v>
      </c>
      <c r="R15" s="42">
        <f ca="1">SUMIF(운영수입!$15:$15,배당!R$8,운영수입!329:329)</f>
        <v>126.73168192799997</v>
      </c>
      <c r="S15" s="42">
        <f ca="1">SUMIF(운영수입!$15:$15,배당!S$8,운영수입!329:329)</f>
        <v>127.99899874727998</v>
      </c>
    </row>
    <row r="16" spans="1:30" ht="13.5" customHeight="1">
      <c r="C16" s="13" t="s">
        <v>451</v>
      </c>
      <c r="H16" s="13">
        <f ca="1">SUM(I16:XFD16)</f>
        <v>8486.1390663709444</v>
      </c>
      <c r="I16" s="13"/>
      <c r="J16" s="13">
        <f ca="1">SUM(J17:J21,J27:J31)</f>
        <v>877.01045646772923</v>
      </c>
      <c r="K16" s="13">
        <f t="shared" ref="K16:S16" ca="1" si="3">SUM(K17:K21,K27:K31)</f>
        <v>924.06300965574974</v>
      </c>
      <c r="L16" s="13">
        <f t="shared" ca="1" si="3"/>
        <v>882.81367257939519</v>
      </c>
      <c r="M16" s="13">
        <f t="shared" ca="1" si="3"/>
        <v>729.44834216574964</v>
      </c>
      <c r="N16" s="13">
        <f t="shared" ca="1" si="3"/>
        <v>888.31053415422605</v>
      </c>
      <c r="O16" s="13">
        <f t="shared" ca="1" si="3"/>
        <v>911.9872292883997</v>
      </c>
      <c r="P16" s="13">
        <f t="shared" ca="1" si="3"/>
        <v>894.07866493919801</v>
      </c>
      <c r="Q16" s="13">
        <f t="shared" ca="1" si="3"/>
        <v>737.3469059648894</v>
      </c>
      <c r="R16" s="13">
        <f t="shared" ca="1" si="3"/>
        <v>899.79560568708121</v>
      </c>
      <c r="S16" s="13">
        <f t="shared" ca="1" si="3"/>
        <v>741.28464546852638</v>
      </c>
    </row>
    <row r="17" spans="4:19" ht="13.5" customHeight="1">
      <c r="D17" s="25" t="str">
        <f>'A&amp;R'!Q21</f>
        <v>PM용역비</v>
      </c>
      <c r="E17" s="51"/>
      <c r="F17" s="51"/>
      <c r="G17" s="215" t="b">
        <f>ABS(H17-운영비용!F20)&lt;0.001</f>
        <v>1</v>
      </c>
      <c r="H17" s="51">
        <f>SUM(I17:XFD17)</f>
        <v>223.97640069408845</v>
      </c>
      <c r="I17" s="51"/>
      <c r="J17" s="51">
        <f>SUMIF(운영비용!$15:$15,배당!J$8,운영비용!$20:$20)</f>
        <v>21.735713999999998</v>
      </c>
      <c r="K17" s="51">
        <f>SUMIF(운영비용!$15:$15,배당!K$8,운영비용!$20:$20)</f>
        <v>21.735713999999998</v>
      </c>
      <c r="L17" s="51">
        <f>SUMIF(운영비용!$15:$15,배당!L$8,운영비용!$20:$20)</f>
        <v>22.061749709999994</v>
      </c>
      <c r="M17" s="51">
        <f>SUMIF(운영비용!$15:$15,배당!M$8,운영비용!$20:$20)</f>
        <v>22.061749709999994</v>
      </c>
      <c r="N17" s="51">
        <f>SUMIF(운영비용!$15:$15,배당!N$8,운영비용!$20:$20)</f>
        <v>22.392675955649995</v>
      </c>
      <c r="O17" s="51">
        <f>SUMIF(운영비용!$15:$15,배당!O$8,운영비용!$20:$20)</f>
        <v>22.392675955649995</v>
      </c>
      <c r="P17" s="51">
        <f>SUMIF(운영비용!$15:$15,배당!P$8,운영비용!$20:$20)</f>
        <v>22.728566094984739</v>
      </c>
      <c r="Q17" s="51">
        <f>SUMIF(운영비용!$15:$15,배당!Q$8,운영비용!$20:$20)</f>
        <v>22.728566094984739</v>
      </c>
      <c r="R17" s="51">
        <f>SUMIF(운영비용!$15:$15,배당!R$8,운영비용!$20:$20)</f>
        <v>23.069494586409508</v>
      </c>
      <c r="S17" s="51">
        <f>SUMIF(운영비용!$15:$15,배당!S$8,운영비용!$20:$20)</f>
        <v>23.069494586409508</v>
      </c>
    </row>
    <row r="18" spans="4:19" ht="13.5" customHeight="1">
      <c r="D18" s="25" t="str">
        <f>'A&amp;R'!Q22</f>
        <v>FM용역비</v>
      </c>
      <c r="E18" s="51"/>
      <c r="F18" s="51"/>
      <c r="G18" s="215" t="b">
        <f>ABS(H18-운영비용!F25)&lt;0.001</f>
        <v>1</v>
      </c>
      <c r="H18" s="51">
        <f t="shared" ref="H18:H31" si="4">SUM(I18:XFD18)</f>
        <v>1151.8786321410264</v>
      </c>
      <c r="I18" s="51"/>
      <c r="J18" s="51">
        <f>SUMIF(운영비용!$15:$15,배당!J$8,운영비용!$25:$25)</f>
        <v>111.783672</v>
      </c>
      <c r="K18" s="51">
        <f>SUMIF(운영비용!$15:$15,배당!K$8,운영비용!$25:$25)</f>
        <v>111.783672</v>
      </c>
      <c r="L18" s="51">
        <f>SUMIF(운영비용!$15:$15,배당!L$8,운영비용!$25:$25)</f>
        <v>113.46042708</v>
      </c>
      <c r="M18" s="51">
        <f>SUMIF(운영비용!$15:$15,배당!M$8,운영비용!$25:$25)</f>
        <v>113.46042708</v>
      </c>
      <c r="N18" s="51">
        <f>SUMIF(운영비용!$15:$15,배당!N$8,운영비용!$25:$25)</f>
        <v>115.16233348619997</v>
      </c>
      <c r="O18" s="51">
        <f>SUMIF(운영비용!$15:$15,배당!O$8,운영비용!$25:$25)</f>
        <v>115.16233348619997</v>
      </c>
      <c r="P18" s="51">
        <f>SUMIF(운영비용!$15:$15,배당!P$8,운영비용!$25:$25)</f>
        <v>116.88976848849296</v>
      </c>
      <c r="Q18" s="51">
        <f>SUMIF(운영비용!$15:$15,배당!Q$8,운영비용!$25:$25)</f>
        <v>116.88976848849296</v>
      </c>
      <c r="R18" s="51">
        <f>SUMIF(운영비용!$15:$15,배당!R$8,운영비용!$25:$25)</f>
        <v>118.6431150158203</v>
      </c>
      <c r="S18" s="51">
        <f>SUMIF(운영비용!$15:$15,배당!S$8,운영비용!$25:$25)</f>
        <v>118.6431150158203</v>
      </c>
    </row>
    <row r="19" spans="4:19" ht="13.5" customHeight="1">
      <c r="D19" s="25" t="str">
        <f>'A&amp;R'!Q23</f>
        <v>LM수수료</v>
      </c>
      <c r="E19" s="51"/>
      <c r="F19" s="51"/>
      <c r="G19" s="215" t="b">
        <f ca="1">ABS(H19-운영비용!F34)&lt;0.001</f>
        <v>1</v>
      </c>
      <c r="H19" s="51">
        <f t="shared" ca="1" si="4"/>
        <v>377.166</v>
      </c>
      <c r="I19" s="51"/>
      <c r="J19" s="51">
        <f ca="1">SUMIF(운영비용!$15:$15,배당!J$8,운영비용!$34:$34)</f>
        <v>0</v>
      </c>
      <c r="K19" s="51">
        <f ca="1">SUMIF(운영비용!$15:$15,배당!K$8,운영비용!$34:$34)</f>
        <v>198.52500000000001</v>
      </c>
      <c r="L19" s="51">
        <f ca="1">SUMIF(운영비용!$15:$15,배당!L$8,운영비용!$34:$34)</f>
        <v>0</v>
      </c>
      <c r="M19" s="51">
        <f ca="1">SUMIF(운영비용!$15:$15,배당!M$8,운영비용!$34:$34)</f>
        <v>0</v>
      </c>
      <c r="N19" s="51">
        <f ca="1">SUMIF(운영비용!$15:$15,배당!N$8,운영비용!$34:$34)</f>
        <v>0</v>
      </c>
      <c r="O19" s="51">
        <f ca="1">SUMIF(운영비용!$15:$15,배당!O$8,운영비용!$34:$34)</f>
        <v>178.64099999999999</v>
      </c>
      <c r="P19" s="51">
        <f ca="1">SUMIF(운영비용!$15:$15,배당!P$8,운영비용!$34:$34)</f>
        <v>0</v>
      </c>
      <c r="Q19" s="51">
        <f ca="1">SUMIF(운영비용!$15:$15,배당!Q$8,운영비용!$34:$34)</f>
        <v>0</v>
      </c>
      <c r="R19" s="51">
        <f ca="1">SUMIF(운영비용!$15:$15,배당!R$8,운영비용!$34:$34)</f>
        <v>0</v>
      </c>
      <c r="S19" s="51">
        <f ca="1">SUMIF(운영비용!$15:$15,배당!S$8,운영비용!$34:$34)</f>
        <v>0</v>
      </c>
    </row>
    <row r="20" spans="4:19" ht="13.5" customHeight="1">
      <c r="D20" s="25" t="str">
        <f>'A&amp;R'!Q24</f>
        <v>유지보수비</v>
      </c>
      <c r="E20" s="51"/>
      <c r="F20" s="51"/>
      <c r="G20" s="215" t="b">
        <f>ABS(H20-운영비용!F46)&lt;0.001</f>
        <v>1</v>
      </c>
      <c r="H20" s="51">
        <f t="shared" si="4"/>
        <v>555.97302936467258</v>
      </c>
      <c r="I20" s="51"/>
      <c r="J20" s="51">
        <f>SUMIF(운영비용!$15:$15,배당!J$8,운영비용!$46:$46)</f>
        <v>54.840815999999997</v>
      </c>
      <c r="K20" s="51">
        <f>SUMIF(운영비용!$15:$15,배당!K$8,운영비용!$46:$46)</f>
        <v>54.840815999999997</v>
      </c>
      <c r="L20" s="51">
        <f>SUMIF(운영비용!$15:$15,배당!L$8,운영비용!$46:$46)</f>
        <v>55.213428239999992</v>
      </c>
      <c r="M20" s="51">
        <f>SUMIF(운영비용!$15:$15,배당!M$8,운영비용!$46:$46)</f>
        <v>55.213428239999992</v>
      </c>
      <c r="N20" s="51">
        <f>SUMIF(운영비용!$15:$15,배당!N$8,운영비용!$46:$46)</f>
        <v>55.591629663599988</v>
      </c>
      <c r="O20" s="51">
        <f>SUMIF(운영비용!$15:$15,배당!O$8,운영비용!$46:$46)</f>
        <v>55.591629663599988</v>
      </c>
      <c r="P20" s="51">
        <f>SUMIF(운영비용!$15:$15,배당!P$8,운영비용!$46:$46)</f>
        <v>55.975504108554006</v>
      </c>
      <c r="Q20" s="51">
        <f>SUMIF(운영비용!$15:$15,배당!Q$8,운영비용!$46:$46)</f>
        <v>55.975504108554006</v>
      </c>
      <c r="R20" s="51">
        <f>SUMIF(운영비용!$15:$15,배당!R$8,운영비용!$46:$46)</f>
        <v>56.365136670182302</v>
      </c>
      <c r="S20" s="51">
        <f>SUMIF(운영비용!$15:$15,배당!S$8,운영비용!$46:$46)</f>
        <v>56.365136670182302</v>
      </c>
    </row>
    <row r="21" spans="4:19" ht="13.5" customHeight="1">
      <c r="D21" s="33" t="str">
        <f>'A&amp;R'!Q27</f>
        <v>제세공과금</v>
      </c>
      <c r="E21" s="43"/>
      <c r="F21" s="43"/>
      <c r="G21" s="43"/>
      <c r="H21" s="43">
        <f t="shared" ca="1" si="4"/>
        <v>790.60533888431485</v>
      </c>
      <c r="I21" s="43"/>
      <c r="J21" s="43">
        <f ca="1">SUM(J22:J26)</f>
        <v>153.19676181197954</v>
      </c>
      <c r="K21" s="43">
        <f t="shared" ref="K21:S21" ca="1" si="5">SUM(K22:K26)</f>
        <v>1.349315</v>
      </c>
      <c r="L21" s="43">
        <f t="shared" ca="1" si="5"/>
        <v>155.12935041364557</v>
      </c>
      <c r="M21" s="43">
        <f t="shared" ca="1" si="5"/>
        <v>1.3890199999999999</v>
      </c>
      <c r="N21" s="43">
        <f t="shared" ca="1" si="5"/>
        <v>156.70877506582639</v>
      </c>
      <c r="O21" s="43">
        <f t="shared" ca="1" si="5"/>
        <v>1.3694702000000003</v>
      </c>
      <c r="P21" s="43">
        <f t="shared" ca="1" si="5"/>
        <v>158.51195737430865</v>
      </c>
      <c r="Q21" s="43">
        <f t="shared" ca="1" si="5"/>
        <v>1.4051984000000002</v>
      </c>
      <c r="R21" s="43">
        <f t="shared" ca="1" si="5"/>
        <v>160.21572541855477</v>
      </c>
      <c r="S21" s="43">
        <f t="shared" ca="1" si="5"/>
        <v>1.3297652000000002</v>
      </c>
    </row>
    <row r="22" spans="4:19" ht="13.5" customHeight="1">
      <c r="D22" s="33"/>
      <c r="E22" s="30" t="str">
        <f>'A&amp;R'!R27</f>
        <v>토지분 재산세</v>
      </c>
      <c r="F22" s="41"/>
      <c r="G22" s="182" t="b">
        <f>ABS(H22-운영비용!F50)&lt;0.001</f>
        <v>1</v>
      </c>
      <c r="H22" s="41">
        <f t="shared" si="4"/>
        <v>172.70388523108804</v>
      </c>
      <c r="I22" s="41"/>
      <c r="J22" s="41">
        <f>SUMIF(운영비용!$15:$15,배당!J$8,운영비용!$50:$50)</f>
        <v>32.445719196000006</v>
      </c>
      <c r="K22" s="41">
        <f>SUMIF(운영비용!$15:$15,배당!K$8,운영비용!$50:$50)</f>
        <v>0</v>
      </c>
      <c r="L22" s="41">
        <f>SUMIF(운영비용!$15:$15,배당!L$8,운영비용!$50:$50)</f>
        <v>33.462290771879999</v>
      </c>
      <c r="M22" s="41">
        <f>SUMIF(운영비용!$15:$15,배당!M$8,운영비용!$50:$50)</f>
        <v>0</v>
      </c>
      <c r="N22" s="41">
        <f>SUMIF(운영비용!$15:$15,배당!N$8,운영비용!$50:$50)</f>
        <v>34.509359495036406</v>
      </c>
      <c r="O22" s="41">
        <f>SUMIF(운영비용!$15:$15,배당!O$8,운영비용!$50:$50)</f>
        <v>0</v>
      </c>
      <c r="P22" s="41">
        <f>SUMIF(운영비용!$15:$15,배당!P$8,운영비용!$50:$50)</f>
        <v>35.587840279887494</v>
      </c>
      <c r="Q22" s="41">
        <f>SUMIF(운영비용!$15:$15,배당!Q$8,운영비용!$50:$50)</f>
        <v>0</v>
      </c>
      <c r="R22" s="41">
        <f>SUMIF(운영비용!$15:$15,배당!R$8,운영비용!$50:$50)</f>
        <v>36.698675488284124</v>
      </c>
      <c r="S22" s="41">
        <f>SUMIF(운영비용!$15:$15,배당!S$8,운영비용!$50:$50)</f>
        <v>0</v>
      </c>
    </row>
    <row r="23" spans="4:19" ht="13.5" customHeight="1">
      <c r="D23" s="33"/>
      <c r="E23" s="33" t="str">
        <f>'A&amp;R'!R28</f>
        <v>건물분 재산세</v>
      </c>
      <c r="F23" s="43"/>
      <c r="G23" s="184" t="b">
        <f>ABS(H23-운영비용!F54)&lt;0.001</f>
        <v>1</v>
      </c>
      <c r="H23" s="43">
        <f t="shared" si="4"/>
        <v>602.82919593502697</v>
      </c>
      <c r="I23" s="43"/>
      <c r="J23" s="43">
        <f>SUMIF(운영비용!$15:$15,배당!J$8,운영비용!$54:$54)</f>
        <v>119.48113761597953</v>
      </c>
      <c r="K23" s="43">
        <f>SUMIF(운영비용!$15:$15,배당!K$8,운영비용!$54:$54)</f>
        <v>0</v>
      </c>
      <c r="L23" s="43">
        <f>SUMIF(운영비용!$15:$15,배당!L$8,운영비용!$54:$54)</f>
        <v>120.0965889195256</v>
      </c>
      <c r="M23" s="43">
        <f>SUMIF(운영비용!$15:$15,배당!M$8,운영비용!$54:$54)</f>
        <v>0</v>
      </c>
      <c r="N23" s="43">
        <f>SUMIF(운영비용!$15:$15,배당!N$8,운영비용!$54:$54)</f>
        <v>120.64135948743001</v>
      </c>
      <c r="O23" s="43">
        <f>SUMIF(운영비용!$15:$15,배당!O$8,운영비용!$54:$54)</f>
        <v>0</v>
      </c>
      <c r="P23" s="43">
        <f>SUMIF(운영비용!$15:$15,배당!P$8,운영비용!$54:$54)</f>
        <v>121.11065456938115</v>
      </c>
      <c r="Q23" s="43">
        <f>SUMIF(운영비용!$15:$15,배당!Q$8,운영비용!$54:$54)</f>
        <v>0</v>
      </c>
      <c r="R23" s="43">
        <f>SUMIF(운영비용!$15:$15,배당!R$8,운영비용!$54:$54)</f>
        <v>121.49945534271066</v>
      </c>
      <c r="S23" s="43">
        <f>SUMIF(운영비용!$15:$15,배당!S$8,운영비용!$54:$54)</f>
        <v>0</v>
      </c>
    </row>
    <row r="24" spans="4:19" ht="13.5" customHeight="1">
      <c r="D24" s="33"/>
      <c r="E24" s="33" t="str">
        <f>'A&amp;R'!R29</f>
        <v>종합부동산세</v>
      </c>
      <c r="F24" s="43"/>
      <c r="G24" s="184" t="b">
        <f>ABS(H24-운영비용!F58)&lt;0.001</f>
        <v>1</v>
      </c>
      <c r="H24" s="43">
        <f t="shared" si="4"/>
        <v>1.4742871181999959</v>
      </c>
      <c r="I24" s="43"/>
      <c r="J24" s="43">
        <f>SUMIF(운영비용!$15:$15,배당!J$8,운영비용!$58:$58)</f>
        <v>0</v>
      </c>
      <c r="K24" s="43">
        <f>SUMIF(운영비용!$15:$15,배당!K$8,운영비용!$58:$58)</f>
        <v>0</v>
      </c>
      <c r="L24" s="43">
        <f>SUMIF(운영비용!$15:$15,배당!L$8,운영비용!$58:$58)</f>
        <v>0.18145072223999947</v>
      </c>
      <c r="M24" s="43">
        <f>SUMIF(운영비용!$15:$15,배당!M$8,운영비용!$58:$58)</f>
        <v>0</v>
      </c>
      <c r="N24" s="43">
        <f>SUMIF(운영비용!$15:$15,배당!N$8,운영비용!$58:$58)</f>
        <v>0.27217608335999921</v>
      </c>
      <c r="O24" s="43">
        <f>SUMIF(운영비용!$15:$15,배당!O$8,운영비용!$58:$58)</f>
        <v>0</v>
      </c>
      <c r="P24" s="43">
        <f>SUMIF(운영비용!$15:$15,배당!P$8,운영비용!$58:$58)</f>
        <v>0.40826412503999887</v>
      </c>
      <c r="Q24" s="43">
        <f>SUMIF(운영비용!$15:$15,배당!Q$8,운영비용!$58:$58)</f>
        <v>0</v>
      </c>
      <c r="R24" s="43">
        <f>SUMIF(운영비용!$15:$15,배당!R$8,운영비용!$58:$58)</f>
        <v>0.61239618755999825</v>
      </c>
      <c r="S24" s="43">
        <f>SUMIF(운영비용!$15:$15,배당!S$8,운영비용!$58:$58)</f>
        <v>0</v>
      </c>
    </row>
    <row r="25" spans="4:19" ht="13.5" customHeight="1">
      <c r="D25" s="33"/>
      <c r="E25" s="33" t="str">
        <f>'A&amp;R'!R30</f>
        <v>간주임대료 부가세</v>
      </c>
      <c r="F25" s="43"/>
      <c r="G25" s="184" t="b">
        <f ca="1">ABS(H25-운영비용!F62)&lt;0.001</f>
        <v>1</v>
      </c>
      <c r="H25" s="43">
        <f t="shared" ca="1" si="4"/>
        <v>8.5979706000000018</v>
      </c>
      <c r="I25" s="43"/>
      <c r="J25" s="43">
        <f ca="1">SUMIF(운영비용!$15:$15,배당!J$8,운영비용!$62:$62)</f>
        <v>0.76990500000000006</v>
      </c>
      <c r="K25" s="43">
        <f ca="1">SUMIF(운영비용!$15:$15,배당!K$8,운영비용!$62:$62)</f>
        <v>0.84931500000000004</v>
      </c>
      <c r="L25" s="43">
        <f ca="1">SUMIF(운영비용!$15:$15,배당!L$8,운영비용!$62:$62)</f>
        <v>0.88902000000000003</v>
      </c>
      <c r="M25" s="43">
        <f ca="1">SUMIF(운영비용!$15:$15,배당!M$8,운영비용!$62:$62)</f>
        <v>0.88902000000000003</v>
      </c>
      <c r="N25" s="43">
        <f ca="1">SUMIF(운영비용!$15:$15,배당!N$8,운영비용!$62:$62)</f>
        <v>0.78588000000000002</v>
      </c>
      <c r="O25" s="43">
        <f ca="1">SUMIF(운영비용!$15:$15,배당!O$8,운영비용!$62:$62)</f>
        <v>0.8694702000000003</v>
      </c>
      <c r="P25" s="43">
        <f ca="1">SUMIF(운영비용!$15:$15,배당!P$8,운영비용!$62:$62)</f>
        <v>0.90519840000000029</v>
      </c>
      <c r="Q25" s="43">
        <f ca="1">SUMIF(운영비용!$15:$15,배당!Q$8,운영비용!$62:$62)</f>
        <v>0.90519840000000029</v>
      </c>
      <c r="R25" s="43">
        <f ca="1">SUMIF(운영비용!$15:$15,배당!R$8,운영비용!$62:$62)</f>
        <v>0.90519840000000029</v>
      </c>
      <c r="S25" s="43">
        <f ca="1">SUMIF(운영비용!$15:$15,배당!S$8,운영비용!$62:$62)</f>
        <v>0.8297652000000002</v>
      </c>
    </row>
    <row r="26" spans="4:19" ht="13.5" customHeight="1">
      <c r="D26" s="35"/>
      <c r="E26" s="36" t="str">
        <f>'A&amp;R'!R31</f>
        <v>도로/공유수면 점용료</v>
      </c>
      <c r="F26" s="42"/>
      <c r="G26" s="183" t="b">
        <f>ABS(H26-운영비용!F68)&lt;0.001</f>
        <v>1</v>
      </c>
      <c r="H26" s="42">
        <f t="shared" si="4"/>
        <v>4.9999999999999991</v>
      </c>
      <c r="I26" s="42"/>
      <c r="J26" s="42">
        <f>SUMIF(운영비용!$15:$15,배당!J$8,운영비용!$68:$68)</f>
        <v>0.49999999999999994</v>
      </c>
      <c r="K26" s="42">
        <f>SUMIF(운영비용!$15:$15,배당!K$8,운영비용!$68:$68)</f>
        <v>0.49999999999999994</v>
      </c>
      <c r="L26" s="42">
        <f>SUMIF(운영비용!$15:$15,배당!L$8,운영비용!$68:$68)</f>
        <v>0.49999999999999994</v>
      </c>
      <c r="M26" s="42">
        <f>SUMIF(운영비용!$15:$15,배당!M$8,운영비용!$68:$68)</f>
        <v>0.49999999999999994</v>
      </c>
      <c r="N26" s="42">
        <f>SUMIF(운영비용!$15:$15,배당!N$8,운영비용!$68:$68)</f>
        <v>0.49999999999999994</v>
      </c>
      <c r="O26" s="42">
        <f>SUMIF(운영비용!$15:$15,배당!O$8,운영비용!$68:$68)</f>
        <v>0.49999999999999994</v>
      </c>
      <c r="P26" s="42">
        <f>SUMIF(운영비용!$15:$15,배당!P$8,운영비용!$68:$68)</f>
        <v>0.49999999999999994</v>
      </c>
      <c r="Q26" s="42">
        <f>SUMIF(운영비용!$15:$15,배당!Q$8,운영비용!$68:$68)</f>
        <v>0.49999999999999994</v>
      </c>
      <c r="R26" s="42">
        <f>SUMIF(운영비용!$15:$15,배당!R$8,운영비용!$68:$68)</f>
        <v>0.49999999999999994</v>
      </c>
      <c r="S26" s="42">
        <f>SUMIF(운영비용!$15:$15,배당!S$8,운영비용!$68:$68)</f>
        <v>0.49999999999999994</v>
      </c>
    </row>
    <row r="27" spans="4:19" ht="13.5" customHeight="1">
      <c r="D27" s="25" t="str">
        <f>'A&amp;R'!Q32</f>
        <v>보험료</v>
      </c>
      <c r="E27" s="51"/>
      <c r="F27" s="51"/>
      <c r="G27" s="215" t="b">
        <f>ABS(H27-운영비용!F73)&lt;0.001</f>
        <v>1</v>
      </c>
      <c r="H27" s="51">
        <f t="shared" si="4"/>
        <v>511.94605872934511</v>
      </c>
      <c r="I27" s="51"/>
      <c r="J27" s="51">
        <f>SUMIF(운영비용!$15:$15,배당!J$8,운영비용!$73:$73)</f>
        <v>49.681631999999993</v>
      </c>
      <c r="K27" s="51">
        <f>SUMIF(운영비용!$15:$15,배당!K$8,운영비용!$73:$73)</f>
        <v>49.681631999999993</v>
      </c>
      <c r="L27" s="51">
        <f>SUMIF(운영비용!$15:$15,배당!L$8,운영비용!$73:$73)</f>
        <v>50.426856479999984</v>
      </c>
      <c r="M27" s="51">
        <f>SUMIF(운영비용!$15:$15,배당!M$8,운영비용!$73:$73)</f>
        <v>50.426856479999984</v>
      </c>
      <c r="N27" s="51">
        <f>SUMIF(운영비용!$15:$15,배당!N$8,운영비용!$73:$73)</f>
        <v>51.183259327199991</v>
      </c>
      <c r="O27" s="51">
        <f>SUMIF(운영비용!$15:$15,배당!O$8,운영비용!$73:$73)</f>
        <v>51.183259327199991</v>
      </c>
      <c r="P27" s="51">
        <f>SUMIF(운영비용!$15:$15,배당!P$8,운영비용!$73:$73)</f>
        <v>51.951008217107969</v>
      </c>
      <c r="Q27" s="51">
        <f>SUMIF(운영비용!$15:$15,배당!Q$8,운영비용!$73:$73)</f>
        <v>51.951008217107969</v>
      </c>
      <c r="R27" s="51">
        <f>SUMIF(운영비용!$15:$15,배당!R$8,운영비용!$73:$73)</f>
        <v>52.730273340364604</v>
      </c>
      <c r="S27" s="51">
        <f>SUMIF(운영비용!$15:$15,배당!S$8,운영비용!$73:$73)</f>
        <v>52.730273340364604</v>
      </c>
    </row>
    <row r="28" spans="4:19" ht="13.5" customHeight="1">
      <c r="D28" s="25" t="str">
        <f>'A&amp;R'!Q36</f>
        <v>자산관리수수료</v>
      </c>
      <c r="E28" s="51"/>
      <c r="F28" s="51"/>
      <c r="G28" s="215" t="b">
        <f ca="1">ABS(H28-펀드비용!F19)&lt;0.001</f>
        <v>1</v>
      </c>
      <c r="H28" s="51">
        <f t="shared" ca="1" si="4"/>
        <v>733.62010895325091</v>
      </c>
      <c r="I28" s="51"/>
      <c r="J28" s="51">
        <f ca="1">SUMIF(펀드비용!$16:$16,배당!J$8,펀드비용!$19:$19)</f>
        <v>73.362010895325099</v>
      </c>
      <c r="K28" s="51">
        <f ca="1">SUMIF(펀드비용!$16:$16,배당!K$8,펀드비용!$19:$19)</f>
        <v>73.362010895325099</v>
      </c>
      <c r="L28" s="51">
        <f ca="1">SUMIF(펀드비용!$16:$16,배당!L$8,펀드비용!$19:$19)</f>
        <v>73.362010895325099</v>
      </c>
      <c r="M28" s="51">
        <f ca="1">SUMIF(펀드비용!$16:$16,배당!M$8,펀드비용!$19:$19)</f>
        <v>73.362010895325099</v>
      </c>
      <c r="N28" s="51">
        <f ca="1">SUMIF(펀드비용!$16:$16,배당!N$8,펀드비용!$19:$19)</f>
        <v>73.362010895325099</v>
      </c>
      <c r="O28" s="51">
        <f ca="1">SUMIF(펀드비용!$16:$16,배당!O$8,펀드비용!$19:$19)</f>
        <v>73.362010895325099</v>
      </c>
      <c r="P28" s="51">
        <f ca="1">SUMIF(펀드비용!$16:$16,배당!P$8,펀드비용!$19:$19)</f>
        <v>73.362010895325099</v>
      </c>
      <c r="Q28" s="51">
        <f ca="1">SUMIF(펀드비용!$16:$16,배당!Q$8,펀드비용!$19:$19)</f>
        <v>73.362010895325099</v>
      </c>
      <c r="R28" s="51">
        <f ca="1">SUMIF(펀드비용!$16:$16,배당!R$8,펀드비용!$19:$19)</f>
        <v>73.362010895325099</v>
      </c>
      <c r="S28" s="51">
        <f ca="1">SUMIF(펀드비용!$16:$16,배당!S$8,펀드비용!$19:$19)</f>
        <v>73.362010895325099</v>
      </c>
    </row>
    <row r="29" spans="4:19" ht="13.5" customHeight="1">
      <c r="D29" s="25" t="str">
        <f>'A&amp;R'!Q37</f>
        <v>자산보관수수료</v>
      </c>
      <c r="E29" s="51"/>
      <c r="F29" s="51"/>
      <c r="G29" s="215" t="b">
        <f ca="1">ABS(H29-펀드비용!F23)&lt;0.001</f>
        <v>1</v>
      </c>
      <c r="H29" s="51">
        <f t="shared" ca="1" si="4"/>
        <v>73.362010895325099</v>
      </c>
      <c r="I29" s="51"/>
      <c r="J29" s="51">
        <f ca="1">SUMIF(펀드비용!$16:$16,배당!J$8,펀드비용!$23:$23)</f>
        <v>7.3362010895325094</v>
      </c>
      <c r="K29" s="51">
        <f ca="1">SUMIF(펀드비용!$16:$16,배당!K$8,펀드비용!$23:$23)</f>
        <v>7.3362010895325094</v>
      </c>
      <c r="L29" s="51">
        <f ca="1">SUMIF(펀드비용!$16:$16,배당!L$8,펀드비용!$23:$23)</f>
        <v>7.3362010895325094</v>
      </c>
      <c r="M29" s="51">
        <f ca="1">SUMIF(펀드비용!$16:$16,배당!M$8,펀드비용!$23:$23)</f>
        <v>7.3362010895325094</v>
      </c>
      <c r="N29" s="51">
        <f ca="1">SUMIF(펀드비용!$16:$16,배당!N$8,펀드비용!$23:$23)</f>
        <v>7.3362010895325094</v>
      </c>
      <c r="O29" s="51">
        <f ca="1">SUMIF(펀드비용!$16:$16,배당!O$8,펀드비용!$23:$23)</f>
        <v>7.3362010895325094</v>
      </c>
      <c r="P29" s="51">
        <f ca="1">SUMIF(펀드비용!$16:$16,배당!P$8,펀드비용!$23:$23)</f>
        <v>7.3362010895325094</v>
      </c>
      <c r="Q29" s="51">
        <f ca="1">SUMIF(펀드비용!$16:$16,배당!Q$8,펀드비용!$23:$23)</f>
        <v>7.3362010895325094</v>
      </c>
      <c r="R29" s="51">
        <f ca="1">SUMIF(펀드비용!$16:$16,배당!R$8,펀드비용!$23:$23)</f>
        <v>7.3362010895325094</v>
      </c>
      <c r="S29" s="51">
        <f ca="1">SUMIF(펀드비용!$16:$16,배당!S$8,펀드비용!$23:$23)</f>
        <v>7.3362010895325094</v>
      </c>
    </row>
    <row r="30" spans="4:19" ht="13.5" customHeight="1">
      <c r="D30" s="25" t="str">
        <f>'A&amp;R'!Q38</f>
        <v>사무수탁수수료</v>
      </c>
      <c r="E30" s="51"/>
      <c r="F30" s="51"/>
      <c r="G30" s="215" t="b">
        <f ca="1">ABS(H30-펀드비용!F27)&lt;0.001</f>
        <v>1</v>
      </c>
      <c r="H30" s="51">
        <f t="shared" ca="1" si="4"/>
        <v>122.27001815887517</v>
      </c>
      <c r="I30" s="51"/>
      <c r="J30" s="51">
        <f ca="1">SUMIF(펀드비용!$16:$16,배당!J$8,펀드비용!$27:$27)</f>
        <v>12.227001815887515</v>
      </c>
      <c r="K30" s="51">
        <f ca="1">SUMIF(펀드비용!$16:$16,배당!K$8,펀드비용!$27:$27)</f>
        <v>12.227001815887515</v>
      </c>
      <c r="L30" s="51">
        <f ca="1">SUMIF(펀드비용!$16:$16,배당!L$8,펀드비용!$27:$27)</f>
        <v>12.227001815887515</v>
      </c>
      <c r="M30" s="51">
        <f ca="1">SUMIF(펀드비용!$16:$16,배당!M$8,펀드비용!$27:$27)</f>
        <v>12.227001815887515</v>
      </c>
      <c r="N30" s="51">
        <f ca="1">SUMIF(펀드비용!$16:$16,배당!N$8,펀드비용!$27:$27)</f>
        <v>12.227001815887515</v>
      </c>
      <c r="O30" s="51">
        <f ca="1">SUMIF(펀드비용!$16:$16,배당!O$8,펀드비용!$27:$27)</f>
        <v>12.227001815887515</v>
      </c>
      <c r="P30" s="51">
        <f ca="1">SUMIF(펀드비용!$16:$16,배당!P$8,펀드비용!$27:$27)</f>
        <v>12.227001815887515</v>
      </c>
      <c r="Q30" s="51">
        <f ca="1">SUMIF(펀드비용!$16:$16,배당!Q$8,펀드비용!$27:$27)</f>
        <v>12.227001815887515</v>
      </c>
      <c r="R30" s="51">
        <f ca="1">SUMIF(펀드비용!$16:$16,배당!R$8,펀드비용!$27:$27)</f>
        <v>12.227001815887515</v>
      </c>
      <c r="S30" s="51">
        <f ca="1">SUMIF(펀드비용!$16:$16,배당!S$8,펀드비용!$27:$27)</f>
        <v>12.227001815887515</v>
      </c>
    </row>
    <row r="31" spans="4:19" ht="13.5" customHeight="1">
      <c r="D31" s="30" t="s">
        <v>452</v>
      </c>
      <c r="H31" s="1">
        <f t="shared" ca="1" si="4"/>
        <v>3945.3414685500461</v>
      </c>
      <c r="J31" s="1">
        <f ca="1">SUM(J32:J33)</f>
        <v>392.84664685500462</v>
      </c>
      <c r="K31" s="1">
        <f t="shared" ref="K31:S31" ca="1" si="6">SUM(K32:K33)</f>
        <v>393.22164685500462</v>
      </c>
      <c r="L31" s="1">
        <f t="shared" ca="1" si="6"/>
        <v>393.59664685500462</v>
      </c>
      <c r="M31" s="1">
        <f t="shared" ca="1" si="6"/>
        <v>393.97164685500462</v>
      </c>
      <c r="N31" s="1">
        <f t="shared" ca="1" si="6"/>
        <v>394.34664685500462</v>
      </c>
      <c r="O31" s="1">
        <f t="shared" ca="1" si="6"/>
        <v>394.72164685500462</v>
      </c>
      <c r="P31" s="1">
        <f t="shared" ca="1" si="6"/>
        <v>395.09664685500462</v>
      </c>
      <c r="Q31" s="1">
        <f t="shared" ca="1" si="6"/>
        <v>395.47164685500462</v>
      </c>
      <c r="R31" s="1">
        <f t="shared" ca="1" si="6"/>
        <v>395.84664685500462</v>
      </c>
      <c r="S31" s="1">
        <f t="shared" ca="1" si="6"/>
        <v>396.22164685500462</v>
      </c>
    </row>
    <row r="32" spans="4:19" ht="13.5" customHeight="1">
      <c r="D32" s="33"/>
      <c r="E32" s="30" t="s">
        <v>453</v>
      </c>
      <c r="F32" s="41"/>
      <c r="G32" s="223" t="s">
        <v>455</v>
      </c>
      <c r="H32" s="224">
        <v>40</v>
      </c>
      <c r="I32" s="41"/>
      <c r="J32" s="41">
        <f ca="1">$G$34/$H$32*(J$11/12)</f>
        <v>392.47164685500462</v>
      </c>
      <c r="K32" s="41">
        <f t="shared" ref="K32:S32" ca="1" si="7">$G$34/$H$32*(K$11/12)</f>
        <v>392.47164685500462</v>
      </c>
      <c r="L32" s="41">
        <f t="shared" ca="1" si="7"/>
        <v>392.47164685500462</v>
      </c>
      <c r="M32" s="41">
        <f t="shared" ca="1" si="7"/>
        <v>392.47164685500462</v>
      </c>
      <c r="N32" s="41">
        <f t="shared" ca="1" si="7"/>
        <v>392.47164685500462</v>
      </c>
      <c r="O32" s="41">
        <f t="shared" ca="1" si="7"/>
        <v>392.47164685500462</v>
      </c>
      <c r="P32" s="41">
        <f t="shared" ca="1" si="7"/>
        <v>392.47164685500462</v>
      </c>
      <c r="Q32" s="41">
        <f t="shared" ca="1" si="7"/>
        <v>392.47164685500462</v>
      </c>
      <c r="R32" s="41">
        <f t="shared" ca="1" si="7"/>
        <v>392.47164685500462</v>
      </c>
      <c r="S32" s="41">
        <f t="shared" ca="1" si="7"/>
        <v>392.47164685500462</v>
      </c>
    </row>
    <row r="33" spans="3:19" ht="13.5" customHeight="1">
      <c r="D33" s="33"/>
      <c r="E33" s="33" t="s">
        <v>454</v>
      </c>
      <c r="F33" s="43"/>
      <c r="G33" s="209" t="s">
        <v>455</v>
      </c>
      <c r="H33" s="216">
        <v>8</v>
      </c>
      <c r="I33" s="43"/>
      <c r="J33" s="43">
        <f>SUMIF($G$36:$G$45,J$10,$H$36:$H$45)</f>
        <v>0.375</v>
      </c>
      <c r="K33" s="43">
        <f t="shared" ref="K33:S33" si="8">SUMIF($G$36:$G$45,K$10,$H$36:$H$45)</f>
        <v>0.75</v>
      </c>
      <c r="L33" s="43">
        <f t="shared" si="8"/>
        <v>1.125</v>
      </c>
      <c r="M33" s="43">
        <f t="shared" si="8"/>
        <v>1.5</v>
      </c>
      <c r="N33" s="43">
        <f t="shared" si="8"/>
        <v>1.875</v>
      </c>
      <c r="O33" s="43">
        <f t="shared" si="8"/>
        <v>2.25</v>
      </c>
      <c r="P33" s="43">
        <f t="shared" si="8"/>
        <v>2.625</v>
      </c>
      <c r="Q33" s="43">
        <f t="shared" si="8"/>
        <v>3</v>
      </c>
      <c r="R33" s="43">
        <f t="shared" si="8"/>
        <v>3.375</v>
      </c>
      <c r="S33" s="43">
        <f t="shared" si="8"/>
        <v>3.75</v>
      </c>
    </row>
    <row r="34" spans="3:19" ht="13.5" customHeight="1" outlineLevel="1">
      <c r="D34" s="33"/>
      <c r="E34" s="33"/>
      <c r="F34" s="79" t="s">
        <v>453</v>
      </c>
      <c r="G34" s="180">
        <f ca="1">'A&amp;R'!I46</f>
        <v>31397.731748400369</v>
      </c>
      <c r="H34" s="43"/>
      <c r="I34" s="43"/>
      <c r="J34" s="43"/>
      <c r="K34" s="43"/>
      <c r="L34" s="43"/>
      <c r="M34" s="43"/>
      <c r="N34" s="43"/>
      <c r="O34" s="43"/>
      <c r="P34" s="43"/>
      <c r="Q34" s="43"/>
      <c r="R34" s="43"/>
      <c r="S34" s="43"/>
    </row>
    <row r="35" spans="3:19" s="11" customFormat="1" ht="13.5" customHeight="1" outlineLevel="1">
      <c r="D35" s="219"/>
      <c r="E35" s="219"/>
      <c r="F35" s="79" t="s">
        <v>218</v>
      </c>
      <c r="G35" s="163" t="s">
        <v>458</v>
      </c>
      <c r="H35" s="163"/>
      <c r="I35" s="221"/>
      <c r="J35" s="163">
        <f>SUMIF(운영비용!$15:$15,배당!J$8,운영비용!$80:$80)</f>
        <v>6</v>
      </c>
      <c r="K35" s="163">
        <f>SUMIF(운영비용!$15:$15,배당!K$8,운영비용!$80:$80)</f>
        <v>6</v>
      </c>
      <c r="L35" s="163">
        <f>SUMIF(운영비용!$15:$15,배당!L$8,운영비용!$80:$80)</f>
        <v>6</v>
      </c>
      <c r="M35" s="163">
        <f>SUMIF(운영비용!$15:$15,배당!M$8,운영비용!$80:$80)</f>
        <v>6</v>
      </c>
      <c r="N35" s="163">
        <f>SUMIF(운영비용!$15:$15,배당!N$8,운영비용!$80:$80)</f>
        <v>6</v>
      </c>
      <c r="O35" s="163">
        <f>SUMIF(운영비용!$15:$15,배당!O$8,운영비용!$80:$80)</f>
        <v>6</v>
      </c>
      <c r="P35" s="163">
        <f>SUMIF(운영비용!$15:$15,배당!P$8,운영비용!$80:$80)</f>
        <v>6</v>
      </c>
      <c r="Q35" s="163">
        <f>SUMIF(운영비용!$15:$15,배당!Q$8,운영비용!$80:$80)</f>
        <v>6</v>
      </c>
      <c r="R35" s="163">
        <f>SUMIF(운영비용!$15:$15,배당!R$8,운영비용!$80:$80)</f>
        <v>6</v>
      </c>
      <c r="S35" s="163">
        <f>SUMIF(운영비용!$15:$15,배당!S$8,운영비용!$80:$80)</f>
        <v>6</v>
      </c>
    </row>
    <row r="36" spans="3:19" s="11" customFormat="1" ht="13.5" customHeight="1" outlineLevel="1">
      <c r="D36" s="219"/>
      <c r="E36" s="219"/>
      <c r="F36" s="79"/>
      <c r="G36" s="225">
        <f t="array" ref="G36:G45">TRANSPOSE(J10:S10)</f>
        <v>44469</v>
      </c>
      <c r="H36" s="79">
        <f>SUM(I36:S36)</f>
        <v>0.375</v>
      </c>
      <c r="I36" s="219"/>
      <c r="J36" s="226">
        <f>J$35/$H$33*(J$11/12)*($G36&gt;=J$10)*($G36&lt;EOMONTH(J$10,$H$33*12))</f>
        <v>0.375</v>
      </c>
      <c r="K36" s="226">
        <f t="shared" ref="K36:S36" si="9">K$35/$H$33*(K$11/12)*($G36&gt;=K$10)*($G36&lt;EOMONTH(K$10,$H$33*12))</f>
        <v>0</v>
      </c>
      <c r="L36" s="226">
        <f t="shared" si="9"/>
        <v>0</v>
      </c>
      <c r="M36" s="226">
        <f t="shared" si="9"/>
        <v>0</v>
      </c>
      <c r="N36" s="226">
        <f t="shared" si="9"/>
        <v>0</v>
      </c>
      <c r="O36" s="226">
        <f t="shared" si="9"/>
        <v>0</v>
      </c>
      <c r="P36" s="226">
        <f t="shared" si="9"/>
        <v>0</v>
      </c>
      <c r="Q36" s="226">
        <f t="shared" si="9"/>
        <v>0</v>
      </c>
      <c r="R36" s="226">
        <f t="shared" si="9"/>
        <v>0</v>
      </c>
      <c r="S36" s="226">
        <f t="shared" si="9"/>
        <v>0</v>
      </c>
    </row>
    <row r="37" spans="3:19" s="11" customFormat="1" ht="13.5" customHeight="1" outlineLevel="1">
      <c r="D37" s="219"/>
      <c r="E37" s="219"/>
      <c r="F37" s="79"/>
      <c r="G37" s="225">
        <v>44651</v>
      </c>
      <c r="H37" s="79">
        <f t="shared" ref="H37:H45" si="10">SUM(I37:S37)</f>
        <v>0.75</v>
      </c>
      <c r="I37" s="219"/>
      <c r="J37" s="226">
        <f t="shared" ref="J37:S45" si="11">J$35/$H$33*(J$11/12)*($G37&gt;=J$10)*($G37&lt;EOMONTH(J$10,$H$33*12))</f>
        <v>0.375</v>
      </c>
      <c r="K37" s="226">
        <f t="shared" si="11"/>
        <v>0.375</v>
      </c>
      <c r="L37" s="226">
        <f t="shared" si="11"/>
        <v>0</v>
      </c>
      <c r="M37" s="226">
        <f t="shared" si="11"/>
        <v>0</v>
      </c>
      <c r="N37" s="226">
        <f t="shared" si="11"/>
        <v>0</v>
      </c>
      <c r="O37" s="226">
        <f t="shared" si="11"/>
        <v>0</v>
      </c>
      <c r="P37" s="226">
        <f t="shared" si="11"/>
        <v>0</v>
      </c>
      <c r="Q37" s="226">
        <f t="shared" si="11"/>
        <v>0</v>
      </c>
      <c r="R37" s="226">
        <f t="shared" si="11"/>
        <v>0</v>
      </c>
      <c r="S37" s="226">
        <f t="shared" si="11"/>
        <v>0</v>
      </c>
    </row>
    <row r="38" spans="3:19" s="11" customFormat="1" ht="13.5" customHeight="1" outlineLevel="1">
      <c r="D38" s="219"/>
      <c r="E38" s="219"/>
      <c r="F38" s="79"/>
      <c r="G38" s="225">
        <v>44834</v>
      </c>
      <c r="H38" s="79">
        <f t="shared" si="10"/>
        <v>1.125</v>
      </c>
      <c r="I38" s="219"/>
      <c r="J38" s="226">
        <f t="shared" si="11"/>
        <v>0.375</v>
      </c>
      <c r="K38" s="226">
        <f t="shared" si="11"/>
        <v>0.375</v>
      </c>
      <c r="L38" s="226">
        <f t="shared" si="11"/>
        <v>0.375</v>
      </c>
      <c r="M38" s="226">
        <f t="shared" si="11"/>
        <v>0</v>
      </c>
      <c r="N38" s="226">
        <f t="shared" si="11"/>
        <v>0</v>
      </c>
      <c r="O38" s="226">
        <f t="shared" si="11"/>
        <v>0</v>
      </c>
      <c r="P38" s="226">
        <f t="shared" si="11"/>
        <v>0</v>
      </c>
      <c r="Q38" s="226">
        <f t="shared" si="11"/>
        <v>0</v>
      </c>
      <c r="R38" s="226">
        <f t="shared" si="11"/>
        <v>0</v>
      </c>
      <c r="S38" s="226">
        <f t="shared" si="11"/>
        <v>0</v>
      </c>
    </row>
    <row r="39" spans="3:19" s="11" customFormat="1" ht="13.5" customHeight="1" outlineLevel="1">
      <c r="D39" s="219"/>
      <c r="E39" s="219"/>
      <c r="F39" s="79"/>
      <c r="G39" s="225">
        <v>45016</v>
      </c>
      <c r="H39" s="79">
        <f t="shared" si="10"/>
        <v>1.5</v>
      </c>
      <c r="I39" s="219"/>
      <c r="J39" s="226">
        <f t="shared" si="11"/>
        <v>0.375</v>
      </c>
      <c r="K39" s="226">
        <f t="shared" si="11"/>
        <v>0.375</v>
      </c>
      <c r="L39" s="226">
        <f t="shared" si="11"/>
        <v>0.375</v>
      </c>
      <c r="M39" s="226">
        <f t="shared" si="11"/>
        <v>0.375</v>
      </c>
      <c r="N39" s="226">
        <f t="shared" si="11"/>
        <v>0</v>
      </c>
      <c r="O39" s="226">
        <f t="shared" si="11"/>
        <v>0</v>
      </c>
      <c r="P39" s="226">
        <f t="shared" si="11"/>
        <v>0</v>
      </c>
      <c r="Q39" s="226">
        <f t="shared" si="11"/>
        <v>0</v>
      </c>
      <c r="R39" s="226">
        <f t="shared" si="11"/>
        <v>0</v>
      </c>
      <c r="S39" s="226">
        <f t="shared" si="11"/>
        <v>0</v>
      </c>
    </row>
    <row r="40" spans="3:19" s="11" customFormat="1" ht="13.5" customHeight="1" outlineLevel="1">
      <c r="D40" s="219"/>
      <c r="E40" s="219"/>
      <c r="F40" s="79"/>
      <c r="G40" s="225">
        <v>45199</v>
      </c>
      <c r="H40" s="79">
        <f t="shared" si="10"/>
        <v>1.875</v>
      </c>
      <c r="I40" s="219"/>
      <c r="J40" s="226">
        <f t="shared" si="11"/>
        <v>0.375</v>
      </c>
      <c r="K40" s="226">
        <f t="shared" si="11"/>
        <v>0.375</v>
      </c>
      <c r="L40" s="226">
        <f t="shared" si="11"/>
        <v>0.375</v>
      </c>
      <c r="M40" s="226">
        <f t="shared" si="11"/>
        <v>0.375</v>
      </c>
      <c r="N40" s="226">
        <f t="shared" si="11"/>
        <v>0.375</v>
      </c>
      <c r="O40" s="226">
        <f t="shared" si="11"/>
        <v>0</v>
      </c>
      <c r="P40" s="226">
        <f t="shared" si="11"/>
        <v>0</v>
      </c>
      <c r="Q40" s="226">
        <f t="shared" si="11"/>
        <v>0</v>
      </c>
      <c r="R40" s="226">
        <f t="shared" si="11"/>
        <v>0</v>
      </c>
      <c r="S40" s="226">
        <f t="shared" si="11"/>
        <v>0</v>
      </c>
    </row>
    <row r="41" spans="3:19" s="11" customFormat="1" ht="13.5" customHeight="1" outlineLevel="1">
      <c r="D41" s="219"/>
      <c r="E41" s="219"/>
      <c r="F41" s="79"/>
      <c r="G41" s="225">
        <v>45382</v>
      </c>
      <c r="H41" s="79">
        <f t="shared" si="10"/>
        <v>2.25</v>
      </c>
      <c r="I41" s="219"/>
      <c r="J41" s="226">
        <f t="shared" si="11"/>
        <v>0.375</v>
      </c>
      <c r="K41" s="226">
        <f t="shared" si="11"/>
        <v>0.375</v>
      </c>
      <c r="L41" s="226">
        <f t="shared" si="11"/>
        <v>0.375</v>
      </c>
      <c r="M41" s="226">
        <f t="shared" si="11"/>
        <v>0.375</v>
      </c>
      <c r="N41" s="226">
        <f t="shared" si="11"/>
        <v>0.375</v>
      </c>
      <c r="O41" s="226">
        <f t="shared" si="11"/>
        <v>0.375</v>
      </c>
      <c r="P41" s="226">
        <f t="shared" si="11"/>
        <v>0</v>
      </c>
      <c r="Q41" s="226">
        <f t="shared" si="11"/>
        <v>0</v>
      </c>
      <c r="R41" s="226">
        <f t="shared" si="11"/>
        <v>0</v>
      </c>
      <c r="S41" s="226">
        <f t="shared" si="11"/>
        <v>0</v>
      </c>
    </row>
    <row r="42" spans="3:19" s="11" customFormat="1" ht="13.5" customHeight="1" outlineLevel="1">
      <c r="D42" s="219"/>
      <c r="E42" s="219"/>
      <c r="F42" s="79"/>
      <c r="G42" s="225">
        <v>45565</v>
      </c>
      <c r="H42" s="79">
        <f t="shared" si="10"/>
        <v>2.625</v>
      </c>
      <c r="I42" s="219"/>
      <c r="J42" s="226">
        <f t="shared" si="11"/>
        <v>0.375</v>
      </c>
      <c r="K42" s="226">
        <f t="shared" si="11"/>
        <v>0.375</v>
      </c>
      <c r="L42" s="226">
        <f t="shared" si="11"/>
        <v>0.375</v>
      </c>
      <c r="M42" s="226">
        <f t="shared" si="11"/>
        <v>0.375</v>
      </c>
      <c r="N42" s="226">
        <f t="shared" si="11"/>
        <v>0.375</v>
      </c>
      <c r="O42" s="226">
        <f t="shared" si="11"/>
        <v>0.375</v>
      </c>
      <c r="P42" s="226">
        <f t="shared" si="11"/>
        <v>0.375</v>
      </c>
      <c r="Q42" s="226">
        <f t="shared" si="11"/>
        <v>0</v>
      </c>
      <c r="R42" s="226">
        <f t="shared" si="11"/>
        <v>0</v>
      </c>
      <c r="S42" s="226">
        <f t="shared" si="11"/>
        <v>0</v>
      </c>
    </row>
    <row r="43" spans="3:19" ht="13.5" customHeight="1" outlineLevel="1">
      <c r="D43" s="33"/>
      <c r="E43" s="33"/>
      <c r="F43" s="43"/>
      <c r="G43" s="225">
        <v>45747</v>
      </c>
      <c r="H43" s="79">
        <f t="shared" si="10"/>
        <v>3</v>
      </c>
      <c r="I43" s="33"/>
      <c r="J43" s="226">
        <f t="shared" si="11"/>
        <v>0.375</v>
      </c>
      <c r="K43" s="226">
        <f t="shared" si="11"/>
        <v>0.375</v>
      </c>
      <c r="L43" s="226">
        <f t="shared" si="11"/>
        <v>0.375</v>
      </c>
      <c r="M43" s="226">
        <f t="shared" si="11"/>
        <v>0.375</v>
      </c>
      <c r="N43" s="226">
        <f t="shared" si="11"/>
        <v>0.375</v>
      </c>
      <c r="O43" s="226">
        <f t="shared" si="11"/>
        <v>0.375</v>
      </c>
      <c r="P43" s="226">
        <f t="shared" si="11"/>
        <v>0.375</v>
      </c>
      <c r="Q43" s="226">
        <f t="shared" si="11"/>
        <v>0.375</v>
      </c>
      <c r="R43" s="227">
        <f t="shared" si="11"/>
        <v>0</v>
      </c>
      <c r="S43" s="227">
        <f t="shared" si="11"/>
        <v>0</v>
      </c>
    </row>
    <row r="44" spans="3:19" ht="13.5" customHeight="1" outlineLevel="1">
      <c r="D44" s="33"/>
      <c r="E44" s="33"/>
      <c r="F44" s="43"/>
      <c r="G44" s="225">
        <v>45930</v>
      </c>
      <c r="H44" s="79">
        <f t="shared" si="10"/>
        <v>3.375</v>
      </c>
      <c r="I44" s="33"/>
      <c r="J44" s="226">
        <f t="shared" si="11"/>
        <v>0.375</v>
      </c>
      <c r="K44" s="226">
        <f t="shared" si="11"/>
        <v>0.375</v>
      </c>
      <c r="L44" s="226">
        <f t="shared" si="11"/>
        <v>0.375</v>
      </c>
      <c r="M44" s="226">
        <f t="shared" si="11"/>
        <v>0.375</v>
      </c>
      <c r="N44" s="226">
        <f t="shared" si="11"/>
        <v>0.375</v>
      </c>
      <c r="O44" s="226">
        <f t="shared" si="11"/>
        <v>0.375</v>
      </c>
      <c r="P44" s="226">
        <f t="shared" si="11"/>
        <v>0.375</v>
      </c>
      <c r="Q44" s="226">
        <f t="shared" si="11"/>
        <v>0.375</v>
      </c>
      <c r="R44" s="226">
        <f t="shared" si="11"/>
        <v>0.375</v>
      </c>
      <c r="S44" s="227">
        <f t="shared" si="11"/>
        <v>0</v>
      </c>
    </row>
    <row r="45" spans="3:19" ht="13.5" customHeight="1" outlineLevel="1">
      <c r="D45" s="33"/>
      <c r="E45" s="36"/>
      <c r="F45" s="42"/>
      <c r="G45" s="220">
        <v>46112</v>
      </c>
      <c r="H45" s="163">
        <f t="shared" si="10"/>
        <v>3.75</v>
      </c>
      <c r="I45" s="36"/>
      <c r="J45" s="222">
        <f t="shared" si="11"/>
        <v>0.375</v>
      </c>
      <c r="K45" s="222">
        <f t="shared" si="11"/>
        <v>0.375</v>
      </c>
      <c r="L45" s="222">
        <f t="shared" si="11"/>
        <v>0.375</v>
      </c>
      <c r="M45" s="222">
        <f t="shared" si="11"/>
        <v>0.375</v>
      </c>
      <c r="N45" s="222">
        <f t="shared" si="11"/>
        <v>0.375</v>
      </c>
      <c r="O45" s="222">
        <f t="shared" si="11"/>
        <v>0.375</v>
      </c>
      <c r="P45" s="222">
        <f t="shared" si="11"/>
        <v>0.375</v>
      </c>
      <c r="Q45" s="222">
        <f t="shared" si="11"/>
        <v>0.375</v>
      </c>
      <c r="R45" s="222">
        <f t="shared" si="11"/>
        <v>0.375</v>
      </c>
      <c r="S45" s="222">
        <f t="shared" si="11"/>
        <v>0.375</v>
      </c>
    </row>
    <row r="46" spans="3:19" ht="13.5" customHeight="1">
      <c r="C46" s="13" t="s">
        <v>459</v>
      </c>
      <c r="D46" s="13"/>
      <c r="E46" s="13"/>
      <c r="F46" s="13"/>
      <c r="G46" s="13"/>
      <c r="H46" s="13">
        <f ca="1">SUM(I46:XFD46)</f>
        <v>6100.0170000282515</v>
      </c>
      <c r="I46" s="13"/>
      <c r="J46" s="13">
        <f ca="1">J13-J16</f>
        <v>445.86954353227088</v>
      </c>
      <c r="K46" s="13">
        <f t="shared" ref="K46:S46" ca="1" si="12">K13-K16</f>
        <v>433.66915701091671</v>
      </c>
      <c r="L46" s="13">
        <f t="shared" ca="1" si="12"/>
        <v>596.2393274206047</v>
      </c>
      <c r="M46" s="13">
        <f t="shared" ca="1" si="12"/>
        <v>757.51918783425049</v>
      </c>
      <c r="N46" s="13">
        <f t="shared" ca="1" si="12"/>
        <v>484.05699584577417</v>
      </c>
      <c r="O46" s="13">
        <f t="shared" ca="1" si="12"/>
        <v>501.89347601160011</v>
      </c>
      <c r="P46" s="13">
        <f t="shared" ca="1" si="12"/>
        <v>628.97154036080201</v>
      </c>
      <c r="Q46" s="13">
        <f t="shared" ca="1" si="12"/>
        <v>800.93380138811062</v>
      </c>
      <c r="R46" s="13">
        <f t="shared" ca="1" si="12"/>
        <v>638.48510166591882</v>
      </c>
      <c r="S46" s="13">
        <f t="shared" ca="1" si="12"/>
        <v>812.3788689580033</v>
      </c>
    </row>
    <row r="47" spans="3:19" ht="13.5" customHeight="1">
      <c r="C47" s="1" t="s">
        <v>460</v>
      </c>
      <c r="H47" s="1">
        <f ca="1">SUM(I47:XFD47)</f>
        <v>3867.0339451480804</v>
      </c>
      <c r="J47" s="1">
        <f ca="1">SUMIFS(현금흐름!$111:$111,현금흐름!$14:$14,"&lt;="&amp;J10)-SUM($I$47:I47)</f>
        <v>464.63846911555538</v>
      </c>
      <c r="K47" s="1">
        <f ca="1">SUMIFS(현금흐름!$111:$111,현금흐름!$14:$14,"&lt;="&amp;K10)-SUM($I$47:J47)</f>
        <v>382.14041148579429</v>
      </c>
      <c r="L47" s="1">
        <f ca="1">SUMIFS(현금흐름!$111:$111,현금흐름!$14:$14,"&lt;="&amp;L10)-SUM($I$47:K47)</f>
        <v>381.39460895325112</v>
      </c>
      <c r="M47" s="1">
        <f ca="1">SUMIFS(현금흐름!$111:$111,현금흐름!$14:$14,"&lt;="&amp;M10)-SUM($I$47:L47)</f>
        <v>381.39460895325146</v>
      </c>
      <c r="N47" s="1">
        <f ca="1">SUMIFS(현금흐름!$111:$111,현금흐름!$14:$14,"&lt;="&amp;N10)-SUM($I$47:M47)</f>
        <v>381.83514745333309</v>
      </c>
      <c r="O47" s="1">
        <f ca="1">SUMIFS(현금흐름!$111:$111,현금흐름!$14:$14,"&lt;="&amp;O10)-SUM($I$47:N47)</f>
        <v>381.83514745333196</v>
      </c>
      <c r="P47" s="1">
        <f ca="1">SUMIFS(현금흐름!$111:$111,현금흐름!$14:$14,"&lt;="&amp;P10)-SUM($I$47:O47)</f>
        <v>381.3946089532501</v>
      </c>
      <c r="Q47" s="1">
        <f ca="1">SUMIFS(현금흐름!$111:$111,현금흐름!$14:$14,"&lt;="&amp;Q10)-SUM($I$47:P47)</f>
        <v>381.3946089532501</v>
      </c>
      <c r="R47" s="1">
        <f ca="1">SUMIFS(현금흐름!$111:$111,현금흐름!$14:$14,"&lt;="&amp;R10)-SUM($I$47:Q47)</f>
        <v>381.3946089532501</v>
      </c>
      <c r="S47" s="1">
        <f ca="1">SUMIFS(현금흐름!$111:$111,현금흐름!$14:$14,"&lt;="&amp;S10)-SUM($I$47:R47)</f>
        <v>349.61172487381282</v>
      </c>
    </row>
    <row r="48" spans="3:19" ht="13.5" customHeight="1">
      <c r="C48" s="1" t="s">
        <v>461</v>
      </c>
      <c r="Q48" s="11"/>
      <c r="R48" s="11"/>
      <c r="S48" s="11"/>
    </row>
    <row r="49" spans="2:19" ht="13.5" customHeight="1">
      <c r="C49" s="44" t="s">
        <v>462</v>
      </c>
      <c r="D49" s="44"/>
      <c r="E49" s="44"/>
      <c r="F49" s="44"/>
      <c r="G49" s="44"/>
      <c r="H49" s="44">
        <f ca="1">SUM(I49:XFD49)</f>
        <v>2232.983054880171</v>
      </c>
      <c r="I49" s="44"/>
      <c r="J49" s="44">
        <f ca="1">J46-J47-J48</f>
        <v>-18.768925583284499</v>
      </c>
      <c r="K49" s="44">
        <f t="shared" ref="K49:S49" ca="1" si="13">K46-K47-K48</f>
        <v>51.528745525122417</v>
      </c>
      <c r="L49" s="44">
        <f t="shared" ca="1" si="13"/>
        <v>214.84471846735357</v>
      </c>
      <c r="M49" s="44">
        <f t="shared" ca="1" si="13"/>
        <v>376.12457888099902</v>
      </c>
      <c r="N49" s="44">
        <f t="shared" ca="1" si="13"/>
        <v>102.22184839244107</v>
      </c>
      <c r="O49" s="44">
        <f t="shared" ca="1" si="13"/>
        <v>120.05832855826816</v>
      </c>
      <c r="P49" s="44">
        <f t="shared" ca="1" si="13"/>
        <v>247.57693140755191</v>
      </c>
      <c r="Q49" s="44">
        <f t="shared" ca="1" si="13"/>
        <v>419.53919243486052</v>
      </c>
      <c r="R49" s="44">
        <f t="shared" ca="1" si="13"/>
        <v>257.09049271266872</v>
      </c>
      <c r="S49" s="44">
        <f t="shared" ca="1" si="13"/>
        <v>462.76714408419048</v>
      </c>
    </row>
    <row r="50" spans="2:19" ht="13.5" customHeight="1">
      <c r="S50" s="11"/>
    </row>
    <row r="51" spans="2:19" ht="13.5" customHeight="1">
      <c r="B51" s="13" t="s">
        <v>465</v>
      </c>
    </row>
    <row r="52" spans="2:19" ht="13.5" customHeight="1">
      <c r="C52" s="44" t="s">
        <v>466</v>
      </c>
      <c r="D52" s="44"/>
      <c r="E52" s="44"/>
      <c r="F52" s="44"/>
      <c r="G52" s="44"/>
      <c r="H52" s="44"/>
      <c r="I52" s="44"/>
      <c r="J52" s="44">
        <f ca="1">(J49&gt;0)*(J49+J31)</f>
        <v>0</v>
      </c>
      <c r="K52" s="44">
        <f t="shared" ref="K52:S52" ca="1" si="14">(K49&gt;0)*(K49+K31)</f>
        <v>444.75039238012704</v>
      </c>
      <c r="L52" s="44">
        <f t="shared" ca="1" si="14"/>
        <v>608.44136532235825</v>
      </c>
      <c r="M52" s="44">
        <f t="shared" ca="1" si="14"/>
        <v>770.09622573600359</v>
      </c>
      <c r="N52" s="44">
        <f t="shared" ca="1" si="14"/>
        <v>496.5684952474457</v>
      </c>
      <c r="O52" s="44">
        <f t="shared" ca="1" si="14"/>
        <v>514.77997541327272</v>
      </c>
      <c r="P52" s="44">
        <f t="shared" ca="1" si="14"/>
        <v>642.67357826255648</v>
      </c>
      <c r="Q52" s="44">
        <f t="shared" ca="1" si="14"/>
        <v>815.01083928986509</v>
      </c>
      <c r="R52" s="44">
        <f t="shared" ca="1" si="14"/>
        <v>652.93713956767328</v>
      </c>
      <c r="S52" s="44">
        <f t="shared" ca="1" si="14"/>
        <v>858.98879093919504</v>
      </c>
    </row>
    <row r="53" spans="2:19" ht="13.5" customHeight="1">
      <c r="C53" s="13" t="s">
        <v>467</v>
      </c>
    </row>
    <row r="54" spans="2:19" ht="13.5" customHeight="1">
      <c r="D54" s="1" t="s">
        <v>468</v>
      </c>
      <c r="G54" s="11">
        <f>'A&amp;R'!E77</f>
        <v>17000</v>
      </c>
      <c r="H54" s="119">
        <f>'A&amp;R'!G77</f>
        <v>0.06</v>
      </c>
      <c r="J54" s="1">
        <f t="shared" ref="J54" si="15">$G$54*$H$54*(J$11/12)+I56</f>
        <v>510</v>
      </c>
      <c r="K54" s="1">
        <f ca="1">$G$54*$H$54*(K$11/12)+J56</f>
        <v>1020</v>
      </c>
      <c r="L54" s="1">
        <f t="shared" ref="L54:S54" ca="1" si="16">$G$54*$H$54*(L$11/12)+K56</f>
        <v>1085.2496076198729</v>
      </c>
      <c r="M54" s="1">
        <f t="shared" ca="1" si="16"/>
        <v>986.80824229751465</v>
      </c>
      <c r="N54" s="1">
        <f t="shared" ca="1" si="16"/>
        <v>726.71201656151106</v>
      </c>
      <c r="O54" s="1">
        <f t="shared" ca="1" si="16"/>
        <v>740.14352131406531</v>
      </c>
      <c r="P54" s="1">
        <f t="shared" ca="1" si="16"/>
        <v>735.36354590079259</v>
      </c>
      <c r="Q54" s="1">
        <f t="shared" ca="1" si="16"/>
        <v>602.68996763823611</v>
      </c>
      <c r="R54" s="1">
        <f t="shared" ca="1" si="16"/>
        <v>510</v>
      </c>
      <c r="S54" s="1">
        <f t="shared" ca="1" si="16"/>
        <v>510</v>
      </c>
    </row>
    <row r="55" spans="2:19" ht="13.5" customHeight="1">
      <c r="D55" s="1" t="s">
        <v>469</v>
      </c>
      <c r="J55" s="1">
        <f ca="1">MIN(J52,J54)</f>
        <v>0</v>
      </c>
      <c r="K55" s="1">
        <f t="shared" ref="K55:S55" ca="1" si="17">MIN(K52,K54)</f>
        <v>444.75039238012704</v>
      </c>
      <c r="L55" s="1">
        <f t="shared" ca="1" si="17"/>
        <v>608.44136532235825</v>
      </c>
      <c r="M55" s="1">
        <f t="shared" ca="1" si="17"/>
        <v>770.09622573600359</v>
      </c>
      <c r="N55" s="1">
        <f t="shared" ca="1" si="17"/>
        <v>496.5684952474457</v>
      </c>
      <c r="O55" s="1">
        <f t="shared" ca="1" si="17"/>
        <v>514.77997541327272</v>
      </c>
      <c r="P55" s="1">
        <f t="shared" ca="1" si="17"/>
        <v>642.67357826255648</v>
      </c>
      <c r="Q55" s="1">
        <f t="shared" ca="1" si="17"/>
        <v>602.68996763823611</v>
      </c>
      <c r="R55" s="1">
        <f t="shared" ca="1" si="17"/>
        <v>510</v>
      </c>
      <c r="S55" s="1">
        <f t="shared" ca="1" si="17"/>
        <v>510</v>
      </c>
    </row>
    <row r="56" spans="2:19" ht="13.5" customHeight="1">
      <c r="D56" s="1" t="s">
        <v>470</v>
      </c>
      <c r="J56" s="1">
        <f ca="1">J54-J55</f>
        <v>510</v>
      </c>
      <c r="K56" s="1">
        <f t="shared" ref="K56:S56" ca="1" si="18">K54-K55</f>
        <v>575.2496076198729</v>
      </c>
      <c r="L56" s="1">
        <f t="shared" ca="1" si="18"/>
        <v>476.80824229751465</v>
      </c>
      <c r="M56" s="1">
        <f t="shared" ca="1" si="18"/>
        <v>216.71201656151106</v>
      </c>
      <c r="N56" s="1">
        <f t="shared" ca="1" si="18"/>
        <v>230.14352131406537</v>
      </c>
      <c r="O56" s="1">
        <f t="shared" ca="1" si="18"/>
        <v>225.36354590079259</v>
      </c>
      <c r="P56" s="1">
        <f t="shared" ca="1" si="18"/>
        <v>92.689967638236112</v>
      </c>
      <c r="Q56" s="1">
        <f t="shared" ca="1" si="18"/>
        <v>0</v>
      </c>
      <c r="R56" s="1">
        <f t="shared" ca="1" si="18"/>
        <v>0</v>
      </c>
      <c r="S56" s="1">
        <f t="shared" ca="1" si="18"/>
        <v>0</v>
      </c>
    </row>
    <row r="57" spans="2:19" ht="13.5" customHeight="1">
      <c r="D57" s="44" t="s">
        <v>471</v>
      </c>
      <c r="E57" s="44"/>
      <c r="F57" s="44"/>
      <c r="G57" s="44"/>
      <c r="H57" s="44"/>
      <c r="I57" s="44"/>
      <c r="J57" s="44">
        <f ca="1">J55</f>
        <v>0</v>
      </c>
      <c r="K57" s="44">
        <f t="shared" ref="K57:S57" ca="1" si="19">K55</f>
        <v>444.75039238012704</v>
      </c>
      <c r="L57" s="44">
        <f t="shared" ca="1" si="19"/>
        <v>608.44136532235825</v>
      </c>
      <c r="M57" s="44">
        <f t="shared" ca="1" si="19"/>
        <v>770.09622573600359</v>
      </c>
      <c r="N57" s="44">
        <f t="shared" ca="1" si="19"/>
        <v>496.5684952474457</v>
      </c>
      <c r="O57" s="44">
        <f t="shared" ca="1" si="19"/>
        <v>514.77997541327272</v>
      </c>
      <c r="P57" s="44">
        <f t="shared" ca="1" si="19"/>
        <v>642.67357826255648</v>
      </c>
      <c r="Q57" s="44">
        <f t="shared" ca="1" si="19"/>
        <v>602.68996763823611</v>
      </c>
      <c r="R57" s="44">
        <f t="shared" ca="1" si="19"/>
        <v>510</v>
      </c>
      <c r="S57" s="44">
        <f t="shared" ca="1" si="19"/>
        <v>510</v>
      </c>
    </row>
    <row r="59" spans="2:19" ht="13.5" customHeight="1">
      <c r="C59" s="13" t="s">
        <v>472</v>
      </c>
    </row>
    <row r="60" spans="2:19" ht="13.5" customHeight="1">
      <c r="D60" s="1" t="s">
        <v>473</v>
      </c>
      <c r="J60" s="1">
        <f ca="1">J52-J57</f>
        <v>0</v>
      </c>
      <c r="K60" s="1">
        <f t="shared" ref="K60:S60" ca="1" si="20">K52-K57</f>
        <v>0</v>
      </c>
      <c r="L60" s="1">
        <f t="shared" ca="1" si="20"/>
        <v>0</v>
      </c>
      <c r="M60" s="1">
        <f t="shared" ca="1" si="20"/>
        <v>0</v>
      </c>
      <c r="N60" s="1">
        <f t="shared" ca="1" si="20"/>
        <v>0</v>
      </c>
      <c r="O60" s="1">
        <f t="shared" ca="1" si="20"/>
        <v>0</v>
      </c>
      <c r="P60" s="1">
        <f t="shared" ca="1" si="20"/>
        <v>0</v>
      </c>
      <c r="Q60" s="1">
        <f t="shared" ca="1" si="20"/>
        <v>212.32087165162898</v>
      </c>
      <c r="R60" s="1">
        <f t="shared" ca="1" si="20"/>
        <v>142.93713956767328</v>
      </c>
      <c r="S60" s="1">
        <f t="shared" ca="1" si="20"/>
        <v>348.98879093919504</v>
      </c>
    </row>
    <row r="61" spans="2:19" ht="13.5" customHeight="1">
      <c r="D61" s="44" t="s">
        <v>474</v>
      </c>
      <c r="E61" s="44"/>
      <c r="F61" s="44"/>
      <c r="G61" s="44"/>
      <c r="H61" s="44"/>
      <c r="I61" s="44"/>
      <c r="J61" s="44">
        <f ca="1">J60</f>
        <v>0</v>
      </c>
      <c r="K61" s="44">
        <f t="shared" ref="K61:S61" ca="1" si="21">K60</f>
        <v>0</v>
      </c>
      <c r="L61" s="44">
        <f t="shared" ca="1" si="21"/>
        <v>0</v>
      </c>
      <c r="M61" s="44">
        <f t="shared" ca="1" si="21"/>
        <v>0</v>
      </c>
      <c r="N61" s="44">
        <f t="shared" ca="1" si="21"/>
        <v>0</v>
      </c>
      <c r="O61" s="44">
        <f t="shared" ca="1" si="21"/>
        <v>0</v>
      </c>
      <c r="P61" s="44">
        <f t="shared" ca="1" si="21"/>
        <v>0</v>
      </c>
      <c r="Q61" s="44">
        <f t="shared" ca="1" si="21"/>
        <v>212.32087165162898</v>
      </c>
      <c r="R61" s="44">
        <f t="shared" ca="1" si="21"/>
        <v>142.93713956767328</v>
      </c>
      <c r="S61" s="44">
        <f t="shared" ca="1" si="21"/>
        <v>348.98879093919504</v>
      </c>
    </row>
    <row r="63" spans="2:19" ht="13.5" customHeight="1">
      <c r="B63" s="13" t="s">
        <v>475</v>
      </c>
    </row>
    <row r="64" spans="2:19" ht="13.5" customHeight="1">
      <c r="C64" s="1" t="s">
        <v>476</v>
      </c>
      <c r="F64" s="1" t="s">
        <v>477</v>
      </c>
    </row>
    <row r="65" spans="3:19" ht="13.5" customHeight="1">
      <c r="C65" s="1" t="s">
        <v>478</v>
      </c>
      <c r="G65" s="1">
        <f ca="1">SUMIF(현금흐름!$14:$14,exit,현금흐름!$58:$58)</f>
        <v>26111.07455573339</v>
      </c>
      <c r="H65" s="1" t="s">
        <v>45</v>
      </c>
    </row>
    <row r="66" spans="3:19" ht="13.5" customHeight="1">
      <c r="C66" s="40"/>
      <c r="D66" s="40"/>
      <c r="E66" s="40"/>
      <c r="F66" s="40"/>
      <c r="G66" s="40"/>
      <c r="H66" s="40"/>
      <c r="I66" s="40"/>
      <c r="J66" s="236">
        <f>J10</f>
        <v>44469</v>
      </c>
      <c r="K66" s="236">
        <f t="shared" ref="K66:S66" si="22">K10</f>
        <v>44651</v>
      </c>
      <c r="L66" s="236">
        <f t="shared" si="22"/>
        <v>44834</v>
      </c>
      <c r="M66" s="236">
        <f t="shared" si="22"/>
        <v>45016</v>
      </c>
      <c r="N66" s="236">
        <f t="shared" si="22"/>
        <v>45199</v>
      </c>
      <c r="O66" s="236">
        <f t="shared" si="22"/>
        <v>45382</v>
      </c>
      <c r="P66" s="236">
        <f t="shared" si="22"/>
        <v>45565</v>
      </c>
      <c r="Q66" s="236">
        <f t="shared" si="22"/>
        <v>45747</v>
      </c>
      <c r="R66" s="236">
        <f t="shared" si="22"/>
        <v>45930</v>
      </c>
      <c r="S66" s="236">
        <f t="shared" si="22"/>
        <v>46112</v>
      </c>
    </row>
    <row r="67" spans="3:19" ht="13.5" customHeight="1">
      <c r="C67" s="1" t="s">
        <v>480</v>
      </c>
      <c r="J67" s="1">
        <f t="shared" ref="J67:S67" ca="1" si="23">(J66=exit)*$G$65</f>
        <v>0</v>
      </c>
      <c r="K67" s="1">
        <f t="shared" ca="1" si="23"/>
        <v>0</v>
      </c>
      <c r="L67" s="1">
        <f t="shared" ca="1" si="23"/>
        <v>0</v>
      </c>
      <c r="M67" s="1">
        <f t="shared" ca="1" si="23"/>
        <v>0</v>
      </c>
      <c r="N67" s="1">
        <f t="shared" ca="1" si="23"/>
        <v>0</v>
      </c>
      <c r="O67" s="1">
        <f t="shared" ca="1" si="23"/>
        <v>0</v>
      </c>
      <c r="P67" s="1">
        <f t="shared" ca="1" si="23"/>
        <v>0</v>
      </c>
      <c r="Q67" s="1">
        <f t="shared" ca="1" si="23"/>
        <v>0</v>
      </c>
      <c r="R67" s="1">
        <f t="shared" ca="1" si="23"/>
        <v>0</v>
      </c>
      <c r="S67" s="1">
        <f t="shared" ca="1" si="23"/>
        <v>26111.07455573339</v>
      </c>
    </row>
    <row r="68" spans="3:19" ht="13.5" customHeight="1">
      <c r="C68" s="1" t="s">
        <v>481</v>
      </c>
    </row>
    <row r="69" spans="3:19" ht="13.5" customHeight="1">
      <c r="D69" s="1" t="s">
        <v>482</v>
      </c>
      <c r="J69" s="1">
        <f t="shared" ref="J69:S69" ca="1" si="24">(J66=exit)*J56</f>
        <v>0</v>
      </c>
      <c r="K69" s="1">
        <f t="shared" ca="1" si="24"/>
        <v>0</v>
      </c>
      <c r="L69" s="1">
        <f t="shared" ca="1" si="24"/>
        <v>0</v>
      </c>
      <c r="M69" s="1">
        <f t="shared" ca="1" si="24"/>
        <v>0</v>
      </c>
      <c r="N69" s="1">
        <f t="shared" ca="1" si="24"/>
        <v>0</v>
      </c>
      <c r="O69" s="1">
        <f t="shared" ca="1" si="24"/>
        <v>0</v>
      </c>
      <c r="P69" s="1">
        <f t="shared" ca="1" si="24"/>
        <v>0</v>
      </c>
      <c r="Q69" s="1">
        <f t="shared" ca="1" si="24"/>
        <v>0</v>
      </c>
      <c r="R69" s="1">
        <f t="shared" ca="1" si="24"/>
        <v>0</v>
      </c>
      <c r="S69" s="1">
        <f t="shared" ca="1" si="24"/>
        <v>0</v>
      </c>
    </row>
    <row r="70" spans="3:19" ht="13.5" customHeight="1">
      <c r="D70" s="142" t="s">
        <v>483</v>
      </c>
      <c r="E70" s="142"/>
      <c r="F70" s="142"/>
      <c r="G70" s="142"/>
      <c r="H70" s="142"/>
      <c r="I70" s="142"/>
      <c r="J70" s="142">
        <f ca="1">MIN(J67,J69)</f>
        <v>0</v>
      </c>
      <c r="K70" s="142">
        <f t="shared" ref="K70:S70" ca="1" si="25">MIN(K67,K69)</f>
        <v>0</v>
      </c>
      <c r="L70" s="142">
        <f t="shared" ca="1" si="25"/>
        <v>0</v>
      </c>
      <c r="M70" s="142">
        <f t="shared" ca="1" si="25"/>
        <v>0</v>
      </c>
      <c r="N70" s="142">
        <f t="shared" ca="1" si="25"/>
        <v>0</v>
      </c>
      <c r="O70" s="142">
        <f t="shared" ca="1" si="25"/>
        <v>0</v>
      </c>
      <c r="P70" s="142">
        <f t="shared" ca="1" si="25"/>
        <v>0</v>
      </c>
      <c r="Q70" s="142">
        <f t="shared" ca="1" si="25"/>
        <v>0</v>
      </c>
      <c r="R70" s="142">
        <f t="shared" ca="1" si="25"/>
        <v>0</v>
      </c>
      <c r="S70" s="142">
        <f t="shared" ca="1" si="25"/>
        <v>0</v>
      </c>
    </row>
    <row r="71" spans="3:19" ht="13.5" customHeight="1">
      <c r="C71" s="1" t="s">
        <v>484</v>
      </c>
    </row>
    <row r="72" spans="3:19" ht="13.5" customHeight="1">
      <c r="D72" s="1" t="s">
        <v>485</v>
      </c>
      <c r="J72" s="1">
        <f ca="1">J67-J70</f>
        <v>0</v>
      </c>
      <c r="K72" s="1">
        <f t="shared" ref="K72:S72" ca="1" si="26">K67-K70</f>
        <v>0</v>
      </c>
      <c r="L72" s="1">
        <f t="shared" ca="1" si="26"/>
        <v>0</v>
      </c>
      <c r="M72" s="1">
        <f t="shared" ca="1" si="26"/>
        <v>0</v>
      </c>
      <c r="N72" s="1">
        <f t="shared" ca="1" si="26"/>
        <v>0</v>
      </c>
      <c r="O72" s="1">
        <f t="shared" ca="1" si="26"/>
        <v>0</v>
      </c>
      <c r="P72" s="1">
        <f t="shared" ca="1" si="26"/>
        <v>0</v>
      </c>
      <c r="Q72" s="1">
        <f t="shared" ca="1" si="26"/>
        <v>0</v>
      </c>
      <c r="R72" s="1">
        <f t="shared" ca="1" si="26"/>
        <v>0</v>
      </c>
      <c r="S72" s="1">
        <f t="shared" ca="1" si="26"/>
        <v>26111.07455573339</v>
      </c>
    </row>
    <row r="73" spans="3:19" ht="13.5" customHeight="1">
      <c r="D73" s="1" t="s">
        <v>486</v>
      </c>
      <c r="F73" s="11">
        <f ca="1">'A&amp;R'!AC85</f>
        <v>1062.8201285478542</v>
      </c>
      <c r="J73" s="1">
        <f t="shared" ref="J73:S73" ca="1" si="27">(J66=exit)*$F$73</f>
        <v>0</v>
      </c>
      <c r="K73" s="1">
        <f t="shared" ca="1" si="27"/>
        <v>0</v>
      </c>
      <c r="L73" s="1">
        <f t="shared" ca="1" si="27"/>
        <v>0</v>
      </c>
      <c r="M73" s="1">
        <f t="shared" ca="1" si="27"/>
        <v>0</v>
      </c>
      <c r="N73" s="1">
        <f t="shared" ca="1" si="27"/>
        <v>0</v>
      </c>
      <c r="O73" s="1">
        <f t="shared" ca="1" si="27"/>
        <v>0</v>
      </c>
      <c r="P73" s="1">
        <f t="shared" ca="1" si="27"/>
        <v>0</v>
      </c>
      <c r="Q73" s="1">
        <f t="shared" ca="1" si="27"/>
        <v>0</v>
      </c>
      <c r="R73" s="1">
        <f t="shared" ca="1" si="27"/>
        <v>0</v>
      </c>
      <c r="S73" s="1">
        <f t="shared" ca="1" si="27"/>
        <v>1062.8201285478542</v>
      </c>
    </row>
    <row r="74" spans="3:19" ht="13.5" customHeight="1">
      <c r="D74" s="142" t="s">
        <v>490</v>
      </c>
      <c r="E74" s="142"/>
      <c r="F74" s="142"/>
      <c r="G74" s="142"/>
      <c r="H74" s="142"/>
      <c r="I74" s="142"/>
      <c r="J74" s="142">
        <f ca="1">MIN(J72,J73)</f>
        <v>0</v>
      </c>
      <c r="K74" s="142">
        <f t="shared" ref="K74:S74" ca="1" si="28">MIN(K72,K73)</f>
        <v>0</v>
      </c>
      <c r="L74" s="142">
        <f t="shared" ca="1" si="28"/>
        <v>0</v>
      </c>
      <c r="M74" s="142">
        <f t="shared" ca="1" si="28"/>
        <v>0</v>
      </c>
      <c r="N74" s="142">
        <f t="shared" ca="1" si="28"/>
        <v>0</v>
      </c>
      <c r="O74" s="142">
        <f t="shared" ca="1" si="28"/>
        <v>0</v>
      </c>
      <c r="P74" s="142">
        <f t="shared" ca="1" si="28"/>
        <v>0</v>
      </c>
      <c r="Q74" s="142">
        <f t="shared" ca="1" si="28"/>
        <v>0</v>
      </c>
      <c r="R74" s="142">
        <f t="shared" ca="1" si="28"/>
        <v>0</v>
      </c>
      <c r="S74" s="142">
        <f t="shared" ca="1" si="28"/>
        <v>1062.8201285478542</v>
      </c>
    </row>
    <row r="75" spans="3:19" ht="13.5" customHeight="1">
      <c r="C75" s="1" t="s">
        <v>491</v>
      </c>
    </row>
    <row r="76" spans="3:19" ht="13.5" customHeight="1">
      <c r="D76" s="1" t="s">
        <v>492</v>
      </c>
      <c r="J76" s="1">
        <f ca="1">J72-J74</f>
        <v>0</v>
      </c>
      <c r="K76" s="1">
        <f t="shared" ref="K76:S76" ca="1" si="29">K72-K74</f>
        <v>0</v>
      </c>
      <c r="L76" s="1">
        <f t="shared" ca="1" si="29"/>
        <v>0</v>
      </c>
      <c r="M76" s="1">
        <f t="shared" ca="1" si="29"/>
        <v>0</v>
      </c>
      <c r="N76" s="1">
        <f t="shared" ca="1" si="29"/>
        <v>0</v>
      </c>
      <c r="O76" s="1">
        <f t="shared" ca="1" si="29"/>
        <v>0</v>
      </c>
      <c r="P76" s="1">
        <f t="shared" ca="1" si="29"/>
        <v>0</v>
      </c>
      <c r="Q76" s="1">
        <f t="shared" ca="1" si="29"/>
        <v>0</v>
      </c>
      <c r="R76" s="1">
        <f t="shared" ca="1" si="29"/>
        <v>0</v>
      </c>
      <c r="S76" s="1">
        <f t="shared" ca="1" si="29"/>
        <v>25048.254427185537</v>
      </c>
    </row>
    <row r="77" spans="3:19" ht="13.5" customHeight="1">
      <c r="D77" s="1" t="s">
        <v>493</v>
      </c>
      <c r="F77" s="11">
        <f>'A&amp;R'!E77</f>
        <v>17000</v>
      </c>
      <c r="J77" s="1">
        <f t="shared" ref="J77:S77" si="30">(J66=exit)*$F$77</f>
        <v>0</v>
      </c>
      <c r="K77" s="1">
        <f t="shared" si="30"/>
        <v>0</v>
      </c>
      <c r="L77" s="1">
        <f t="shared" si="30"/>
        <v>0</v>
      </c>
      <c r="M77" s="1">
        <f t="shared" si="30"/>
        <v>0</v>
      </c>
      <c r="N77" s="1">
        <f t="shared" si="30"/>
        <v>0</v>
      </c>
      <c r="O77" s="1">
        <f t="shared" si="30"/>
        <v>0</v>
      </c>
      <c r="P77" s="1">
        <f t="shared" si="30"/>
        <v>0</v>
      </c>
      <c r="Q77" s="1">
        <f t="shared" si="30"/>
        <v>0</v>
      </c>
      <c r="R77" s="1">
        <f t="shared" si="30"/>
        <v>0</v>
      </c>
      <c r="S77" s="1">
        <f t="shared" si="30"/>
        <v>17000</v>
      </c>
    </row>
    <row r="78" spans="3:19" ht="13.5" customHeight="1">
      <c r="D78" s="142" t="s">
        <v>494</v>
      </c>
      <c r="E78" s="142"/>
      <c r="F78" s="142"/>
      <c r="G78" s="142"/>
      <c r="H78" s="142"/>
      <c r="I78" s="142"/>
      <c r="J78" s="142">
        <f ca="1">MIN(J76,J77)</f>
        <v>0</v>
      </c>
      <c r="K78" s="142">
        <f t="shared" ref="K78" ca="1" si="31">MIN(K76,K77)</f>
        <v>0</v>
      </c>
      <c r="L78" s="142">
        <f t="shared" ref="L78" ca="1" si="32">MIN(L76,L77)</f>
        <v>0</v>
      </c>
      <c r="M78" s="142">
        <f t="shared" ref="M78" ca="1" si="33">MIN(M76,M77)</f>
        <v>0</v>
      </c>
      <c r="N78" s="142">
        <f t="shared" ref="N78" ca="1" si="34">MIN(N76,N77)</f>
        <v>0</v>
      </c>
      <c r="O78" s="142">
        <f t="shared" ref="O78" ca="1" si="35">MIN(O76,O77)</f>
        <v>0</v>
      </c>
      <c r="P78" s="142">
        <f t="shared" ref="P78" ca="1" si="36">MIN(P76,P77)</f>
        <v>0</v>
      </c>
      <c r="Q78" s="142">
        <f t="shared" ref="Q78" ca="1" si="37">MIN(Q76,Q77)</f>
        <v>0</v>
      </c>
      <c r="R78" s="142">
        <f t="shared" ref="R78" ca="1" si="38">MIN(R76,R77)</f>
        <v>0</v>
      </c>
      <c r="S78" s="142">
        <f t="shared" ref="S78" ca="1" si="39">MIN(S76,S77)</f>
        <v>17000</v>
      </c>
    </row>
    <row r="79" spans="3:19" ht="13.5" customHeight="1">
      <c r="C79" s="1" t="s">
        <v>495</v>
      </c>
    </row>
    <row r="80" spans="3:19" ht="13.5" customHeight="1">
      <c r="D80" s="1" t="s">
        <v>485</v>
      </c>
      <c r="J80" s="1">
        <f ca="1">J76-J78</f>
        <v>0</v>
      </c>
      <c r="K80" s="1">
        <f t="shared" ref="K80:S80" ca="1" si="40">K76-K78</f>
        <v>0</v>
      </c>
      <c r="L80" s="1">
        <f t="shared" ca="1" si="40"/>
        <v>0</v>
      </c>
      <c r="M80" s="1">
        <f t="shared" ca="1" si="40"/>
        <v>0</v>
      </c>
      <c r="N80" s="1">
        <f t="shared" ca="1" si="40"/>
        <v>0</v>
      </c>
      <c r="O80" s="1">
        <f t="shared" ca="1" si="40"/>
        <v>0</v>
      </c>
      <c r="P80" s="1">
        <f t="shared" ca="1" si="40"/>
        <v>0</v>
      </c>
      <c r="Q80" s="1">
        <f t="shared" ca="1" si="40"/>
        <v>0</v>
      </c>
      <c r="R80" s="1">
        <f t="shared" ca="1" si="40"/>
        <v>0</v>
      </c>
      <c r="S80" s="1">
        <f t="shared" ca="1" si="40"/>
        <v>8048.2544271855368</v>
      </c>
    </row>
    <row r="81" spans="3:19" ht="13.5" customHeight="1">
      <c r="D81" s="1" t="s">
        <v>486</v>
      </c>
      <c r="F81" s="11">
        <f ca="1">'A&amp;R'!AC86</f>
        <v>2479.9136332783264</v>
      </c>
      <c r="J81" s="1">
        <f t="shared" ref="J81:S81" ca="1" si="41">(J66=exit)*$F$81</f>
        <v>0</v>
      </c>
      <c r="K81" s="1">
        <f t="shared" ca="1" si="41"/>
        <v>0</v>
      </c>
      <c r="L81" s="1">
        <f t="shared" ca="1" si="41"/>
        <v>0</v>
      </c>
      <c r="M81" s="1">
        <f t="shared" ca="1" si="41"/>
        <v>0</v>
      </c>
      <c r="N81" s="1">
        <f t="shared" ca="1" si="41"/>
        <v>0</v>
      </c>
      <c r="O81" s="1">
        <f t="shared" ca="1" si="41"/>
        <v>0</v>
      </c>
      <c r="P81" s="1">
        <f t="shared" ca="1" si="41"/>
        <v>0</v>
      </c>
      <c r="Q81" s="1">
        <f t="shared" ca="1" si="41"/>
        <v>0</v>
      </c>
      <c r="R81" s="1">
        <f t="shared" ca="1" si="41"/>
        <v>0</v>
      </c>
      <c r="S81" s="1">
        <f t="shared" ca="1" si="41"/>
        <v>2479.9136332783264</v>
      </c>
    </row>
    <row r="82" spans="3:19" ht="13.5" customHeight="1">
      <c r="D82" s="142" t="s">
        <v>496</v>
      </c>
      <c r="E82" s="142"/>
      <c r="F82" s="142"/>
      <c r="G82" s="142"/>
      <c r="H82" s="142"/>
      <c r="I82" s="142"/>
      <c r="J82" s="142">
        <f ca="1">MIN(J80,J81)</f>
        <v>0</v>
      </c>
      <c r="K82" s="142">
        <f t="shared" ref="K82" ca="1" si="42">MIN(K80,K81)</f>
        <v>0</v>
      </c>
      <c r="L82" s="142">
        <f t="shared" ref="L82" ca="1" si="43">MIN(L80,L81)</f>
        <v>0</v>
      </c>
      <c r="M82" s="142">
        <f t="shared" ref="M82" ca="1" si="44">MIN(M80,M81)</f>
        <v>0</v>
      </c>
      <c r="N82" s="142">
        <f t="shared" ref="N82" ca="1" si="45">MIN(N80,N81)</f>
        <v>0</v>
      </c>
      <c r="O82" s="142">
        <f t="shared" ref="O82" ca="1" si="46">MIN(O80,O81)</f>
        <v>0</v>
      </c>
      <c r="P82" s="142">
        <f t="shared" ref="P82" ca="1" si="47">MIN(P80,P81)</f>
        <v>0</v>
      </c>
      <c r="Q82" s="142">
        <f t="shared" ref="Q82" ca="1" si="48">MIN(Q80,Q81)</f>
        <v>0</v>
      </c>
      <c r="R82" s="142">
        <f t="shared" ref="R82" ca="1" si="49">MIN(R80,R81)</f>
        <v>0</v>
      </c>
      <c r="S82" s="142">
        <f t="shared" ref="S82" ca="1" si="50">MIN(S80,S81)</f>
        <v>2479.9136332783264</v>
      </c>
    </row>
    <row r="83" spans="3:19" ht="13.5" customHeight="1">
      <c r="C83" s="1" t="s">
        <v>497</v>
      </c>
    </row>
    <row r="84" spans="3:19" ht="13.5" customHeight="1">
      <c r="D84" s="1" t="s">
        <v>498</v>
      </c>
      <c r="J84" s="1">
        <f ca="1">J80-J82</f>
        <v>0</v>
      </c>
      <c r="K84" s="1">
        <f t="shared" ref="K84:S84" ca="1" si="51">K80-K82</f>
        <v>0</v>
      </c>
      <c r="L84" s="1">
        <f t="shared" ca="1" si="51"/>
        <v>0</v>
      </c>
      <c r="M84" s="1">
        <f t="shared" ca="1" si="51"/>
        <v>0</v>
      </c>
      <c r="N84" s="1">
        <f t="shared" ca="1" si="51"/>
        <v>0</v>
      </c>
      <c r="O84" s="1">
        <f t="shared" ca="1" si="51"/>
        <v>0</v>
      </c>
      <c r="P84" s="1">
        <f t="shared" ca="1" si="51"/>
        <v>0</v>
      </c>
      <c r="Q84" s="1">
        <f t="shared" ca="1" si="51"/>
        <v>0</v>
      </c>
      <c r="R84" s="1">
        <f t="shared" ca="1" si="51"/>
        <v>0</v>
      </c>
      <c r="S84" s="1">
        <f t="shared" ca="1" si="51"/>
        <v>5568.3407939072104</v>
      </c>
    </row>
    <row r="85" spans="3:19" ht="13.5" customHeight="1">
      <c r="D85" s="142" t="s">
        <v>499</v>
      </c>
      <c r="E85" s="142"/>
      <c r="F85" s="142"/>
      <c r="G85" s="142"/>
      <c r="H85" s="142"/>
      <c r="I85" s="142"/>
      <c r="J85" s="142">
        <f ca="1">J84</f>
        <v>0</v>
      </c>
      <c r="K85" s="142">
        <f t="shared" ref="K85:S85" ca="1" si="52">K84</f>
        <v>0</v>
      </c>
      <c r="L85" s="142">
        <f t="shared" ca="1" si="52"/>
        <v>0</v>
      </c>
      <c r="M85" s="142">
        <f t="shared" ca="1" si="52"/>
        <v>0</v>
      </c>
      <c r="N85" s="142">
        <f t="shared" ca="1" si="52"/>
        <v>0</v>
      </c>
      <c r="O85" s="142">
        <f t="shared" ca="1" si="52"/>
        <v>0</v>
      </c>
      <c r="P85" s="142">
        <f t="shared" ca="1" si="52"/>
        <v>0</v>
      </c>
      <c r="Q85" s="142">
        <f t="shared" ca="1" si="52"/>
        <v>0</v>
      </c>
      <c r="R85" s="142">
        <f t="shared" ca="1" si="52"/>
        <v>0</v>
      </c>
      <c r="S85" s="142">
        <f t="shared" ca="1" si="52"/>
        <v>5568.3407939072104</v>
      </c>
    </row>
    <row r="87" spans="3:19" ht="13.5" customHeight="1">
      <c r="D87" s="241" t="s">
        <v>500</v>
      </c>
      <c r="E87" s="241"/>
      <c r="F87" s="241"/>
      <c r="G87" s="241"/>
      <c r="H87" s="241"/>
      <c r="I87" s="241"/>
      <c r="J87" s="241">
        <f ca="1">J82</f>
        <v>0</v>
      </c>
      <c r="K87" s="241">
        <f t="shared" ref="K87:S87" ca="1" si="53">K82</f>
        <v>0</v>
      </c>
      <c r="L87" s="241">
        <f t="shared" ca="1" si="53"/>
        <v>0</v>
      </c>
      <c r="M87" s="241">
        <f t="shared" ca="1" si="53"/>
        <v>0</v>
      </c>
      <c r="N87" s="241">
        <f t="shared" ca="1" si="53"/>
        <v>0</v>
      </c>
      <c r="O87" s="241">
        <f t="shared" ca="1" si="53"/>
        <v>0</v>
      </c>
      <c r="P87" s="241">
        <f t="shared" ca="1" si="53"/>
        <v>0</v>
      </c>
      <c r="Q87" s="241">
        <f t="shared" ca="1" si="53"/>
        <v>0</v>
      </c>
      <c r="R87" s="241">
        <f t="shared" ca="1" si="53"/>
        <v>0</v>
      </c>
      <c r="S87" s="241">
        <f t="shared" ca="1" si="53"/>
        <v>2479.9136332783264</v>
      </c>
    </row>
    <row r="88" spans="3:19" ht="13.5" customHeight="1">
      <c r="D88" s="241" t="s">
        <v>501</v>
      </c>
      <c r="E88" s="241"/>
      <c r="F88" s="241"/>
      <c r="G88" s="241"/>
      <c r="H88" s="241"/>
      <c r="I88" s="241"/>
      <c r="J88" s="241">
        <f ca="1">J70+J74</f>
        <v>0</v>
      </c>
      <c r="K88" s="241">
        <f t="shared" ref="K88:S88" ca="1" si="54">K70+K74</f>
        <v>0</v>
      </c>
      <c r="L88" s="241">
        <f t="shared" ca="1" si="54"/>
        <v>0</v>
      </c>
      <c r="M88" s="241">
        <f t="shared" ca="1" si="54"/>
        <v>0</v>
      </c>
      <c r="N88" s="241">
        <f t="shared" ca="1" si="54"/>
        <v>0</v>
      </c>
      <c r="O88" s="241">
        <f t="shared" ca="1" si="54"/>
        <v>0</v>
      </c>
      <c r="P88" s="241">
        <f t="shared" ca="1" si="54"/>
        <v>0</v>
      </c>
      <c r="Q88" s="241">
        <f t="shared" ca="1" si="54"/>
        <v>0</v>
      </c>
      <c r="R88" s="241">
        <f t="shared" ca="1" si="54"/>
        <v>0</v>
      </c>
      <c r="S88" s="241">
        <f t="shared" ca="1" si="54"/>
        <v>1062.8201285478542</v>
      </c>
    </row>
    <row r="90" spans="3:19" ht="13.5" customHeight="1">
      <c r="D90" s="241" t="s">
        <v>502</v>
      </c>
      <c r="E90" s="241"/>
      <c r="F90" s="241"/>
      <c r="G90" s="241"/>
      <c r="H90" s="241"/>
      <c r="I90" s="241"/>
      <c r="J90" s="241">
        <f ca="1">J85</f>
        <v>0</v>
      </c>
      <c r="K90" s="241">
        <f t="shared" ref="K90:S90" ca="1" si="55">K85</f>
        <v>0</v>
      </c>
      <c r="L90" s="241">
        <f t="shared" ca="1" si="55"/>
        <v>0</v>
      </c>
      <c r="M90" s="241">
        <f t="shared" ca="1" si="55"/>
        <v>0</v>
      </c>
      <c r="N90" s="241">
        <f t="shared" ca="1" si="55"/>
        <v>0</v>
      </c>
      <c r="O90" s="241">
        <f t="shared" ca="1" si="55"/>
        <v>0</v>
      </c>
      <c r="P90" s="241">
        <f t="shared" ca="1" si="55"/>
        <v>0</v>
      </c>
      <c r="Q90" s="241">
        <f t="shared" ca="1" si="55"/>
        <v>0</v>
      </c>
      <c r="R90" s="241">
        <f t="shared" ca="1" si="55"/>
        <v>0</v>
      </c>
      <c r="S90" s="241">
        <f t="shared" ca="1" si="55"/>
        <v>5568.3407939072104</v>
      </c>
    </row>
    <row r="91" spans="3:19" ht="13.5" customHeight="1">
      <c r="D91" s="241" t="s">
        <v>494</v>
      </c>
      <c r="E91" s="241"/>
      <c r="F91" s="241"/>
      <c r="G91" s="241"/>
      <c r="H91" s="241"/>
      <c r="I91" s="241"/>
      <c r="J91" s="241">
        <f ca="1">J78</f>
        <v>0</v>
      </c>
      <c r="K91" s="241">
        <f t="shared" ref="K91:S91" ca="1" si="56">K78</f>
        <v>0</v>
      </c>
      <c r="L91" s="241">
        <f t="shared" ca="1" si="56"/>
        <v>0</v>
      </c>
      <c r="M91" s="241">
        <f t="shared" ca="1" si="56"/>
        <v>0</v>
      </c>
      <c r="N91" s="241">
        <f t="shared" ca="1" si="56"/>
        <v>0</v>
      </c>
      <c r="O91" s="241">
        <f t="shared" ca="1" si="56"/>
        <v>0</v>
      </c>
      <c r="P91" s="241">
        <f t="shared" ca="1" si="56"/>
        <v>0</v>
      </c>
      <c r="Q91" s="241">
        <f t="shared" ca="1" si="56"/>
        <v>0</v>
      </c>
      <c r="R91" s="241">
        <f t="shared" ca="1" si="56"/>
        <v>0</v>
      </c>
      <c r="S91" s="241">
        <f t="shared" ca="1" si="56"/>
        <v>17000</v>
      </c>
    </row>
    <row r="93" spans="3:19" s="11" customFormat="1" ht="13.5" customHeight="1" outlineLevel="1">
      <c r="F93" s="11" t="b">
        <f ca="1">G14</f>
        <v>1</v>
      </c>
      <c r="G93" s="11" t="b">
        <f ca="1">G15</f>
        <v>1</v>
      </c>
      <c r="J93" s="11" t="b">
        <f t="array" ref="J93:M93">TRANSPOSE(G17:G20)</f>
        <v>1</v>
      </c>
      <c r="K93" s="11" t="b">
        <v>1</v>
      </c>
      <c r="L93" s="11" t="b">
        <f ca="1"/>
        <v>1</v>
      </c>
      <c r="M93" s="11" t="b">
        <v>1</v>
      </c>
    </row>
    <row r="94" spans="3:19" s="11" customFormat="1" ht="13.5" customHeight="1" outlineLevel="1">
      <c r="J94" s="11" t="b">
        <f t="array" ref="J94:R94">TRANSPOSE(G22:G30)</f>
        <v>1</v>
      </c>
      <c r="K94" s="11" t="b">
        <v>1</v>
      </c>
      <c r="L94" s="11" t="b">
        <v>1</v>
      </c>
      <c r="M94" s="11" t="b">
        <f ca="1"/>
        <v>1</v>
      </c>
      <c r="N94" s="11" t="b">
        <v>1</v>
      </c>
      <c r="O94" s="11" t="b">
        <v>1</v>
      </c>
      <c r="P94" s="11" t="b">
        <f ca="1"/>
        <v>1</v>
      </c>
      <c r="Q94" s="11" t="b">
        <f ca="1"/>
        <v>1</v>
      </c>
      <c r="R94" s="11" t="b">
        <f ca="1"/>
        <v>1</v>
      </c>
    </row>
  </sheetData>
  <phoneticPr fontId="2" type="noConversion"/>
  <printOptions horizontalCentered="1"/>
  <pageMargins left="0.31496062992125984" right="0.31496062992125984" top="0.55118110236220474" bottom="0.55118110236220474" header="0.31496062992125984" footer="0.31496062992125984"/>
  <pageSetup paperSize="8" scale="70" orientation="landscape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C96096-6422-45FC-A4C5-5D2960AA2164}">
  <sheetPr codeName="Sheet8"/>
  <dimension ref="A2:FD35"/>
  <sheetViews>
    <sheetView showGridLines="0" workbookViewId="0">
      <selection activeCell="I41" sqref="I41"/>
    </sheetView>
  </sheetViews>
  <sheetFormatPr defaultRowHeight="13.5" customHeight="1"/>
  <cols>
    <col min="1" max="1" width="2.5" style="1" customWidth="1"/>
    <col min="2" max="5" width="9" style="1"/>
    <col min="6" max="6" width="3.5" style="1" customWidth="1"/>
    <col min="7" max="29" width="9" style="1"/>
    <col min="30" max="30" width="9.75" style="1" bestFit="1" customWidth="1"/>
    <col min="31" max="16384" width="9" style="1"/>
  </cols>
  <sheetData>
    <row r="2" spans="1:160" ht="13.5" customHeight="1">
      <c r="A2" s="14" t="s">
        <v>0</v>
      </c>
      <c r="AB2" s="3" t="s">
        <v>1</v>
      </c>
      <c r="AC2" s="6" t="s">
        <v>4</v>
      </c>
      <c r="AD2" s="9" t="s">
        <v>7</v>
      </c>
    </row>
    <row r="3" spans="1:160" ht="13.5" customHeight="1">
      <c r="AB3" s="4" t="s">
        <v>2</v>
      </c>
      <c r="AC3" s="7" t="s">
        <v>5</v>
      </c>
      <c r="AD3" s="10" t="s">
        <v>8</v>
      </c>
    </row>
    <row r="4" spans="1:160" ht="13.5" customHeight="1">
      <c r="AB4" s="5" t="s">
        <v>3</v>
      </c>
      <c r="AC4" s="8" t="s">
        <v>6</v>
      </c>
      <c r="AD4" s="11" t="s">
        <v>9</v>
      </c>
    </row>
    <row r="5" spans="1:160" s="2" customFormat="1" ht="13.5" customHeight="1" thickBot="1"/>
    <row r="6" spans="1:160" ht="13.5" customHeight="1" thickTop="1">
      <c r="A6" s="1" t="s">
        <v>10</v>
      </c>
      <c r="AD6" s="12">
        <v>44381</v>
      </c>
    </row>
    <row r="7" spans="1:160" ht="13.5" customHeight="1">
      <c r="A7" s="13" t="s">
        <v>19</v>
      </c>
      <c r="G7" s="298" t="s">
        <v>548</v>
      </c>
      <c r="H7" s="211">
        <f>HLOOKUP(1,$18:$25,8,0)</f>
        <v>12</v>
      </c>
    </row>
    <row r="8" spans="1:160" ht="13.5" customHeight="1">
      <c r="G8" s="298" t="s">
        <v>546</v>
      </c>
      <c r="H8" s="289">
        <v>12</v>
      </c>
    </row>
    <row r="9" spans="1:160" ht="13.5" customHeight="1">
      <c r="G9" s="298" t="s">
        <v>547</v>
      </c>
      <c r="H9" s="211">
        <f>MAX(G11:XFD11)</f>
        <v>154</v>
      </c>
    </row>
    <row r="10" spans="1:160" ht="13.5" customHeight="1">
      <c r="B10" s="1" t="s">
        <v>541</v>
      </c>
    </row>
    <row r="11" spans="1:160" ht="13.5" customHeight="1">
      <c r="B11" s="27" t="s">
        <v>542</v>
      </c>
      <c r="C11" s="127"/>
      <c r="D11" s="26" t="s">
        <v>548</v>
      </c>
      <c r="E11" s="131" t="s">
        <v>545</v>
      </c>
      <c r="G11" s="26">
        <v>1</v>
      </c>
      <c r="H11" s="26">
        <v>2</v>
      </c>
      <c r="I11" s="26">
        <v>3</v>
      </c>
      <c r="J11" s="26">
        <v>4</v>
      </c>
      <c r="K11" s="26">
        <v>5</v>
      </c>
      <c r="L11" s="26">
        <v>6</v>
      </c>
      <c r="M11" s="26">
        <v>7</v>
      </c>
      <c r="N11" s="26">
        <v>8</v>
      </c>
      <c r="O11" s="26">
        <v>9</v>
      </c>
      <c r="P11" s="26">
        <v>10</v>
      </c>
      <c r="Q11" s="26">
        <v>11</v>
      </c>
      <c r="R11" s="26">
        <v>12</v>
      </c>
      <c r="S11" s="26">
        <v>13</v>
      </c>
      <c r="T11" s="26">
        <v>14</v>
      </c>
      <c r="U11" s="26">
        <v>15</v>
      </c>
      <c r="V11" s="26">
        <v>16</v>
      </c>
      <c r="W11" s="26">
        <v>17</v>
      </c>
      <c r="X11" s="26">
        <v>18</v>
      </c>
      <c r="Y11" s="26">
        <v>19</v>
      </c>
      <c r="Z11" s="26">
        <v>20</v>
      </c>
      <c r="AA11" s="26">
        <v>21</v>
      </c>
      <c r="AB11" s="26">
        <v>22</v>
      </c>
      <c r="AC11" s="26">
        <v>23</v>
      </c>
      <c r="AD11" s="26">
        <v>24</v>
      </c>
      <c r="AE11" s="26">
        <v>25</v>
      </c>
      <c r="AF11" s="26">
        <v>26</v>
      </c>
      <c r="AG11" s="26">
        <v>27</v>
      </c>
      <c r="AH11" s="26">
        <v>28</v>
      </c>
      <c r="AI11" s="26">
        <v>29</v>
      </c>
      <c r="AJ11" s="26">
        <v>30</v>
      </c>
      <c r="AK11" s="26">
        <v>31</v>
      </c>
      <c r="AL11" s="26">
        <v>32</v>
      </c>
      <c r="AM11" s="26">
        <v>33</v>
      </c>
      <c r="AN11" s="26">
        <v>34</v>
      </c>
      <c r="AO11" s="26">
        <v>35</v>
      </c>
      <c r="AP11" s="26">
        <v>36</v>
      </c>
      <c r="AQ11" s="26">
        <v>37</v>
      </c>
      <c r="AR11" s="26">
        <v>38</v>
      </c>
      <c r="AS11" s="26">
        <v>39</v>
      </c>
      <c r="AT11" s="26">
        <v>40</v>
      </c>
      <c r="AU11" s="26">
        <v>41</v>
      </c>
      <c r="AV11" s="26">
        <v>42</v>
      </c>
      <c r="AW11" s="26">
        <v>43</v>
      </c>
      <c r="AX11" s="26">
        <v>44</v>
      </c>
      <c r="AY11" s="26">
        <v>45</v>
      </c>
      <c r="AZ11" s="26">
        <v>46</v>
      </c>
      <c r="BA11" s="26">
        <v>47</v>
      </c>
      <c r="BB11" s="26">
        <v>48</v>
      </c>
      <c r="BC11" s="26">
        <v>49</v>
      </c>
      <c r="BD11" s="26">
        <v>50</v>
      </c>
      <c r="BE11" s="26">
        <v>51</v>
      </c>
      <c r="BF11" s="26">
        <v>52</v>
      </c>
      <c r="BG11" s="26">
        <v>53</v>
      </c>
      <c r="BH11" s="26">
        <v>54</v>
      </c>
      <c r="BI11" s="26">
        <v>55</v>
      </c>
      <c r="BJ11" s="26">
        <v>56</v>
      </c>
      <c r="BK11" s="26">
        <v>57</v>
      </c>
      <c r="BL11" s="26">
        <v>58</v>
      </c>
      <c r="BM11" s="26">
        <v>59</v>
      </c>
      <c r="BN11" s="26">
        <v>60</v>
      </c>
      <c r="BO11" s="26">
        <v>61</v>
      </c>
      <c r="BP11" s="26">
        <v>62</v>
      </c>
      <c r="BQ11" s="26">
        <v>63</v>
      </c>
      <c r="BR11" s="26">
        <v>64</v>
      </c>
      <c r="BS11" s="26">
        <v>65</v>
      </c>
      <c r="BT11" s="26">
        <v>66</v>
      </c>
      <c r="BU11" s="26">
        <v>67</v>
      </c>
      <c r="BV11" s="26">
        <v>68</v>
      </c>
      <c r="BW11" s="26">
        <v>69</v>
      </c>
      <c r="BX11" s="26">
        <v>70</v>
      </c>
      <c r="BY11" s="26">
        <v>71</v>
      </c>
      <c r="BZ11" s="26">
        <v>72</v>
      </c>
      <c r="CA11" s="26">
        <v>73</v>
      </c>
      <c r="CB11" s="26">
        <v>74</v>
      </c>
      <c r="CC11" s="26">
        <v>75</v>
      </c>
      <c r="CD11" s="26">
        <v>76</v>
      </c>
      <c r="CE11" s="26">
        <v>77</v>
      </c>
      <c r="CF11" s="26">
        <v>78</v>
      </c>
      <c r="CG11" s="26">
        <v>79</v>
      </c>
      <c r="CH11" s="26">
        <v>80</v>
      </c>
      <c r="CI11" s="26">
        <v>81</v>
      </c>
      <c r="CJ11" s="26">
        <v>82</v>
      </c>
      <c r="CK11" s="26">
        <v>83</v>
      </c>
      <c r="CL11" s="26">
        <v>84</v>
      </c>
      <c r="CM11" s="26">
        <v>85</v>
      </c>
      <c r="CN11" s="26">
        <v>86</v>
      </c>
      <c r="CO11" s="26">
        <v>87</v>
      </c>
      <c r="CP11" s="26">
        <v>88</v>
      </c>
      <c r="CQ11" s="26">
        <v>89</v>
      </c>
      <c r="CR11" s="26">
        <v>90</v>
      </c>
      <c r="CS11" s="26">
        <v>91</v>
      </c>
      <c r="CT11" s="26">
        <v>92</v>
      </c>
      <c r="CU11" s="26">
        <v>93</v>
      </c>
      <c r="CV11" s="26">
        <v>94</v>
      </c>
      <c r="CW11" s="26">
        <v>95</v>
      </c>
      <c r="CX11" s="26">
        <v>96</v>
      </c>
      <c r="CY11" s="26">
        <v>97</v>
      </c>
      <c r="CZ11" s="26">
        <v>98</v>
      </c>
      <c r="DA11" s="26">
        <v>99</v>
      </c>
      <c r="DB11" s="26">
        <v>100</v>
      </c>
      <c r="DC11" s="26">
        <v>101</v>
      </c>
      <c r="DD11" s="26">
        <v>102</v>
      </c>
      <c r="DE11" s="26">
        <v>103</v>
      </c>
      <c r="DF11" s="26">
        <v>104</v>
      </c>
      <c r="DG11" s="26">
        <v>105</v>
      </c>
      <c r="DH11" s="26">
        <v>106</v>
      </c>
      <c r="DI11" s="26">
        <v>107</v>
      </c>
      <c r="DJ11" s="26">
        <v>108</v>
      </c>
      <c r="DK11" s="26">
        <v>109</v>
      </c>
      <c r="DL11" s="26">
        <v>110</v>
      </c>
      <c r="DM11" s="26">
        <v>111</v>
      </c>
      <c r="DN11" s="26">
        <v>112</v>
      </c>
      <c r="DO11" s="26">
        <v>113</v>
      </c>
      <c r="DP11" s="26">
        <v>114</v>
      </c>
      <c r="DQ11" s="26">
        <v>115</v>
      </c>
      <c r="DR11" s="26">
        <v>116</v>
      </c>
      <c r="DS11" s="26">
        <v>117</v>
      </c>
      <c r="DT11" s="26">
        <v>118</v>
      </c>
      <c r="DU11" s="26">
        <v>119</v>
      </c>
      <c r="DV11" s="26">
        <v>120</v>
      </c>
      <c r="DW11" s="26">
        <v>121</v>
      </c>
      <c r="DX11" s="26">
        <v>122</v>
      </c>
      <c r="DY11" s="26">
        <v>123</v>
      </c>
      <c r="DZ11" s="26">
        <v>124</v>
      </c>
      <c r="EA11" s="26">
        <v>125</v>
      </c>
      <c r="EB11" s="26">
        <v>126</v>
      </c>
      <c r="EC11" s="26">
        <v>127</v>
      </c>
      <c r="ED11" s="26">
        <v>128</v>
      </c>
      <c r="EE11" s="26">
        <v>129</v>
      </c>
      <c r="EF11" s="26">
        <v>130</v>
      </c>
      <c r="EG11" s="26">
        <v>131</v>
      </c>
      <c r="EH11" s="26">
        <v>132</v>
      </c>
      <c r="EI11" s="26">
        <v>133</v>
      </c>
      <c r="EJ11" s="26">
        <v>134</v>
      </c>
      <c r="EK11" s="26">
        <v>135</v>
      </c>
      <c r="EL11" s="26">
        <v>136</v>
      </c>
      <c r="EM11" s="26">
        <v>137</v>
      </c>
      <c r="EN11" s="26">
        <v>138</v>
      </c>
      <c r="EO11" s="26">
        <v>139</v>
      </c>
      <c r="EP11" s="26">
        <v>140</v>
      </c>
      <c r="EQ11" s="26">
        <v>141</v>
      </c>
      <c r="ER11" s="26">
        <v>142</v>
      </c>
      <c r="ES11" s="26">
        <v>143</v>
      </c>
      <c r="ET11" s="26">
        <v>144</v>
      </c>
      <c r="EU11" s="26">
        <v>145</v>
      </c>
      <c r="EV11" s="26">
        <v>146</v>
      </c>
      <c r="EW11" s="26">
        <v>147</v>
      </c>
      <c r="EX11" s="26">
        <v>148</v>
      </c>
      <c r="EY11" s="26">
        <v>149</v>
      </c>
      <c r="EZ11" s="26">
        <v>150</v>
      </c>
      <c r="FA11" s="26">
        <v>151</v>
      </c>
      <c r="FB11" s="26">
        <v>152</v>
      </c>
      <c r="FC11" s="26">
        <v>153</v>
      </c>
      <c r="FD11" s="26">
        <v>154</v>
      </c>
    </row>
    <row r="12" spans="1:160" s="144" customFormat="1" ht="13.5" customHeight="1">
      <c r="B12" s="281" t="s">
        <v>533</v>
      </c>
      <c r="C12" s="282"/>
      <c r="D12" s="106">
        <v>0</v>
      </c>
      <c r="E12" s="283">
        <f ca="1">IF(ISBLANK(OFFSET(F12,0,SS)),D12,OFFSET(F12,0,SS))</f>
        <v>0</v>
      </c>
      <c r="G12" s="106">
        <v>0</v>
      </c>
      <c r="H12" s="106">
        <v>0.03</v>
      </c>
      <c r="I12" s="106">
        <v>0.06</v>
      </c>
      <c r="J12" s="106">
        <v>0.09</v>
      </c>
      <c r="K12" s="106">
        <v>0.12</v>
      </c>
      <c r="L12" s="106">
        <v>0.15</v>
      </c>
      <c r="M12" s="106">
        <v>0.18</v>
      </c>
      <c r="N12" s="106">
        <v>0.21</v>
      </c>
      <c r="O12" s="106">
        <v>0.24</v>
      </c>
      <c r="P12" s="106">
        <v>0.27</v>
      </c>
      <c r="Q12" s="106">
        <v>0.30000000000000004</v>
      </c>
      <c r="R12" s="106">
        <v>0</v>
      </c>
      <c r="S12" s="106">
        <v>0.03</v>
      </c>
      <c r="T12" s="106">
        <v>0.06</v>
      </c>
      <c r="U12" s="106">
        <v>0.09</v>
      </c>
      <c r="V12" s="106">
        <v>0.12</v>
      </c>
      <c r="W12" s="106">
        <v>0.15</v>
      </c>
      <c r="X12" s="106">
        <v>0.18</v>
      </c>
      <c r="Y12" s="106">
        <v>0.21</v>
      </c>
      <c r="Z12" s="106">
        <v>0.24</v>
      </c>
      <c r="AA12" s="106">
        <v>0.27</v>
      </c>
      <c r="AB12" s="106">
        <v>0.30000000000000004</v>
      </c>
      <c r="AC12" s="106">
        <v>0</v>
      </c>
      <c r="AD12" s="106">
        <v>0.03</v>
      </c>
      <c r="AE12" s="106">
        <v>0.06</v>
      </c>
      <c r="AF12" s="106">
        <v>0.09</v>
      </c>
      <c r="AG12" s="106">
        <v>0.12</v>
      </c>
      <c r="AH12" s="106">
        <v>0.15</v>
      </c>
      <c r="AI12" s="106">
        <v>0.18</v>
      </c>
      <c r="AJ12" s="106">
        <v>0.21</v>
      </c>
      <c r="AK12" s="106">
        <v>0.24</v>
      </c>
      <c r="AL12" s="106">
        <v>0.27</v>
      </c>
      <c r="AM12" s="106">
        <v>0.30000000000000004</v>
      </c>
      <c r="AN12" s="106">
        <v>0</v>
      </c>
      <c r="AO12" s="106">
        <v>0.03</v>
      </c>
      <c r="AP12" s="106">
        <v>0.06</v>
      </c>
      <c r="AQ12" s="106">
        <v>0.09</v>
      </c>
      <c r="AR12" s="106">
        <v>0.12</v>
      </c>
      <c r="AS12" s="106">
        <v>0.15</v>
      </c>
      <c r="AT12" s="106">
        <v>0.18</v>
      </c>
      <c r="AU12" s="106">
        <v>0.21</v>
      </c>
      <c r="AV12" s="106">
        <v>0.24</v>
      </c>
      <c r="AW12" s="106">
        <v>0.27</v>
      </c>
      <c r="AX12" s="106">
        <v>0.30000000000000004</v>
      </c>
      <c r="AY12" s="106">
        <v>0</v>
      </c>
      <c r="AZ12" s="106">
        <v>0.03</v>
      </c>
      <c r="BA12" s="106">
        <v>0.06</v>
      </c>
      <c r="BB12" s="106">
        <v>0.09</v>
      </c>
      <c r="BC12" s="106">
        <v>0.12</v>
      </c>
      <c r="BD12" s="106">
        <v>0.15</v>
      </c>
      <c r="BE12" s="106">
        <v>0.18</v>
      </c>
      <c r="BF12" s="106">
        <v>0.21</v>
      </c>
      <c r="BG12" s="106">
        <v>0.24</v>
      </c>
      <c r="BH12" s="106">
        <v>0.27</v>
      </c>
      <c r="BI12" s="106">
        <v>0.30000000000000004</v>
      </c>
      <c r="BJ12" s="106">
        <v>0</v>
      </c>
      <c r="BK12" s="106">
        <v>0.03</v>
      </c>
      <c r="BL12" s="106">
        <v>0.06</v>
      </c>
      <c r="BM12" s="106">
        <v>0.09</v>
      </c>
      <c r="BN12" s="106">
        <v>0.12</v>
      </c>
      <c r="BO12" s="106">
        <v>0.15</v>
      </c>
      <c r="BP12" s="106">
        <v>0.18</v>
      </c>
      <c r="BQ12" s="106">
        <v>0.21</v>
      </c>
      <c r="BR12" s="106">
        <v>0.24</v>
      </c>
      <c r="BS12" s="106">
        <v>0.27</v>
      </c>
      <c r="BT12" s="106">
        <v>0.30000000000000004</v>
      </c>
      <c r="BU12" s="106">
        <v>0</v>
      </c>
      <c r="BV12" s="106">
        <v>0.03</v>
      </c>
      <c r="BW12" s="106">
        <v>0.06</v>
      </c>
      <c r="BX12" s="106">
        <v>0.09</v>
      </c>
      <c r="BY12" s="106">
        <v>0.12</v>
      </c>
      <c r="BZ12" s="106">
        <v>0.15</v>
      </c>
      <c r="CA12" s="106">
        <v>0.18</v>
      </c>
      <c r="CB12" s="106">
        <v>0.21</v>
      </c>
      <c r="CC12" s="106">
        <v>0.24</v>
      </c>
      <c r="CD12" s="106">
        <v>0.27</v>
      </c>
      <c r="CE12" s="106">
        <v>0.30000000000000004</v>
      </c>
      <c r="CF12" s="106">
        <v>0</v>
      </c>
      <c r="CG12" s="106">
        <v>0.03</v>
      </c>
      <c r="CH12" s="106">
        <v>0.06</v>
      </c>
      <c r="CI12" s="106">
        <v>0.09</v>
      </c>
      <c r="CJ12" s="106">
        <v>0.12</v>
      </c>
      <c r="CK12" s="106">
        <v>0.15</v>
      </c>
      <c r="CL12" s="106">
        <v>0.18</v>
      </c>
      <c r="CM12" s="106">
        <v>0.21</v>
      </c>
      <c r="CN12" s="106">
        <v>0.24</v>
      </c>
      <c r="CO12" s="106">
        <v>0.27</v>
      </c>
      <c r="CP12" s="106">
        <v>0.30000000000000004</v>
      </c>
      <c r="CQ12" s="106">
        <v>0</v>
      </c>
      <c r="CR12" s="106">
        <v>0.03</v>
      </c>
      <c r="CS12" s="106">
        <v>0.06</v>
      </c>
      <c r="CT12" s="106">
        <v>0.09</v>
      </c>
      <c r="CU12" s="106">
        <v>0.12</v>
      </c>
      <c r="CV12" s="106">
        <v>0.15</v>
      </c>
      <c r="CW12" s="106">
        <v>0.18</v>
      </c>
      <c r="CX12" s="106">
        <v>0.21</v>
      </c>
      <c r="CY12" s="106">
        <v>0.24</v>
      </c>
      <c r="CZ12" s="106">
        <v>0.27</v>
      </c>
      <c r="DA12" s="106">
        <v>0.30000000000000004</v>
      </c>
      <c r="DB12" s="106">
        <v>0</v>
      </c>
      <c r="DC12" s="106">
        <v>0.03</v>
      </c>
      <c r="DD12" s="106">
        <v>0.06</v>
      </c>
      <c r="DE12" s="106">
        <v>0.09</v>
      </c>
      <c r="DF12" s="106">
        <v>0.12</v>
      </c>
      <c r="DG12" s="106">
        <v>0.15</v>
      </c>
      <c r="DH12" s="106">
        <v>0.18</v>
      </c>
      <c r="DI12" s="106">
        <v>0.21</v>
      </c>
      <c r="DJ12" s="106">
        <v>0.24</v>
      </c>
      <c r="DK12" s="106">
        <v>0.27</v>
      </c>
      <c r="DL12" s="106">
        <v>0.30000000000000004</v>
      </c>
      <c r="DM12" s="106">
        <v>0</v>
      </c>
      <c r="DN12" s="106">
        <v>0.03</v>
      </c>
      <c r="DO12" s="106">
        <v>0.06</v>
      </c>
      <c r="DP12" s="106">
        <v>0.09</v>
      </c>
      <c r="DQ12" s="106">
        <v>0.12</v>
      </c>
      <c r="DR12" s="106">
        <v>0.15</v>
      </c>
      <c r="DS12" s="106">
        <v>0.18</v>
      </c>
      <c r="DT12" s="106">
        <v>0.21</v>
      </c>
      <c r="DU12" s="106">
        <v>0.24</v>
      </c>
      <c r="DV12" s="106">
        <v>0.27</v>
      </c>
      <c r="DW12" s="106">
        <v>0.30000000000000004</v>
      </c>
      <c r="DX12" s="106">
        <v>0</v>
      </c>
      <c r="DY12" s="106">
        <v>0.03</v>
      </c>
      <c r="DZ12" s="106">
        <v>0.06</v>
      </c>
      <c r="EA12" s="106">
        <v>0.09</v>
      </c>
      <c r="EB12" s="106">
        <v>0.12</v>
      </c>
      <c r="EC12" s="106">
        <v>0.15</v>
      </c>
      <c r="ED12" s="106">
        <v>0.18</v>
      </c>
      <c r="EE12" s="106">
        <v>0.21</v>
      </c>
      <c r="EF12" s="106">
        <v>0.24</v>
      </c>
      <c r="EG12" s="106">
        <v>0.27</v>
      </c>
      <c r="EH12" s="106">
        <v>0.30000000000000004</v>
      </c>
      <c r="EI12" s="106">
        <v>0</v>
      </c>
      <c r="EJ12" s="106">
        <v>0.03</v>
      </c>
      <c r="EK12" s="106">
        <v>0.06</v>
      </c>
      <c r="EL12" s="106">
        <v>0.09</v>
      </c>
      <c r="EM12" s="106">
        <v>0.12</v>
      </c>
      <c r="EN12" s="106">
        <v>0.15</v>
      </c>
      <c r="EO12" s="106">
        <v>0.18</v>
      </c>
      <c r="EP12" s="106">
        <v>0.21</v>
      </c>
      <c r="EQ12" s="106">
        <v>0.24</v>
      </c>
      <c r="ER12" s="106">
        <v>0.27</v>
      </c>
      <c r="ES12" s="106">
        <v>0.30000000000000004</v>
      </c>
      <c r="ET12" s="106">
        <v>0</v>
      </c>
      <c r="EU12" s="106">
        <v>0.03</v>
      </c>
      <c r="EV12" s="106">
        <v>0.06</v>
      </c>
      <c r="EW12" s="106">
        <v>0.09</v>
      </c>
      <c r="EX12" s="106">
        <v>0.12</v>
      </c>
      <c r="EY12" s="106">
        <v>0.15</v>
      </c>
      <c r="EZ12" s="106">
        <v>0.18</v>
      </c>
      <c r="FA12" s="106">
        <v>0.21</v>
      </c>
      <c r="FB12" s="106">
        <v>0.24</v>
      </c>
      <c r="FC12" s="106">
        <v>0.27</v>
      </c>
      <c r="FD12" s="288">
        <v>0.30000000000000004</v>
      </c>
    </row>
    <row r="13" spans="1:160" ht="13.5" customHeight="1">
      <c r="B13" s="278" t="s">
        <v>543</v>
      </c>
      <c r="C13" s="279"/>
      <c r="D13" s="105">
        <v>25000</v>
      </c>
      <c r="E13" s="280">
        <f ca="1">IF(ISBLANK(OFFSET(F13,0,SS)),D13,OFFSET(F13,0,SS))</f>
        <v>25000</v>
      </c>
      <c r="G13" s="105">
        <v>24000</v>
      </c>
      <c r="H13" s="105">
        <v>24000</v>
      </c>
      <c r="I13" s="105">
        <v>24000</v>
      </c>
      <c r="J13" s="105">
        <v>24000</v>
      </c>
      <c r="K13" s="105">
        <v>24000</v>
      </c>
      <c r="L13" s="105">
        <v>24000</v>
      </c>
      <c r="M13" s="105">
        <v>24000</v>
      </c>
      <c r="N13" s="105">
        <v>24000</v>
      </c>
      <c r="O13" s="105">
        <v>24000</v>
      </c>
      <c r="P13" s="105">
        <v>24000</v>
      </c>
      <c r="Q13" s="105">
        <v>24000</v>
      </c>
      <c r="R13" s="105">
        <v>25000</v>
      </c>
      <c r="S13" s="105">
        <v>25000</v>
      </c>
      <c r="T13" s="105">
        <v>25000</v>
      </c>
      <c r="U13" s="105">
        <v>25000</v>
      </c>
      <c r="V13" s="105">
        <v>25000</v>
      </c>
      <c r="W13" s="105">
        <v>25000</v>
      </c>
      <c r="X13" s="105">
        <v>25000</v>
      </c>
      <c r="Y13" s="105">
        <v>25000</v>
      </c>
      <c r="Z13" s="105">
        <v>25000</v>
      </c>
      <c r="AA13" s="105">
        <v>25000</v>
      </c>
      <c r="AB13" s="105">
        <v>25000</v>
      </c>
      <c r="AC13" s="105">
        <v>26000</v>
      </c>
      <c r="AD13" s="105">
        <v>26000</v>
      </c>
      <c r="AE13" s="105">
        <v>26000</v>
      </c>
      <c r="AF13" s="105">
        <v>26000</v>
      </c>
      <c r="AG13" s="105">
        <v>26000</v>
      </c>
      <c r="AH13" s="105">
        <v>26000</v>
      </c>
      <c r="AI13" s="105">
        <v>26000</v>
      </c>
      <c r="AJ13" s="105">
        <v>26000</v>
      </c>
      <c r="AK13" s="105">
        <v>26000</v>
      </c>
      <c r="AL13" s="105">
        <v>26000</v>
      </c>
      <c r="AM13" s="105">
        <v>26000</v>
      </c>
      <c r="AN13" s="105"/>
      <c r="AO13" s="105"/>
      <c r="AP13" s="105"/>
      <c r="AQ13" s="105"/>
      <c r="AR13" s="105"/>
      <c r="AS13" s="105"/>
      <c r="AT13" s="105"/>
      <c r="AU13" s="105"/>
      <c r="AV13" s="105"/>
      <c r="AW13" s="105"/>
      <c r="AX13" s="105"/>
      <c r="AY13" s="105"/>
      <c r="AZ13" s="105"/>
      <c r="BA13" s="105"/>
      <c r="BB13" s="105"/>
      <c r="BC13" s="105"/>
      <c r="BD13" s="105"/>
      <c r="BE13" s="105"/>
      <c r="BF13" s="105"/>
      <c r="BG13" s="105"/>
      <c r="BH13" s="105"/>
      <c r="BI13" s="105"/>
      <c r="BJ13" s="105"/>
      <c r="BK13" s="105"/>
      <c r="BL13" s="105"/>
      <c r="BM13" s="105"/>
      <c r="BN13" s="105"/>
      <c r="BO13" s="105"/>
      <c r="BP13" s="105"/>
      <c r="BQ13" s="105"/>
      <c r="BR13" s="105"/>
      <c r="BS13" s="105"/>
      <c r="BT13" s="105"/>
      <c r="BU13" s="105"/>
      <c r="BV13" s="105"/>
      <c r="BW13" s="105"/>
      <c r="BX13" s="105"/>
      <c r="BY13" s="105"/>
      <c r="BZ13" s="105"/>
      <c r="CA13" s="105"/>
      <c r="CB13" s="105"/>
      <c r="CC13" s="105"/>
      <c r="CD13" s="105"/>
      <c r="CE13" s="105"/>
      <c r="CF13" s="105"/>
      <c r="CG13" s="105"/>
      <c r="CH13" s="105"/>
      <c r="CI13" s="105"/>
      <c r="CJ13" s="105"/>
      <c r="CK13" s="105"/>
      <c r="CL13" s="105"/>
      <c r="CM13" s="105"/>
      <c r="CN13" s="105"/>
      <c r="CO13" s="105"/>
      <c r="CP13" s="105"/>
      <c r="CQ13" s="105"/>
      <c r="CR13" s="105"/>
      <c r="CS13" s="105"/>
      <c r="CT13" s="105"/>
      <c r="CU13" s="105"/>
      <c r="CV13" s="105"/>
      <c r="CW13" s="105"/>
      <c r="CX13" s="105"/>
      <c r="CY13" s="105"/>
      <c r="CZ13" s="105"/>
      <c r="DA13" s="105"/>
      <c r="DB13" s="105"/>
      <c r="DC13" s="105"/>
      <c r="DD13" s="105"/>
      <c r="DE13" s="105"/>
      <c r="DF13" s="105"/>
      <c r="DG13" s="105"/>
      <c r="DH13" s="105"/>
      <c r="DI13" s="105"/>
      <c r="DJ13" s="105"/>
      <c r="DK13" s="105"/>
      <c r="DL13" s="105"/>
      <c r="DM13" s="105"/>
      <c r="DN13" s="105"/>
      <c r="DO13" s="105"/>
      <c r="DP13" s="105"/>
      <c r="DQ13" s="105"/>
      <c r="DR13" s="105"/>
      <c r="DS13" s="105"/>
      <c r="DT13" s="105"/>
      <c r="DU13" s="105"/>
      <c r="DV13" s="105"/>
      <c r="DW13" s="105"/>
      <c r="DX13" s="105"/>
      <c r="DY13" s="105"/>
      <c r="DZ13" s="105"/>
      <c r="EA13" s="105"/>
      <c r="EB13" s="105"/>
      <c r="EC13" s="105"/>
      <c r="ED13" s="105"/>
      <c r="EE13" s="105"/>
      <c r="EF13" s="105"/>
      <c r="EG13" s="105"/>
      <c r="EH13" s="105"/>
      <c r="EI13" s="105"/>
      <c r="EJ13" s="105"/>
      <c r="EK13" s="105"/>
      <c r="EL13" s="105"/>
      <c r="EM13" s="105"/>
      <c r="EN13" s="105"/>
      <c r="EO13" s="105"/>
      <c r="EP13" s="105"/>
      <c r="EQ13" s="105"/>
      <c r="ER13" s="105"/>
      <c r="ES13" s="105"/>
      <c r="ET13" s="105"/>
      <c r="EU13" s="105"/>
      <c r="EV13" s="105"/>
      <c r="EW13" s="105"/>
      <c r="EX13" s="105"/>
      <c r="EY13" s="105"/>
      <c r="EZ13" s="105"/>
      <c r="FA13" s="105"/>
      <c r="FB13" s="105"/>
      <c r="FC13" s="105"/>
      <c r="FD13" s="105"/>
    </row>
    <row r="14" spans="1:160" s="144" customFormat="1" ht="13.5" customHeight="1">
      <c r="B14" s="285" t="s">
        <v>544</v>
      </c>
      <c r="C14" s="286"/>
      <c r="D14" s="108">
        <v>4.65E-2</v>
      </c>
      <c r="E14" s="287">
        <f ca="1">IF(ISBLANK(OFFSET(F14,0,SS)),D14,OFFSET(F14,0,SS))</f>
        <v>4.65E-2</v>
      </c>
      <c r="G14" s="108"/>
      <c r="H14" s="108"/>
      <c r="I14" s="108"/>
      <c r="J14" s="108"/>
      <c r="K14" s="108"/>
      <c r="L14" s="108"/>
      <c r="M14" s="108"/>
      <c r="N14" s="108"/>
      <c r="O14" s="108"/>
      <c r="P14" s="108"/>
      <c r="Q14" s="108"/>
      <c r="R14" s="108"/>
      <c r="S14" s="108"/>
      <c r="T14" s="108"/>
      <c r="U14" s="108"/>
      <c r="V14" s="108"/>
      <c r="W14" s="108"/>
      <c r="X14" s="108"/>
      <c r="Y14" s="108"/>
      <c r="Z14" s="108"/>
      <c r="AA14" s="108"/>
      <c r="AB14" s="108"/>
      <c r="AC14" s="108"/>
      <c r="AD14" s="108"/>
      <c r="AE14" s="108"/>
      <c r="AF14" s="108"/>
      <c r="AG14" s="108"/>
      <c r="AH14" s="108"/>
      <c r="AI14" s="108"/>
      <c r="AJ14" s="108"/>
      <c r="AK14" s="108"/>
      <c r="AL14" s="108"/>
      <c r="AM14" s="108"/>
      <c r="AN14" s="108">
        <v>4.2000000000000003E-2</v>
      </c>
      <c r="AO14" s="108">
        <v>4.2000000000000003E-2</v>
      </c>
      <c r="AP14" s="108">
        <v>4.2000000000000003E-2</v>
      </c>
      <c r="AQ14" s="108">
        <v>4.2000000000000003E-2</v>
      </c>
      <c r="AR14" s="108">
        <v>4.2000000000000003E-2</v>
      </c>
      <c r="AS14" s="108">
        <v>4.2000000000000003E-2</v>
      </c>
      <c r="AT14" s="108">
        <v>4.2000000000000003E-2</v>
      </c>
      <c r="AU14" s="108">
        <v>4.2000000000000003E-2</v>
      </c>
      <c r="AV14" s="108">
        <v>4.2000000000000003E-2</v>
      </c>
      <c r="AW14" s="108">
        <v>4.2000000000000003E-2</v>
      </c>
      <c r="AX14" s="108">
        <v>4.2000000000000003E-2</v>
      </c>
      <c r="AY14" s="108">
        <v>4.3500000000000004E-2</v>
      </c>
      <c r="AZ14" s="108">
        <v>4.3500000000000004E-2</v>
      </c>
      <c r="BA14" s="108">
        <v>4.3500000000000004E-2</v>
      </c>
      <c r="BB14" s="108">
        <v>4.3500000000000004E-2</v>
      </c>
      <c r="BC14" s="108">
        <v>4.3500000000000004E-2</v>
      </c>
      <c r="BD14" s="108">
        <v>4.3500000000000004E-2</v>
      </c>
      <c r="BE14" s="108">
        <v>4.3500000000000004E-2</v>
      </c>
      <c r="BF14" s="108">
        <v>4.3500000000000004E-2</v>
      </c>
      <c r="BG14" s="108">
        <v>4.3500000000000004E-2</v>
      </c>
      <c r="BH14" s="108">
        <v>4.3500000000000004E-2</v>
      </c>
      <c r="BI14" s="108">
        <v>4.3500000000000004E-2</v>
      </c>
      <c r="BJ14" s="108">
        <v>4.5000000000000005E-2</v>
      </c>
      <c r="BK14" s="108">
        <v>4.5000000000000005E-2</v>
      </c>
      <c r="BL14" s="108">
        <v>4.5000000000000005E-2</v>
      </c>
      <c r="BM14" s="108">
        <v>4.5000000000000005E-2</v>
      </c>
      <c r="BN14" s="108">
        <v>4.5000000000000005E-2</v>
      </c>
      <c r="BO14" s="108">
        <v>4.5000000000000005E-2</v>
      </c>
      <c r="BP14" s="108">
        <v>4.5000000000000005E-2</v>
      </c>
      <c r="BQ14" s="108">
        <v>4.5000000000000005E-2</v>
      </c>
      <c r="BR14" s="108">
        <v>4.5000000000000005E-2</v>
      </c>
      <c r="BS14" s="108">
        <v>4.5000000000000005E-2</v>
      </c>
      <c r="BT14" s="108">
        <v>4.5000000000000005E-2</v>
      </c>
      <c r="BU14" s="108">
        <v>4.6500000000000007E-2</v>
      </c>
      <c r="BV14" s="108">
        <v>4.6500000000000007E-2</v>
      </c>
      <c r="BW14" s="108">
        <v>4.6500000000000007E-2</v>
      </c>
      <c r="BX14" s="108">
        <v>4.6500000000000007E-2</v>
      </c>
      <c r="BY14" s="108">
        <v>4.6500000000000007E-2</v>
      </c>
      <c r="BZ14" s="108">
        <v>4.6500000000000007E-2</v>
      </c>
      <c r="CA14" s="108">
        <v>4.6500000000000007E-2</v>
      </c>
      <c r="CB14" s="108">
        <v>4.6500000000000007E-2</v>
      </c>
      <c r="CC14" s="108">
        <v>4.6500000000000007E-2</v>
      </c>
      <c r="CD14" s="108">
        <v>4.6500000000000007E-2</v>
      </c>
      <c r="CE14" s="108">
        <v>4.6500000000000007E-2</v>
      </c>
      <c r="CF14" s="108">
        <v>4.8000000000000008E-2</v>
      </c>
      <c r="CG14" s="108">
        <v>4.8000000000000008E-2</v>
      </c>
      <c r="CH14" s="108">
        <v>4.8000000000000008E-2</v>
      </c>
      <c r="CI14" s="108">
        <v>4.8000000000000008E-2</v>
      </c>
      <c r="CJ14" s="108">
        <v>4.8000000000000008E-2</v>
      </c>
      <c r="CK14" s="108">
        <v>4.8000000000000008E-2</v>
      </c>
      <c r="CL14" s="108">
        <v>4.8000000000000008E-2</v>
      </c>
      <c r="CM14" s="108">
        <v>4.8000000000000008E-2</v>
      </c>
      <c r="CN14" s="108">
        <v>4.8000000000000008E-2</v>
      </c>
      <c r="CO14" s="108">
        <v>4.8000000000000008E-2</v>
      </c>
      <c r="CP14" s="108">
        <v>4.8000000000000008E-2</v>
      </c>
      <c r="CQ14" s="108">
        <v>4.9500000000000009E-2</v>
      </c>
      <c r="CR14" s="108">
        <v>4.9500000000000009E-2</v>
      </c>
      <c r="CS14" s="108">
        <v>4.9500000000000009E-2</v>
      </c>
      <c r="CT14" s="108">
        <v>4.9500000000000009E-2</v>
      </c>
      <c r="CU14" s="108">
        <v>4.9500000000000009E-2</v>
      </c>
      <c r="CV14" s="108">
        <v>4.9500000000000009E-2</v>
      </c>
      <c r="CW14" s="108">
        <v>4.9500000000000009E-2</v>
      </c>
      <c r="CX14" s="108">
        <v>4.9500000000000009E-2</v>
      </c>
      <c r="CY14" s="108">
        <v>4.9500000000000009E-2</v>
      </c>
      <c r="CZ14" s="108">
        <v>4.9500000000000009E-2</v>
      </c>
      <c r="DA14" s="108">
        <v>4.9500000000000009E-2</v>
      </c>
      <c r="DB14" s="108">
        <v>5.1000000000000011E-2</v>
      </c>
      <c r="DC14" s="108">
        <v>5.1000000000000011E-2</v>
      </c>
      <c r="DD14" s="108">
        <v>5.1000000000000011E-2</v>
      </c>
      <c r="DE14" s="108">
        <v>5.1000000000000011E-2</v>
      </c>
      <c r="DF14" s="108">
        <v>5.1000000000000011E-2</v>
      </c>
      <c r="DG14" s="108">
        <v>5.1000000000000011E-2</v>
      </c>
      <c r="DH14" s="108">
        <v>5.1000000000000011E-2</v>
      </c>
      <c r="DI14" s="108">
        <v>5.1000000000000011E-2</v>
      </c>
      <c r="DJ14" s="108">
        <v>5.1000000000000011E-2</v>
      </c>
      <c r="DK14" s="108">
        <v>5.1000000000000011E-2</v>
      </c>
      <c r="DL14" s="108">
        <v>5.1000000000000011E-2</v>
      </c>
      <c r="DM14" s="108">
        <v>5.2500000000000012E-2</v>
      </c>
      <c r="DN14" s="108">
        <v>5.2500000000000012E-2</v>
      </c>
      <c r="DO14" s="108">
        <v>5.2500000000000012E-2</v>
      </c>
      <c r="DP14" s="108">
        <v>5.2500000000000012E-2</v>
      </c>
      <c r="DQ14" s="108">
        <v>5.2500000000000012E-2</v>
      </c>
      <c r="DR14" s="108">
        <v>5.2500000000000012E-2</v>
      </c>
      <c r="DS14" s="108">
        <v>5.2500000000000012E-2</v>
      </c>
      <c r="DT14" s="108">
        <v>5.2500000000000012E-2</v>
      </c>
      <c r="DU14" s="108">
        <v>5.2500000000000012E-2</v>
      </c>
      <c r="DV14" s="108">
        <v>5.2500000000000012E-2</v>
      </c>
      <c r="DW14" s="108">
        <v>5.2500000000000012E-2</v>
      </c>
      <c r="DX14" s="108">
        <v>5.4000000000000013E-2</v>
      </c>
      <c r="DY14" s="108">
        <v>5.4000000000000013E-2</v>
      </c>
      <c r="DZ14" s="108">
        <v>5.4000000000000013E-2</v>
      </c>
      <c r="EA14" s="108">
        <v>5.4000000000000013E-2</v>
      </c>
      <c r="EB14" s="108">
        <v>5.4000000000000013E-2</v>
      </c>
      <c r="EC14" s="108">
        <v>5.4000000000000013E-2</v>
      </c>
      <c r="ED14" s="108">
        <v>5.4000000000000013E-2</v>
      </c>
      <c r="EE14" s="108">
        <v>5.4000000000000013E-2</v>
      </c>
      <c r="EF14" s="108">
        <v>5.4000000000000013E-2</v>
      </c>
      <c r="EG14" s="108">
        <v>5.4000000000000013E-2</v>
      </c>
      <c r="EH14" s="108">
        <v>5.4000000000000013E-2</v>
      </c>
      <c r="EI14" s="108">
        <v>5.5500000000000015E-2</v>
      </c>
      <c r="EJ14" s="108">
        <v>5.5500000000000015E-2</v>
      </c>
      <c r="EK14" s="108">
        <v>5.5500000000000015E-2</v>
      </c>
      <c r="EL14" s="108">
        <v>5.5500000000000015E-2</v>
      </c>
      <c r="EM14" s="108">
        <v>5.5500000000000015E-2</v>
      </c>
      <c r="EN14" s="108">
        <v>5.5500000000000015E-2</v>
      </c>
      <c r="EO14" s="108">
        <v>5.5500000000000015E-2</v>
      </c>
      <c r="EP14" s="108">
        <v>5.5500000000000015E-2</v>
      </c>
      <c r="EQ14" s="108">
        <v>5.5500000000000015E-2</v>
      </c>
      <c r="ER14" s="108">
        <v>5.5500000000000015E-2</v>
      </c>
      <c r="ES14" s="108">
        <v>5.5500000000000015E-2</v>
      </c>
      <c r="ET14" s="108">
        <v>5.7000000000000016E-2</v>
      </c>
      <c r="EU14" s="108">
        <v>5.7000000000000016E-2</v>
      </c>
      <c r="EV14" s="108">
        <v>5.7000000000000016E-2</v>
      </c>
      <c r="EW14" s="108">
        <v>5.7000000000000016E-2</v>
      </c>
      <c r="EX14" s="108">
        <v>5.7000000000000016E-2</v>
      </c>
      <c r="EY14" s="108">
        <v>5.7000000000000016E-2</v>
      </c>
      <c r="EZ14" s="108">
        <v>5.7000000000000016E-2</v>
      </c>
      <c r="FA14" s="108">
        <v>5.7000000000000016E-2</v>
      </c>
      <c r="FB14" s="108">
        <v>5.7000000000000016E-2</v>
      </c>
      <c r="FC14" s="108">
        <v>5.7000000000000016E-2</v>
      </c>
      <c r="FD14" s="108">
        <v>5.7000000000000016E-2</v>
      </c>
    </row>
    <row r="15" spans="1:160" s="11" customFormat="1" ht="13.5" customHeight="1">
      <c r="C15" s="11" t="str">
        <f>B12</f>
        <v>공실률</v>
      </c>
      <c r="G15" s="11">
        <f>(G12=$D12)*1+ISBLANK(G12)*1</f>
        <v>1</v>
      </c>
      <c r="H15" s="11">
        <f t="shared" ref="H15:BS16" si="0">(H12=$D12)*1+ISBLANK(H12)*1</f>
        <v>0</v>
      </c>
      <c r="I15" s="11">
        <f t="shared" si="0"/>
        <v>0</v>
      </c>
      <c r="J15" s="11">
        <f t="shared" si="0"/>
        <v>0</v>
      </c>
      <c r="K15" s="11">
        <f t="shared" si="0"/>
        <v>0</v>
      </c>
      <c r="L15" s="11">
        <f t="shared" si="0"/>
        <v>0</v>
      </c>
      <c r="M15" s="11">
        <f t="shared" si="0"/>
        <v>0</v>
      </c>
      <c r="N15" s="11">
        <f t="shared" si="0"/>
        <v>0</v>
      </c>
      <c r="O15" s="11">
        <f t="shared" si="0"/>
        <v>0</v>
      </c>
      <c r="P15" s="11">
        <f t="shared" si="0"/>
        <v>0</v>
      </c>
      <c r="Q15" s="11">
        <f t="shared" si="0"/>
        <v>0</v>
      </c>
      <c r="R15" s="11">
        <f t="shared" si="0"/>
        <v>1</v>
      </c>
      <c r="S15" s="11">
        <f t="shared" si="0"/>
        <v>0</v>
      </c>
      <c r="T15" s="11">
        <f t="shared" si="0"/>
        <v>0</v>
      </c>
      <c r="U15" s="11">
        <f t="shared" si="0"/>
        <v>0</v>
      </c>
      <c r="V15" s="11">
        <f t="shared" si="0"/>
        <v>0</v>
      </c>
      <c r="W15" s="11">
        <f t="shared" si="0"/>
        <v>0</v>
      </c>
      <c r="X15" s="11">
        <f t="shared" si="0"/>
        <v>0</v>
      </c>
      <c r="Y15" s="11">
        <f t="shared" si="0"/>
        <v>0</v>
      </c>
      <c r="Z15" s="11">
        <f t="shared" si="0"/>
        <v>0</v>
      </c>
      <c r="AA15" s="11">
        <f t="shared" si="0"/>
        <v>0</v>
      </c>
      <c r="AB15" s="11">
        <f t="shared" si="0"/>
        <v>0</v>
      </c>
      <c r="AC15" s="11">
        <f t="shared" si="0"/>
        <v>1</v>
      </c>
      <c r="AD15" s="11">
        <f t="shared" si="0"/>
        <v>0</v>
      </c>
      <c r="AE15" s="11">
        <f t="shared" si="0"/>
        <v>0</v>
      </c>
      <c r="AF15" s="11">
        <f t="shared" si="0"/>
        <v>0</v>
      </c>
      <c r="AG15" s="11">
        <f t="shared" si="0"/>
        <v>0</v>
      </c>
      <c r="AH15" s="11">
        <f t="shared" si="0"/>
        <v>0</v>
      </c>
      <c r="AI15" s="11">
        <f t="shared" si="0"/>
        <v>0</v>
      </c>
      <c r="AJ15" s="11">
        <f t="shared" si="0"/>
        <v>0</v>
      </c>
      <c r="AK15" s="11">
        <f t="shared" si="0"/>
        <v>0</v>
      </c>
      <c r="AL15" s="11">
        <f t="shared" si="0"/>
        <v>0</v>
      </c>
      <c r="AM15" s="11">
        <f t="shared" si="0"/>
        <v>0</v>
      </c>
      <c r="AN15" s="11">
        <f t="shared" si="0"/>
        <v>1</v>
      </c>
      <c r="AO15" s="11">
        <f t="shared" si="0"/>
        <v>0</v>
      </c>
      <c r="AP15" s="11">
        <f t="shared" si="0"/>
        <v>0</v>
      </c>
      <c r="AQ15" s="11">
        <f t="shared" si="0"/>
        <v>0</v>
      </c>
      <c r="AR15" s="11">
        <f t="shared" si="0"/>
        <v>0</v>
      </c>
      <c r="AS15" s="11">
        <f t="shared" si="0"/>
        <v>0</v>
      </c>
      <c r="AT15" s="11">
        <f t="shared" si="0"/>
        <v>0</v>
      </c>
      <c r="AU15" s="11">
        <f t="shared" si="0"/>
        <v>0</v>
      </c>
      <c r="AV15" s="11">
        <f t="shared" si="0"/>
        <v>0</v>
      </c>
      <c r="AW15" s="11">
        <f t="shared" si="0"/>
        <v>0</v>
      </c>
      <c r="AX15" s="11">
        <f t="shared" si="0"/>
        <v>0</v>
      </c>
      <c r="AY15" s="11">
        <f t="shared" si="0"/>
        <v>1</v>
      </c>
      <c r="AZ15" s="11">
        <f t="shared" si="0"/>
        <v>0</v>
      </c>
      <c r="BA15" s="11">
        <f t="shared" si="0"/>
        <v>0</v>
      </c>
      <c r="BB15" s="11">
        <f t="shared" si="0"/>
        <v>0</v>
      </c>
      <c r="BC15" s="11">
        <f t="shared" si="0"/>
        <v>0</v>
      </c>
      <c r="BD15" s="11">
        <f t="shared" si="0"/>
        <v>0</v>
      </c>
      <c r="BE15" s="11">
        <f t="shared" si="0"/>
        <v>0</v>
      </c>
      <c r="BF15" s="11">
        <f t="shared" si="0"/>
        <v>0</v>
      </c>
      <c r="BG15" s="11">
        <f t="shared" si="0"/>
        <v>0</v>
      </c>
      <c r="BH15" s="11">
        <f t="shared" si="0"/>
        <v>0</v>
      </c>
      <c r="BI15" s="11">
        <f t="shared" si="0"/>
        <v>0</v>
      </c>
      <c r="BJ15" s="11">
        <f t="shared" si="0"/>
        <v>1</v>
      </c>
      <c r="BK15" s="11">
        <f t="shared" si="0"/>
        <v>0</v>
      </c>
      <c r="BL15" s="11">
        <f t="shared" si="0"/>
        <v>0</v>
      </c>
      <c r="BM15" s="11">
        <f t="shared" si="0"/>
        <v>0</v>
      </c>
      <c r="BN15" s="11">
        <f t="shared" si="0"/>
        <v>0</v>
      </c>
      <c r="BO15" s="11">
        <f t="shared" si="0"/>
        <v>0</v>
      </c>
      <c r="BP15" s="11">
        <f t="shared" si="0"/>
        <v>0</v>
      </c>
      <c r="BQ15" s="11">
        <f t="shared" si="0"/>
        <v>0</v>
      </c>
      <c r="BR15" s="11">
        <f t="shared" si="0"/>
        <v>0</v>
      </c>
      <c r="BS15" s="11">
        <f t="shared" si="0"/>
        <v>0</v>
      </c>
      <c r="BT15" s="11">
        <f t="shared" ref="BT15:EE17" si="1">(BT12=$D12)*1+ISBLANK(BT12)*1</f>
        <v>0</v>
      </c>
      <c r="BU15" s="11">
        <f t="shared" si="1"/>
        <v>1</v>
      </c>
      <c r="BV15" s="11">
        <f t="shared" si="1"/>
        <v>0</v>
      </c>
      <c r="BW15" s="11">
        <f t="shared" si="1"/>
        <v>0</v>
      </c>
      <c r="BX15" s="11">
        <f t="shared" si="1"/>
        <v>0</v>
      </c>
      <c r="BY15" s="11">
        <f t="shared" si="1"/>
        <v>0</v>
      </c>
      <c r="BZ15" s="11">
        <f t="shared" si="1"/>
        <v>0</v>
      </c>
      <c r="CA15" s="11">
        <f t="shared" si="1"/>
        <v>0</v>
      </c>
      <c r="CB15" s="11">
        <f t="shared" si="1"/>
        <v>0</v>
      </c>
      <c r="CC15" s="11">
        <f t="shared" si="1"/>
        <v>0</v>
      </c>
      <c r="CD15" s="11">
        <f t="shared" si="1"/>
        <v>0</v>
      </c>
      <c r="CE15" s="11">
        <f t="shared" si="1"/>
        <v>0</v>
      </c>
      <c r="CF15" s="11">
        <f t="shared" si="1"/>
        <v>1</v>
      </c>
      <c r="CG15" s="11">
        <f t="shared" si="1"/>
        <v>0</v>
      </c>
      <c r="CH15" s="11">
        <f t="shared" si="1"/>
        <v>0</v>
      </c>
      <c r="CI15" s="11">
        <f t="shared" si="1"/>
        <v>0</v>
      </c>
      <c r="CJ15" s="11">
        <f t="shared" si="1"/>
        <v>0</v>
      </c>
      <c r="CK15" s="11">
        <f t="shared" si="1"/>
        <v>0</v>
      </c>
      <c r="CL15" s="11">
        <f t="shared" si="1"/>
        <v>0</v>
      </c>
      <c r="CM15" s="11">
        <f t="shared" si="1"/>
        <v>0</v>
      </c>
      <c r="CN15" s="11">
        <f t="shared" si="1"/>
        <v>0</v>
      </c>
      <c r="CO15" s="11">
        <f t="shared" si="1"/>
        <v>0</v>
      </c>
      <c r="CP15" s="11">
        <f t="shared" si="1"/>
        <v>0</v>
      </c>
      <c r="CQ15" s="11">
        <f t="shared" si="1"/>
        <v>1</v>
      </c>
      <c r="CR15" s="11">
        <f t="shared" si="1"/>
        <v>0</v>
      </c>
      <c r="CS15" s="11">
        <f t="shared" si="1"/>
        <v>0</v>
      </c>
      <c r="CT15" s="11">
        <f t="shared" si="1"/>
        <v>0</v>
      </c>
      <c r="CU15" s="11">
        <f t="shared" si="1"/>
        <v>0</v>
      </c>
      <c r="CV15" s="11">
        <f t="shared" si="1"/>
        <v>0</v>
      </c>
      <c r="CW15" s="11">
        <f t="shared" si="1"/>
        <v>0</v>
      </c>
      <c r="CX15" s="11">
        <f t="shared" si="1"/>
        <v>0</v>
      </c>
      <c r="CY15" s="11">
        <f t="shared" si="1"/>
        <v>0</v>
      </c>
      <c r="CZ15" s="11">
        <f t="shared" si="1"/>
        <v>0</v>
      </c>
      <c r="DA15" s="11">
        <f t="shared" si="1"/>
        <v>0</v>
      </c>
      <c r="DB15" s="11">
        <f t="shared" si="1"/>
        <v>1</v>
      </c>
      <c r="DC15" s="11">
        <f t="shared" si="1"/>
        <v>0</v>
      </c>
      <c r="DD15" s="11">
        <f t="shared" si="1"/>
        <v>0</v>
      </c>
      <c r="DE15" s="11">
        <f t="shared" si="1"/>
        <v>0</v>
      </c>
      <c r="DF15" s="11">
        <f t="shared" si="1"/>
        <v>0</v>
      </c>
      <c r="DG15" s="11">
        <f t="shared" si="1"/>
        <v>0</v>
      </c>
      <c r="DH15" s="11">
        <f t="shared" si="1"/>
        <v>0</v>
      </c>
      <c r="DI15" s="11">
        <f t="shared" si="1"/>
        <v>0</v>
      </c>
      <c r="DJ15" s="11">
        <f t="shared" si="1"/>
        <v>0</v>
      </c>
      <c r="DK15" s="11">
        <f t="shared" si="1"/>
        <v>0</v>
      </c>
      <c r="DL15" s="11">
        <f t="shared" si="1"/>
        <v>0</v>
      </c>
      <c r="DM15" s="11">
        <f t="shared" si="1"/>
        <v>1</v>
      </c>
      <c r="DN15" s="11">
        <f t="shared" si="1"/>
        <v>0</v>
      </c>
      <c r="DO15" s="11">
        <f t="shared" si="1"/>
        <v>0</v>
      </c>
      <c r="DP15" s="11">
        <f t="shared" si="1"/>
        <v>0</v>
      </c>
      <c r="DQ15" s="11">
        <f t="shared" si="1"/>
        <v>0</v>
      </c>
      <c r="DR15" s="11">
        <f t="shared" si="1"/>
        <v>0</v>
      </c>
      <c r="DS15" s="11">
        <f t="shared" si="1"/>
        <v>0</v>
      </c>
      <c r="DT15" s="11">
        <f t="shared" si="1"/>
        <v>0</v>
      </c>
      <c r="DU15" s="11">
        <f t="shared" si="1"/>
        <v>0</v>
      </c>
      <c r="DV15" s="11">
        <f t="shared" si="1"/>
        <v>0</v>
      </c>
      <c r="DW15" s="11">
        <f t="shared" si="1"/>
        <v>0</v>
      </c>
      <c r="DX15" s="11">
        <f t="shared" si="1"/>
        <v>1</v>
      </c>
      <c r="DY15" s="11">
        <f t="shared" si="1"/>
        <v>0</v>
      </c>
      <c r="DZ15" s="11">
        <f t="shared" si="1"/>
        <v>0</v>
      </c>
      <c r="EA15" s="11">
        <f t="shared" si="1"/>
        <v>0</v>
      </c>
      <c r="EB15" s="11">
        <f t="shared" si="1"/>
        <v>0</v>
      </c>
      <c r="EC15" s="11">
        <f t="shared" si="1"/>
        <v>0</v>
      </c>
      <c r="ED15" s="11">
        <f t="shared" si="1"/>
        <v>0</v>
      </c>
      <c r="EE15" s="11">
        <f t="shared" si="1"/>
        <v>0</v>
      </c>
      <c r="EF15" s="11">
        <f t="shared" ref="EF15:FD17" si="2">(EF12=$D12)*1+ISBLANK(EF12)*1</f>
        <v>0</v>
      </c>
      <c r="EG15" s="11">
        <f t="shared" si="2"/>
        <v>0</v>
      </c>
      <c r="EH15" s="11">
        <f t="shared" si="2"/>
        <v>0</v>
      </c>
      <c r="EI15" s="11">
        <f t="shared" si="2"/>
        <v>1</v>
      </c>
      <c r="EJ15" s="11">
        <f t="shared" si="2"/>
        <v>0</v>
      </c>
      <c r="EK15" s="11">
        <f t="shared" si="2"/>
        <v>0</v>
      </c>
      <c r="EL15" s="11">
        <f t="shared" si="2"/>
        <v>0</v>
      </c>
      <c r="EM15" s="11">
        <f t="shared" si="2"/>
        <v>0</v>
      </c>
      <c r="EN15" s="11">
        <f t="shared" si="2"/>
        <v>0</v>
      </c>
      <c r="EO15" s="11">
        <f t="shared" si="2"/>
        <v>0</v>
      </c>
      <c r="EP15" s="11">
        <f t="shared" si="2"/>
        <v>0</v>
      </c>
      <c r="EQ15" s="11">
        <f t="shared" si="2"/>
        <v>0</v>
      </c>
      <c r="ER15" s="11">
        <f t="shared" si="2"/>
        <v>0</v>
      </c>
      <c r="ES15" s="11">
        <f t="shared" si="2"/>
        <v>0</v>
      </c>
      <c r="ET15" s="11">
        <f t="shared" si="2"/>
        <v>1</v>
      </c>
      <c r="EU15" s="11">
        <f t="shared" si="2"/>
        <v>0</v>
      </c>
      <c r="EV15" s="11">
        <f t="shared" si="2"/>
        <v>0</v>
      </c>
      <c r="EW15" s="11">
        <f t="shared" si="2"/>
        <v>0</v>
      </c>
      <c r="EX15" s="11">
        <f t="shared" si="2"/>
        <v>0</v>
      </c>
      <c r="EY15" s="11">
        <f t="shared" si="2"/>
        <v>0</v>
      </c>
      <c r="EZ15" s="11">
        <f t="shared" si="2"/>
        <v>0</v>
      </c>
      <c r="FA15" s="11">
        <f t="shared" si="2"/>
        <v>0</v>
      </c>
      <c r="FB15" s="11">
        <f t="shared" si="2"/>
        <v>0</v>
      </c>
      <c r="FC15" s="11">
        <f t="shared" si="2"/>
        <v>0</v>
      </c>
      <c r="FD15" s="11">
        <f t="shared" si="2"/>
        <v>0</v>
      </c>
    </row>
    <row r="16" spans="1:160" s="11" customFormat="1" ht="13.5" customHeight="1">
      <c r="C16" s="11" t="str">
        <f t="shared" ref="C16:C17" si="3">B13</f>
        <v>창고 임대료(원/평)</v>
      </c>
      <c r="G16" s="11">
        <f t="shared" ref="G16:V17" si="4">(G13=$D13)*1+ISBLANK(G13)*1</f>
        <v>0</v>
      </c>
      <c r="H16" s="11">
        <f t="shared" si="4"/>
        <v>0</v>
      </c>
      <c r="I16" s="11">
        <f t="shared" si="4"/>
        <v>0</v>
      </c>
      <c r="J16" s="11">
        <f t="shared" si="4"/>
        <v>0</v>
      </c>
      <c r="K16" s="11">
        <f t="shared" si="4"/>
        <v>0</v>
      </c>
      <c r="L16" s="11">
        <f t="shared" si="4"/>
        <v>0</v>
      </c>
      <c r="M16" s="11">
        <f t="shared" si="4"/>
        <v>0</v>
      </c>
      <c r="N16" s="11">
        <f t="shared" si="4"/>
        <v>0</v>
      </c>
      <c r="O16" s="11">
        <f t="shared" si="4"/>
        <v>0</v>
      </c>
      <c r="P16" s="11">
        <f t="shared" si="4"/>
        <v>0</v>
      </c>
      <c r="Q16" s="11">
        <f t="shared" si="4"/>
        <v>0</v>
      </c>
      <c r="R16" s="11">
        <f t="shared" si="4"/>
        <v>1</v>
      </c>
      <c r="S16" s="11">
        <f t="shared" si="4"/>
        <v>1</v>
      </c>
      <c r="T16" s="11">
        <f t="shared" si="4"/>
        <v>1</v>
      </c>
      <c r="U16" s="11">
        <f t="shared" si="4"/>
        <v>1</v>
      </c>
      <c r="V16" s="11">
        <f t="shared" si="4"/>
        <v>1</v>
      </c>
      <c r="W16" s="11">
        <f t="shared" si="0"/>
        <v>1</v>
      </c>
      <c r="X16" s="11">
        <f t="shared" si="0"/>
        <v>1</v>
      </c>
      <c r="Y16" s="11">
        <f t="shared" si="0"/>
        <v>1</v>
      </c>
      <c r="Z16" s="11">
        <f t="shared" si="0"/>
        <v>1</v>
      </c>
      <c r="AA16" s="11">
        <f t="shared" si="0"/>
        <v>1</v>
      </c>
      <c r="AB16" s="11">
        <f t="shared" si="0"/>
        <v>1</v>
      </c>
      <c r="AC16" s="11">
        <f t="shared" si="0"/>
        <v>0</v>
      </c>
      <c r="AD16" s="11">
        <f t="shared" si="0"/>
        <v>0</v>
      </c>
      <c r="AE16" s="11">
        <f t="shared" si="0"/>
        <v>0</v>
      </c>
      <c r="AF16" s="11">
        <f t="shared" si="0"/>
        <v>0</v>
      </c>
      <c r="AG16" s="11">
        <f t="shared" si="0"/>
        <v>0</v>
      </c>
      <c r="AH16" s="11">
        <f t="shared" si="0"/>
        <v>0</v>
      </c>
      <c r="AI16" s="11">
        <f t="shared" si="0"/>
        <v>0</v>
      </c>
      <c r="AJ16" s="11">
        <f t="shared" si="0"/>
        <v>0</v>
      </c>
      <c r="AK16" s="11">
        <f t="shared" si="0"/>
        <v>0</v>
      </c>
      <c r="AL16" s="11">
        <f t="shared" si="0"/>
        <v>0</v>
      </c>
      <c r="AM16" s="11">
        <f t="shared" si="0"/>
        <v>0</v>
      </c>
      <c r="AN16" s="11">
        <f t="shared" si="0"/>
        <v>1</v>
      </c>
      <c r="AO16" s="11">
        <f t="shared" si="0"/>
        <v>1</v>
      </c>
      <c r="AP16" s="11">
        <f t="shared" si="0"/>
        <v>1</v>
      </c>
      <c r="AQ16" s="11">
        <f t="shared" si="0"/>
        <v>1</v>
      </c>
      <c r="AR16" s="11">
        <f t="shared" si="0"/>
        <v>1</v>
      </c>
      <c r="AS16" s="11">
        <f t="shared" si="0"/>
        <v>1</v>
      </c>
      <c r="AT16" s="11">
        <f t="shared" si="0"/>
        <v>1</v>
      </c>
      <c r="AU16" s="11">
        <f t="shared" si="0"/>
        <v>1</v>
      </c>
      <c r="AV16" s="11">
        <f t="shared" si="0"/>
        <v>1</v>
      </c>
      <c r="AW16" s="11">
        <f t="shared" si="0"/>
        <v>1</v>
      </c>
      <c r="AX16" s="11">
        <f t="shared" si="0"/>
        <v>1</v>
      </c>
      <c r="AY16" s="11">
        <f t="shared" si="0"/>
        <v>1</v>
      </c>
      <c r="AZ16" s="11">
        <f t="shared" si="0"/>
        <v>1</v>
      </c>
      <c r="BA16" s="11">
        <f t="shared" si="0"/>
        <v>1</v>
      </c>
      <c r="BB16" s="11">
        <f t="shared" si="0"/>
        <v>1</v>
      </c>
      <c r="BC16" s="11">
        <f t="shared" si="0"/>
        <v>1</v>
      </c>
      <c r="BD16" s="11">
        <f t="shared" si="0"/>
        <v>1</v>
      </c>
      <c r="BE16" s="11">
        <f t="shared" si="0"/>
        <v>1</v>
      </c>
      <c r="BF16" s="11">
        <f t="shared" si="0"/>
        <v>1</v>
      </c>
      <c r="BG16" s="11">
        <f t="shared" si="0"/>
        <v>1</v>
      </c>
      <c r="BH16" s="11">
        <f t="shared" si="0"/>
        <v>1</v>
      </c>
      <c r="BI16" s="11">
        <f t="shared" si="0"/>
        <v>1</v>
      </c>
      <c r="BJ16" s="11">
        <f t="shared" si="0"/>
        <v>1</v>
      </c>
      <c r="BK16" s="11">
        <f t="shared" si="0"/>
        <v>1</v>
      </c>
      <c r="BL16" s="11">
        <f t="shared" si="0"/>
        <v>1</v>
      </c>
      <c r="BM16" s="11">
        <f t="shared" si="0"/>
        <v>1</v>
      </c>
      <c r="BN16" s="11">
        <f t="shared" si="0"/>
        <v>1</v>
      </c>
      <c r="BO16" s="11">
        <f t="shared" si="0"/>
        <v>1</v>
      </c>
      <c r="BP16" s="11">
        <f t="shared" si="0"/>
        <v>1</v>
      </c>
      <c r="BQ16" s="11">
        <f t="shared" si="0"/>
        <v>1</v>
      </c>
      <c r="BR16" s="11">
        <f t="shared" si="0"/>
        <v>1</v>
      </c>
      <c r="BS16" s="11">
        <f t="shared" si="0"/>
        <v>1</v>
      </c>
      <c r="BT16" s="11">
        <f t="shared" si="1"/>
        <v>1</v>
      </c>
      <c r="BU16" s="11">
        <f t="shared" si="1"/>
        <v>1</v>
      </c>
      <c r="BV16" s="11">
        <f t="shared" si="1"/>
        <v>1</v>
      </c>
      <c r="BW16" s="11">
        <f t="shared" si="1"/>
        <v>1</v>
      </c>
      <c r="BX16" s="11">
        <f t="shared" si="1"/>
        <v>1</v>
      </c>
      <c r="BY16" s="11">
        <f t="shared" si="1"/>
        <v>1</v>
      </c>
      <c r="BZ16" s="11">
        <f t="shared" si="1"/>
        <v>1</v>
      </c>
      <c r="CA16" s="11">
        <f t="shared" si="1"/>
        <v>1</v>
      </c>
      <c r="CB16" s="11">
        <f t="shared" si="1"/>
        <v>1</v>
      </c>
      <c r="CC16" s="11">
        <f t="shared" si="1"/>
        <v>1</v>
      </c>
      <c r="CD16" s="11">
        <f t="shared" si="1"/>
        <v>1</v>
      </c>
      <c r="CE16" s="11">
        <f t="shared" si="1"/>
        <v>1</v>
      </c>
      <c r="CF16" s="11">
        <f t="shared" si="1"/>
        <v>1</v>
      </c>
      <c r="CG16" s="11">
        <f t="shared" si="1"/>
        <v>1</v>
      </c>
      <c r="CH16" s="11">
        <f t="shared" si="1"/>
        <v>1</v>
      </c>
      <c r="CI16" s="11">
        <f t="shared" si="1"/>
        <v>1</v>
      </c>
      <c r="CJ16" s="11">
        <f t="shared" si="1"/>
        <v>1</v>
      </c>
      <c r="CK16" s="11">
        <f t="shared" si="1"/>
        <v>1</v>
      </c>
      <c r="CL16" s="11">
        <f t="shared" si="1"/>
        <v>1</v>
      </c>
      <c r="CM16" s="11">
        <f t="shared" si="1"/>
        <v>1</v>
      </c>
      <c r="CN16" s="11">
        <f t="shared" si="1"/>
        <v>1</v>
      </c>
      <c r="CO16" s="11">
        <f t="shared" si="1"/>
        <v>1</v>
      </c>
      <c r="CP16" s="11">
        <f t="shared" si="1"/>
        <v>1</v>
      </c>
      <c r="CQ16" s="11">
        <f t="shared" si="1"/>
        <v>1</v>
      </c>
      <c r="CR16" s="11">
        <f t="shared" si="1"/>
        <v>1</v>
      </c>
      <c r="CS16" s="11">
        <f t="shared" si="1"/>
        <v>1</v>
      </c>
      <c r="CT16" s="11">
        <f t="shared" si="1"/>
        <v>1</v>
      </c>
      <c r="CU16" s="11">
        <f t="shared" si="1"/>
        <v>1</v>
      </c>
      <c r="CV16" s="11">
        <f t="shared" si="1"/>
        <v>1</v>
      </c>
      <c r="CW16" s="11">
        <f t="shared" si="1"/>
        <v>1</v>
      </c>
      <c r="CX16" s="11">
        <f t="shared" si="1"/>
        <v>1</v>
      </c>
      <c r="CY16" s="11">
        <f t="shared" si="1"/>
        <v>1</v>
      </c>
      <c r="CZ16" s="11">
        <f t="shared" si="1"/>
        <v>1</v>
      </c>
      <c r="DA16" s="11">
        <f t="shared" si="1"/>
        <v>1</v>
      </c>
      <c r="DB16" s="11">
        <f t="shared" si="1"/>
        <v>1</v>
      </c>
      <c r="DC16" s="11">
        <f t="shared" si="1"/>
        <v>1</v>
      </c>
      <c r="DD16" s="11">
        <f t="shared" si="1"/>
        <v>1</v>
      </c>
      <c r="DE16" s="11">
        <f t="shared" si="1"/>
        <v>1</v>
      </c>
      <c r="DF16" s="11">
        <f t="shared" si="1"/>
        <v>1</v>
      </c>
      <c r="DG16" s="11">
        <f t="shared" si="1"/>
        <v>1</v>
      </c>
      <c r="DH16" s="11">
        <f t="shared" si="1"/>
        <v>1</v>
      </c>
      <c r="DI16" s="11">
        <f t="shared" si="1"/>
        <v>1</v>
      </c>
      <c r="DJ16" s="11">
        <f t="shared" si="1"/>
        <v>1</v>
      </c>
      <c r="DK16" s="11">
        <f t="shared" si="1"/>
        <v>1</v>
      </c>
      <c r="DL16" s="11">
        <f t="shared" si="1"/>
        <v>1</v>
      </c>
      <c r="DM16" s="11">
        <f t="shared" si="1"/>
        <v>1</v>
      </c>
      <c r="DN16" s="11">
        <f t="shared" si="1"/>
        <v>1</v>
      </c>
      <c r="DO16" s="11">
        <f t="shared" si="1"/>
        <v>1</v>
      </c>
      <c r="DP16" s="11">
        <f t="shared" si="1"/>
        <v>1</v>
      </c>
      <c r="DQ16" s="11">
        <f t="shared" si="1"/>
        <v>1</v>
      </c>
      <c r="DR16" s="11">
        <f t="shared" si="1"/>
        <v>1</v>
      </c>
      <c r="DS16" s="11">
        <f t="shared" si="1"/>
        <v>1</v>
      </c>
      <c r="DT16" s="11">
        <f t="shared" si="1"/>
        <v>1</v>
      </c>
      <c r="DU16" s="11">
        <f t="shared" si="1"/>
        <v>1</v>
      </c>
      <c r="DV16" s="11">
        <f t="shared" si="1"/>
        <v>1</v>
      </c>
      <c r="DW16" s="11">
        <f t="shared" si="1"/>
        <v>1</v>
      </c>
      <c r="DX16" s="11">
        <f t="shared" si="1"/>
        <v>1</v>
      </c>
      <c r="DY16" s="11">
        <f t="shared" si="1"/>
        <v>1</v>
      </c>
      <c r="DZ16" s="11">
        <f t="shared" si="1"/>
        <v>1</v>
      </c>
      <c r="EA16" s="11">
        <f t="shared" si="1"/>
        <v>1</v>
      </c>
      <c r="EB16" s="11">
        <f t="shared" si="1"/>
        <v>1</v>
      </c>
      <c r="EC16" s="11">
        <f t="shared" si="1"/>
        <v>1</v>
      </c>
      <c r="ED16" s="11">
        <f t="shared" si="1"/>
        <v>1</v>
      </c>
      <c r="EE16" s="11">
        <f t="shared" si="1"/>
        <v>1</v>
      </c>
      <c r="EF16" s="11">
        <f t="shared" si="2"/>
        <v>1</v>
      </c>
      <c r="EG16" s="11">
        <f t="shared" si="2"/>
        <v>1</v>
      </c>
      <c r="EH16" s="11">
        <f t="shared" si="2"/>
        <v>1</v>
      </c>
      <c r="EI16" s="11">
        <f t="shared" si="2"/>
        <v>1</v>
      </c>
      <c r="EJ16" s="11">
        <f t="shared" si="2"/>
        <v>1</v>
      </c>
      <c r="EK16" s="11">
        <f t="shared" si="2"/>
        <v>1</v>
      </c>
      <c r="EL16" s="11">
        <f t="shared" si="2"/>
        <v>1</v>
      </c>
      <c r="EM16" s="11">
        <f t="shared" si="2"/>
        <v>1</v>
      </c>
      <c r="EN16" s="11">
        <f t="shared" si="2"/>
        <v>1</v>
      </c>
      <c r="EO16" s="11">
        <f t="shared" si="2"/>
        <v>1</v>
      </c>
      <c r="EP16" s="11">
        <f t="shared" si="2"/>
        <v>1</v>
      </c>
      <c r="EQ16" s="11">
        <f t="shared" si="2"/>
        <v>1</v>
      </c>
      <c r="ER16" s="11">
        <f t="shared" si="2"/>
        <v>1</v>
      </c>
      <c r="ES16" s="11">
        <f t="shared" si="2"/>
        <v>1</v>
      </c>
      <c r="ET16" s="11">
        <f t="shared" si="2"/>
        <v>1</v>
      </c>
      <c r="EU16" s="11">
        <f t="shared" si="2"/>
        <v>1</v>
      </c>
      <c r="EV16" s="11">
        <f t="shared" si="2"/>
        <v>1</v>
      </c>
      <c r="EW16" s="11">
        <f t="shared" si="2"/>
        <v>1</v>
      </c>
      <c r="EX16" s="11">
        <f t="shared" si="2"/>
        <v>1</v>
      </c>
      <c r="EY16" s="11">
        <f t="shared" si="2"/>
        <v>1</v>
      </c>
      <c r="EZ16" s="11">
        <f t="shared" si="2"/>
        <v>1</v>
      </c>
      <c r="FA16" s="11">
        <f t="shared" si="2"/>
        <v>1</v>
      </c>
      <c r="FB16" s="11">
        <f t="shared" si="2"/>
        <v>1</v>
      </c>
      <c r="FC16" s="11">
        <f t="shared" si="2"/>
        <v>1</v>
      </c>
      <c r="FD16" s="11">
        <f t="shared" si="2"/>
        <v>1</v>
      </c>
    </row>
    <row r="17" spans="2:160" s="11" customFormat="1" ht="13.5" customHeight="1">
      <c r="C17" s="163" t="str">
        <f t="shared" si="3"/>
        <v>매각 Cap. Rate</v>
      </c>
      <c r="D17" s="163"/>
      <c r="E17" s="163"/>
      <c r="F17" s="163"/>
      <c r="G17" s="163">
        <f t="shared" si="4"/>
        <v>1</v>
      </c>
      <c r="H17" s="163">
        <f t="shared" ref="H17:BS17" si="5">(H14=$D14)*1+ISBLANK(H14)*1</f>
        <v>1</v>
      </c>
      <c r="I17" s="163">
        <f t="shared" si="5"/>
        <v>1</v>
      </c>
      <c r="J17" s="163">
        <f t="shared" si="5"/>
        <v>1</v>
      </c>
      <c r="K17" s="163">
        <f t="shared" si="5"/>
        <v>1</v>
      </c>
      <c r="L17" s="163">
        <f t="shared" si="5"/>
        <v>1</v>
      </c>
      <c r="M17" s="163">
        <f t="shared" si="5"/>
        <v>1</v>
      </c>
      <c r="N17" s="163">
        <f t="shared" si="5"/>
        <v>1</v>
      </c>
      <c r="O17" s="163">
        <f t="shared" si="5"/>
        <v>1</v>
      </c>
      <c r="P17" s="163">
        <f t="shared" si="5"/>
        <v>1</v>
      </c>
      <c r="Q17" s="163">
        <f t="shared" si="5"/>
        <v>1</v>
      </c>
      <c r="R17" s="163">
        <f t="shared" si="5"/>
        <v>1</v>
      </c>
      <c r="S17" s="163">
        <f t="shared" si="5"/>
        <v>1</v>
      </c>
      <c r="T17" s="163">
        <f t="shared" si="5"/>
        <v>1</v>
      </c>
      <c r="U17" s="163">
        <f t="shared" si="5"/>
        <v>1</v>
      </c>
      <c r="V17" s="163">
        <f t="shared" si="5"/>
        <v>1</v>
      </c>
      <c r="W17" s="163">
        <f t="shared" si="5"/>
        <v>1</v>
      </c>
      <c r="X17" s="163">
        <f t="shared" si="5"/>
        <v>1</v>
      </c>
      <c r="Y17" s="163">
        <f t="shared" si="5"/>
        <v>1</v>
      </c>
      <c r="Z17" s="163">
        <f t="shared" si="5"/>
        <v>1</v>
      </c>
      <c r="AA17" s="163">
        <f t="shared" si="5"/>
        <v>1</v>
      </c>
      <c r="AB17" s="163">
        <f t="shared" si="5"/>
        <v>1</v>
      </c>
      <c r="AC17" s="163">
        <f t="shared" si="5"/>
        <v>1</v>
      </c>
      <c r="AD17" s="163">
        <f t="shared" si="5"/>
        <v>1</v>
      </c>
      <c r="AE17" s="163">
        <f t="shared" si="5"/>
        <v>1</v>
      </c>
      <c r="AF17" s="163">
        <f t="shared" si="5"/>
        <v>1</v>
      </c>
      <c r="AG17" s="163">
        <f t="shared" si="5"/>
        <v>1</v>
      </c>
      <c r="AH17" s="163">
        <f t="shared" si="5"/>
        <v>1</v>
      </c>
      <c r="AI17" s="163">
        <f t="shared" si="5"/>
        <v>1</v>
      </c>
      <c r="AJ17" s="163">
        <f t="shared" si="5"/>
        <v>1</v>
      </c>
      <c r="AK17" s="163">
        <f t="shared" si="5"/>
        <v>1</v>
      </c>
      <c r="AL17" s="163">
        <f t="shared" si="5"/>
        <v>1</v>
      </c>
      <c r="AM17" s="163">
        <f t="shared" si="5"/>
        <v>1</v>
      </c>
      <c r="AN17" s="163">
        <f t="shared" si="5"/>
        <v>0</v>
      </c>
      <c r="AO17" s="163">
        <f t="shared" si="5"/>
        <v>0</v>
      </c>
      <c r="AP17" s="163">
        <f t="shared" si="5"/>
        <v>0</v>
      </c>
      <c r="AQ17" s="163">
        <f t="shared" si="5"/>
        <v>0</v>
      </c>
      <c r="AR17" s="163">
        <f t="shared" si="5"/>
        <v>0</v>
      </c>
      <c r="AS17" s="163">
        <f t="shared" si="5"/>
        <v>0</v>
      </c>
      <c r="AT17" s="163">
        <f t="shared" si="5"/>
        <v>0</v>
      </c>
      <c r="AU17" s="163">
        <f t="shared" si="5"/>
        <v>0</v>
      </c>
      <c r="AV17" s="163">
        <f t="shared" si="5"/>
        <v>0</v>
      </c>
      <c r="AW17" s="163">
        <f t="shared" si="5"/>
        <v>0</v>
      </c>
      <c r="AX17" s="163">
        <f t="shared" si="5"/>
        <v>0</v>
      </c>
      <c r="AY17" s="163">
        <f t="shared" si="5"/>
        <v>0</v>
      </c>
      <c r="AZ17" s="163">
        <f t="shared" si="5"/>
        <v>0</v>
      </c>
      <c r="BA17" s="163">
        <f t="shared" si="5"/>
        <v>0</v>
      </c>
      <c r="BB17" s="163">
        <f t="shared" si="5"/>
        <v>0</v>
      </c>
      <c r="BC17" s="163">
        <f t="shared" si="5"/>
        <v>0</v>
      </c>
      <c r="BD17" s="163">
        <f t="shared" si="5"/>
        <v>0</v>
      </c>
      <c r="BE17" s="163">
        <f t="shared" si="5"/>
        <v>0</v>
      </c>
      <c r="BF17" s="163">
        <f t="shared" si="5"/>
        <v>0</v>
      </c>
      <c r="BG17" s="163">
        <f t="shared" si="5"/>
        <v>0</v>
      </c>
      <c r="BH17" s="163">
        <f t="shared" si="5"/>
        <v>0</v>
      </c>
      <c r="BI17" s="163">
        <f t="shared" si="5"/>
        <v>0</v>
      </c>
      <c r="BJ17" s="163">
        <f t="shared" si="5"/>
        <v>0</v>
      </c>
      <c r="BK17" s="163">
        <f t="shared" si="5"/>
        <v>0</v>
      </c>
      <c r="BL17" s="163">
        <f t="shared" si="5"/>
        <v>0</v>
      </c>
      <c r="BM17" s="163">
        <f t="shared" si="5"/>
        <v>0</v>
      </c>
      <c r="BN17" s="163">
        <f t="shared" si="5"/>
        <v>0</v>
      </c>
      <c r="BO17" s="163">
        <f t="shared" si="5"/>
        <v>0</v>
      </c>
      <c r="BP17" s="163">
        <f t="shared" si="5"/>
        <v>0</v>
      </c>
      <c r="BQ17" s="163">
        <f t="shared" si="5"/>
        <v>0</v>
      </c>
      <c r="BR17" s="163">
        <f t="shared" si="5"/>
        <v>0</v>
      </c>
      <c r="BS17" s="163">
        <f t="shared" si="5"/>
        <v>0</v>
      </c>
      <c r="BT17" s="163">
        <f t="shared" si="1"/>
        <v>0</v>
      </c>
      <c r="BU17" s="163">
        <f t="shared" si="1"/>
        <v>1</v>
      </c>
      <c r="BV17" s="163">
        <f t="shared" si="1"/>
        <v>1</v>
      </c>
      <c r="BW17" s="163">
        <f t="shared" si="1"/>
        <v>1</v>
      </c>
      <c r="BX17" s="163">
        <f t="shared" si="1"/>
        <v>1</v>
      </c>
      <c r="BY17" s="163">
        <f t="shared" si="1"/>
        <v>1</v>
      </c>
      <c r="BZ17" s="163">
        <f t="shared" si="1"/>
        <v>1</v>
      </c>
      <c r="CA17" s="163">
        <f t="shared" si="1"/>
        <v>1</v>
      </c>
      <c r="CB17" s="163">
        <f t="shared" si="1"/>
        <v>1</v>
      </c>
      <c r="CC17" s="163">
        <f t="shared" si="1"/>
        <v>1</v>
      </c>
      <c r="CD17" s="163">
        <f t="shared" si="1"/>
        <v>1</v>
      </c>
      <c r="CE17" s="163">
        <f t="shared" si="1"/>
        <v>1</v>
      </c>
      <c r="CF17" s="163">
        <f t="shared" si="1"/>
        <v>0</v>
      </c>
      <c r="CG17" s="163">
        <f t="shared" si="1"/>
        <v>0</v>
      </c>
      <c r="CH17" s="163">
        <f t="shared" si="1"/>
        <v>0</v>
      </c>
      <c r="CI17" s="163">
        <f t="shared" si="1"/>
        <v>0</v>
      </c>
      <c r="CJ17" s="163">
        <f t="shared" si="1"/>
        <v>0</v>
      </c>
      <c r="CK17" s="163">
        <f t="shared" si="1"/>
        <v>0</v>
      </c>
      <c r="CL17" s="163">
        <f t="shared" si="1"/>
        <v>0</v>
      </c>
      <c r="CM17" s="163">
        <f t="shared" si="1"/>
        <v>0</v>
      </c>
      <c r="CN17" s="163">
        <f t="shared" si="1"/>
        <v>0</v>
      </c>
      <c r="CO17" s="163">
        <f t="shared" si="1"/>
        <v>0</v>
      </c>
      <c r="CP17" s="163">
        <f t="shared" si="1"/>
        <v>0</v>
      </c>
      <c r="CQ17" s="163">
        <f t="shared" si="1"/>
        <v>0</v>
      </c>
      <c r="CR17" s="163">
        <f t="shared" si="1"/>
        <v>0</v>
      </c>
      <c r="CS17" s="163">
        <f t="shared" si="1"/>
        <v>0</v>
      </c>
      <c r="CT17" s="163">
        <f t="shared" si="1"/>
        <v>0</v>
      </c>
      <c r="CU17" s="163">
        <f t="shared" si="1"/>
        <v>0</v>
      </c>
      <c r="CV17" s="163">
        <f t="shared" si="1"/>
        <v>0</v>
      </c>
      <c r="CW17" s="163">
        <f t="shared" si="1"/>
        <v>0</v>
      </c>
      <c r="CX17" s="163">
        <f t="shared" si="1"/>
        <v>0</v>
      </c>
      <c r="CY17" s="163">
        <f t="shared" si="1"/>
        <v>0</v>
      </c>
      <c r="CZ17" s="163">
        <f t="shared" si="1"/>
        <v>0</v>
      </c>
      <c r="DA17" s="163">
        <f t="shared" si="1"/>
        <v>0</v>
      </c>
      <c r="DB17" s="163">
        <f t="shared" si="1"/>
        <v>0</v>
      </c>
      <c r="DC17" s="163">
        <f t="shared" si="1"/>
        <v>0</v>
      </c>
      <c r="DD17" s="163">
        <f t="shared" si="1"/>
        <v>0</v>
      </c>
      <c r="DE17" s="163">
        <f t="shared" si="1"/>
        <v>0</v>
      </c>
      <c r="DF17" s="163">
        <f t="shared" si="1"/>
        <v>0</v>
      </c>
      <c r="DG17" s="163">
        <f t="shared" si="1"/>
        <v>0</v>
      </c>
      <c r="DH17" s="163">
        <f t="shared" si="1"/>
        <v>0</v>
      </c>
      <c r="DI17" s="163">
        <f t="shared" si="1"/>
        <v>0</v>
      </c>
      <c r="DJ17" s="163">
        <f t="shared" si="1"/>
        <v>0</v>
      </c>
      <c r="DK17" s="163">
        <f t="shared" si="1"/>
        <v>0</v>
      </c>
      <c r="DL17" s="163">
        <f t="shared" si="1"/>
        <v>0</v>
      </c>
      <c r="DM17" s="163">
        <f t="shared" si="1"/>
        <v>0</v>
      </c>
      <c r="DN17" s="163">
        <f t="shared" si="1"/>
        <v>0</v>
      </c>
      <c r="DO17" s="163">
        <f t="shared" si="1"/>
        <v>0</v>
      </c>
      <c r="DP17" s="163">
        <f t="shared" si="1"/>
        <v>0</v>
      </c>
      <c r="DQ17" s="163">
        <f t="shared" si="1"/>
        <v>0</v>
      </c>
      <c r="DR17" s="163">
        <f t="shared" si="1"/>
        <v>0</v>
      </c>
      <c r="DS17" s="163">
        <f t="shared" si="1"/>
        <v>0</v>
      </c>
      <c r="DT17" s="163">
        <f t="shared" si="1"/>
        <v>0</v>
      </c>
      <c r="DU17" s="163">
        <f t="shared" si="1"/>
        <v>0</v>
      </c>
      <c r="DV17" s="163">
        <f t="shared" si="1"/>
        <v>0</v>
      </c>
      <c r="DW17" s="163">
        <f t="shared" si="1"/>
        <v>0</v>
      </c>
      <c r="DX17" s="163">
        <f t="shared" si="1"/>
        <v>0</v>
      </c>
      <c r="DY17" s="163">
        <f t="shared" si="1"/>
        <v>0</v>
      </c>
      <c r="DZ17" s="163">
        <f t="shared" si="1"/>
        <v>0</v>
      </c>
      <c r="EA17" s="163">
        <f t="shared" si="1"/>
        <v>0</v>
      </c>
      <c r="EB17" s="163">
        <f t="shared" si="1"/>
        <v>0</v>
      </c>
      <c r="EC17" s="163">
        <f t="shared" si="1"/>
        <v>0</v>
      </c>
      <c r="ED17" s="163">
        <f t="shared" si="1"/>
        <v>0</v>
      </c>
      <c r="EE17" s="163">
        <f t="shared" si="1"/>
        <v>0</v>
      </c>
      <c r="EF17" s="163">
        <f t="shared" si="2"/>
        <v>0</v>
      </c>
      <c r="EG17" s="163">
        <f t="shared" si="2"/>
        <v>0</v>
      </c>
      <c r="EH17" s="163">
        <f t="shared" si="2"/>
        <v>0</v>
      </c>
      <c r="EI17" s="163">
        <f t="shared" si="2"/>
        <v>0</v>
      </c>
      <c r="EJ17" s="163">
        <f t="shared" si="2"/>
        <v>0</v>
      </c>
      <c r="EK17" s="163">
        <f t="shared" si="2"/>
        <v>0</v>
      </c>
      <c r="EL17" s="163">
        <f t="shared" si="2"/>
        <v>0</v>
      </c>
      <c r="EM17" s="163">
        <f t="shared" si="2"/>
        <v>0</v>
      </c>
      <c r="EN17" s="163">
        <f t="shared" si="2"/>
        <v>0</v>
      </c>
      <c r="EO17" s="163">
        <f t="shared" si="2"/>
        <v>0</v>
      </c>
      <c r="EP17" s="163">
        <f t="shared" si="2"/>
        <v>0</v>
      </c>
      <c r="EQ17" s="163">
        <f t="shared" si="2"/>
        <v>0</v>
      </c>
      <c r="ER17" s="163">
        <f t="shared" si="2"/>
        <v>0</v>
      </c>
      <c r="ES17" s="163">
        <f t="shared" si="2"/>
        <v>0</v>
      </c>
      <c r="ET17" s="163">
        <f t="shared" si="2"/>
        <v>0</v>
      </c>
      <c r="EU17" s="163">
        <f t="shared" si="2"/>
        <v>0</v>
      </c>
      <c r="EV17" s="163">
        <f t="shared" si="2"/>
        <v>0</v>
      </c>
      <c r="EW17" s="163">
        <f t="shared" si="2"/>
        <v>0</v>
      </c>
      <c r="EX17" s="163">
        <f t="shared" si="2"/>
        <v>0</v>
      </c>
      <c r="EY17" s="163">
        <f t="shared" si="2"/>
        <v>0</v>
      </c>
      <c r="EZ17" s="163">
        <f t="shared" si="2"/>
        <v>0</v>
      </c>
      <c r="FA17" s="163">
        <f t="shared" si="2"/>
        <v>0</v>
      </c>
      <c r="FB17" s="163">
        <f t="shared" si="2"/>
        <v>0</v>
      </c>
      <c r="FC17" s="163">
        <f t="shared" si="2"/>
        <v>0</v>
      </c>
      <c r="FD17" s="163">
        <f t="shared" si="2"/>
        <v>0</v>
      </c>
    </row>
    <row r="18" spans="2:160" s="11" customFormat="1" ht="13.5" customHeight="1">
      <c r="G18" s="11">
        <f>PRODUCT(G15:G17)</f>
        <v>0</v>
      </c>
      <c r="H18" s="11">
        <f t="shared" ref="H18:BS18" si="6">PRODUCT(H15:H17)</f>
        <v>0</v>
      </c>
      <c r="I18" s="11">
        <f t="shared" si="6"/>
        <v>0</v>
      </c>
      <c r="J18" s="11">
        <f t="shared" si="6"/>
        <v>0</v>
      </c>
      <c r="K18" s="11">
        <f t="shared" si="6"/>
        <v>0</v>
      </c>
      <c r="L18" s="11">
        <f t="shared" si="6"/>
        <v>0</v>
      </c>
      <c r="M18" s="11">
        <f t="shared" si="6"/>
        <v>0</v>
      </c>
      <c r="N18" s="11">
        <f t="shared" si="6"/>
        <v>0</v>
      </c>
      <c r="O18" s="11">
        <f t="shared" si="6"/>
        <v>0</v>
      </c>
      <c r="P18" s="11">
        <f t="shared" si="6"/>
        <v>0</v>
      </c>
      <c r="Q18" s="11">
        <f t="shared" si="6"/>
        <v>0</v>
      </c>
      <c r="R18" s="11">
        <f t="shared" si="6"/>
        <v>1</v>
      </c>
      <c r="S18" s="11">
        <f t="shared" si="6"/>
        <v>0</v>
      </c>
      <c r="T18" s="11">
        <f t="shared" si="6"/>
        <v>0</v>
      </c>
      <c r="U18" s="11">
        <f t="shared" si="6"/>
        <v>0</v>
      </c>
      <c r="V18" s="11">
        <f t="shared" si="6"/>
        <v>0</v>
      </c>
      <c r="W18" s="11">
        <f t="shared" si="6"/>
        <v>0</v>
      </c>
      <c r="X18" s="11">
        <f t="shared" si="6"/>
        <v>0</v>
      </c>
      <c r="Y18" s="11">
        <f t="shared" si="6"/>
        <v>0</v>
      </c>
      <c r="Z18" s="11">
        <f t="shared" si="6"/>
        <v>0</v>
      </c>
      <c r="AA18" s="11">
        <f t="shared" si="6"/>
        <v>0</v>
      </c>
      <c r="AB18" s="11">
        <f t="shared" si="6"/>
        <v>0</v>
      </c>
      <c r="AC18" s="11">
        <f t="shared" si="6"/>
        <v>0</v>
      </c>
      <c r="AD18" s="11">
        <f t="shared" si="6"/>
        <v>0</v>
      </c>
      <c r="AE18" s="11">
        <f t="shared" si="6"/>
        <v>0</v>
      </c>
      <c r="AF18" s="11">
        <f t="shared" si="6"/>
        <v>0</v>
      </c>
      <c r="AG18" s="11">
        <f t="shared" si="6"/>
        <v>0</v>
      </c>
      <c r="AH18" s="11">
        <f t="shared" si="6"/>
        <v>0</v>
      </c>
      <c r="AI18" s="11">
        <f t="shared" si="6"/>
        <v>0</v>
      </c>
      <c r="AJ18" s="11">
        <f t="shared" si="6"/>
        <v>0</v>
      </c>
      <c r="AK18" s="11">
        <f t="shared" si="6"/>
        <v>0</v>
      </c>
      <c r="AL18" s="11">
        <f t="shared" si="6"/>
        <v>0</v>
      </c>
      <c r="AM18" s="11">
        <f t="shared" si="6"/>
        <v>0</v>
      </c>
      <c r="AN18" s="11">
        <f t="shared" si="6"/>
        <v>0</v>
      </c>
      <c r="AO18" s="11">
        <f t="shared" si="6"/>
        <v>0</v>
      </c>
      <c r="AP18" s="11">
        <f t="shared" si="6"/>
        <v>0</v>
      </c>
      <c r="AQ18" s="11">
        <f t="shared" si="6"/>
        <v>0</v>
      </c>
      <c r="AR18" s="11">
        <f t="shared" si="6"/>
        <v>0</v>
      </c>
      <c r="AS18" s="11">
        <f t="shared" si="6"/>
        <v>0</v>
      </c>
      <c r="AT18" s="11">
        <f t="shared" si="6"/>
        <v>0</v>
      </c>
      <c r="AU18" s="11">
        <f t="shared" si="6"/>
        <v>0</v>
      </c>
      <c r="AV18" s="11">
        <f t="shared" si="6"/>
        <v>0</v>
      </c>
      <c r="AW18" s="11">
        <f t="shared" si="6"/>
        <v>0</v>
      </c>
      <c r="AX18" s="11">
        <f t="shared" si="6"/>
        <v>0</v>
      </c>
      <c r="AY18" s="11">
        <f t="shared" si="6"/>
        <v>0</v>
      </c>
      <c r="AZ18" s="11">
        <f t="shared" si="6"/>
        <v>0</v>
      </c>
      <c r="BA18" s="11">
        <f t="shared" si="6"/>
        <v>0</v>
      </c>
      <c r="BB18" s="11">
        <f t="shared" si="6"/>
        <v>0</v>
      </c>
      <c r="BC18" s="11">
        <f t="shared" si="6"/>
        <v>0</v>
      </c>
      <c r="BD18" s="11">
        <f t="shared" si="6"/>
        <v>0</v>
      </c>
      <c r="BE18" s="11">
        <f t="shared" si="6"/>
        <v>0</v>
      </c>
      <c r="BF18" s="11">
        <f t="shared" si="6"/>
        <v>0</v>
      </c>
      <c r="BG18" s="11">
        <f t="shared" si="6"/>
        <v>0</v>
      </c>
      <c r="BH18" s="11">
        <f t="shared" si="6"/>
        <v>0</v>
      </c>
      <c r="BI18" s="11">
        <f t="shared" si="6"/>
        <v>0</v>
      </c>
      <c r="BJ18" s="11">
        <f t="shared" si="6"/>
        <v>0</v>
      </c>
      <c r="BK18" s="11">
        <f t="shared" si="6"/>
        <v>0</v>
      </c>
      <c r="BL18" s="11">
        <f t="shared" si="6"/>
        <v>0</v>
      </c>
      <c r="BM18" s="11">
        <f t="shared" si="6"/>
        <v>0</v>
      </c>
      <c r="BN18" s="11">
        <f t="shared" si="6"/>
        <v>0</v>
      </c>
      <c r="BO18" s="11">
        <f t="shared" si="6"/>
        <v>0</v>
      </c>
      <c r="BP18" s="11">
        <f t="shared" si="6"/>
        <v>0</v>
      </c>
      <c r="BQ18" s="11">
        <f t="shared" si="6"/>
        <v>0</v>
      </c>
      <c r="BR18" s="11">
        <f t="shared" si="6"/>
        <v>0</v>
      </c>
      <c r="BS18" s="11">
        <f t="shared" si="6"/>
        <v>0</v>
      </c>
      <c r="BT18" s="11">
        <f t="shared" ref="BT18:EE18" si="7">PRODUCT(BT15:BT17)</f>
        <v>0</v>
      </c>
      <c r="BU18" s="11">
        <f t="shared" si="7"/>
        <v>1</v>
      </c>
      <c r="BV18" s="11">
        <f t="shared" si="7"/>
        <v>0</v>
      </c>
      <c r="BW18" s="11">
        <f t="shared" si="7"/>
        <v>0</v>
      </c>
      <c r="BX18" s="11">
        <f t="shared" si="7"/>
        <v>0</v>
      </c>
      <c r="BY18" s="11">
        <f t="shared" si="7"/>
        <v>0</v>
      </c>
      <c r="BZ18" s="11">
        <f t="shared" si="7"/>
        <v>0</v>
      </c>
      <c r="CA18" s="11">
        <f t="shared" si="7"/>
        <v>0</v>
      </c>
      <c r="CB18" s="11">
        <f t="shared" si="7"/>
        <v>0</v>
      </c>
      <c r="CC18" s="11">
        <f t="shared" si="7"/>
        <v>0</v>
      </c>
      <c r="CD18" s="11">
        <f t="shared" si="7"/>
        <v>0</v>
      </c>
      <c r="CE18" s="11">
        <f t="shared" si="7"/>
        <v>0</v>
      </c>
      <c r="CF18" s="11">
        <f t="shared" si="7"/>
        <v>0</v>
      </c>
      <c r="CG18" s="11">
        <f t="shared" si="7"/>
        <v>0</v>
      </c>
      <c r="CH18" s="11">
        <f t="shared" si="7"/>
        <v>0</v>
      </c>
      <c r="CI18" s="11">
        <f t="shared" si="7"/>
        <v>0</v>
      </c>
      <c r="CJ18" s="11">
        <f t="shared" si="7"/>
        <v>0</v>
      </c>
      <c r="CK18" s="11">
        <f t="shared" si="7"/>
        <v>0</v>
      </c>
      <c r="CL18" s="11">
        <f t="shared" si="7"/>
        <v>0</v>
      </c>
      <c r="CM18" s="11">
        <f t="shared" si="7"/>
        <v>0</v>
      </c>
      <c r="CN18" s="11">
        <f t="shared" si="7"/>
        <v>0</v>
      </c>
      <c r="CO18" s="11">
        <f t="shared" si="7"/>
        <v>0</v>
      </c>
      <c r="CP18" s="11">
        <f t="shared" si="7"/>
        <v>0</v>
      </c>
      <c r="CQ18" s="11">
        <f t="shared" si="7"/>
        <v>0</v>
      </c>
      <c r="CR18" s="11">
        <f t="shared" si="7"/>
        <v>0</v>
      </c>
      <c r="CS18" s="11">
        <f t="shared" si="7"/>
        <v>0</v>
      </c>
      <c r="CT18" s="11">
        <f t="shared" si="7"/>
        <v>0</v>
      </c>
      <c r="CU18" s="11">
        <f t="shared" si="7"/>
        <v>0</v>
      </c>
      <c r="CV18" s="11">
        <f t="shared" si="7"/>
        <v>0</v>
      </c>
      <c r="CW18" s="11">
        <f t="shared" si="7"/>
        <v>0</v>
      </c>
      <c r="CX18" s="11">
        <f t="shared" si="7"/>
        <v>0</v>
      </c>
      <c r="CY18" s="11">
        <f t="shared" si="7"/>
        <v>0</v>
      </c>
      <c r="CZ18" s="11">
        <f t="shared" si="7"/>
        <v>0</v>
      </c>
      <c r="DA18" s="11">
        <f t="shared" si="7"/>
        <v>0</v>
      </c>
      <c r="DB18" s="11">
        <f t="shared" si="7"/>
        <v>0</v>
      </c>
      <c r="DC18" s="11">
        <f t="shared" si="7"/>
        <v>0</v>
      </c>
      <c r="DD18" s="11">
        <f t="shared" si="7"/>
        <v>0</v>
      </c>
      <c r="DE18" s="11">
        <f t="shared" si="7"/>
        <v>0</v>
      </c>
      <c r="DF18" s="11">
        <f t="shared" si="7"/>
        <v>0</v>
      </c>
      <c r="DG18" s="11">
        <f t="shared" si="7"/>
        <v>0</v>
      </c>
      <c r="DH18" s="11">
        <f t="shared" si="7"/>
        <v>0</v>
      </c>
      <c r="DI18" s="11">
        <f t="shared" si="7"/>
        <v>0</v>
      </c>
      <c r="DJ18" s="11">
        <f t="shared" si="7"/>
        <v>0</v>
      </c>
      <c r="DK18" s="11">
        <f t="shared" si="7"/>
        <v>0</v>
      </c>
      <c r="DL18" s="11">
        <f t="shared" si="7"/>
        <v>0</v>
      </c>
      <c r="DM18" s="11">
        <f t="shared" si="7"/>
        <v>0</v>
      </c>
      <c r="DN18" s="11">
        <f t="shared" si="7"/>
        <v>0</v>
      </c>
      <c r="DO18" s="11">
        <f t="shared" si="7"/>
        <v>0</v>
      </c>
      <c r="DP18" s="11">
        <f t="shared" si="7"/>
        <v>0</v>
      </c>
      <c r="DQ18" s="11">
        <f t="shared" si="7"/>
        <v>0</v>
      </c>
      <c r="DR18" s="11">
        <f t="shared" si="7"/>
        <v>0</v>
      </c>
      <c r="DS18" s="11">
        <f t="shared" si="7"/>
        <v>0</v>
      </c>
      <c r="DT18" s="11">
        <f t="shared" si="7"/>
        <v>0</v>
      </c>
      <c r="DU18" s="11">
        <f t="shared" si="7"/>
        <v>0</v>
      </c>
      <c r="DV18" s="11">
        <f t="shared" si="7"/>
        <v>0</v>
      </c>
      <c r="DW18" s="11">
        <f t="shared" si="7"/>
        <v>0</v>
      </c>
      <c r="DX18" s="11">
        <f t="shared" si="7"/>
        <v>0</v>
      </c>
      <c r="DY18" s="11">
        <f t="shared" si="7"/>
        <v>0</v>
      </c>
      <c r="DZ18" s="11">
        <f t="shared" si="7"/>
        <v>0</v>
      </c>
      <c r="EA18" s="11">
        <f t="shared" si="7"/>
        <v>0</v>
      </c>
      <c r="EB18" s="11">
        <f t="shared" si="7"/>
        <v>0</v>
      </c>
      <c r="EC18" s="11">
        <f t="shared" si="7"/>
        <v>0</v>
      </c>
      <c r="ED18" s="11">
        <f t="shared" si="7"/>
        <v>0</v>
      </c>
      <c r="EE18" s="11">
        <f t="shared" si="7"/>
        <v>0</v>
      </c>
      <c r="EF18" s="11">
        <f t="shared" ref="EF18:FD18" si="8">PRODUCT(EF15:EF17)</f>
        <v>0</v>
      </c>
      <c r="EG18" s="11">
        <f t="shared" si="8"/>
        <v>0</v>
      </c>
      <c r="EH18" s="11">
        <f t="shared" si="8"/>
        <v>0</v>
      </c>
      <c r="EI18" s="11">
        <f t="shared" si="8"/>
        <v>0</v>
      </c>
      <c r="EJ18" s="11">
        <f t="shared" si="8"/>
        <v>0</v>
      </c>
      <c r="EK18" s="11">
        <f t="shared" si="8"/>
        <v>0</v>
      </c>
      <c r="EL18" s="11">
        <f t="shared" si="8"/>
        <v>0</v>
      </c>
      <c r="EM18" s="11">
        <f t="shared" si="8"/>
        <v>0</v>
      </c>
      <c r="EN18" s="11">
        <f t="shared" si="8"/>
        <v>0</v>
      </c>
      <c r="EO18" s="11">
        <f t="shared" si="8"/>
        <v>0</v>
      </c>
      <c r="EP18" s="11">
        <f t="shared" si="8"/>
        <v>0</v>
      </c>
      <c r="EQ18" s="11">
        <f t="shared" si="8"/>
        <v>0</v>
      </c>
      <c r="ER18" s="11">
        <f t="shared" si="8"/>
        <v>0</v>
      </c>
      <c r="ES18" s="11">
        <f t="shared" si="8"/>
        <v>0</v>
      </c>
      <c r="ET18" s="11">
        <f t="shared" si="8"/>
        <v>0</v>
      </c>
      <c r="EU18" s="11">
        <f t="shared" si="8"/>
        <v>0</v>
      </c>
      <c r="EV18" s="11">
        <f t="shared" si="8"/>
        <v>0</v>
      </c>
      <c r="EW18" s="11">
        <f t="shared" si="8"/>
        <v>0</v>
      </c>
      <c r="EX18" s="11">
        <f t="shared" si="8"/>
        <v>0</v>
      </c>
      <c r="EY18" s="11">
        <f t="shared" si="8"/>
        <v>0</v>
      </c>
      <c r="EZ18" s="11">
        <f t="shared" si="8"/>
        <v>0</v>
      </c>
      <c r="FA18" s="11">
        <f t="shared" si="8"/>
        <v>0</v>
      </c>
      <c r="FB18" s="11">
        <f t="shared" si="8"/>
        <v>0</v>
      </c>
      <c r="FC18" s="11">
        <f t="shared" si="8"/>
        <v>0</v>
      </c>
      <c r="FD18" s="11">
        <f t="shared" si="8"/>
        <v>0</v>
      </c>
    </row>
    <row r="20" spans="2:160" s="11" customFormat="1" ht="13.5" customHeight="1">
      <c r="C20" s="11" t="s">
        <v>555</v>
      </c>
      <c r="G20" s="11" t="str">
        <f>G12&amp;G13</f>
        <v>024000</v>
      </c>
      <c r="H20" s="11" t="str">
        <f t="shared" ref="H20:BS20" si="9">H12&amp;H13</f>
        <v>0.0324000</v>
      </c>
      <c r="I20" s="11" t="str">
        <f t="shared" si="9"/>
        <v>0.0624000</v>
      </c>
      <c r="J20" s="11" t="str">
        <f t="shared" si="9"/>
        <v>0.0924000</v>
      </c>
      <c r="K20" s="11" t="str">
        <f t="shared" si="9"/>
        <v>0.1224000</v>
      </c>
      <c r="L20" s="11" t="str">
        <f t="shared" si="9"/>
        <v>0.1524000</v>
      </c>
      <c r="M20" s="11" t="str">
        <f t="shared" si="9"/>
        <v>0.1824000</v>
      </c>
      <c r="N20" s="11" t="str">
        <f t="shared" si="9"/>
        <v>0.2124000</v>
      </c>
      <c r="O20" s="11" t="str">
        <f t="shared" si="9"/>
        <v>0.2424000</v>
      </c>
      <c r="P20" s="11" t="str">
        <f t="shared" si="9"/>
        <v>0.2724000</v>
      </c>
      <c r="Q20" s="11" t="str">
        <f t="shared" si="9"/>
        <v>0.324000</v>
      </c>
      <c r="R20" s="11" t="str">
        <f t="shared" si="9"/>
        <v>025000</v>
      </c>
      <c r="S20" s="11" t="str">
        <f t="shared" si="9"/>
        <v>0.0325000</v>
      </c>
      <c r="T20" s="11" t="str">
        <f t="shared" si="9"/>
        <v>0.0625000</v>
      </c>
      <c r="U20" s="11" t="str">
        <f t="shared" si="9"/>
        <v>0.0925000</v>
      </c>
      <c r="V20" s="11" t="str">
        <f t="shared" si="9"/>
        <v>0.1225000</v>
      </c>
      <c r="W20" s="11" t="str">
        <f t="shared" si="9"/>
        <v>0.1525000</v>
      </c>
      <c r="X20" s="11" t="str">
        <f t="shared" si="9"/>
        <v>0.1825000</v>
      </c>
      <c r="Y20" s="11" t="str">
        <f t="shared" si="9"/>
        <v>0.2125000</v>
      </c>
      <c r="Z20" s="11" t="str">
        <f t="shared" si="9"/>
        <v>0.2425000</v>
      </c>
      <c r="AA20" s="11" t="str">
        <f t="shared" si="9"/>
        <v>0.2725000</v>
      </c>
      <c r="AB20" s="11" t="str">
        <f t="shared" si="9"/>
        <v>0.325000</v>
      </c>
      <c r="AC20" s="11" t="str">
        <f t="shared" si="9"/>
        <v>026000</v>
      </c>
      <c r="AD20" s="11" t="str">
        <f t="shared" si="9"/>
        <v>0.0326000</v>
      </c>
      <c r="AE20" s="11" t="str">
        <f t="shared" si="9"/>
        <v>0.0626000</v>
      </c>
      <c r="AF20" s="11" t="str">
        <f t="shared" si="9"/>
        <v>0.0926000</v>
      </c>
      <c r="AG20" s="11" t="str">
        <f t="shared" si="9"/>
        <v>0.1226000</v>
      </c>
      <c r="AH20" s="11" t="str">
        <f t="shared" si="9"/>
        <v>0.1526000</v>
      </c>
      <c r="AI20" s="11" t="str">
        <f t="shared" si="9"/>
        <v>0.1826000</v>
      </c>
      <c r="AJ20" s="11" t="str">
        <f t="shared" si="9"/>
        <v>0.2126000</v>
      </c>
      <c r="AK20" s="11" t="str">
        <f t="shared" si="9"/>
        <v>0.2426000</v>
      </c>
      <c r="AL20" s="11" t="str">
        <f t="shared" si="9"/>
        <v>0.2726000</v>
      </c>
      <c r="AM20" s="11" t="str">
        <f t="shared" si="9"/>
        <v>0.326000</v>
      </c>
      <c r="AN20" s="11" t="str">
        <f t="shared" si="9"/>
        <v>0</v>
      </c>
      <c r="AO20" s="11" t="str">
        <f t="shared" si="9"/>
        <v>0.03</v>
      </c>
      <c r="AP20" s="11" t="str">
        <f t="shared" si="9"/>
        <v>0.06</v>
      </c>
      <c r="AQ20" s="11" t="str">
        <f t="shared" si="9"/>
        <v>0.09</v>
      </c>
      <c r="AR20" s="11" t="str">
        <f t="shared" si="9"/>
        <v>0.12</v>
      </c>
      <c r="AS20" s="11" t="str">
        <f t="shared" si="9"/>
        <v>0.15</v>
      </c>
      <c r="AT20" s="11" t="str">
        <f t="shared" si="9"/>
        <v>0.18</v>
      </c>
      <c r="AU20" s="11" t="str">
        <f t="shared" si="9"/>
        <v>0.21</v>
      </c>
      <c r="AV20" s="11" t="str">
        <f t="shared" si="9"/>
        <v>0.24</v>
      </c>
      <c r="AW20" s="11" t="str">
        <f t="shared" si="9"/>
        <v>0.27</v>
      </c>
      <c r="AX20" s="11" t="str">
        <f t="shared" si="9"/>
        <v>0.3</v>
      </c>
      <c r="AY20" s="11" t="str">
        <f t="shared" si="9"/>
        <v>0</v>
      </c>
      <c r="AZ20" s="11" t="str">
        <f t="shared" si="9"/>
        <v>0.03</v>
      </c>
      <c r="BA20" s="11" t="str">
        <f t="shared" si="9"/>
        <v>0.06</v>
      </c>
      <c r="BB20" s="11" t="str">
        <f t="shared" si="9"/>
        <v>0.09</v>
      </c>
      <c r="BC20" s="11" t="str">
        <f t="shared" si="9"/>
        <v>0.12</v>
      </c>
      <c r="BD20" s="11" t="str">
        <f t="shared" si="9"/>
        <v>0.15</v>
      </c>
      <c r="BE20" s="11" t="str">
        <f t="shared" si="9"/>
        <v>0.18</v>
      </c>
      <c r="BF20" s="11" t="str">
        <f t="shared" si="9"/>
        <v>0.21</v>
      </c>
      <c r="BG20" s="11" t="str">
        <f t="shared" si="9"/>
        <v>0.24</v>
      </c>
      <c r="BH20" s="11" t="str">
        <f t="shared" si="9"/>
        <v>0.27</v>
      </c>
      <c r="BI20" s="11" t="str">
        <f t="shared" si="9"/>
        <v>0.3</v>
      </c>
      <c r="BJ20" s="11" t="str">
        <f t="shared" si="9"/>
        <v>0</v>
      </c>
      <c r="BK20" s="11" t="str">
        <f t="shared" si="9"/>
        <v>0.03</v>
      </c>
      <c r="BL20" s="11" t="str">
        <f t="shared" si="9"/>
        <v>0.06</v>
      </c>
      <c r="BM20" s="11" t="str">
        <f t="shared" si="9"/>
        <v>0.09</v>
      </c>
      <c r="BN20" s="11" t="str">
        <f t="shared" si="9"/>
        <v>0.12</v>
      </c>
      <c r="BO20" s="11" t="str">
        <f t="shared" si="9"/>
        <v>0.15</v>
      </c>
      <c r="BP20" s="11" t="str">
        <f t="shared" si="9"/>
        <v>0.18</v>
      </c>
      <c r="BQ20" s="11" t="str">
        <f t="shared" si="9"/>
        <v>0.21</v>
      </c>
      <c r="BR20" s="11" t="str">
        <f t="shared" si="9"/>
        <v>0.24</v>
      </c>
      <c r="BS20" s="11" t="str">
        <f t="shared" si="9"/>
        <v>0.27</v>
      </c>
      <c r="BT20" s="11" t="str">
        <f t="shared" ref="BT20:EE20" si="10">BT12&amp;BT13</f>
        <v>0.3</v>
      </c>
      <c r="BU20" s="11" t="str">
        <f t="shared" si="10"/>
        <v>0</v>
      </c>
      <c r="BV20" s="11" t="str">
        <f t="shared" si="10"/>
        <v>0.03</v>
      </c>
      <c r="BW20" s="11" t="str">
        <f t="shared" si="10"/>
        <v>0.06</v>
      </c>
      <c r="BX20" s="11" t="str">
        <f t="shared" si="10"/>
        <v>0.09</v>
      </c>
      <c r="BY20" s="11" t="str">
        <f t="shared" si="10"/>
        <v>0.12</v>
      </c>
      <c r="BZ20" s="11" t="str">
        <f t="shared" si="10"/>
        <v>0.15</v>
      </c>
      <c r="CA20" s="11" t="str">
        <f t="shared" si="10"/>
        <v>0.18</v>
      </c>
      <c r="CB20" s="11" t="str">
        <f t="shared" si="10"/>
        <v>0.21</v>
      </c>
      <c r="CC20" s="11" t="str">
        <f t="shared" si="10"/>
        <v>0.24</v>
      </c>
      <c r="CD20" s="11" t="str">
        <f t="shared" si="10"/>
        <v>0.27</v>
      </c>
      <c r="CE20" s="11" t="str">
        <f t="shared" si="10"/>
        <v>0.3</v>
      </c>
      <c r="CF20" s="11" t="str">
        <f t="shared" si="10"/>
        <v>0</v>
      </c>
      <c r="CG20" s="11" t="str">
        <f t="shared" si="10"/>
        <v>0.03</v>
      </c>
      <c r="CH20" s="11" t="str">
        <f t="shared" si="10"/>
        <v>0.06</v>
      </c>
      <c r="CI20" s="11" t="str">
        <f t="shared" si="10"/>
        <v>0.09</v>
      </c>
      <c r="CJ20" s="11" t="str">
        <f t="shared" si="10"/>
        <v>0.12</v>
      </c>
      <c r="CK20" s="11" t="str">
        <f t="shared" si="10"/>
        <v>0.15</v>
      </c>
      <c r="CL20" s="11" t="str">
        <f t="shared" si="10"/>
        <v>0.18</v>
      </c>
      <c r="CM20" s="11" t="str">
        <f t="shared" si="10"/>
        <v>0.21</v>
      </c>
      <c r="CN20" s="11" t="str">
        <f t="shared" si="10"/>
        <v>0.24</v>
      </c>
      <c r="CO20" s="11" t="str">
        <f t="shared" si="10"/>
        <v>0.27</v>
      </c>
      <c r="CP20" s="11" t="str">
        <f t="shared" si="10"/>
        <v>0.3</v>
      </c>
      <c r="CQ20" s="11" t="str">
        <f t="shared" si="10"/>
        <v>0</v>
      </c>
      <c r="CR20" s="11" t="str">
        <f t="shared" si="10"/>
        <v>0.03</v>
      </c>
      <c r="CS20" s="11" t="str">
        <f t="shared" si="10"/>
        <v>0.06</v>
      </c>
      <c r="CT20" s="11" t="str">
        <f t="shared" si="10"/>
        <v>0.09</v>
      </c>
      <c r="CU20" s="11" t="str">
        <f t="shared" si="10"/>
        <v>0.12</v>
      </c>
      <c r="CV20" s="11" t="str">
        <f t="shared" si="10"/>
        <v>0.15</v>
      </c>
      <c r="CW20" s="11" t="str">
        <f t="shared" si="10"/>
        <v>0.18</v>
      </c>
      <c r="CX20" s="11" t="str">
        <f t="shared" si="10"/>
        <v>0.21</v>
      </c>
      <c r="CY20" s="11" t="str">
        <f t="shared" si="10"/>
        <v>0.24</v>
      </c>
      <c r="CZ20" s="11" t="str">
        <f t="shared" si="10"/>
        <v>0.27</v>
      </c>
      <c r="DA20" s="11" t="str">
        <f t="shared" si="10"/>
        <v>0.3</v>
      </c>
      <c r="DB20" s="11" t="str">
        <f t="shared" si="10"/>
        <v>0</v>
      </c>
      <c r="DC20" s="11" t="str">
        <f t="shared" si="10"/>
        <v>0.03</v>
      </c>
      <c r="DD20" s="11" t="str">
        <f t="shared" si="10"/>
        <v>0.06</v>
      </c>
      <c r="DE20" s="11" t="str">
        <f t="shared" si="10"/>
        <v>0.09</v>
      </c>
      <c r="DF20" s="11" t="str">
        <f t="shared" si="10"/>
        <v>0.12</v>
      </c>
      <c r="DG20" s="11" t="str">
        <f t="shared" si="10"/>
        <v>0.15</v>
      </c>
      <c r="DH20" s="11" t="str">
        <f t="shared" si="10"/>
        <v>0.18</v>
      </c>
      <c r="DI20" s="11" t="str">
        <f t="shared" si="10"/>
        <v>0.21</v>
      </c>
      <c r="DJ20" s="11" t="str">
        <f t="shared" si="10"/>
        <v>0.24</v>
      </c>
      <c r="DK20" s="11" t="str">
        <f t="shared" si="10"/>
        <v>0.27</v>
      </c>
      <c r="DL20" s="11" t="str">
        <f t="shared" si="10"/>
        <v>0.3</v>
      </c>
      <c r="DM20" s="11" t="str">
        <f t="shared" si="10"/>
        <v>0</v>
      </c>
      <c r="DN20" s="11" t="str">
        <f t="shared" si="10"/>
        <v>0.03</v>
      </c>
      <c r="DO20" s="11" t="str">
        <f t="shared" si="10"/>
        <v>0.06</v>
      </c>
      <c r="DP20" s="11" t="str">
        <f t="shared" si="10"/>
        <v>0.09</v>
      </c>
      <c r="DQ20" s="11" t="str">
        <f t="shared" si="10"/>
        <v>0.12</v>
      </c>
      <c r="DR20" s="11" t="str">
        <f t="shared" si="10"/>
        <v>0.15</v>
      </c>
      <c r="DS20" s="11" t="str">
        <f t="shared" si="10"/>
        <v>0.18</v>
      </c>
      <c r="DT20" s="11" t="str">
        <f t="shared" si="10"/>
        <v>0.21</v>
      </c>
      <c r="DU20" s="11" t="str">
        <f t="shared" si="10"/>
        <v>0.24</v>
      </c>
      <c r="DV20" s="11" t="str">
        <f t="shared" si="10"/>
        <v>0.27</v>
      </c>
      <c r="DW20" s="11" t="str">
        <f t="shared" si="10"/>
        <v>0.3</v>
      </c>
      <c r="DX20" s="11" t="str">
        <f t="shared" si="10"/>
        <v>0</v>
      </c>
      <c r="DY20" s="11" t="str">
        <f t="shared" si="10"/>
        <v>0.03</v>
      </c>
      <c r="DZ20" s="11" t="str">
        <f t="shared" si="10"/>
        <v>0.06</v>
      </c>
      <c r="EA20" s="11" t="str">
        <f t="shared" si="10"/>
        <v>0.09</v>
      </c>
      <c r="EB20" s="11" t="str">
        <f t="shared" si="10"/>
        <v>0.12</v>
      </c>
      <c r="EC20" s="11" t="str">
        <f t="shared" si="10"/>
        <v>0.15</v>
      </c>
      <c r="ED20" s="11" t="str">
        <f t="shared" si="10"/>
        <v>0.18</v>
      </c>
      <c r="EE20" s="11" t="str">
        <f t="shared" si="10"/>
        <v>0.21</v>
      </c>
      <c r="EF20" s="11" t="str">
        <f t="shared" ref="EF20:FD20" si="11">EF12&amp;EF13</f>
        <v>0.24</v>
      </c>
      <c r="EG20" s="11" t="str">
        <f t="shared" si="11"/>
        <v>0.27</v>
      </c>
      <c r="EH20" s="11" t="str">
        <f t="shared" si="11"/>
        <v>0.3</v>
      </c>
      <c r="EI20" s="11" t="str">
        <f t="shared" si="11"/>
        <v>0</v>
      </c>
      <c r="EJ20" s="11" t="str">
        <f t="shared" si="11"/>
        <v>0.03</v>
      </c>
      <c r="EK20" s="11" t="str">
        <f t="shared" si="11"/>
        <v>0.06</v>
      </c>
      <c r="EL20" s="11" t="str">
        <f t="shared" si="11"/>
        <v>0.09</v>
      </c>
      <c r="EM20" s="11" t="str">
        <f t="shared" si="11"/>
        <v>0.12</v>
      </c>
      <c r="EN20" s="11" t="str">
        <f t="shared" si="11"/>
        <v>0.15</v>
      </c>
      <c r="EO20" s="11" t="str">
        <f t="shared" si="11"/>
        <v>0.18</v>
      </c>
      <c r="EP20" s="11" t="str">
        <f t="shared" si="11"/>
        <v>0.21</v>
      </c>
      <c r="EQ20" s="11" t="str">
        <f t="shared" si="11"/>
        <v>0.24</v>
      </c>
      <c r="ER20" s="11" t="str">
        <f t="shared" si="11"/>
        <v>0.27</v>
      </c>
      <c r="ES20" s="11" t="str">
        <f t="shared" si="11"/>
        <v>0.3</v>
      </c>
      <c r="ET20" s="11" t="str">
        <f t="shared" si="11"/>
        <v>0</v>
      </c>
      <c r="EU20" s="11" t="str">
        <f t="shared" si="11"/>
        <v>0.03</v>
      </c>
      <c r="EV20" s="11" t="str">
        <f t="shared" si="11"/>
        <v>0.06</v>
      </c>
      <c r="EW20" s="11" t="str">
        <f t="shared" si="11"/>
        <v>0.09</v>
      </c>
      <c r="EX20" s="11" t="str">
        <f t="shared" si="11"/>
        <v>0.12</v>
      </c>
      <c r="EY20" s="11" t="str">
        <f t="shared" si="11"/>
        <v>0.15</v>
      </c>
      <c r="EZ20" s="11" t="str">
        <f t="shared" si="11"/>
        <v>0.18</v>
      </c>
      <c r="FA20" s="11" t="str">
        <f t="shared" si="11"/>
        <v>0.21</v>
      </c>
      <c r="FB20" s="11" t="str">
        <f t="shared" si="11"/>
        <v>0.24</v>
      </c>
      <c r="FC20" s="11" t="str">
        <f t="shared" si="11"/>
        <v>0.27</v>
      </c>
      <c r="FD20" s="11" t="str">
        <f t="shared" si="11"/>
        <v>0.3</v>
      </c>
    </row>
    <row r="21" spans="2:160" s="11" customFormat="1" ht="13.5" customHeight="1">
      <c r="C21" s="11" t="s">
        <v>556</v>
      </c>
      <c r="G21" s="11" t="str">
        <f>G12&amp;G14</f>
        <v>0</v>
      </c>
      <c r="H21" s="11" t="str">
        <f t="shared" ref="H21:BS21" si="12">H12&amp;H14</f>
        <v>0.03</v>
      </c>
      <c r="I21" s="11" t="str">
        <f t="shared" si="12"/>
        <v>0.06</v>
      </c>
      <c r="J21" s="11" t="str">
        <f t="shared" si="12"/>
        <v>0.09</v>
      </c>
      <c r="K21" s="11" t="str">
        <f t="shared" si="12"/>
        <v>0.12</v>
      </c>
      <c r="L21" s="11" t="str">
        <f t="shared" si="12"/>
        <v>0.15</v>
      </c>
      <c r="M21" s="11" t="str">
        <f t="shared" si="12"/>
        <v>0.18</v>
      </c>
      <c r="N21" s="11" t="str">
        <f t="shared" si="12"/>
        <v>0.21</v>
      </c>
      <c r="O21" s="11" t="str">
        <f t="shared" si="12"/>
        <v>0.24</v>
      </c>
      <c r="P21" s="11" t="str">
        <f t="shared" si="12"/>
        <v>0.27</v>
      </c>
      <c r="Q21" s="11" t="str">
        <f t="shared" si="12"/>
        <v>0.3</v>
      </c>
      <c r="R21" s="11" t="str">
        <f t="shared" si="12"/>
        <v>0</v>
      </c>
      <c r="S21" s="11" t="str">
        <f t="shared" si="12"/>
        <v>0.03</v>
      </c>
      <c r="T21" s="11" t="str">
        <f t="shared" si="12"/>
        <v>0.06</v>
      </c>
      <c r="U21" s="11" t="str">
        <f t="shared" si="12"/>
        <v>0.09</v>
      </c>
      <c r="V21" s="11" t="str">
        <f t="shared" si="12"/>
        <v>0.12</v>
      </c>
      <c r="W21" s="11" t="str">
        <f t="shared" si="12"/>
        <v>0.15</v>
      </c>
      <c r="X21" s="11" t="str">
        <f t="shared" si="12"/>
        <v>0.18</v>
      </c>
      <c r="Y21" s="11" t="str">
        <f t="shared" si="12"/>
        <v>0.21</v>
      </c>
      <c r="Z21" s="11" t="str">
        <f t="shared" si="12"/>
        <v>0.24</v>
      </c>
      <c r="AA21" s="11" t="str">
        <f t="shared" si="12"/>
        <v>0.27</v>
      </c>
      <c r="AB21" s="11" t="str">
        <f t="shared" si="12"/>
        <v>0.3</v>
      </c>
      <c r="AC21" s="11" t="str">
        <f t="shared" si="12"/>
        <v>0</v>
      </c>
      <c r="AD21" s="11" t="str">
        <f t="shared" si="12"/>
        <v>0.03</v>
      </c>
      <c r="AE21" s="11" t="str">
        <f t="shared" si="12"/>
        <v>0.06</v>
      </c>
      <c r="AF21" s="11" t="str">
        <f t="shared" si="12"/>
        <v>0.09</v>
      </c>
      <c r="AG21" s="11" t="str">
        <f t="shared" si="12"/>
        <v>0.12</v>
      </c>
      <c r="AH21" s="11" t="str">
        <f t="shared" si="12"/>
        <v>0.15</v>
      </c>
      <c r="AI21" s="11" t="str">
        <f t="shared" si="12"/>
        <v>0.18</v>
      </c>
      <c r="AJ21" s="11" t="str">
        <f t="shared" si="12"/>
        <v>0.21</v>
      </c>
      <c r="AK21" s="11" t="str">
        <f t="shared" si="12"/>
        <v>0.24</v>
      </c>
      <c r="AL21" s="11" t="str">
        <f t="shared" si="12"/>
        <v>0.27</v>
      </c>
      <c r="AM21" s="11" t="str">
        <f t="shared" si="12"/>
        <v>0.3</v>
      </c>
      <c r="AN21" s="11" t="str">
        <f t="shared" si="12"/>
        <v>00.042</v>
      </c>
      <c r="AO21" s="11" t="str">
        <f t="shared" si="12"/>
        <v>0.030.042</v>
      </c>
      <c r="AP21" s="11" t="str">
        <f t="shared" si="12"/>
        <v>0.060.042</v>
      </c>
      <c r="AQ21" s="11" t="str">
        <f t="shared" si="12"/>
        <v>0.090.042</v>
      </c>
      <c r="AR21" s="11" t="str">
        <f t="shared" si="12"/>
        <v>0.120.042</v>
      </c>
      <c r="AS21" s="11" t="str">
        <f t="shared" si="12"/>
        <v>0.150.042</v>
      </c>
      <c r="AT21" s="11" t="str">
        <f t="shared" si="12"/>
        <v>0.180.042</v>
      </c>
      <c r="AU21" s="11" t="str">
        <f t="shared" si="12"/>
        <v>0.210.042</v>
      </c>
      <c r="AV21" s="11" t="str">
        <f t="shared" si="12"/>
        <v>0.240.042</v>
      </c>
      <c r="AW21" s="11" t="str">
        <f t="shared" si="12"/>
        <v>0.270.042</v>
      </c>
      <c r="AX21" s="11" t="str">
        <f t="shared" si="12"/>
        <v>0.30.042</v>
      </c>
      <c r="AY21" s="11" t="str">
        <f t="shared" si="12"/>
        <v>00.0435</v>
      </c>
      <c r="AZ21" s="11" t="str">
        <f t="shared" si="12"/>
        <v>0.030.0435</v>
      </c>
      <c r="BA21" s="11" t="str">
        <f t="shared" si="12"/>
        <v>0.060.0435</v>
      </c>
      <c r="BB21" s="11" t="str">
        <f t="shared" si="12"/>
        <v>0.090.0435</v>
      </c>
      <c r="BC21" s="11" t="str">
        <f t="shared" si="12"/>
        <v>0.120.0435</v>
      </c>
      <c r="BD21" s="11" t="str">
        <f t="shared" si="12"/>
        <v>0.150.0435</v>
      </c>
      <c r="BE21" s="11" t="str">
        <f t="shared" si="12"/>
        <v>0.180.0435</v>
      </c>
      <c r="BF21" s="11" t="str">
        <f t="shared" si="12"/>
        <v>0.210.0435</v>
      </c>
      <c r="BG21" s="11" t="str">
        <f t="shared" si="12"/>
        <v>0.240.0435</v>
      </c>
      <c r="BH21" s="11" t="str">
        <f t="shared" si="12"/>
        <v>0.270.0435</v>
      </c>
      <c r="BI21" s="11" t="str">
        <f t="shared" si="12"/>
        <v>0.30.0435</v>
      </c>
      <c r="BJ21" s="11" t="str">
        <f t="shared" si="12"/>
        <v>00.045</v>
      </c>
      <c r="BK21" s="11" t="str">
        <f t="shared" si="12"/>
        <v>0.030.045</v>
      </c>
      <c r="BL21" s="11" t="str">
        <f t="shared" si="12"/>
        <v>0.060.045</v>
      </c>
      <c r="BM21" s="11" t="str">
        <f t="shared" si="12"/>
        <v>0.090.045</v>
      </c>
      <c r="BN21" s="11" t="str">
        <f t="shared" si="12"/>
        <v>0.120.045</v>
      </c>
      <c r="BO21" s="11" t="str">
        <f t="shared" si="12"/>
        <v>0.150.045</v>
      </c>
      <c r="BP21" s="11" t="str">
        <f t="shared" si="12"/>
        <v>0.180.045</v>
      </c>
      <c r="BQ21" s="11" t="str">
        <f t="shared" si="12"/>
        <v>0.210.045</v>
      </c>
      <c r="BR21" s="11" t="str">
        <f t="shared" si="12"/>
        <v>0.240.045</v>
      </c>
      <c r="BS21" s="11" t="str">
        <f t="shared" si="12"/>
        <v>0.270.045</v>
      </c>
      <c r="BT21" s="11" t="str">
        <f t="shared" ref="BT21:EE21" si="13">BT12&amp;BT14</f>
        <v>0.30.045</v>
      </c>
      <c r="BU21" s="11" t="str">
        <f t="shared" si="13"/>
        <v>00.0465</v>
      </c>
      <c r="BV21" s="11" t="str">
        <f t="shared" si="13"/>
        <v>0.030.0465</v>
      </c>
      <c r="BW21" s="11" t="str">
        <f t="shared" si="13"/>
        <v>0.060.0465</v>
      </c>
      <c r="BX21" s="11" t="str">
        <f t="shared" si="13"/>
        <v>0.090.0465</v>
      </c>
      <c r="BY21" s="11" t="str">
        <f t="shared" si="13"/>
        <v>0.120.0465</v>
      </c>
      <c r="BZ21" s="11" t="str">
        <f t="shared" si="13"/>
        <v>0.150.0465</v>
      </c>
      <c r="CA21" s="11" t="str">
        <f t="shared" si="13"/>
        <v>0.180.0465</v>
      </c>
      <c r="CB21" s="11" t="str">
        <f t="shared" si="13"/>
        <v>0.210.0465</v>
      </c>
      <c r="CC21" s="11" t="str">
        <f t="shared" si="13"/>
        <v>0.240.0465</v>
      </c>
      <c r="CD21" s="11" t="str">
        <f t="shared" si="13"/>
        <v>0.270.0465</v>
      </c>
      <c r="CE21" s="11" t="str">
        <f t="shared" si="13"/>
        <v>0.30.0465</v>
      </c>
      <c r="CF21" s="11" t="str">
        <f t="shared" si="13"/>
        <v>00.048</v>
      </c>
      <c r="CG21" s="11" t="str">
        <f t="shared" si="13"/>
        <v>0.030.048</v>
      </c>
      <c r="CH21" s="11" t="str">
        <f t="shared" si="13"/>
        <v>0.060.048</v>
      </c>
      <c r="CI21" s="11" t="str">
        <f t="shared" si="13"/>
        <v>0.090.048</v>
      </c>
      <c r="CJ21" s="11" t="str">
        <f t="shared" si="13"/>
        <v>0.120.048</v>
      </c>
      <c r="CK21" s="11" t="str">
        <f t="shared" si="13"/>
        <v>0.150.048</v>
      </c>
      <c r="CL21" s="11" t="str">
        <f t="shared" si="13"/>
        <v>0.180.048</v>
      </c>
      <c r="CM21" s="11" t="str">
        <f t="shared" si="13"/>
        <v>0.210.048</v>
      </c>
      <c r="CN21" s="11" t="str">
        <f t="shared" si="13"/>
        <v>0.240.048</v>
      </c>
      <c r="CO21" s="11" t="str">
        <f t="shared" si="13"/>
        <v>0.270.048</v>
      </c>
      <c r="CP21" s="11" t="str">
        <f t="shared" si="13"/>
        <v>0.30.048</v>
      </c>
      <c r="CQ21" s="11" t="str">
        <f t="shared" si="13"/>
        <v>00.0495</v>
      </c>
      <c r="CR21" s="11" t="str">
        <f t="shared" si="13"/>
        <v>0.030.0495</v>
      </c>
      <c r="CS21" s="11" t="str">
        <f t="shared" si="13"/>
        <v>0.060.0495</v>
      </c>
      <c r="CT21" s="11" t="str">
        <f t="shared" si="13"/>
        <v>0.090.0495</v>
      </c>
      <c r="CU21" s="11" t="str">
        <f t="shared" si="13"/>
        <v>0.120.0495</v>
      </c>
      <c r="CV21" s="11" t="str">
        <f t="shared" si="13"/>
        <v>0.150.0495</v>
      </c>
      <c r="CW21" s="11" t="str">
        <f t="shared" si="13"/>
        <v>0.180.0495</v>
      </c>
      <c r="CX21" s="11" t="str">
        <f t="shared" si="13"/>
        <v>0.210.0495</v>
      </c>
      <c r="CY21" s="11" t="str">
        <f t="shared" si="13"/>
        <v>0.240.0495</v>
      </c>
      <c r="CZ21" s="11" t="str">
        <f t="shared" si="13"/>
        <v>0.270.0495</v>
      </c>
      <c r="DA21" s="11" t="str">
        <f t="shared" si="13"/>
        <v>0.30.0495</v>
      </c>
      <c r="DB21" s="11" t="str">
        <f t="shared" si="13"/>
        <v>00.051</v>
      </c>
      <c r="DC21" s="11" t="str">
        <f t="shared" si="13"/>
        <v>0.030.051</v>
      </c>
      <c r="DD21" s="11" t="str">
        <f t="shared" si="13"/>
        <v>0.060.051</v>
      </c>
      <c r="DE21" s="11" t="str">
        <f t="shared" si="13"/>
        <v>0.090.051</v>
      </c>
      <c r="DF21" s="11" t="str">
        <f t="shared" si="13"/>
        <v>0.120.051</v>
      </c>
      <c r="DG21" s="11" t="str">
        <f t="shared" si="13"/>
        <v>0.150.051</v>
      </c>
      <c r="DH21" s="11" t="str">
        <f t="shared" si="13"/>
        <v>0.180.051</v>
      </c>
      <c r="DI21" s="11" t="str">
        <f t="shared" si="13"/>
        <v>0.210.051</v>
      </c>
      <c r="DJ21" s="11" t="str">
        <f t="shared" si="13"/>
        <v>0.240.051</v>
      </c>
      <c r="DK21" s="11" t="str">
        <f t="shared" si="13"/>
        <v>0.270.051</v>
      </c>
      <c r="DL21" s="11" t="str">
        <f t="shared" si="13"/>
        <v>0.30.051</v>
      </c>
      <c r="DM21" s="11" t="str">
        <f t="shared" si="13"/>
        <v>00.0525</v>
      </c>
      <c r="DN21" s="11" t="str">
        <f t="shared" si="13"/>
        <v>0.030.0525</v>
      </c>
      <c r="DO21" s="11" t="str">
        <f t="shared" si="13"/>
        <v>0.060.0525</v>
      </c>
      <c r="DP21" s="11" t="str">
        <f t="shared" si="13"/>
        <v>0.090.0525</v>
      </c>
      <c r="DQ21" s="11" t="str">
        <f t="shared" si="13"/>
        <v>0.120.0525</v>
      </c>
      <c r="DR21" s="11" t="str">
        <f t="shared" si="13"/>
        <v>0.150.0525</v>
      </c>
      <c r="DS21" s="11" t="str">
        <f t="shared" si="13"/>
        <v>0.180.0525</v>
      </c>
      <c r="DT21" s="11" t="str">
        <f t="shared" si="13"/>
        <v>0.210.0525</v>
      </c>
      <c r="DU21" s="11" t="str">
        <f t="shared" si="13"/>
        <v>0.240.0525</v>
      </c>
      <c r="DV21" s="11" t="str">
        <f t="shared" si="13"/>
        <v>0.270.0525</v>
      </c>
      <c r="DW21" s="11" t="str">
        <f t="shared" si="13"/>
        <v>0.30.0525</v>
      </c>
      <c r="DX21" s="11" t="str">
        <f t="shared" si="13"/>
        <v>00.054</v>
      </c>
      <c r="DY21" s="11" t="str">
        <f t="shared" si="13"/>
        <v>0.030.054</v>
      </c>
      <c r="DZ21" s="11" t="str">
        <f t="shared" si="13"/>
        <v>0.060.054</v>
      </c>
      <c r="EA21" s="11" t="str">
        <f t="shared" si="13"/>
        <v>0.090.054</v>
      </c>
      <c r="EB21" s="11" t="str">
        <f t="shared" si="13"/>
        <v>0.120.054</v>
      </c>
      <c r="EC21" s="11" t="str">
        <f t="shared" si="13"/>
        <v>0.150.054</v>
      </c>
      <c r="ED21" s="11" t="str">
        <f t="shared" si="13"/>
        <v>0.180.054</v>
      </c>
      <c r="EE21" s="11" t="str">
        <f t="shared" si="13"/>
        <v>0.210.054</v>
      </c>
      <c r="EF21" s="11" t="str">
        <f t="shared" ref="EF21:FD21" si="14">EF12&amp;EF14</f>
        <v>0.240.054</v>
      </c>
      <c r="EG21" s="11" t="str">
        <f t="shared" si="14"/>
        <v>0.270.054</v>
      </c>
      <c r="EH21" s="11" t="str">
        <f t="shared" si="14"/>
        <v>0.30.054</v>
      </c>
      <c r="EI21" s="11" t="str">
        <f t="shared" si="14"/>
        <v>00.0555</v>
      </c>
      <c r="EJ21" s="11" t="str">
        <f t="shared" si="14"/>
        <v>0.030.0555</v>
      </c>
      <c r="EK21" s="11" t="str">
        <f t="shared" si="14"/>
        <v>0.060.0555</v>
      </c>
      <c r="EL21" s="11" t="str">
        <f t="shared" si="14"/>
        <v>0.090.0555</v>
      </c>
      <c r="EM21" s="11" t="str">
        <f t="shared" si="14"/>
        <v>0.120.0555</v>
      </c>
      <c r="EN21" s="11" t="str">
        <f t="shared" si="14"/>
        <v>0.150.0555</v>
      </c>
      <c r="EO21" s="11" t="str">
        <f t="shared" si="14"/>
        <v>0.180.0555</v>
      </c>
      <c r="EP21" s="11" t="str">
        <f t="shared" si="14"/>
        <v>0.210.0555</v>
      </c>
      <c r="EQ21" s="11" t="str">
        <f t="shared" si="14"/>
        <v>0.240.0555</v>
      </c>
      <c r="ER21" s="11" t="str">
        <f t="shared" si="14"/>
        <v>0.270.0555</v>
      </c>
      <c r="ES21" s="11" t="str">
        <f t="shared" si="14"/>
        <v>0.30.0555</v>
      </c>
      <c r="ET21" s="11" t="str">
        <f t="shared" si="14"/>
        <v>00.057</v>
      </c>
      <c r="EU21" s="11" t="str">
        <f t="shared" si="14"/>
        <v>0.030.057</v>
      </c>
      <c r="EV21" s="11" t="str">
        <f t="shared" si="14"/>
        <v>0.060.057</v>
      </c>
      <c r="EW21" s="11" t="str">
        <f t="shared" si="14"/>
        <v>0.090.057</v>
      </c>
      <c r="EX21" s="11" t="str">
        <f t="shared" si="14"/>
        <v>0.120.057</v>
      </c>
      <c r="EY21" s="11" t="str">
        <f t="shared" si="14"/>
        <v>0.150.057</v>
      </c>
      <c r="EZ21" s="11" t="str">
        <f t="shared" si="14"/>
        <v>0.180.057</v>
      </c>
      <c r="FA21" s="11" t="str">
        <f t="shared" si="14"/>
        <v>0.210.057</v>
      </c>
      <c r="FB21" s="11" t="str">
        <f t="shared" si="14"/>
        <v>0.240.057</v>
      </c>
      <c r="FC21" s="11" t="str">
        <f t="shared" si="14"/>
        <v>0.270.057</v>
      </c>
      <c r="FD21" s="11" t="str">
        <f t="shared" si="14"/>
        <v>0.30.057</v>
      </c>
    </row>
    <row r="24" spans="2:160" ht="13.5" customHeight="1">
      <c r="B24" s="1" t="s">
        <v>549</v>
      </c>
    </row>
    <row r="25" spans="2:160" ht="13.5" customHeight="1">
      <c r="B25" s="27" t="s">
        <v>550</v>
      </c>
      <c r="C25" s="127"/>
      <c r="D25" s="127"/>
      <c r="E25" s="131" t="s">
        <v>554</v>
      </c>
      <c r="G25" s="26">
        <f>G11</f>
        <v>1</v>
      </c>
      <c r="H25" s="131">
        <f t="shared" ref="H25:BS25" si="15">H11</f>
        <v>2</v>
      </c>
      <c r="I25" s="131">
        <f t="shared" si="15"/>
        <v>3</v>
      </c>
      <c r="J25" s="131">
        <f t="shared" si="15"/>
        <v>4</v>
      </c>
      <c r="K25" s="131">
        <f t="shared" si="15"/>
        <v>5</v>
      </c>
      <c r="L25" s="131">
        <f t="shared" si="15"/>
        <v>6</v>
      </c>
      <c r="M25" s="131">
        <f t="shared" si="15"/>
        <v>7</v>
      </c>
      <c r="N25" s="131">
        <f t="shared" si="15"/>
        <v>8</v>
      </c>
      <c r="O25" s="131">
        <f t="shared" si="15"/>
        <v>9</v>
      </c>
      <c r="P25" s="131">
        <f t="shared" si="15"/>
        <v>10</v>
      </c>
      <c r="Q25" s="131">
        <f t="shared" si="15"/>
        <v>11</v>
      </c>
      <c r="R25" s="131">
        <f t="shared" si="15"/>
        <v>12</v>
      </c>
      <c r="S25" s="131">
        <f t="shared" si="15"/>
        <v>13</v>
      </c>
      <c r="T25" s="131">
        <f t="shared" si="15"/>
        <v>14</v>
      </c>
      <c r="U25" s="131">
        <f t="shared" si="15"/>
        <v>15</v>
      </c>
      <c r="V25" s="131">
        <f t="shared" si="15"/>
        <v>16</v>
      </c>
      <c r="W25" s="131">
        <f t="shared" si="15"/>
        <v>17</v>
      </c>
      <c r="X25" s="131">
        <f t="shared" si="15"/>
        <v>18</v>
      </c>
      <c r="Y25" s="131">
        <f t="shared" si="15"/>
        <v>19</v>
      </c>
      <c r="Z25" s="131">
        <f t="shared" si="15"/>
        <v>20</v>
      </c>
      <c r="AA25" s="131">
        <f t="shared" si="15"/>
        <v>21</v>
      </c>
      <c r="AB25" s="131">
        <f t="shared" si="15"/>
        <v>22</v>
      </c>
      <c r="AC25" s="131">
        <f t="shared" si="15"/>
        <v>23</v>
      </c>
      <c r="AD25" s="131">
        <f t="shared" si="15"/>
        <v>24</v>
      </c>
      <c r="AE25" s="131">
        <f t="shared" si="15"/>
        <v>25</v>
      </c>
      <c r="AF25" s="131">
        <f t="shared" si="15"/>
        <v>26</v>
      </c>
      <c r="AG25" s="131">
        <f t="shared" si="15"/>
        <v>27</v>
      </c>
      <c r="AH25" s="131">
        <f t="shared" si="15"/>
        <v>28</v>
      </c>
      <c r="AI25" s="131">
        <f t="shared" si="15"/>
        <v>29</v>
      </c>
      <c r="AJ25" s="131">
        <f t="shared" si="15"/>
        <v>30</v>
      </c>
      <c r="AK25" s="131">
        <f t="shared" si="15"/>
        <v>31</v>
      </c>
      <c r="AL25" s="131">
        <f t="shared" si="15"/>
        <v>32</v>
      </c>
      <c r="AM25" s="131">
        <f t="shared" si="15"/>
        <v>33</v>
      </c>
      <c r="AN25" s="131">
        <f t="shared" si="15"/>
        <v>34</v>
      </c>
      <c r="AO25" s="131">
        <f t="shared" si="15"/>
        <v>35</v>
      </c>
      <c r="AP25" s="131">
        <f t="shared" si="15"/>
        <v>36</v>
      </c>
      <c r="AQ25" s="131">
        <f t="shared" si="15"/>
        <v>37</v>
      </c>
      <c r="AR25" s="131">
        <f t="shared" si="15"/>
        <v>38</v>
      </c>
      <c r="AS25" s="131">
        <f t="shared" si="15"/>
        <v>39</v>
      </c>
      <c r="AT25" s="131">
        <f t="shared" si="15"/>
        <v>40</v>
      </c>
      <c r="AU25" s="131">
        <f t="shared" si="15"/>
        <v>41</v>
      </c>
      <c r="AV25" s="131">
        <f t="shared" si="15"/>
        <v>42</v>
      </c>
      <c r="AW25" s="131">
        <f t="shared" si="15"/>
        <v>43</v>
      </c>
      <c r="AX25" s="131">
        <f t="shared" si="15"/>
        <v>44</v>
      </c>
      <c r="AY25" s="131">
        <f t="shared" si="15"/>
        <v>45</v>
      </c>
      <c r="AZ25" s="131">
        <f t="shared" si="15"/>
        <v>46</v>
      </c>
      <c r="BA25" s="131">
        <f t="shared" si="15"/>
        <v>47</v>
      </c>
      <c r="BB25" s="131">
        <f t="shared" si="15"/>
        <v>48</v>
      </c>
      <c r="BC25" s="131">
        <f t="shared" si="15"/>
        <v>49</v>
      </c>
      <c r="BD25" s="131">
        <f t="shared" si="15"/>
        <v>50</v>
      </c>
      <c r="BE25" s="131">
        <f t="shared" si="15"/>
        <v>51</v>
      </c>
      <c r="BF25" s="131">
        <f t="shared" si="15"/>
        <v>52</v>
      </c>
      <c r="BG25" s="131">
        <f t="shared" si="15"/>
        <v>53</v>
      </c>
      <c r="BH25" s="131">
        <f t="shared" si="15"/>
        <v>54</v>
      </c>
      <c r="BI25" s="131">
        <f t="shared" si="15"/>
        <v>55</v>
      </c>
      <c r="BJ25" s="131">
        <f t="shared" si="15"/>
        <v>56</v>
      </c>
      <c r="BK25" s="131">
        <f t="shared" si="15"/>
        <v>57</v>
      </c>
      <c r="BL25" s="131">
        <f t="shared" si="15"/>
        <v>58</v>
      </c>
      <c r="BM25" s="131">
        <f t="shared" si="15"/>
        <v>59</v>
      </c>
      <c r="BN25" s="131">
        <f t="shared" si="15"/>
        <v>60</v>
      </c>
      <c r="BO25" s="131">
        <f t="shared" si="15"/>
        <v>61</v>
      </c>
      <c r="BP25" s="131">
        <f t="shared" si="15"/>
        <v>62</v>
      </c>
      <c r="BQ25" s="131">
        <f t="shared" si="15"/>
        <v>63</v>
      </c>
      <c r="BR25" s="131">
        <f t="shared" si="15"/>
        <v>64</v>
      </c>
      <c r="BS25" s="131">
        <f t="shared" si="15"/>
        <v>65</v>
      </c>
      <c r="BT25" s="131">
        <f t="shared" ref="BT25:EE25" si="16">BT11</f>
        <v>66</v>
      </c>
      <c r="BU25" s="131">
        <f t="shared" si="16"/>
        <v>67</v>
      </c>
      <c r="BV25" s="131">
        <f t="shared" si="16"/>
        <v>68</v>
      </c>
      <c r="BW25" s="131">
        <f t="shared" si="16"/>
        <v>69</v>
      </c>
      <c r="BX25" s="131">
        <f t="shared" si="16"/>
        <v>70</v>
      </c>
      <c r="BY25" s="131">
        <f t="shared" si="16"/>
        <v>71</v>
      </c>
      <c r="BZ25" s="131">
        <f t="shared" si="16"/>
        <v>72</v>
      </c>
      <c r="CA25" s="131">
        <f t="shared" si="16"/>
        <v>73</v>
      </c>
      <c r="CB25" s="131">
        <f t="shared" si="16"/>
        <v>74</v>
      </c>
      <c r="CC25" s="131">
        <f t="shared" si="16"/>
        <v>75</v>
      </c>
      <c r="CD25" s="131">
        <f t="shared" si="16"/>
        <v>76</v>
      </c>
      <c r="CE25" s="131">
        <f t="shared" si="16"/>
        <v>77</v>
      </c>
      <c r="CF25" s="131">
        <f t="shared" si="16"/>
        <v>78</v>
      </c>
      <c r="CG25" s="131">
        <f t="shared" si="16"/>
        <v>79</v>
      </c>
      <c r="CH25" s="131">
        <f t="shared" si="16"/>
        <v>80</v>
      </c>
      <c r="CI25" s="131">
        <f t="shared" si="16"/>
        <v>81</v>
      </c>
      <c r="CJ25" s="131">
        <f t="shared" si="16"/>
        <v>82</v>
      </c>
      <c r="CK25" s="131">
        <f t="shared" si="16"/>
        <v>83</v>
      </c>
      <c r="CL25" s="131">
        <f t="shared" si="16"/>
        <v>84</v>
      </c>
      <c r="CM25" s="131">
        <f t="shared" si="16"/>
        <v>85</v>
      </c>
      <c r="CN25" s="131">
        <f t="shared" si="16"/>
        <v>86</v>
      </c>
      <c r="CO25" s="131">
        <f t="shared" si="16"/>
        <v>87</v>
      </c>
      <c r="CP25" s="131">
        <f t="shared" si="16"/>
        <v>88</v>
      </c>
      <c r="CQ25" s="131">
        <f t="shared" si="16"/>
        <v>89</v>
      </c>
      <c r="CR25" s="131">
        <f t="shared" si="16"/>
        <v>90</v>
      </c>
      <c r="CS25" s="131">
        <f t="shared" si="16"/>
        <v>91</v>
      </c>
      <c r="CT25" s="131">
        <f t="shared" si="16"/>
        <v>92</v>
      </c>
      <c r="CU25" s="131">
        <f t="shared" si="16"/>
        <v>93</v>
      </c>
      <c r="CV25" s="131">
        <f t="shared" si="16"/>
        <v>94</v>
      </c>
      <c r="CW25" s="131">
        <f t="shared" si="16"/>
        <v>95</v>
      </c>
      <c r="CX25" s="131">
        <f t="shared" si="16"/>
        <v>96</v>
      </c>
      <c r="CY25" s="131">
        <f t="shared" si="16"/>
        <v>97</v>
      </c>
      <c r="CZ25" s="131">
        <f t="shared" si="16"/>
        <v>98</v>
      </c>
      <c r="DA25" s="131">
        <f t="shared" si="16"/>
        <v>99</v>
      </c>
      <c r="DB25" s="131">
        <f t="shared" si="16"/>
        <v>100</v>
      </c>
      <c r="DC25" s="131">
        <f t="shared" si="16"/>
        <v>101</v>
      </c>
      <c r="DD25" s="131">
        <f t="shared" si="16"/>
        <v>102</v>
      </c>
      <c r="DE25" s="131">
        <f t="shared" si="16"/>
        <v>103</v>
      </c>
      <c r="DF25" s="131">
        <f t="shared" si="16"/>
        <v>104</v>
      </c>
      <c r="DG25" s="131">
        <f t="shared" si="16"/>
        <v>105</v>
      </c>
      <c r="DH25" s="131">
        <f t="shared" si="16"/>
        <v>106</v>
      </c>
      <c r="DI25" s="131">
        <f t="shared" si="16"/>
        <v>107</v>
      </c>
      <c r="DJ25" s="131">
        <f t="shared" si="16"/>
        <v>108</v>
      </c>
      <c r="DK25" s="131">
        <f t="shared" si="16"/>
        <v>109</v>
      </c>
      <c r="DL25" s="131">
        <f t="shared" si="16"/>
        <v>110</v>
      </c>
      <c r="DM25" s="131">
        <f t="shared" si="16"/>
        <v>111</v>
      </c>
      <c r="DN25" s="131">
        <f t="shared" si="16"/>
        <v>112</v>
      </c>
      <c r="DO25" s="131">
        <f t="shared" si="16"/>
        <v>113</v>
      </c>
      <c r="DP25" s="131">
        <f t="shared" si="16"/>
        <v>114</v>
      </c>
      <c r="DQ25" s="131">
        <f t="shared" si="16"/>
        <v>115</v>
      </c>
      <c r="DR25" s="131">
        <f t="shared" si="16"/>
        <v>116</v>
      </c>
      <c r="DS25" s="131">
        <f t="shared" si="16"/>
        <v>117</v>
      </c>
      <c r="DT25" s="131">
        <f t="shared" si="16"/>
        <v>118</v>
      </c>
      <c r="DU25" s="131">
        <f t="shared" si="16"/>
        <v>119</v>
      </c>
      <c r="DV25" s="131">
        <f t="shared" si="16"/>
        <v>120</v>
      </c>
      <c r="DW25" s="131">
        <f t="shared" si="16"/>
        <v>121</v>
      </c>
      <c r="DX25" s="131">
        <f t="shared" si="16"/>
        <v>122</v>
      </c>
      <c r="DY25" s="131">
        <f t="shared" si="16"/>
        <v>123</v>
      </c>
      <c r="DZ25" s="131">
        <f t="shared" si="16"/>
        <v>124</v>
      </c>
      <c r="EA25" s="131">
        <f t="shared" si="16"/>
        <v>125</v>
      </c>
      <c r="EB25" s="131">
        <f t="shared" si="16"/>
        <v>126</v>
      </c>
      <c r="EC25" s="131">
        <f t="shared" si="16"/>
        <v>127</v>
      </c>
      <c r="ED25" s="131">
        <f t="shared" si="16"/>
        <v>128</v>
      </c>
      <c r="EE25" s="131">
        <f t="shared" si="16"/>
        <v>129</v>
      </c>
      <c r="EF25" s="131">
        <f t="shared" ref="EF25:FD25" si="17">EF11</f>
        <v>130</v>
      </c>
      <c r="EG25" s="131">
        <f t="shared" si="17"/>
        <v>131</v>
      </c>
      <c r="EH25" s="131">
        <f t="shared" si="17"/>
        <v>132</v>
      </c>
      <c r="EI25" s="131">
        <f t="shared" si="17"/>
        <v>133</v>
      </c>
      <c r="EJ25" s="131">
        <f t="shared" si="17"/>
        <v>134</v>
      </c>
      <c r="EK25" s="131">
        <f t="shared" si="17"/>
        <v>135</v>
      </c>
      <c r="EL25" s="131">
        <f t="shared" si="17"/>
        <v>136</v>
      </c>
      <c r="EM25" s="131">
        <f t="shared" si="17"/>
        <v>137</v>
      </c>
      <c r="EN25" s="131">
        <f t="shared" si="17"/>
        <v>138</v>
      </c>
      <c r="EO25" s="131">
        <f t="shared" si="17"/>
        <v>139</v>
      </c>
      <c r="EP25" s="131">
        <f t="shared" si="17"/>
        <v>140</v>
      </c>
      <c r="EQ25" s="131">
        <f t="shared" si="17"/>
        <v>141</v>
      </c>
      <c r="ER25" s="131">
        <f t="shared" si="17"/>
        <v>142</v>
      </c>
      <c r="ES25" s="131">
        <f t="shared" si="17"/>
        <v>143</v>
      </c>
      <c r="ET25" s="131">
        <f t="shared" si="17"/>
        <v>144</v>
      </c>
      <c r="EU25" s="131">
        <f t="shared" si="17"/>
        <v>145</v>
      </c>
      <c r="EV25" s="131">
        <f t="shared" si="17"/>
        <v>146</v>
      </c>
      <c r="EW25" s="131">
        <f t="shared" si="17"/>
        <v>147</v>
      </c>
      <c r="EX25" s="131">
        <f t="shared" si="17"/>
        <v>148</v>
      </c>
      <c r="EY25" s="131">
        <f t="shared" si="17"/>
        <v>149</v>
      </c>
      <c r="EZ25" s="131">
        <f t="shared" si="17"/>
        <v>150</v>
      </c>
      <c r="FA25" s="131">
        <f t="shared" si="17"/>
        <v>151</v>
      </c>
      <c r="FB25" s="131">
        <f t="shared" si="17"/>
        <v>152</v>
      </c>
      <c r="FC25" s="131">
        <f t="shared" si="17"/>
        <v>153</v>
      </c>
      <c r="FD25" s="131">
        <f t="shared" si="17"/>
        <v>154</v>
      </c>
    </row>
    <row r="26" spans="2:160" ht="13.5" customHeight="1">
      <c r="B26" s="30" t="s">
        <v>551</v>
      </c>
      <c r="C26" s="51"/>
      <c r="D26" s="51"/>
      <c r="E26" s="23"/>
      <c r="G26" s="24"/>
      <c r="H26" s="23"/>
      <c r="I26" s="23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  <c r="AA26" s="23"/>
      <c r="AB26" s="23"/>
      <c r="AC26" s="23"/>
      <c r="AD26" s="23"/>
      <c r="AE26" s="23"/>
      <c r="AF26" s="23"/>
      <c r="AG26" s="23"/>
      <c r="AH26" s="23"/>
      <c r="AI26" s="23"/>
      <c r="AJ26" s="23"/>
      <c r="AK26" s="23"/>
      <c r="AL26" s="23"/>
      <c r="AM26" s="23"/>
      <c r="AN26" s="23"/>
      <c r="AO26" s="23"/>
      <c r="AP26" s="23"/>
      <c r="AQ26" s="23"/>
      <c r="AR26" s="23"/>
      <c r="AS26" s="23"/>
      <c r="AT26" s="23"/>
      <c r="AU26" s="23"/>
      <c r="AV26" s="23"/>
      <c r="AW26" s="23"/>
      <c r="AX26" s="23"/>
      <c r="AY26" s="23"/>
      <c r="AZ26" s="23"/>
      <c r="BA26" s="23"/>
      <c r="BB26" s="23"/>
      <c r="BC26" s="23"/>
      <c r="BD26" s="23"/>
      <c r="BE26" s="23"/>
      <c r="BF26" s="23"/>
      <c r="BG26" s="23"/>
      <c r="BH26" s="23"/>
      <c r="BI26" s="23"/>
      <c r="BJ26" s="23"/>
      <c r="BK26" s="23"/>
      <c r="BL26" s="23"/>
      <c r="BM26" s="23"/>
      <c r="BN26" s="23"/>
      <c r="BO26" s="23"/>
      <c r="BP26" s="23"/>
      <c r="BQ26" s="23"/>
      <c r="BR26" s="23"/>
      <c r="BS26" s="23"/>
      <c r="BT26" s="23"/>
      <c r="BU26" s="23"/>
      <c r="BV26" s="23"/>
      <c r="BW26" s="23"/>
      <c r="BX26" s="23"/>
      <c r="BY26" s="23"/>
      <c r="BZ26" s="23"/>
      <c r="CA26" s="23"/>
      <c r="CB26" s="23"/>
      <c r="CC26" s="23"/>
      <c r="CD26" s="23"/>
      <c r="CE26" s="23"/>
      <c r="CF26" s="23"/>
      <c r="CG26" s="23"/>
      <c r="CH26" s="23"/>
      <c r="CI26" s="23"/>
      <c r="CJ26" s="23"/>
      <c r="CK26" s="23"/>
      <c r="CL26" s="23"/>
      <c r="CM26" s="23"/>
      <c r="CN26" s="23"/>
      <c r="CO26" s="23"/>
      <c r="CP26" s="23"/>
      <c r="CQ26" s="23"/>
      <c r="CR26" s="23"/>
      <c r="CS26" s="23"/>
      <c r="CT26" s="23"/>
      <c r="CU26" s="23"/>
      <c r="CV26" s="23"/>
      <c r="CW26" s="23"/>
      <c r="CX26" s="23"/>
      <c r="CY26" s="23"/>
      <c r="CZ26" s="23"/>
      <c r="DA26" s="23"/>
      <c r="DB26" s="23"/>
      <c r="DC26" s="23"/>
      <c r="DD26" s="23"/>
      <c r="DE26" s="23"/>
      <c r="DF26" s="23"/>
      <c r="DG26" s="23"/>
      <c r="DH26" s="23"/>
      <c r="DI26" s="23"/>
      <c r="DJ26" s="23"/>
      <c r="DK26" s="23"/>
      <c r="DL26" s="23"/>
      <c r="DM26" s="23"/>
      <c r="DN26" s="23"/>
      <c r="DO26" s="23"/>
      <c r="DP26" s="23"/>
      <c r="DQ26" s="23"/>
      <c r="DR26" s="23"/>
      <c r="DS26" s="23"/>
      <c r="DT26" s="23"/>
      <c r="DU26" s="23"/>
      <c r="DV26" s="23"/>
      <c r="DW26" s="23"/>
      <c r="DX26" s="23"/>
      <c r="DY26" s="23"/>
      <c r="DZ26" s="23"/>
      <c r="EA26" s="23"/>
      <c r="EB26" s="23"/>
      <c r="EC26" s="23"/>
      <c r="ED26" s="23"/>
      <c r="EE26" s="23"/>
      <c r="EF26" s="23"/>
      <c r="EG26" s="23"/>
      <c r="EH26" s="23"/>
      <c r="EI26" s="23"/>
      <c r="EJ26" s="23"/>
      <c r="EK26" s="23"/>
      <c r="EL26" s="23"/>
      <c r="EM26" s="23"/>
      <c r="EN26" s="23"/>
      <c r="EO26" s="23"/>
      <c r="EP26" s="23"/>
      <c r="EQ26" s="23"/>
      <c r="ER26" s="23"/>
      <c r="ES26" s="23"/>
      <c r="ET26" s="23"/>
      <c r="EU26" s="23"/>
      <c r="EV26" s="23"/>
      <c r="EW26" s="23"/>
      <c r="EX26" s="23"/>
      <c r="EY26" s="23"/>
      <c r="EZ26" s="23"/>
      <c r="FA26" s="23"/>
      <c r="FB26" s="23"/>
      <c r="FC26" s="23"/>
      <c r="FD26" s="23"/>
    </row>
    <row r="27" spans="2:160" s="147" customFormat="1" ht="13.5" customHeight="1">
      <c r="B27" s="290"/>
      <c r="C27" s="291" t="str">
        <f>'A&amp;R'!Q90</f>
        <v>[평균 DSCR]</v>
      </c>
      <c r="D27" s="292"/>
      <c r="E27" s="248">
        <f ca="1">'A&amp;R'!D135</f>
        <v>2.8333855899035028</v>
      </c>
      <c r="G27" s="293">
        <v>2.7286092855934436</v>
      </c>
      <c r="H27" s="248">
        <v>2.6441113232128832</v>
      </c>
      <c r="I27" s="248">
        <v>2.5596133608323233</v>
      </c>
      <c r="J27" s="248">
        <v>2.4751153984517624</v>
      </c>
      <c r="K27" s="248">
        <v>2.3906174360712038</v>
      </c>
      <c r="L27" s="248">
        <v>2.3061194736906412</v>
      </c>
      <c r="M27" s="248">
        <v>2.2216215113100821</v>
      </c>
      <c r="N27" s="248">
        <v>2.1371235489295217</v>
      </c>
      <c r="O27" s="248">
        <v>2.0526255865489635</v>
      </c>
      <c r="P27" s="248">
        <v>1.9681276241684009</v>
      </c>
      <c r="Q27" s="248">
        <v>1.8836296617878421</v>
      </c>
      <c r="R27" s="248">
        <v>2.8333855899035028</v>
      </c>
      <c r="S27" s="248">
        <v>2.7457443383936395</v>
      </c>
      <c r="T27" s="248">
        <v>2.6581030868837798</v>
      </c>
      <c r="U27" s="248">
        <v>2.5704618353739161</v>
      </c>
      <c r="V27" s="248">
        <v>2.4828205838640551</v>
      </c>
      <c r="W27" s="248">
        <v>2.3951793323541937</v>
      </c>
      <c r="X27" s="248">
        <v>2.3075380808443322</v>
      </c>
      <c r="Y27" s="248">
        <v>2.2198968293344699</v>
      </c>
      <c r="Z27" s="248">
        <v>2.1322555778246066</v>
      </c>
      <c r="AA27" s="248">
        <v>2.0446143263147447</v>
      </c>
      <c r="AB27" s="248">
        <v>1.9569730748048833</v>
      </c>
      <c r="AC27" s="248">
        <v>2.9381618942135637</v>
      </c>
      <c r="AD27" s="248">
        <v>2.8473773535743989</v>
      </c>
      <c r="AE27" s="248">
        <v>2.7565928129352355</v>
      </c>
      <c r="AF27" s="248">
        <v>2.6658082722960708</v>
      </c>
      <c r="AG27" s="248">
        <v>2.5750237316569087</v>
      </c>
      <c r="AH27" s="248">
        <v>2.4842391910177448</v>
      </c>
      <c r="AI27" s="248">
        <v>2.3934546503785801</v>
      </c>
      <c r="AJ27" s="248">
        <v>2.3026701097394162</v>
      </c>
      <c r="AK27" s="248">
        <v>2.211885569100251</v>
      </c>
      <c r="AL27" s="248">
        <v>2.1211010284610889</v>
      </c>
      <c r="AM27" s="248">
        <v>2.0303164878219251</v>
      </c>
      <c r="AN27" s="248">
        <v>2.8333855899035028</v>
      </c>
      <c r="AO27" s="248">
        <v>2.7457443383936395</v>
      </c>
      <c r="AP27" s="248">
        <v>2.6581030868837798</v>
      </c>
      <c r="AQ27" s="248">
        <v>2.5704618353739161</v>
      </c>
      <c r="AR27" s="248">
        <v>2.4828205838640551</v>
      </c>
      <c r="AS27" s="248">
        <v>2.3951793323541937</v>
      </c>
      <c r="AT27" s="248">
        <v>2.3075380808443322</v>
      </c>
      <c r="AU27" s="248">
        <v>2.2198968293344699</v>
      </c>
      <c r="AV27" s="248">
        <v>2.1322555778246066</v>
      </c>
      <c r="AW27" s="248">
        <v>2.0446143263147447</v>
      </c>
      <c r="AX27" s="248">
        <v>1.9569730748048833</v>
      </c>
      <c r="AY27" s="248">
        <v>2.8333855899035028</v>
      </c>
      <c r="AZ27" s="248">
        <v>2.7457443383936395</v>
      </c>
      <c r="BA27" s="248">
        <v>2.6581030868837798</v>
      </c>
      <c r="BB27" s="248">
        <v>2.5704618353739161</v>
      </c>
      <c r="BC27" s="248">
        <v>2.4828205838640551</v>
      </c>
      <c r="BD27" s="248">
        <v>2.3951793323541937</v>
      </c>
      <c r="BE27" s="248">
        <v>2.3075380808443322</v>
      </c>
      <c r="BF27" s="248">
        <v>2.2198968293344699</v>
      </c>
      <c r="BG27" s="248">
        <v>2.1322555778246066</v>
      </c>
      <c r="BH27" s="248">
        <v>2.0446143263147447</v>
      </c>
      <c r="BI27" s="248">
        <v>1.9569730748048833</v>
      </c>
      <c r="BJ27" s="248">
        <v>2.8333855899035028</v>
      </c>
      <c r="BK27" s="248">
        <v>2.7457443383936395</v>
      </c>
      <c r="BL27" s="248">
        <v>2.6581030868837798</v>
      </c>
      <c r="BM27" s="248">
        <v>2.5704618353739161</v>
      </c>
      <c r="BN27" s="248">
        <v>2.4828205838640551</v>
      </c>
      <c r="BO27" s="248">
        <v>2.3951793323541937</v>
      </c>
      <c r="BP27" s="248">
        <v>2.3075380808443322</v>
      </c>
      <c r="BQ27" s="248">
        <v>2.2198968293344699</v>
      </c>
      <c r="BR27" s="248">
        <v>2.1322555778246066</v>
      </c>
      <c r="BS27" s="248">
        <v>2.0446143263147447</v>
      </c>
      <c r="BT27" s="248">
        <v>1.9569730748048833</v>
      </c>
      <c r="BU27" s="248">
        <v>2.8333855899035028</v>
      </c>
      <c r="BV27" s="248">
        <v>2.7457443383936395</v>
      </c>
      <c r="BW27" s="248">
        <v>2.6581030868837798</v>
      </c>
      <c r="BX27" s="248">
        <v>2.5704618353739161</v>
      </c>
      <c r="BY27" s="248">
        <v>2.4828205838640551</v>
      </c>
      <c r="BZ27" s="248">
        <v>2.3951793323541937</v>
      </c>
      <c r="CA27" s="248">
        <v>2.3075380808443322</v>
      </c>
      <c r="CB27" s="248">
        <v>2.2198968293344699</v>
      </c>
      <c r="CC27" s="248">
        <v>2.1322555778246066</v>
      </c>
      <c r="CD27" s="248">
        <v>2.0446143263147447</v>
      </c>
      <c r="CE27" s="248">
        <v>1.9569730748048833</v>
      </c>
      <c r="CF27" s="248">
        <v>2.8333855899035028</v>
      </c>
      <c r="CG27" s="248">
        <v>2.7457443383936395</v>
      </c>
      <c r="CH27" s="248">
        <v>2.6581030868837798</v>
      </c>
      <c r="CI27" s="248">
        <v>2.5704618353739161</v>
      </c>
      <c r="CJ27" s="248">
        <v>2.4828205838640551</v>
      </c>
      <c r="CK27" s="248">
        <v>2.3951793323541937</v>
      </c>
      <c r="CL27" s="248">
        <v>2.3075380808443322</v>
      </c>
      <c r="CM27" s="248">
        <v>2.2198968293344699</v>
      </c>
      <c r="CN27" s="248">
        <v>2.1322555778246066</v>
      </c>
      <c r="CO27" s="248">
        <v>2.0446143263147447</v>
      </c>
      <c r="CP27" s="248">
        <v>1.9569730748048833</v>
      </c>
      <c r="CQ27" s="248">
        <v>2.8333855899035028</v>
      </c>
      <c r="CR27" s="248">
        <v>2.7457443383936395</v>
      </c>
      <c r="CS27" s="248">
        <v>2.6581030868837798</v>
      </c>
      <c r="CT27" s="248">
        <v>2.5704618353739161</v>
      </c>
      <c r="CU27" s="248">
        <v>2.4828205838640551</v>
      </c>
      <c r="CV27" s="248">
        <v>2.3951793323541937</v>
      </c>
      <c r="CW27" s="248">
        <v>2.3075380808443322</v>
      </c>
      <c r="CX27" s="248">
        <v>2.2198968293344699</v>
      </c>
      <c r="CY27" s="248">
        <v>2.1322555778246066</v>
      </c>
      <c r="CZ27" s="248">
        <v>2.0446143263147447</v>
      </c>
      <c r="DA27" s="248">
        <v>1.9569730748048833</v>
      </c>
      <c r="DB27" s="248">
        <v>2.8333855899035028</v>
      </c>
      <c r="DC27" s="248">
        <v>2.7457443383936395</v>
      </c>
      <c r="DD27" s="248">
        <v>2.6581030868837798</v>
      </c>
      <c r="DE27" s="248">
        <v>2.5704618353739161</v>
      </c>
      <c r="DF27" s="248">
        <v>2.4828205838640551</v>
      </c>
      <c r="DG27" s="248">
        <v>2.3951793323541937</v>
      </c>
      <c r="DH27" s="248">
        <v>2.3075380808443322</v>
      </c>
      <c r="DI27" s="248">
        <v>2.2198968293344699</v>
      </c>
      <c r="DJ27" s="248">
        <v>2.1322555778246066</v>
      </c>
      <c r="DK27" s="248">
        <v>2.0446143263147447</v>
      </c>
      <c r="DL27" s="248">
        <v>1.9569730748048833</v>
      </c>
      <c r="DM27" s="248">
        <v>2.8333855899035028</v>
      </c>
      <c r="DN27" s="248">
        <v>2.7457443383936395</v>
      </c>
      <c r="DO27" s="248">
        <v>2.6581030868837798</v>
      </c>
      <c r="DP27" s="248">
        <v>2.5704618353739161</v>
      </c>
      <c r="DQ27" s="248">
        <v>2.4828205838640551</v>
      </c>
      <c r="DR27" s="248">
        <v>2.3951793323541937</v>
      </c>
      <c r="DS27" s="248">
        <v>2.3075380808443322</v>
      </c>
      <c r="DT27" s="248">
        <v>2.2198968293344699</v>
      </c>
      <c r="DU27" s="248">
        <v>2.1322555778246066</v>
      </c>
      <c r="DV27" s="248">
        <v>2.0446143263147447</v>
      </c>
      <c r="DW27" s="248">
        <v>1.9569730748048833</v>
      </c>
      <c r="DX27" s="248">
        <v>2.8333855899035028</v>
      </c>
      <c r="DY27" s="248">
        <v>2.7457443383936395</v>
      </c>
      <c r="DZ27" s="248">
        <v>2.6581030868837798</v>
      </c>
      <c r="EA27" s="248">
        <v>2.5704618353739161</v>
      </c>
      <c r="EB27" s="248">
        <v>2.4828205838640551</v>
      </c>
      <c r="EC27" s="248">
        <v>2.3951793323541937</v>
      </c>
      <c r="ED27" s="248">
        <v>2.3075380808443322</v>
      </c>
      <c r="EE27" s="248">
        <v>2.2198968293344699</v>
      </c>
      <c r="EF27" s="248">
        <v>2.1322555778246066</v>
      </c>
      <c r="EG27" s="248">
        <v>2.0446143263147447</v>
      </c>
      <c r="EH27" s="248">
        <v>1.9569730748048833</v>
      </c>
      <c r="EI27" s="248">
        <v>2.8333855899035028</v>
      </c>
      <c r="EJ27" s="248">
        <v>2.7457443383936395</v>
      </c>
      <c r="EK27" s="248">
        <v>2.6581030868837798</v>
      </c>
      <c r="EL27" s="248">
        <v>2.5704618353739161</v>
      </c>
      <c r="EM27" s="248">
        <v>2.4828205838640551</v>
      </c>
      <c r="EN27" s="248">
        <v>2.3951793323541937</v>
      </c>
      <c r="EO27" s="248">
        <v>2.3075380808443322</v>
      </c>
      <c r="EP27" s="248">
        <v>2.2198968293344699</v>
      </c>
      <c r="EQ27" s="248">
        <v>2.1322555778246066</v>
      </c>
      <c r="ER27" s="248">
        <v>2.0446143263147447</v>
      </c>
      <c r="ES27" s="248">
        <v>1.9569730748048833</v>
      </c>
      <c r="ET27" s="248">
        <v>2.8333855899035028</v>
      </c>
      <c r="EU27" s="248">
        <v>2.7457443383936395</v>
      </c>
      <c r="EV27" s="248">
        <v>2.6581030868837798</v>
      </c>
      <c r="EW27" s="248">
        <v>2.5704618353739161</v>
      </c>
      <c r="EX27" s="248">
        <v>2.4828205838640551</v>
      </c>
      <c r="EY27" s="248">
        <v>2.3951793323541937</v>
      </c>
      <c r="EZ27" s="248">
        <v>2.3075380808443322</v>
      </c>
      <c r="FA27" s="248">
        <v>2.2198968293344699</v>
      </c>
      <c r="FB27" s="248">
        <v>2.1322555778246066</v>
      </c>
      <c r="FC27" s="248">
        <v>2.0446143263147447</v>
      </c>
      <c r="FD27" s="248">
        <v>1.9569730748048833</v>
      </c>
    </row>
    <row r="28" spans="2:160" s="147" customFormat="1" ht="13.5" customHeight="1">
      <c r="B28" s="294"/>
      <c r="C28" s="294" t="str">
        <f>'A&amp;R'!Q95</f>
        <v>[최소 DSCR]</v>
      </c>
      <c r="D28" s="165"/>
      <c r="E28" s="295">
        <f ca="1">'A&amp;R'!D136</f>
        <v>1.4511806088421064</v>
      </c>
      <c r="G28" s="151">
        <v>1.4511806088421064</v>
      </c>
      <c r="H28" s="295">
        <v>1.4446499673793995</v>
      </c>
      <c r="I28" s="295">
        <v>1.3798370708532588</v>
      </c>
      <c r="J28" s="295">
        <v>1.3150241743271205</v>
      </c>
      <c r="K28" s="295">
        <v>1.2502112778009822</v>
      </c>
      <c r="L28" s="295">
        <v>1.1853983812748388</v>
      </c>
      <c r="M28" s="295">
        <v>1.1205854847487031</v>
      </c>
      <c r="N28" s="295">
        <v>1.0557725882225648</v>
      </c>
      <c r="O28" s="295">
        <v>0.99095969169642906</v>
      </c>
      <c r="P28" s="295">
        <v>0.9261467951702882</v>
      </c>
      <c r="Q28" s="295">
        <v>0.86133389864414989</v>
      </c>
      <c r="R28" s="295">
        <v>1.4511806088421064</v>
      </c>
      <c r="S28" s="295">
        <v>1.4511806088421064</v>
      </c>
      <c r="T28" s="295">
        <v>1.4511806088421064</v>
      </c>
      <c r="U28" s="295">
        <v>1.3901059956160815</v>
      </c>
      <c r="V28" s="295">
        <v>1.3228178742122803</v>
      </c>
      <c r="W28" s="295">
        <v>1.255529752808489</v>
      </c>
      <c r="X28" s="295">
        <v>1.1882416314046902</v>
      </c>
      <c r="Y28" s="295">
        <v>1.1209535100008914</v>
      </c>
      <c r="Z28" s="295">
        <v>1.053665388597095</v>
      </c>
      <c r="AA28" s="295">
        <v>0.98637726719329888</v>
      </c>
      <c r="AB28" s="295">
        <v>0.91908914578949996</v>
      </c>
      <c r="AC28" s="295">
        <v>1.4511806088421064</v>
      </c>
      <c r="AD28" s="295">
        <v>1.4511806088421064</v>
      </c>
      <c r="AE28" s="295">
        <v>1.4511806088421064</v>
      </c>
      <c r="AF28" s="295">
        <v>1.4511806088421064</v>
      </c>
      <c r="AG28" s="295">
        <v>1.3954244706235832</v>
      </c>
      <c r="AH28" s="295">
        <v>1.3256611243421264</v>
      </c>
      <c r="AI28" s="295">
        <v>1.2558977780606748</v>
      </c>
      <c r="AJ28" s="295">
        <v>1.186134431779218</v>
      </c>
      <c r="AK28" s="295">
        <v>1.1163710854977638</v>
      </c>
      <c r="AL28" s="295">
        <v>1.0466077392163096</v>
      </c>
      <c r="AM28" s="295">
        <v>0.9768443929348527</v>
      </c>
      <c r="AN28" s="295">
        <v>1.4511806088421064</v>
      </c>
      <c r="AO28" s="295">
        <v>1.4511806088421064</v>
      </c>
      <c r="AP28" s="295">
        <v>1.4511806088421064</v>
      </c>
      <c r="AQ28" s="295">
        <v>1.3901059956160815</v>
      </c>
      <c r="AR28" s="295">
        <v>1.3228178742122803</v>
      </c>
      <c r="AS28" s="295">
        <v>1.255529752808489</v>
      </c>
      <c r="AT28" s="295">
        <v>1.1882416314046902</v>
      </c>
      <c r="AU28" s="295">
        <v>1.1209535100008914</v>
      </c>
      <c r="AV28" s="295">
        <v>1.053665388597095</v>
      </c>
      <c r="AW28" s="295">
        <v>0.98637726719329888</v>
      </c>
      <c r="AX28" s="295">
        <v>0.91908914578949996</v>
      </c>
      <c r="AY28" s="295">
        <v>1.4511806088421064</v>
      </c>
      <c r="AZ28" s="295">
        <v>1.4511806088421064</v>
      </c>
      <c r="BA28" s="295">
        <v>1.4511806088421064</v>
      </c>
      <c r="BB28" s="295">
        <v>1.3901059956160815</v>
      </c>
      <c r="BC28" s="295">
        <v>1.3228178742122803</v>
      </c>
      <c r="BD28" s="295">
        <v>1.255529752808489</v>
      </c>
      <c r="BE28" s="295">
        <v>1.1882416314046902</v>
      </c>
      <c r="BF28" s="295">
        <v>1.1209535100008914</v>
      </c>
      <c r="BG28" s="295">
        <v>1.053665388597095</v>
      </c>
      <c r="BH28" s="295">
        <v>0.98637726719329888</v>
      </c>
      <c r="BI28" s="295">
        <v>0.91908914578949996</v>
      </c>
      <c r="BJ28" s="295">
        <v>1.4511806088421064</v>
      </c>
      <c r="BK28" s="295">
        <v>1.4511806088421064</v>
      </c>
      <c r="BL28" s="295">
        <v>1.4511806088421064</v>
      </c>
      <c r="BM28" s="295">
        <v>1.3901059956160815</v>
      </c>
      <c r="BN28" s="295">
        <v>1.3228178742122803</v>
      </c>
      <c r="BO28" s="295">
        <v>1.255529752808489</v>
      </c>
      <c r="BP28" s="295">
        <v>1.1882416314046902</v>
      </c>
      <c r="BQ28" s="295">
        <v>1.1209535100008914</v>
      </c>
      <c r="BR28" s="295">
        <v>1.053665388597095</v>
      </c>
      <c r="BS28" s="295">
        <v>0.98637726719329888</v>
      </c>
      <c r="BT28" s="295">
        <v>0.91908914578949996</v>
      </c>
      <c r="BU28" s="295">
        <v>1.4511806088421064</v>
      </c>
      <c r="BV28" s="295">
        <v>1.4511806088421064</v>
      </c>
      <c r="BW28" s="295">
        <v>1.4511806088421064</v>
      </c>
      <c r="BX28" s="295">
        <v>1.3901059956160815</v>
      </c>
      <c r="BY28" s="295">
        <v>1.3228178742122803</v>
      </c>
      <c r="BZ28" s="295">
        <v>1.255529752808489</v>
      </c>
      <c r="CA28" s="295">
        <v>1.1882416314046902</v>
      </c>
      <c r="CB28" s="295">
        <v>1.1209535100008914</v>
      </c>
      <c r="CC28" s="295">
        <v>1.053665388597095</v>
      </c>
      <c r="CD28" s="295">
        <v>0.98637726719329888</v>
      </c>
      <c r="CE28" s="295">
        <v>0.91908914578949996</v>
      </c>
      <c r="CF28" s="295">
        <v>1.4511806088421064</v>
      </c>
      <c r="CG28" s="295">
        <v>1.4511806088421064</v>
      </c>
      <c r="CH28" s="295">
        <v>1.4511806088421064</v>
      </c>
      <c r="CI28" s="295">
        <v>1.3901059956160815</v>
      </c>
      <c r="CJ28" s="295">
        <v>1.3228178742122803</v>
      </c>
      <c r="CK28" s="295">
        <v>1.255529752808489</v>
      </c>
      <c r="CL28" s="295">
        <v>1.1882416314046902</v>
      </c>
      <c r="CM28" s="295">
        <v>1.1209535100008914</v>
      </c>
      <c r="CN28" s="295">
        <v>1.053665388597095</v>
      </c>
      <c r="CO28" s="295">
        <v>0.98637726719329888</v>
      </c>
      <c r="CP28" s="295">
        <v>0.91908914578949996</v>
      </c>
      <c r="CQ28" s="295">
        <v>1.4511806088421064</v>
      </c>
      <c r="CR28" s="295">
        <v>1.4511806088421064</v>
      </c>
      <c r="CS28" s="295">
        <v>1.4511806088421064</v>
      </c>
      <c r="CT28" s="295">
        <v>1.3901059956160815</v>
      </c>
      <c r="CU28" s="295">
        <v>1.3228178742122803</v>
      </c>
      <c r="CV28" s="295">
        <v>1.255529752808489</v>
      </c>
      <c r="CW28" s="295">
        <v>1.1882416314046902</v>
      </c>
      <c r="CX28" s="295">
        <v>1.1209535100008914</v>
      </c>
      <c r="CY28" s="295">
        <v>1.053665388597095</v>
      </c>
      <c r="CZ28" s="295">
        <v>0.98637726719329888</v>
      </c>
      <c r="DA28" s="295">
        <v>0.91908914578949996</v>
      </c>
      <c r="DB28" s="295">
        <v>1.4511806088421064</v>
      </c>
      <c r="DC28" s="295">
        <v>1.4511806088421064</v>
      </c>
      <c r="DD28" s="295">
        <v>1.4511806088421064</v>
      </c>
      <c r="DE28" s="295">
        <v>1.3901059956160815</v>
      </c>
      <c r="DF28" s="295">
        <v>1.3228178742122803</v>
      </c>
      <c r="DG28" s="295">
        <v>1.255529752808489</v>
      </c>
      <c r="DH28" s="295">
        <v>1.1882416314046902</v>
      </c>
      <c r="DI28" s="295">
        <v>1.1209535100008914</v>
      </c>
      <c r="DJ28" s="295">
        <v>1.053665388597095</v>
      </c>
      <c r="DK28" s="295">
        <v>0.98637726719329888</v>
      </c>
      <c r="DL28" s="295">
        <v>0.91908914578949996</v>
      </c>
      <c r="DM28" s="295">
        <v>1.4511806088421064</v>
      </c>
      <c r="DN28" s="295">
        <v>1.4511806088421064</v>
      </c>
      <c r="DO28" s="295">
        <v>1.4511806088421064</v>
      </c>
      <c r="DP28" s="295">
        <v>1.3901059956160815</v>
      </c>
      <c r="DQ28" s="295">
        <v>1.3228178742122803</v>
      </c>
      <c r="DR28" s="295">
        <v>1.255529752808489</v>
      </c>
      <c r="DS28" s="295">
        <v>1.1882416314046902</v>
      </c>
      <c r="DT28" s="295">
        <v>1.1209535100008914</v>
      </c>
      <c r="DU28" s="295">
        <v>1.053665388597095</v>
      </c>
      <c r="DV28" s="295">
        <v>0.98637726719329888</v>
      </c>
      <c r="DW28" s="295">
        <v>0.91908914578949996</v>
      </c>
      <c r="DX28" s="295">
        <v>1.4511806088421064</v>
      </c>
      <c r="DY28" s="295">
        <v>1.4511806088421064</v>
      </c>
      <c r="DZ28" s="295">
        <v>1.4511806088421064</v>
      </c>
      <c r="EA28" s="295">
        <v>1.3901059956160815</v>
      </c>
      <c r="EB28" s="295">
        <v>1.3228178742122803</v>
      </c>
      <c r="EC28" s="295">
        <v>1.255529752808489</v>
      </c>
      <c r="ED28" s="295">
        <v>1.1882416314046902</v>
      </c>
      <c r="EE28" s="295">
        <v>1.1209535100008914</v>
      </c>
      <c r="EF28" s="295">
        <v>1.053665388597095</v>
      </c>
      <c r="EG28" s="295">
        <v>0.98637726719329888</v>
      </c>
      <c r="EH28" s="295">
        <v>0.91908914578949996</v>
      </c>
      <c r="EI28" s="295">
        <v>1.4511806088421064</v>
      </c>
      <c r="EJ28" s="295">
        <v>1.4511806088421064</v>
      </c>
      <c r="EK28" s="295">
        <v>1.4511806088421064</v>
      </c>
      <c r="EL28" s="295">
        <v>1.3901059956160815</v>
      </c>
      <c r="EM28" s="295">
        <v>1.3228178742122803</v>
      </c>
      <c r="EN28" s="295">
        <v>1.255529752808489</v>
      </c>
      <c r="EO28" s="295">
        <v>1.1882416314046902</v>
      </c>
      <c r="EP28" s="295">
        <v>1.1209535100008914</v>
      </c>
      <c r="EQ28" s="295">
        <v>1.053665388597095</v>
      </c>
      <c r="ER28" s="295">
        <v>0.98637726719329888</v>
      </c>
      <c r="ES28" s="295">
        <v>0.91908914578949996</v>
      </c>
      <c r="ET28" s="295">
        <v>1.4511806088421064</v>
      </c>
      <c r="EU28" s="295">
        <v>1.4511806088421064</v>
      </c>
      <c r="EV28" s="295">
        <v>1.4511806088421064</v>
      </c>
      <c r="EW28" s="295">
        <v>1.3901059956160815</v>
      </c>
      <c r="EX28" s="295">
        <v>1.3228178742122803</v>
      </c>
      <c r="EY28" s="295">
        <v>1.255529752808489</v>
      </c>
      <c r="EZ28" s="295">
        <v>1.1882416314046902</v>
      </c>
      <c r="FA28" s="295">
        <v>1.1209535100008914</v>
      </c>
      <c r="FB28" s="295">
        <v>1.053665388597095</v>
      </c>
      <c r="FC28" s="295">
        <v>0.98637726719329888</v>
      </c>
      <c r="FD28" s="295">
        <v>0.91908914578949996</v>
      </c>
    </row>
    <row r="29" spans="2:160" ht="13.5" customHeight="1">
      <c r="B29" s="33" t="s">
        <v>552</v>
      </c>
      <c r="C29" s="51"/>
      <c r="D29" s="51"/>
      <c r="E29" s="23"/>
      <c r="G29" s="24"/>
      <c r="H29" s="23"/>
      <c r="I29" s="23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  <c r="AA29" s="23"/>
      <c r="AB29" s="23"/>
      <c r="AC29" s="23"/>
      <c r="AD29" s="23"/>
      <c r="AE29" s="23"/>
      <c r="AF29" s="23"/>
      <c r="AG29" s="23"/>
      <c r="AH29" s="23"/>
      <c r="AI29" s="23"/>
      <c r="AJ29" s="23"/>
      <c r="AK29" s="23"/>
      <c r="AL29" s="23"/>
      <c r="AM29" s="23"/>
      <c r="AN29" s="23"/>
      <c r="AO29" s="23"/>
      <c r="AP29" s="23"/>
      <c r="AQ29" s="23"/>
      <c r="AR29" s="23"/>
      <c r="AS29" s="23"/>
      <c r="AT29" s="23"/>
      <c r="AU29" s="23"/>
      <c r="AV29" s="23"/>
      <c r="AW29" s="23"/>
      <c r="AX29" s="23"/>
      <c r="AY29" s="23"/>
      <c r="AZ29" s="23"/>
      <c r="BA29" s="23"/>
      <c r="BB29" s="23"/>
      <c r="BC29" s="23"/>
      <c r="BD29" s="23"/>
      <c r="BE29" s="23"/>
      <c r="BF29" s="23"/>
      <c r="BG29" s="23"/>
      <c r="BH29" s="23"/>
      <c r="BI29" s="23"/>
      <c r="BJ29" s="23"/>
      <c r="BK29" s="23"/>
      <c r="BL29" s="23"/>
      <c r="BM29" s="23"/>
      <c r="BN29" s="23"/>
      <c r="BO29" s="23"/>
      <c r="BP29" s="23"/>
      <c r="BQ29" s="23"/>
      <c r="BR29" s="23"/>
      <c r="BS29" s="23"/>
      <c r="BT29" s="23"/>
      <c r="BU29" s="23"/>
      <c r="BV29" s="23"/>
      <c r="BW29" s="23"/>
      <c r="BX29" s="23"/>
      <c r="BY29" s="23"/>
      <c r="BZ29" s="23"/>
      <c r="CA29" s="23"/>
      <c r="CB29" s="23"/>
      <c r="CC29" s="23"/>
      <c r="CD29" s="23"/>
      <c r="CE29" s="23"/>
      <c r="CF29" s="23"/>
      <c r="CG29" s="23"/>
      <c r="CH29" s="23"/>
      <c r="CI29" s="23"/>
      <c r="CJ29" s="23"/>
      <c r="CK29" s="23"/>
      <c r="CL29" s="23"/>
      <c r="CM29" s="23"/>
      <c r="CN29" s="23"/>
      <c r="CO29" s="23"/>
      <c r="CP29" s="23"/>
      <c r="CQ29" s="23"/>
      <c r="CR29" s="23"/>
      <c r="CS29" s="23"/>
      <c r="CT29" s="23"/>
      <c r="CU29" s="23"/>
      <c r="CV29" s="23"/>
      <c r="CW29" s="23"/>
      <c r="CX29" s="23"/>
      <c r="CY29" s="23"/>
      <c r="CZ29" s="23"/>
      <c r="DA29" s="23"/>
      <c r="DB29" s="23"/>
      <c r="DC29" s="23"/>
      <c r="DD29" s="23"/>
      <c r="DE29" s="23"/>
      <c r="DF29" s="23"/>
      <c r="DG29" s="23"/>
      <c r="DH29" s="23"/>
      <c r="DI29" s="23"/>
      <c r="DJ29" s="23"/>
      <c r="DK29" s="23"/>
      <c r="DL29" s="23"/>
      <c r="DM29" s="23"/>
      <c r="DN29" s="23"/>
      <c r="DO29" s="23"/>
      <c r="DP29" s="23"/>
      <c r="DQ29" s="23"/>
      <c r="DR29" s="23"/>
      <c r="DS29" s="23"/>
      <c r="DT29" s="23"/>
      <c r="DU29" s="23"/>
      <c r="DV29" s="23"/>
      <c r="DW29" s="23"/>
      <c r="DX29" s="23"/>
      <c r="DY29" s="23"/>
      <c r="DZ29" s="23"/>
      <c r="EA29" s="23"/>
      <c r="EB29" s="23"/>
      <c r="EC29" s="23"/>
      <c r="ED29" s="23"/>
      <c r="EE29" s="23"/>
      <c r="EF29" s="23"/>
      <c r="EG29" s="23"/>
      <c r="EH29" s="23"/>
      <c r="EI29" s="23"/>
      <c r="EJ29" s="23"/>
      <c r="EK29" s="23"/>
      <c r="EL29" s="23"/>
      <c r="EM29" s="23"/>
      <c r="EN29" s="23"/>
      <c r="EO29" s="23"/>
      <c r="EP29" s="23"/>
      <c r="EQ29" s="23"/>
      <c r="ER29" s="23"/>
      <c r="ES29" s="23"/>
      <c r="ET29" s="23"/>
      <c r="EU29" s="23"/>
      <c r="EV29" s="23"/>
      <c r="EW29" s="23"/>
      <c r="EX29" s="23"/>
      <c r="EY29" s="23"/>
      <c r="EZ29" s="23"/>
      <c r="FA29" s="23"/>
      <c r="FB29" s="23"/>
      <c r="FC29" s="23"/>
      <c r="FD29" s="23"/>
    </row>
    <row r="30" spans="2:160" s="144" customFormat="1" ht="13.5" customHeight="1">
      <c r="B30" s="150"/>
      <c r="C30" s="148" t="str">
        <f>'A&amp;R'!Q102</f>
        <v>[연평균 배당수익률]</v>
      </c>
      <c r="D30" s="296"/>
      <c r="E30" s="297">
        <f ca="1">'A&amp;R'!E156</f>
        <v>0.06</v>
      </c>
      <c r="G30" s="190">
        <v>0.06</v>
      </c>
      <c r="H30" s="297">
        <v>5.9999999999999984E-2</v>
      </c>
      <c r="I30" s="297">
        <v>5.6987816480268939E-2</v>
      </c>
      <c r="J30" s="297">
        <v>4.4667992973652551E-2</v>
      </c>
      <c r="K30" s="297">
        <v>3.7347917449220683E-2</v>
      </c>
      <c r="L30" s="297">
        <v>2.5964283035479381E-2</v>
      </c>
      <c r="M30" s="297">
        <v>2.4372101566313496E-2</v>
      </c>
      <c r="N30" s="297">
        <v>2.2779920097147605E-2</v>
      </c>
      <c r="O30" s="297">
        <v>2.118773862798172E-2</v>
      </c>
      <c r="P30" s="297">
        <v>1.0966638775139315E-2</v>
      </c>
      <c r="Q30" s="297">
        <v>5.9983120778353358E-3</v>
      </c>
      <c r="R30" s="297">
        <v>0.06</v>
      </c>
      <c r="S30" s="297">
        <v>0.06</v>
      </c>
      <c r="T30" s="297">
        <v>0.06</v>
      </c>
      <c r="U30" s="297">
        <v>5.7435834181653753E-2</v>
      </c>
      <c r="V30" s="297">
        <v>4.4947510098603226E-2</v>
      </c>
      <c r="W30" s="297">
        <v>3.7496568606032614E-2</v>
      </c>
      <c r="X30" s="297">
        <v>2.6001451588413022E-2</v>
      </c>
      <c r="Y30" s="297">
        <v>2.4349659752584941E-2</v>
      </c>
      <c r="Z30" s="297">
        <v>2.2697867916756882E-2</v>
      </c>
      <c r="AA30" s="297">
        <v>2.1046076080928806E-2</v>
      </c>
      <c r="AB30" s="297">
        <v>6.2403400557176879E-3</v>
      </c>
      <c r="AC30" s="297">
        <v>0.06</v>
      </c>
      <c r="AD30" s="297">
        <v>0.06</v>
      </c>
      <c r="AE30" s="297">
        <v>0.06</v>
      </c>
      <c r="AF30" s="297">
        <v>0.06</v>
      </c>
      <c r="AG30" s="297">
        <v>5.7624416235836806E-2</v>
      </c>
      <c r="AH30" s="297">
        <v>4.5009899666288156E-2</v>
      </c>
      <c r="AI30" s="297">
        <v>3.7448837460825841E-2</v>
      </c>
      <c r="AJ30" s="297">
        <v>2.5919399408022292E-2</v>
      </c>
      <c r="AK30" s="297">
        <v>2.4207997205532048E-2</v>
      </c>
      <c r="AL30" s="297">
        <v>2.249659500304179E-2</v>
      </c>
      <c r="AM30" s="297">
        <v>1.1564429338925396E-2</v>
      </c>
      <c r="AN30" s="297">
        <v>0.06</v>
      </c>
      <c r="AO30" s="297">
        <v>0.06</v>
      </c>
      <c r="AP30" s="297">
        <v>0.06</v>
      </c>
      <c r="AQ30" s="297">
        <v>5.7435834181653753E-2</v>
      </c>
      <c r="AR30" s="297">
        <v>4.4947510098603226E-2</v>
      </c>
      <c r="AS30" s="297">
        <v>3.7496568606032614E-2</v>
      </c>
      <c r="AT30" s="297">
        <v>2.6001451588413022E-2</v>
      </c>
      <c r="AU30" s="297">
        <v>2.4349659752584941E-2</v>
      </c>
      <c r="AV30" s="297">
        <v>2.2697867916756882E-2</v>
      </c>
      <c r="AW30" s="297">
        <v>2.1046076080928806E-2</v>
      </c>
      <c r="AX30" s="297">
        <v>6.2403400557176879E-3</v>
      </c>
      <c r="AY30" s="297">
        <v>0.06</v>
      </c>
      <c r="AZ30" s="297">
        <v>0.06</v>
      </c>
      <c r="BA30" s="297">
        <v>0.06</v>
      </c>
      <c r="BB30" s="297">
        <v>5.7435834181653753E-2</v>
      </c>
      <c r="BC30" s="297">
        <v>4.4947510098603226E-2</v>
      </c>
      <c r="BD30" s="297">
        <v>3.7496568606032614E-2</v>
      </c>
      <c r="BE30" s="297">
        <v>2.6001451588413022E-2</v>
      </c>
      <c r="BF30" s="297">
        <v>2.4349659752584941E-2</v>
      </c>
      <c r="BG30" s="297">
        <v>2.2697867916756882E-2</v>
      </c>
      <c r="BH30" s="297">
        <v>2.1046076080928806E-2</v>
      </c>
      <c r="BI30" s="297">
        <v>6.2403400557176879E-3</v>
      </c>
      <c r="BJ30" s="297">
        <v>0.06</v>
      </c>
      <c r="BK30" s="297">
        <v>0.06</v>
      </c>
      <c r="BL30" s="297">
        <v>0.06</v>
      </c>
      <c r="BM30" s="297">
        <v>5.7435834181653753E-2</v>
      </c>
      <c r="BN30" s="297">
        <v>4.4947510098603226E-2</v>
      </c>
      <c r="BO30" s="297">
        <v>3.7496568606032614E-2</v>
      </c>
      <c r="BP30" s="297">
        <v>2.6001451588413022E-2</v>
      </c>
      <c r="BQ30" s="297">
        <v>2.4349659752584941E-2</v>
      </c>
      <c r="BR30" s="297">
        <v>2.2697867916756882E-2</v>
      </c>
      <c r="BS30" s="297">
        <v>2.1046076080928806E-2</v>
      </c>
      <c r="BT30" s="297">
        <v>6.2403400557176879E-3</v>
      </c>
      <c r="BU30" s="297">
        <v>0.06</v>
      </c>
      <c r="BV30" s="297">
        <v>0.06</v>
      </c>
      <c r="BW30" s="297">
        <v>0.06</v>
      </c>
      <c r="BX30" s="297">
        <v>5.7435834181653753E-2</v>
      </c>
      <c r="BY30" s="297">
        <v>4.4947510098603226E-2</v>
      </c>
      <c r="BZ30" s="297">
        <v>3.7496568606032614E-2</v>
      </c>
      <c r="CA30" s="297">
        <v>2.6001451588413022E-2</v>
      </c>
      <c r="CB30" s="297">
        <v>2.4349659752584941E-2</v>
      </c>
      <c r="CC30" s="297">
        <v>2.2697867916756882E-2</v>
      </c>
      <c r="CD30" s="297">
        <v>2.1046076080928806E-2</v>
      </c>
      <c r="CE30" s="297">
        <v>6.2403400557176879E-3</v>
      </c>
      <c r="CF30" s="297">
        <v>0.06</v>
      </c>
      <c r="CG30" s="297">
        <v>0.06</v>
      </c>
      <c r="CH30" s="297">
        <v>0.06</v>
      </c>
      <c r="CI30" s="297">
        <v>5.7435834181653753E-2</v>
      </c>
      <c r="CJ30" s="297">
        <v>4.4947510098603226E-2</v>
      </c>
      <c r="CK30" s="297">
        <v>3.7496568606032614E-2</v>
      </c>
      <c r="CL30" s="297">
        <v>2.6001451588413022E-2</v>
      </c>
      <c r="CM30" s="297">
        <v>2.4349659752584941E-2</v>
      </c>
      <c r="CN30" s="297">
        <v>2.2697867916756882E-2</v>
      </c>
      <c r="CO30" s="297">
        <v>2.1046076080928806E-2</v>
      </c>
      <c r="CP30" s="297">
        <v>6.2403400557176879E-3</v>
      </c>
      <c r="CQ30" s="297">
        <v>0.06</v>
      </c>
      <c r="CR30" s="297">
        <v>0.06</v>
      </c>
      <c r="CS30" s="297">
        <v>0.06</v>
      </c>
      <c r="CT30" s="297">
        <v>5.7435834181653753E-2</v>
      </c>
      <c r="CU30" s="297">
        <v>4.4947510098603226E-2</v>
      </c>
      <c r="CV30" s="297">
        <v>3.7496568606032614E-2</v>
      </c>
      <c r="CW30" s="297">
        <v>2.6001451588413022E-2</v>
      </c>
      <c r="CX30" s="297">
        <v>2.4349659752584941E-2</v>
      </c>
      <c r="CY30" s="297">
        <v>2.2697867916756882E-2</v>
      </c>
      <c r="CZ30" s="297">
        <v>2.1046076080928806E-2</v>
      </c>
      <c r="DA30" s="297">
        <v>6.2403400557176879E-3</v>
      </c>
      <c r="DB30" s="297">
        <v>0.06</v>
      </c>
      <c r="DC30" s="297">
        <v>0.06</v>
      </c>
      <c r="DD30" s="297">
        <v>0.06</v>
      </c>
      <c r="DE30" s="297">
        <v>5.7435834181653753E-2</v>
      </c>
      <c r="DF30" s="297">
        <v>4.4947510098603226E-2</v>
      </c>
      <c r="DG30" s="297">
        <v>3.7496568606032614E-2</v>
      </c>
      <c r="DH30" s="297">
        <v>2.6001451588413022E-2</v>
      </c>
      <c r="DI30" s="297">
        <v>2.4349659752584941E-2</v>
      </c>
      <c r="DJ30" s="297">
        <v>2.2697867916756882E-2</v>
      </c>
      <c r="DK30" s="297">
        <v>2.1046076080928806E-2</v>
      </c>
      <c r="DL30" s="297">
        <v>6.2403400557176879E-3</v>
      </c>
      <c r="DM30" s="297">
        <v>0.06</v>
      </c>
      <c r="DN30" s="297">
        <v>0.06</v>
      </c>
      <c r="DO30" s="297">
        <v>0.06</v>
      </c>
      <c r="DP30" s="297">
        <v>5.7435834181653753E-2</v>
      </c>
      <c r="DQ30" s="297">
        <v>4.4947510098603226E-2</v>
      </c>
      <c r="DR30" s="297">
        <v>3.7496568606032614E-2</v>
      </c>
      <c r="DS30" s="297">
        <v>2.6001451588413022E-2</v>
      </c>
      <c r="DT30" s="297">
        <v>2.4349659752584941E-2</v>
      </c>
      <c r="DU30" s="297">
        <v>2.2697867916756882E-2</v>
      </c>
      <c r="DV30" s="297">
        <v>2.1046076080928806E-2</v>
      </c>
      <c r="DW30" s="297">
        <v>6.2403400557176879E-3</v>
      </c>
      <c r="DX30" s="297">
        <v>0.06</v>
      </c>
      <c r="DY30" s="297">
        <v>0.06</v>
      </c>
      <c r="DZ30" s="297">
        <v>0.06</v>
      </c>
      <c r="EA30" s="297">
        <v>5.7435834181653753E-2</v>
      </c>
      <c r="EB30" s="297">
        <v>4.4947510098603226E-2</v>
      </c>
      <c r="EC30" s="297">
        <v>3.7496568606032614E-2</v>
      </c>
      <c r="ED30" s="297">
        <v>2.6001451588413022E-2</v>
      </c>
      <c r="EE30" s="297">
        <v>2.4349659752584941E-2</v>
      </c>
      <c r="EF30" s="297">
        <v>2.2697867916756882E-2</v>
      </c>
      <c r="EG30" s="297">
        <v>2.1046076080928806E-2</v>
      </c>
      <c r="EH30" s="297">
        <v>6.2403400557176879E-3</v>
      </c>
      <c r="EI30" s="297">
        <v>0.06</v>
      </c>
      <c r="EJ30" s="297">
        <v>0.06</v>
      </c>
      <c r="EK30" s="297">
        <v>0.06</v>
      </c>
      <c r="EL30" s="297">
        <v>5.7435834181653753E-2</v>
      </c>
      <c r="EM30" s="297">
        <v>4.4947510098603226E-2</v>
      </c>
      <c r="EN30" s="297">
        <v>3.7496568606032614E-2</v>
      </c>
      <c r="EO30" s="297">
        <v>2.6001451588413022E-2</v>
      </c>
      <c r="EP30" s="297">
        <v>2.4349659752584941E-2</v>
      </c>
      <c r="EQ30" s="297">
        <v>2.2697867916756882E-2</v>
      </c>
      <c r="ER30" s="297">
        <v>2.1046076080928806E-2</v>
      </c>
      <c r="ES30" s="297">
        <v>6.2403400557176879E-3</v>
      </c>
      <c r="ET30" s="297">
        <v>0.06</v>
      </c>
      <c r="EU30" s="297">
        <v>0.06</v>
      </c>
      <c r="EV30" s="297">
        <v>0.06</v>
      </c>
      <c r="EW30" s="297">
        <v>5.7435834181653753E-2</v>
      </c>
      <c r="EX30" s="297">
        <v>4.4947510098603226E-2</v>
      </c>
      <c r="EY30" s="297">
        <v>3.7496568606032614E-2</v>
      </c>
      <c r="EZ30" s="297">
        <v>2.6001451588413022E-2</v>
      </c>
      <c r="FA30" s="297">
        <v>2.4349659752584941E-2</v>
      </c>
      <c r="FB30" s="297">
        <v>2.2697867916756882E-2</v>
      </c>
      <c r="FC30" s="297">
        <v>2.1046076080928806E-2</v>
      </c>
      <c r="FD30" s="297">
        <v>6.2403400557176879E-3</v>
      </c>
    </row>
    <row r="31" spans="2:160" s="144" customFormat="1" ht="13.5" customHeight="1">
      <c r="B31" s="150"/>
      <c r="C31" s="150" t="str">
        <f>'A&amp;R'!Q115</f>
        <v>[Equity IRR]</v>
      </c>
      <c r="D31" s="153"/>
      <c r="E31" s="284">
        <f ca="1">'A&amp;R'!E157</f>
        <v>7.083915233612062E-2</v>
      </c>
      <c r="G31" s="192">
        <v>6.4743046760559086E-2</v>
      </c>
      <c r="H31" s="284">
        <v>6.4334788322448738E-2</v>
      </c>
      <c r="I31" s="284">
        <v>6.3916201591491695E-2</v>
      </c>
      <c r="J31" s="284">
        <v>6.1965403556823728E-2</v>
      </c>
      <c r="K31" s="284">
        <v>6.1059193611145028E-2</v>
      </c>
      <c r="L31" s="284">
        <v>6.0348143577575689E-2</v>
      </c>
      <c r="M31" s="284">
        <v>6.0132021903991695E-2</v>
      </c>
      <c r="N31" s="284">
        <v>5.9916615486145026E-2</v>
      </c>
      <c r="O31" s="284">
        <v>5.9701933860778808E-2</v>
      </c>
      <c r="P31" s="284">
        <v>5.848784923553467E-2</v>
      </c>
      <c r="Q31" s="284">
        <v>5.8352046012878411E-2</v>
      </c>
      <c r="R31" s="284">
        <v>7.083915233612062E-2</v>
      </c>
      <c r="S31" s="284">
        <v>7.0543179512023935E-2</v>
      </c>
      <c r="T31" s="284">
        <v>7.0116190910339382E-2</v>
      </c>
      <c r="U31" s="284">
        <v>6.9660696983337406E-2</v>
      </c>
      <c r="V31" s="284">
        <v>6.7554469108581539E-2</v>
      </c>
      <c r="W31" s="284">
        <v>6.6576790809631331E-2</v>
      </c>
      <c r="X31" s="284">
        <v>6.5813651084899921E-2</v>
      </c>
      <c r="Y31" s="284">
        <v>6.5582108497619612E-2</v>
      </c>
      <c r="Z31" s="284">
        <v>6.5351347923278791E-2</v>
      </c>
      <c r="AA31" s="284">
        <v>6.5121369361877457E-2</v>
      </c>
      <c r="AB31" s="284">
        <v>6.3827004432678219E-2</v>
      </c>
      <c r="AC31" s="284">
        <v>7.6775698661804198E-2</v>
      </c>
      <c r="AD31" s="284">
        <v>7.6500878334045425E-2</v>
      </c>
      <c r="AE31" s="284">
        <v>7.618425846099855E-2</v>
      </c>
      <c r="AF31" s="284">
        <v>7.5743031501770031E-2</v>
      </c>
      <c r="AG31" s="284">
        <v>7.5250697135925304E-2</v>
      </c>
      <c r="AH31" s="284">
        <v>7.3002247810363768E-2</v>
      </c>
      <c r="AI31" s="284">
        <v>7.1958575248718265E-2</v>
      </c>
      <c r="AJ31" s="284">
        <v>7.1149764060974147E-2</v>
      </c>
      <c r="AK31" s="284">
        <v>7.0902762413024928E-2</v>
      </c>
      <c r="AL31" s="284">
        <v>7.0656609535217296E-2</v>
      </c>
      <c r="AM31" s="284">
        <v>6.9197468757629388E-2</v>
      </c>
      <c r="AN31" s="284">
        <v>8.3810677528381339E-2</v>
      </c>
      <c r="AO31" s="284">
        <v>8.3492369651794435E-2</v>
      </c>
      <c r="AP31" s="284">
        <v>8.3026442527770999E-2</v>
      </c>
      <c r="AQ31" s="284">
        <v>8.2528195381164543E-2</v>
      </c>
      <c r="AR31" s="284">
        <v>8.01384687423706E-2</v>
      </c>
      <c r="AS31" s="284">
        <v>7.9042220115661643E-2</v>
      </c>
      <c r="AT31" s="284">
        <v>7.819349765777589E-2</v>
      </c>
      <c r="AU31" s="284">
        <v>7.7947468757629396E-2</v>
      </c>
      <c r="AV31" s="284">
        <v>7.7702231407165506E-2</v>
      </c>
      <c r="AW31" s="284">
        <v>7.7457785606384305E-2</v>
      </c>
      <c r="AX31" s="284">
        <v>7.5989136695861853E-2</v>
      </c>
      <c r="AY31" s="284">
        <v>7.9264302253723135E-2</v>
      </c>
      <c r="AZ31" s="284">
        <v>7.8953642845153799E-2</v>
      </c>
      <c r="BA31" s="284">
        <v>7.8500971794128432E-2</v>
      </c>
      <c r="BB31" s="284">
        <v>7.8017258644103998E-2</v>
      </c>
      <c r="BC31" s="284">
        <v>7.5724501609802264E-2</v>
      </c>
      <c r="BD31" s="284">
        <v>7.4668669700622581E-2</v>
      </c>
      <c r="BE31" s="284">
        <v>7.3848996162414554E-2</v>
      </c>
      <c r="BF31" s="284">
        <v>7.3607907295227037E-2</v>
      </c>
      <c r="BG31" s="284">
        <v>7.3367609977722181E-2</v>
      </c>
      <c r="BH31" s="284">
        <v>7.312810420989993E-2</v>
      </c>
      <c r="BI31" s="284">
        <v>7.1719164848327632E-2</v>
      </c>
      <c r="BJ31" s="284">
        <v>7.4946360588073746E-2</v>
      </c>
      <c r="BK31" s="284">
        <v>7.4643139839172395E-2</v>
      </c>
      <c r="BL31" s="284">
        <v>7.4203448295593277E-2</v>
      </c>
      <c r="BM31" s="284">
        <v>7.3733983039855983E-2</v>
      </c>
      <c r="BN31" s="284">
        <v>7.1535696983337393E-2</v>
      </c>
      <c r="BO31" s="284">
        <v>7.0519385337829588E-2</v>
      </c>
      <c r="BP31" s="284">
        <v>6.9728236198425303E-2</v>
      </c>
      <c r="BQ31" s="284">
        <v>6.9491972923278827E-2</v>
      </c>
      <c r="BR31" s="284">
        <v>6.9256501197814929E-2</v>
      </c>
      <c r="BS31" s="284">
        <v>6.9021821022033691E-2</v>
      </c>
      <c r="BT31" s="284">
        <v>6.7670960426330556E-2</v>
      </c>
      <c r="BU31" s="284">
        <v>7.083915233612062E-2</v>
      </c>
      <c r="BV31" s="284">
        <v>7.0543179512023935E-2</v>
      </c>
      <c r="BW31" s="284">
        <v>7.0116190910339382E-2</v>
      </c>
      <c r="BX31" s="284">
        <v>6.9660696983337406E-2</v>
      </c>
      <c r="BY31" s="284">
        <v>6.7554469108581539E-2</v>
      </c>
      <c r="BZ31" s="284">
        <v>6.6576790809631331E-2</v>
      </c>
      <c r="CA31" s="284">
        <v>6.5813651084899921E-2</v>
      </c>
      <c r="CB31" s="284">
        <v>6.5582108497619612E-2</v>
      </c>
      <c r="CC31" s="284">
        <v>6.5351347923278791E-2</v>
      </c>
      <c r="CD31" s="284">
        <v>6.5121369361877457E-2</v>
      </c>
      <c r="CE31" s="284">
        <v>6.3827004432678219E-2</v>
      </c>
      <c r="CF31" s="284">
        <v>6.6926836967468262E-2</v>
      </c>
      <c r="CG31" s="284">
        <v>6.6637911796569804E-2</v>
      </c>
      <c r="CH31" s="284">
        <v>6.6223387718200688E-2</v>
      </c>
      <c r="CI31" s="284">
        <v>6.5781579017639175E-2</v>
      </c>
      <c r="CJ31" s="284">
        <v>6.3765091896057113E-2</v>
      </c>
      <c r="CK31" s="284">
        <v>6.2825179100036599E-2</v>
      </c>
      <c r="CL31" s="284">
        <v>6.2089533805847169E-2</v>
      </c>
      <c r="CM31" s="284">
        <v>6.1862587928771966E-2</v>
      </c>
      <c r="CN31" s="284">
        <v>6.1636433601379409E-2</v>
      </c>
      <c r="CO31" s="284">
        <v>6.1411042213439931E-2</v>
      </c>
      <c r="CP31" s="284">
        <v>6.0171656608581536E-2</v>
      </c>
      <c r="CQ31" s="284">
        <v>6.3195176124572761E-2</v>
      </c>
      <c r="CR31" s="284">
        <v>6.2913126945495584E-2</v>
      </c>
      <c r="CS31" s="284">
        <v>6.2510800361633284E-2</v>
      </c>
      <c r="CT31" s="284">
        <v>6.2082409858703599E-2</v>
      </c>
      <c r="CU31" s="284">
        <v>6.0153422355651853E-2</v>
      </c>
      <c r="CV31" s="284">
        <v>5.9250426292419431E-2</v>
      </c>
      <c r="CW31" s="284">
        <v>5.8541760444641114E-2</v>
      </c>
      <c r="CX31" s="284">
        <v>5.8319315910339342E-2</v>
      </c>
      <c r="CY31" s="284">
        <v>5.8097653388977044E-2</v>
      </c>
      <c r="CZ31" s="284">
        <v>5.7876753807067874E-2</v>
      </c>
      <c r="DA31" s="284">
        <v>5.6690888404846193E-2</v>
      </c>
      <c r="DB31" s="284">
        <v>5.9996819496154784E-2</v>
      </c>
      <c r="DC31" s="284">
        <v>5.9829010963439941E-2</v>
      </c>
      <c r="DD31" s="284">
        <v>5.9544825553894037E-2</v>
      </c>
      <c r="DE31" s="284">
        <v>5.9234776496887215E-2</v>
      </c>
      <c r="DF31" s="284">
        <v>5.7479138374328609E-2</v>
      </c>
      <c r="DG31" s="284">
        <v>5.6707625389099112E-2</v>
      </c>
      <c r="DH31" s="284">
        <v>5.6121296882629401E-2</v>
      </c>
      <c r="DI31" s="284">
        <v>5.6004490852355954E-2</v>
      </c>
      <c r="DJ31" s="284">
        <v>5.5888133049011218E-2</v>
      </c>
      <c r="DK31" s="284">
        <v>5.5772242546081541E-2</v>
      </c>
      <c r="DL31" s="284">
        <v>5.4719290733337402E-2</v>
      </c>
      <c r="DM31" s="284">
        <v>5.9996819496154784E-2</v>
      </c>
      <c r="DN31" s="284">
        <v>5.9829010963439941E-2</v>
      </c>
      <c r="DO31" s="284">
        <v>5.9544825553894037E-2</v>
      </c>
      <c r="DP31" s="284">
        <v>5.9234776496887215E-2</v>
      </c>
      <c r="DQ31" s="284">
        <v>5.7479138374328609E-2</v>
      </c>
      <c r="DR31" s="284">
        <v>5.6707625389099112E-2</v>
      </c>
      <c r="DS31" s="284">
        <v>5.6121296882629401E-2</v>
      </c>
      <c r="DT31" s="284">
        <v>5.6004490852355954E-2</v>
      </c>
      <c r="DU31" s="284">
        <v>5.5888133049011218E-2</v>
      </c>
      <c r="DV31" s="284">
        <v>5.5772242546081541E-2</v>
      </c>
      <c r="DW31" s="284">
        <v>5.4719290733337402E-2</v>
      </c>
      <c r="DX31" s="284">
        <v>5.9996819496154784E-2</v>
      </c>
      <c r="DY31" s="284">
        <v>5.9829010963439941E-2</v>
      </c>
      <c r="DZ31" s="284">
        <v>5.9544825553894037E-2</v>
      </c>
      <c r="EA31" s="284">
        <v>5.9234776496887215E-2</v>
      </c>
      <c r="EB31" s="284">
        <v>5.7479138374328609E-2</v>
      </c>
      <c r="EC31" s="284">
        <v>5.6707625389099112E-2</v>
      </c>
      <c r="ED31" s="284">
        <v>5.6121296882629401E-2</v>
      </c>
      <c r="EE31" s="284">
        <v>5.6004490852355954E-2</v>
      </c>
      <c r="EF31" s="284">
        <v>5.5888133049011218E-2</v>
      </c>
      <c r="EG31" s="284">
        <v>5.5772242546081541E-2</v>
      </c>
      <c r="EH31" s="284">
        <v>5.4661078453063956E-2</v>
      </c>
      <c r="EI31" s="284">
        <v>5.9996819496154784E-2</v>
      </c>
      <c r="EJ31" s="284">
        <v>5.9829010963439941E-2</v>
      </c>
      <c r="EK31" s="284">
        <v>5.9544825553894037E-2</v>
      </c>
      <c r="EL31" s="284">
        <v>5.9234776496887215E-2</v>
      </c>
      <c r="EM31" s="284">
        <v>5.7479138374328609E-2</v>
      </c>
      <c r="EN31" s="284">
        <v>5.6707625389099112E-2</v>
      </c>
      <c r="EO31" s="284">
        <v>5.6121296882629401E-2</v>
      </c>
      <c r="EP31" s="284">
        <v>5.4417395591735848E-2</v>
      </c>
      <c r="EQ31" s="284">
        <v>5.0808625221252443E-2</v>
      </c>
      <c r="ER31" s="284">
        <v>4.7164731025695794E-2</v>
      </c>
      <c r="ES31" s="284">
        <v>4.2726616859436038E-2</v>
      </c>
      <c r="ET31" s="284">
        <v>5.9996819496154784E-2</v>
      </c>
      <c r="EU31" s="284">
        <v>5.9829010963439941E-2</v>
      </c>
      <c r="EV31" s="284">
        <v>5.9544825553894037E-2</v>
      </c>
      <c r="EW31" s="284">
        <v>5.9234776496887215E-2</v>
      </c>
      <c r="EX31" s="284">
        <v>5.4936623573303221E-2</v>
      </c>
      <c r="EY31" s="284">
        <v>5.0642657279968264E-2</v>
      </c>
      <c r="EZ31" s="284">
        <v>4.653814792633057E-2</v>
      </c>
      <c r="FA31" s="284">
        <v>4.2825284004211414E-2</v>
      </c>
      <c r="FB31" s="284">
        <v>3.9074549674987788E-2</v>
      </c>
      <c r="FC31" s="284">
        <v>3.5284972190856939E-2</v>
      </c>
      <c r="FD31" s="284">
        <v>3.0887722969055179E-2</v>
      </c>
    </row>
    <row r="32" spans="2:160" ht="13.5" customHeight="1">
      <c r="B32" s="36"/>
      <c r="C32" s="36" t="str">
        <f>'A&amp;R'!Q128</f>
        <v>[투자원본상환액]</v>
      </c>
      <c r="D32" s="42"/>
      <c r="E32" s="34">
        <f ca="1">'A&amp;R'!D153</f>
        <v>17000</v>
      </c>
      <c r="G32" s="35">
        <v>17000</v>
      </c>
      <c r="H32" s="34">
        <v>17000</v>
      </c>
      <c r="I32" s="34">
        <v>17000</v>
      </c>
      <c r="J32" s="34">
        <v>17000</v>
      </c>
      <c r="K32" s="34">
        <v>17000</v>
      </c>
      <c r="L32" s="34">
        <v>17000</v>
      </c>
      <c r="M32" s="34">
        <v>17000</v>
      </c>
      <c r="N32" s="34">
        <v>17000</v>
      </c>
      <c r="O32" s="34">
        <v>17000</v>
      </c>
      <c r="P32" s="34">
        <v>17000</v>
      </c>
      <c r="Q32" s="34">
        <v>17000</v>
      </c>
      <c r="R32" s="34">
        <v>17000</v>
      </c>
      <c r="S32" s="34">
        <v>17000</v>
      </c>
      <c r="T32" s="34">
        <v>17000</v>
      </c>
      <c r="U32" s="34">
        <v>17000</v>
      </c>
      <c r="V32" s="34">
        <v>17000</v>
      </c>
      <c r="W32" s="34">
        <v>17000</v>
      </c>
      <c r="X32" s="34">
        <v>17000</v>
      </c>
      <c r="Y32" s="34">
        <v>17000</v>
      </c>
      <c r="Z32" s="34">
        <v>17000</v>
      </c>
      <c r="AA32" s="34">
        <v>17000</v>
      </c>
      <c r="AB32" s="34">
        <v>17000</v>
      </c>
      <c r="AC32" s="34">
        <v>17000</v>
      </c>
      <c r="AD32" s="34">
        <v>17000</v>
      </c>
      <c r="AE32" s="34">
        <v>17000</v>
      </c>
      <c r="AF32" s="34">
        <v>17000</v>
      </c>
      <c r="AG32" s="34">
        <v>17000</v>
      </c>
      <c r="AH32" s="34">
        <v>17000</v>
      </c>
      <c r="AI32" s="34">
        <v>17000</v>
      </c>
      <c r="AJ32" s="34">
        <v>17000</v>
      </c>
      <c r="AK32" s="34">
        <v>17000</v>
      </c>
      <c r="AL32" s="34">
        <v>17000</v>
      </c>
      <c r="AM32" s="34">
        <v>17000</v>
      </c>
      <c r="AN32" s="34">
        <v>17000</v>
      </c>
      <c r="AO32" s="34">
        <v>17000</v>
      </c>
      <c r="AP32" s="34">
        <v>17000</v>
      </c>
      <c r="AQ32" s="34">
        <v>17000</v>
      </c>
      <c r="AR32" s="34">
        <v>17000</v>
      </c>
      <c r="AS32" s="34">
        <v>17000</v>
      </c>
      <c r="AT32" s="34">
        <v>17000</v>
      </c>
      <c r="AU32" s="34">
        <v>17000</v>
      </c>
      <c r="AV32" s="34">
        <v>17000</v>
      </c>
      <c r="AW32" s="34">
        <v>17000</v>
      </c>
      <c r="AX32" s="34">
        <v>17000</v>
      </c>
      <c r="AY32" s="34">
        <v>17000</v>
      </c>
      <c r="AZ32" s="34">
        <v>17000</v>
      </c>
      <c r="BA32" s="34">
        <v>17000</v>
      </c>
      <c r="BB32" s="34">
        <v>17000</v>
      </c>
      <c r="BC32" s="34">
        <v>17000</v>
      </c>
      <c r="BD32" s="34">
        <v>17000</v>
      </c>
      <c r="BE32" s="34">
        <v>17000</v>
      </c>
      <c r="BF32" s="34">
        <v>17000</v>
      </c>
      <c r="BG32" s="34">
        <v>17000</v>
      </c>
      <c r="BH32" s="34">
        <v>17000</v>
      </c>
      <c r="BI32" s="34">
        <v>17000</v>
      </c>
      <c r="BJ32" s="34">
        <v>17000</v>
      </c>
      <c r="BK32" s="34">
        <v>17000</v>
      </c>
      <c r="BL32" s="34">
        <v>17000</v>
      </c>
      <c r="BM32" s="34">
        <v>17000</v>
      </c>
      <c r="BN32" s="34">
        <v>17000</v>
      </c>
      <c r="BO32" s="34">
        <v>17000</v>
      </c>
      <c r="BP32" s="34">
        <v>17000</v>
      </c>
      <c r="BQ32" s="34">
        <v>17000</v>
      </c>
      <c r="BR32" s="34">
        <v>17000</v>
      </c>
      <c r="BS32" s="34">
        <v>17000</v>
      </c>
      <c r="BT32" s="34">
        <v>17000</v>
      </c>
      <c r="BU32" s="34">
        <v>17000</v>
      </c>
      <c r="BV32" s="34">
        <v>17000</v>
      </c>
      <c r="BW32" s="34">
        <v>17000</v>
      </c>
      <c r="BX32" s="34">
        <v>17000</v>
      </c>
      <c r="BY32" s="34">
        <v>17000</v>
      </c>
      <c r="BZ32" s="34">
        <v>17000</v>
      </c>
      <c r="CA32" s="34">
        <v>17000</v>
      </c>
      <c r="CB32" s="34">
        <v>17000</v>
      </c>
      <c r="CC32" s="34">
        <v>17000</v>
      </c>
      <c r="CD32" s="34">
        <v>17000</v>
      </c>
      <c r="CE32" s="34">
        <v>17000</v>
      </c>
      <c r="CF32" s="34">
        <v>17000</v>
      </c>
      <c r="CG32" s="34">
        <v>17000</v>
      </c>
      <c r="CH32" s="34">
        <v>17000</v>
      </c>
      <c r="CI32" s="34">
        <v>17000</v>
      </c>
      <c r="CJ32" s="34">
        <v>17000</v>
      </c>
      <c r="CK32" s="34">
        <v>17000</v>
      </c>
      <c r="CL32" s="34">
        <v>17000</v>
      </c>
      <c r="CM32" s="34">
        <v>17000</v>
      </c>
      <c r="CN32" s="34">
        <v>17000</v>
      </c>
      <c r="CO32" s="34">
        <v>17000</v>
      </c>
      <c r="CP32" s="34">
        <v>17000</v>
      </c>
      <c r="CQ32" s="34">
        <v>17000</v>
      </c>
      <c r="CR32" s="34">
        <v>17000</v>
      </c>
      <c r="CS32" s="34">
        <v>17000</v>
      </c>
      <c r="CT32" s="34">
        <v>17000</v>
      </c>
      <c r="CU32" s="34">
        <v>17000</v>
      </c>
      <c r="CV32" s="34">
        <v>17000</v>
      </c>
      <c r="CW32" s="34">
        <v>17000</v>
      </c>
      <c r="CX32" s="34">
        <v>17000</v>
      </c>
      <c r="CY32" s="34">
        <v>17000</v>
      </c>
      <c r="CZ32" s="34">
        <v>17000</v>
      </c>
      <c r="DA32" s="34">
        <v>17000</v>
      </c>
      <c r="DB32" s="34">
        <v>17000</v>
      </c>
      <c r="DC32" s="34">
        <v>17000</v>
      </c>
      <c r="DD32" s="34">
        <v>17000</v>
      </c>
      <c r="DE32" s="34">
        <v>17000</v>
      </c>
      <c r="DF32" s="34">
        <v>17000</v>
      </c>
      <c r="DG32" s="34">
        <v>17000</v>
      </c>
      <c r="DH32" s="34">
        <v>17000</v>
      </c>
      <c r="DI32" s="34">
        <v>17000</v>
      </c>
      <c r="DJ32" s="34">
        <v>17000</v>
      </c>
      <c r="DK32" s="34">
        <v>17000</v>
      </c>
      <c r="DL32" s="34">
        <v>17000</v>
      </c>
      <c r="DM32" s="34">
        <v>17000</v>
      </c>
      <c r="DN32" s="34">
        <v>17000</v>
      </c>
      <c r="DO32" s="34">
        <v>17000</v>
      </c>
      <c r="DP32" s="34">
        <v>17000</v>
      </c>
      <c r="DQ32" s="34">
        <v>17000</v>
      </c>
      <c r="DR32" s="34">
        <v>17000</v>
      </c>
      <c r="DS32" s="34">
        <v>17000</v>
      </c>
      <c r="DT32" s="34">
        <v>17000</v>
      </c>
      <c r="DU32" s="34">
        <v>17000</v>
      </c>
      <c r="DV32" s="34">
        <v>17000</v>
      </c>
      <c r="DW32" s="34">
        <v>17000</v>
      </c>
      <c r="DX32" s="34">
        <v>17000</v>
      </c>
      <c r="DY32" s="34">
        <v>17000</v>
      </c>
      <c r="DZ32" s="34">
        <v>17000</v>
      </c>
      <c r="EA32" s="34">
        <v>17000</v>
      </c>
      <c r="EB32" s="34">
        <v>17000</v>
      </c>
      <c r="EC32" s="34">
        <v>17000</v>
      </c>
      <c r="ED32" s="34">
        <v>17000</v>
      </c>
      <c r="EE32" s="34">
        <v>17000</v>
      </c>
      <c r="EF32" s="34">
        <v>17000</v>
      </c>
      <c r="EG32" s="34">
        <v>17000</v>
      </c>
      <c r="EH32" s="34">
        <v>16993.975779898508</v>
      </c>
      <c r="EI32" s="34">
        <v>17000</v>
      </c>
      <c r="EJ32" s="34">
        <v>17000</v>
      </c>
      <c r="EK32" s="34">
        <v>17000</v>
      </c>
      <c r="EL32" s="34">
        <v>17000</v>
      </c>
      <c r="EM32" s="34">
        <v>17000</v>
      </c>
      <c r="EN32" s="34">
        <v>17000</v>
      </c>
      <c r="EO32" s="34">
        <v>17000</v>
      </c>
      <c r="EP32" s="34">
        <v>16839.417973462547</v>
      </c>
      <c r="EQ32" s="34">
        <v>16488.629059203507</v>
      </c>
      <c r="ER32" s="34">
        <v>16137.840049211998</v>
      </c>
      <c r="ES32" s="34">
        <v>15787.050943449256</v>
      </c>
      <c r="ET32" s="34">
        <v>17000</v>
      </c>
      <c r="EU32" s="34">
        <v>17000</v>
      </c>
      <c r="EV32" s="34">
        <v>17000</v>
      </c>
      <c r="EW32" s="34">
        <v>17000</v>
      </c>
      <c r="EX32" s="34">
        <v>16748.593138338001</v>
      </c>
      <c r="EY32" s="34">
        <v>16397.76925929272</v>
      </c>
      <c r="EZ32" s="34">
        <v>16046.94528714757</v>
      </c>
      <c r="FA32" s="34">
        <v>15696.121221864796</v>
      </c>
      <c r="FB32" s="34">
        <v>15345.297063406671</v>
      </c>
      <c r="FC32" s="34">
        <v>14994.472811735366</v>
      </c>
      <c r="FD32" s="34">
        <v>14643.648466813116</v>
      </c>
    </row>
    <row r="33" spans="2:160" ht="13.5" customHeight="1">
      <c r="B33" s="33" t="s">
        <v>553</v>
      </c>
      <c r="C33" s="51"/>
      <c r="D33" s="51"/>
      <c r="E33" s="23"/>
      <c r="G33" s="24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3"/>
      <c r="AF33" s="23"/>
      <c r="AG33" s="23"/>
      <c r="AH33" s="23"/>
      <c r="AI33" s="23"/>
      <c r="AJ33" s="23"/>
      <c r="AK33" s="23"/>
      <c r="AL33" s="23"/>
      <c r="AM33" s="23"/>
      <c r="AN33" s="23"/>
      <c r="AO33" s="23"/>
      <c r="AP33" s="23"/>
      <c r="AQ33" s="23"/>
      <c r="AR33" s="23"/>
      <c r="AS33" s="23"/>
      <c r="AT33" s="23"/>
      <c r="AU33" s="23"/>
      <c r="AV33" s="23"/>
      <c r="AW33" s="23"/>
      <c r="AX33" s="23"/>
      <c r="AY33" s="23"/>
      <c r="AZ33" s="23"/>
      <c r="BA33" s="23"/>
      <c r="BB33" s="23"/>
      <c r="BC33" s="23"/>
      <c r="BD33" s="23"/>
      <c r="BE33" s="23"/>
      <c r="BF33" s="23"/>
      <c r="BG33" s="23"/>
      <c r="BH33" s="23"/>
      <c r="BI33" s="23"/>
      <c r="BJ33" s="23"/>
      <c r="BK33" s="23"/>
      <c r="BL33" s="23"/>
      <c r="BM33" s="23"/>
      <c r="BN33" s="23"/>
      <c r="BO33" s="23"/>
      <c r="BP33" s="23"/>
      <c r="BQ33" s="23"/>
      <c r="BR33" s="23"/>
      <c r="BS33" s="23"/>
      <c r="BT33" s="23"/>
      <c r="BU33" s="23"/>
      <c r="BV33" s="23"/>
      <c r="BW33" s="23"/>
      <c r="BX33" s="23"/>
      <c r="BY33" s="23"/>
      <c r="BZ33" s="23"/>
      <c r="CA33" s="23"/>
      <c r="CB33" s="23"/>
      <c r="CC33" s="23"/>
      <c r="CD33" s="23"/>
      <c r="CE33" s="23"/>
      <c r="CF33" s="23"/>
      <c r="CG33" s="23"/>
      <c r="CH33" s="23"/>
      <c r="CI33" s="23"/>
      <c r="CJ33" s="23"/>
      <c r="CK33" s="23"/>
      <c r="CL33" s="23"/>
      <c r="CM33" s="23"/>
      <c r="CN33" s="23"/>
      <c r="CO33" s="23"/>
      <c r="CP33" s="23"/>
      <c r="CQ33" s="23"/>
      <c r="CR33" s="23"/>
      <c r="CS33" s="23"/>
      <c r="CT33" s="23"/>
      <c r="CU33" s="23"/>
      <c r="CV33" s="23"/>
      <c r="CW33" s="23"/>
      <c r="CX33" s="23"/>
      <c r="CY33" s="23"/>
      <c r="CZ33" s="23"/>
      <c r="DA33" s="23"/>
      <c r="DB33" s="23"/>
      <c r="DC33" s="23"/>
      <c r="DD33" s="23"/>
      <c r="DE33" s="23"/>
      <c r="DF33" s="23"/>
      <c r="DG33" s="23"/>
      <c r="DH33" s="23"/>
      <c r="DI33" s="23"/>
      <c r="DJ33" s="23"/>
      <c r="DK33" s="23"/>
      <c r="DL33" s="23"/>
      <c r="DM33" s="23"/>
      <c r="DN33" s="23"/>
      <c r="DO33" s="23"/>
      <c r="DP33" s="23"/>
      <c r="DQ33" s="23"/>
      <c r="DR33" s="23"/>
      <c r="DS33" s="23"/>
      <c r="DT33" s="23"/>
      <c r="DU33" s="23"/>
      <c r="DV33" s="23"/>
      <c r="DW33" s="23"/>
      <c r="DX33" s="23"/>
      <c r="DY33" s="23"/>
      <c r="DZ33" s="23"/>
      <c r="EA33" s="23"/>
      <c r="EB33" s="23"/>
      <c r="EC33" s="23"/>
      <c r="ED33" s="23"/>
      <c r="EE33" s="23"/>
      <c r="EF33" s="23"/>
      <c r="EG33" s="23"/>
      <c r="EH33" s="23"/>
      <c r="EI33" s="23"/>
      <c r="EJ33" s="23"/>
      <c r="EK33" s="23"/>
      <c r="EL33" s="23"/>
      <c r="EM33" s="23"/>
      <c r="EN33" s="23"/>
      <c r="EO33" s="23"/>
      <c r="EP33" s="23"/>
      <c r="EQ33" s="23"/>
      <c r="ER33" s="23"/>
      <c r="ES33" s="23"/>
      <c r="ET33" s="23"/>
      <c r="EU33" s="23"/>
      <c r="EV33" s="23"/>
      <c r="EW33" s="23"/>
      <c r="EX33" s="23"/>
      <c r="EY33" s="23"/>
      <c r="EZ33" s="23"/>
      <c r="FA33" s="23"/>
      <c r="FB33" s="23"/>
      <c r="FC33" s="23"/>
      <c r="FD33" s="23"/>
    </row>
    <row r="34" spans="2:160" s="144" customFormat="1" ht="13.5" customHeight="1">
      <c r="B34" s="150"/>
      <c r="C34" s="148" t="str">
        <f>'A&amp;R'!Q143</f>
        <v>[연평균 배당수익률]</v>
      </c>
      <c r="D34" s="296"/>
      <c r="E34" s="297">
        <f ca="1">'A&amp;R'!E147</f>
        <v>2.8169872086339892E-2</v>
      </c>
      <c r="G34" s="190">
        <v>1.3468518744906424E-2</v>
      </c>
      <c r="H34" s="297">
        <v>1.613547388910365E-3</v>
      </c>
      <c r="I34" s="297">
        <v>0</v>
      </c>
      <c r="J34" s="297">
        <v>0</v>
      </c>
      <c r="K34" s="297">
        <v>0</v>
      </c>
      <c r="L34" s="297">
        <v>0</v>
      </c>
      <c r="M34" s="297">
        <v>0</v>
      </c>
      <c r="N34" s="297">
        <v>0</v>
      </c>
      <c r="O34" s="297">
        <v>0</v>
      </c>
      <c r="P34" s="297">
        <v>0</v>
      </c>
      <c r="Q34" s="297">
        <v>0</v>
      </c>
      <c r="R34" s="297">
        <v>2.8169872086339892E-2</v>
      </c>
      <c r="S34" s="297">
        <v>1.5873860130100784E-2</v>
      </c>
      <c r="T34" s="297">
        <v>3.577848173861785E-3</v>
      </c>
      <c r="U34" s="297">
        <v>0</v>
      </c>
      <c r="V34" s="297">
        <v>0</v>
      </c>
      <c r="W34" s="297">
        <v>0</v>
      </c>
      <c r="X34" s="297">
        <v>0</v>
      </c>
      <c r="Y34" s="297">
        <v>0</v>
      </c>
      <c r="Z34" s="297">
        <v>0</v>
      </c>
      <c r="AA34" s="297">
        <v>0</v>
      </c>
      <c r="AB34" s="297">
        <v>0</v>
      </c>
      <c r="AC34" s="297">
        <v>4.2871225427773309E-2</v>
      </c>
      <c r="AD34" s="297">
        <v>3.0134172871291304E-2</v>
      </c>
      <c r="AE34" s="297">
        <v>1.7397120314809236E-2</v>
      </c>
      <c r="AF34" s="297">
        <v>4.6600677583272044E-3</v>
      </c>
      <c r="AG34" s="297">
        <v>0</v>
      </c>
      <c r="AH34" s="297">
        <v>0</v>
      </c>
      <c r="AI34" s="297">
        <v>0</v>
      </c>
      <c r="AJ34" s="297">
        <v>0</v>
      </c>
      <c r="AK34" s="297">
        <v>0</v>
      </c>
      <c r="AL34" s="297">
        <v>0</v>
      </c>
      <c r="AM34" s="297">
        <v>0</v>
      </c>
      <c r="AN34" s="297">
        <v>2.8169872086339892E-2</v>
      </c>
      <c r="AO34" s="297">
        <v>1.5873860130100784E-2</v>
      </c>
      <c r="AP34" s="297">
        <v>3.577848173861785E-3</v>
      </c>
      <c r="AQ34" s="297">
        <v>0</v>
      </c>
      <c r="AR34" s="297">
        <v>0</v>
      </c>
      <c r="AS34" s="297">
        <v>0</v>
      </c>
      <c r="AT34" s="297">
        <v>0</v>
      </c>
      <c r="AU34" s="297">
        <v>0</v>
      </c>
      <c r="AV34" s="297">
        <v>0</v>
      </c>
      <c r="AW34" s="297">
        <v>0</v>
      </c>
      <c r="AX34" s="297">
        <v>0</v>
      </c>
      <c r="AY34" s="297">
        <v>2.8169872086339892E-2</v>
      </c>
      <c r="AZ34" s="297">
        <v>1.5873860130100784E-2</v>
      </c>
      <c r="BA34" s="297">
        <v>3.577848173861785E-3</v>
      </c>
      <c r="BB34" s="297">
        <v>0</v>
      </c>
      <c r="BC34" s="297">
        <v>0</v>
      </c>
      <c r="BD34" s="297">
        <v>0</v>
      </c>
      <c r="BE34" s="297">
        <v>0</v>
      </c>
      <c r="BF34" s="297">
        <v>0</v>
      </c>
      <c r="BG34" s="297">
        <v>0</v>
      </c>
      <c r="BH34" s="297">
        <v>0</v>
      </c>
      <c r="BI34" s="297">
        <v>0</v>
      </c>
      <c r="BJ34" s="297">
        <v>2.8169872086339892E-2</v>
      </c>
      <c r="BK34" s="297">
        <v>1.5873860130100784E-2</v>
      </c>
      <c r="BL34" s="297">
        <v>3.577848173861785E-3</v>
      </c>
      <c r="BM34" s="297">
        <v>0</v>
      </c>
      <c r="BN34" s="297">
        <v>0</v>
      </c>
      <c r="BO34" s="297">
        <v>0</v>
      </c>
      <c r="BP34" s="297">
        <v>0</v>
      </c>
      <c r="BQ34" s="297">
        <v>0</v>
      </c>
      <c r="BR34" s="297">
        <v>0</v>
      </c>
      <c r="BS34" s="297">
        <v>0</v>
      </c>
      <c r="BT34" s="297">
        <v>0</v>
      </c>
      <c r="BU34" s="297">
        <v>2.8169872086339892E-2</v>
      </c>
      <c r="BV34" s="297">
        <v>1.5873860130100784E-2</v>
      </c>
      <c r="BW34" s="297">
        <v>3.577848173861785E-3</v>
      </c>
      <c r="BX34" s="297">
        <v>0</v>
      </c>
      <c r="BY34" s="297">
        <v>0</v>
      </c>
      <c r="BZ34" s="297">
        <v>0</v>
      </c>
      <c r="CA34" s="297">
        <v>0</v>
      </c>
      <c r="CB34" s="297">
        <v>0</v>
      </c>
      <c r="CC34" s="297">
        <v>0</v>
      </c>
      <c r="CD34" s="297">
        <v>0</v>
      </c>
      <c r="CE34" s="297">
        <v>0</v>
      </c>
      <c r="CF34" s="297">
        <v>2.8169872086339892E-2</v>
      </c>
      <c r="CG34" s="297">
        <v>1.5873860130100784E-2</v>
      </c>
      <c r="CH34" s="297">
        <v>3.577848173861785E-3</v>
      </c>
      <c r="CI34" s="297">
        <v>0</v>
      </c>
      <c r="CJ34" s="297">
        <v>0</v>
      </c>
      <c r="CK34" s="297">
        <v>0</v>
      </c>
      <c r="CL34" s="297">
        <v>0</v>
      </c>
      <c r="CM34" s="297">
        <v>0</v>
      </c>
      <c r="CN34" s="297">
        <v>0</v>
      </c>
      <c r="CO34" s="297">
        <v>0</v>
      </c>
      <c r="CP34" s="297">
        <v>0</v>
      </c>
      <c r="CQ34" s="297">
        <v>2.8169872086339892E-2</v>
      </c>
      <c r="CR34" s="297">
        <v>1.5873860130100784E-2</v>
      </c>
      <c r="CS34" s="297">
        <v>3.577848173861785E-3</v>
      </c>
      <c r="CT34" s="297">
        <v>0</v>
      </c>
      <c r="CU34" s="297">
        <v>0</v>
      </c>
      <c r="CV34" s="297">
        <v>0</v>
      </c>
      <c r="CW34" s="297">
        <v>0</v>
      </c>
      <c r="CX34" s="297">
        <v>0</v>
      </c>
      <c r="CY34" s="297">
        <v>0</v>
      </c>
      <c r="CZ34" s="297">
        <v>0</v>
      </c>
      <c r="DA34" s="297">
        <v>0</v>
      </c>
      <c r="DB34" s="297">
        <v>2.8169872086339892E-2</v>
      </c>
      <c r="DC34" s="297">
        <v>1.5873860130100784E-2</v>
      </c>
      <c r="DD34" s="297">
        <v>3.577848173861785E-3</v>
      </c>
      <c r="DE34" s="297">
        <v>0</v>
      </c>
      <c r="DF34" s="297">
        <v>0</v>
      </c>
      <c r="DG34" s="297">
        <v>0</v>
      </c>
      <c r="DH34" s="297">
        <v>0</v>
      </c>
      <c r="DI34" s="297">
        <v>0</v>
      </c>
      <c r="DJ34" s="297">
        <v>0</v>
      </c>
      <c r="DK34" s="297">
        <v>0</v>
      </c>
      <c r="DL34" s="297">
        <v>0</v>
      </c>
      <c r="DM34" s="297">
        <v>2.8169872086339892E-2</v>
      </c>
      <c r="DN34" s="297">
        <v>1.5873860130100784E-2</v>
      </c>
      <c r="DO34" s="297">
        <v>3.577848173861785E-3</v>
      </c>
      <c r="DP34" s="297">
        <v>0</v>
      </c>
      <c r="DQ34" s="297">
        <v>0</v>
      </c>
      <c r="DR34" s="297">
        <v>0</v>
      </c>
      <c r="DS34" s="297">
        <v>0</v>
      </c>
      <c r="DT34" s="297">
        <v>0</v>
      </c>
      <c r="DU34" s="297">
        <v>0</v>
      </c>
      <c r="DV34" s="297">
        <v>0</v>
      </c>
      <c r="DW34" s="297">
        <v>0</v>
      </c>
      <c r="DX34" s="297">
        <v>2.8169872086339892E-2</v>
      </c>
      <c r="DY34" s="297">
        <v>1.5873860130100784E-2</v>
      </c>
      <c r="DZ34" s="297">
        <v>3.577848173861785E-3</v>
      </c>
      <c r="EA34" s="297">
        <v>0</v>
      </c>
      <c r="EB34" s="297">
        <v>0</v>
      </c>
      <c r="EC34" s="297">
        <v>0</v>
      </c>
      <c r="ED34" s="297">
        <v>0</v>
      </c>
      <c r="EE34" s="297">
        <v>0</v>
      </c>
      <c r="EF34" s="297">
        <v>0</v>
      </c>
      <c r="EG34" s="297">
        <v>0</v>
      </c>
      <c r="EH34" s="297">
        <v>0</v>
      </c>
      <c r="EI34" s="297">
        <v>2.8169872086339892E-2</v>
      </c>
      <c r="EJ34" s="297">
        <v>1.5873860130100784E-2</v>
      </c>
      <c r="EK34" s="297">
        <v>3.577848173861785E-3</v>
      </c>
      <c r="EL34" s="297">
        <v>0</v>
      </c>
      <c r="EM34" s="297">
        <v>0</v>
      </c>
      <c r="EN34" s="297">
        <v>0</v>
      </c>
      <c r="EO34" s="297">
        <v>0</v>
      </c>
      <c r="EP34" s="297">
        <v>0</v>
      </c>
      <c r="EQ34" s="297">
        <v>0</v>
      </c>
      <c r="ER34" s="297">
        <v>0</v>
      </c>
      <c r="ES34" s="297">
        <v>0</v>
      </c>
      <c r="ET34" s="297">
        <v>2.8169872086339892E-2</v>
      </c>
      <c r="EU34" s="297">
        <v>1.5873860130100784E-2</v>
      </c>
      <c r="EV34" s="297">
        <v>3.577848173861785E-3</v>
      </c>
      <c r="EW34" s="297">
        <v>0</v>
      </c>
      <c r="EX34" s="297">
        <v>0</v>
      </c>
      <c r="EY34" s="297">
        <v>0</v>
      </c>
      <c r="EZ34" s="297">
        <v>0</v>
      </c>
      <c r="FA34" s="297">
        <v>0</v>
      </c>
      <c r="FB34" s="297">
        <v>0</v>
      </c>
      <c r="FC34" s="297">
        <v>0</v>
      </c>
      <c r="FD34" s="297">
        <v>0</v>
      </c>
    </row>
    <row r="35" spans="2:160" s="144" customFormat="1" ht="13.5" customHeight="1">
      <c r="B35" s="152"/>
      <c r="C35" s="152" t="str">
        <f>'A&amp;R'!Q156</f>
        <v>[Equity IRR]</v>
      </c>
      <c r="D35" s="145"/>
      <c r="E35" s="158">
        <f ca="1">'A&amp;R'!E148</f>
        <v>0.11927883625030516</v>
      </c>
      <c r="G35" s="194">
        <v>7.0526595115661617E-2</v>
      </c>
      <c r="H35" s="158">
        <v>6.0570120811462395E-2</v>
      </c>
      <c r="I35" s="158">
        <v>5.0273880958557129E-2</v>
      </c>
      <c r="J35" s="158">
        <v>3.9598603248596195E-2</v>
      </c>
      <c r="K35" s="158">
        <v>2.8424887657165519E-2</v>
      </c>
      <c r="L35" s="158">
        <v>1.6742968559265142E-2</v>
      </c>
      <c r="M35" s="158">
        <v>4.4977045059204105E-3</v>
      </c>
      <c r="N35" s="158">
        <v>-8.3759903907775889E-3</v>
      </c>
      <c r="O35" s="158">
        <v>-2.1955669410526756E-2</v>
      </c>
      <c r="P35" s="158">
        <v>-3.6334899403154854E-2</v>
      </c>
      <c r="Q35" s="158">
        <v>-5.1628084070980552E-2</v>
      </c>
      <c r="R35" s="158">
        <v>0.11927883625030516</v>
      </c>
      <c r="S35" s="158">
        <v>0.10995384693145752</v>
      </c>
      <c r="T35" s="158">
        <v>0.10094439029693603</v>
      </c>
      <c r="U35" s="158">
        <v>9.1771664619445803E-2</v>
      </c>
      <c r="V35" s="158">
        <v>8.2314591407775861E-2</v>
      </c>
      <c r="W35" s="158">
        <v>7.2480874061584488E-2</v>
      </c>
      <c r="X35" s="158">
        <v>6.2272410392761227E-2</v>
      </c>
      <c r="Y35" s="158">
        <v>5.165544986724855E-2</v>
      </c>
      <c r="Z35" s="158">
        <v>4.0591263771057123E-2</v>
      </c>
      <c r="AA35" s="158">
        <v>2.9035105705261226E-2</v>
      </c>
      <c r="AB35" s="158">
        <v>1.6934847831726076E-2</v>
      </c>
      <c r="AC35" s="158">
        <v>0.16154545307159424</v>
      </c>
      <c r="AD35" s="158">
        <v>0.15272207736968996</v>
      </c>
      <c r="AE35" s="158">
        <v>0.14395086765289311</v>
      </c>
      <c r="AF35" s="158">
        <v>0.13556275844573973</v>
      </c>
      <c r="AG35" s="158">
        <v>0.12718266010284424</v>
      </c>
      <c r="AH35" s="158">
        <v>0.11857582569122316</v>
      </c>
      <c r="AI35" s="158">
        <v>0.10966630458831786</v>
      </c>
      <c r="AJ35" s="158">
        <v>0.10046088695526123</v>
      </c>
      <c r="AK35" s="158">
        <v>9.0936493873596203E-2</v>
      </c>
      <c r="AL35" s="158">
        <v>8.106714725494385E-2</v>
      </c>
      <c r="AM35" s="158">
        <v>7.0823388099670426E-2</v>
      </c>
      <c r="AN35" s="158">
        <v>0.18957708835601805</v>
      </c>
      <c r="AO35" s="158">
        <v>0.18196803569793701</v>
      </c>
      <c r="AP35" s="158">
        <v>0.17492944240570069</v>
      </c>
      <c r="AQ35" s="158">
        <v>0.16789431095123286</v>
      </c>
      <c r="AR35" s="158">
        <v>0.16071173191070554</v>
      </c>
      <c r="AS35" s="158">
        <v>0.15332142353057859</v>
      </c>
      <c r="AT35" s="158">
        <v>0.1457365560531616</v>
      </c>
      <c r="AU35" s="158">
        <v>0.13794520854949954</v>
      </c>
      <c r="AV35" s="158">
        <v>0.12993427753448489</v>
      </c>
      <c r="AW35" s="158">
        <v>0.12168933391571043</v>
      </c>
      <c r="AX35" s="158">
        <v>0.11319442272186278</v>
      </c>
      <c r="AY35" s="158">
        <v>0.16644913196563721</v>
      </c>
      <c r="AZ35" s="158">
        <v>0.15832607746124266</v>
      </c>
      <c r="BA35" s="158">
        <v>0.15070744991302487</v>
      </c>
      <c r="BB35" s="158">
        <v>0.14304955005645753</v>
      </c>
      <c r="BC35" s="158">
        <v>0.13520946979522702</v>
      </c>
      <c r="BD35" s="158">
        <v>0.12711873531341555</v>
      </c>
      <c r="BE35" s="158">
        <v>0.11878862857818601</v>
      </c>
      <c r="BF35" s="158">
        <v>0.11020259380340575</v>
      </c>
      <c r="BG35" s="158">
        <v>0.10134223461151123</v>
      </c>
      <c r="BH35" s="158">
        <v>9.2186999320983898E-2</v>
      </c>
      <c r="BI35" s="158">
        <v>8.2713856697082505E-2</v>
      </c>
      <c r="BJ35" s="158">
        <v>0.14305799961090088</v>
      </c>
      <c r="BK35" s="158">
        <v>0.1343666791915894</v>
      </c>
      <c r="BL35" s="158">
        <v>0.12609641551971434</v>
      </c>
      <c r="BM35" s="158">
        <v>0.11773257732391354</v>
      </c>
      <c r="BN35" s="158">
        <v>0.1091421175003052</v>
      </c>
      <c r="BO35" s="158">
        <v>0.1002462339401245</v>
      </c>
      <c r="BP35" s="158">
        <v>9.105277538299561E-2</v>
      </c>
      <c r="BQ35" s="158">
        <v>8.1538348197936983E-2</v>
      </c>
      <c r="BR35" s="158">
        <v>7.1676592826843272E-2</v>
      </c>
      <c r="BS35" s="158">
        <v>6.1437611579895017E-2</v>
      </c>
      <c r="BT35" s="158">
        <v>5.0787301063537592E-2</v>
      </c>
      <c r="BU35" s="158">
        <v>0.11927883625030516</v>
      </c>
      <c r="BV35" s="158">
        <v>0.10995384693145752</v>
      </c>
      <c r="BW35" s="158">
        <v>0.10094439029693603</v>
      </c>
      <c r="BX35" s="158">
        <v>9.1771664619445803E-2</v>
      </c>
      <c r="BY35" s="158">
        <v>8.2314591407775861E-2</v>
      </c>
      <c r="BZ35" s="158">
        <v>7.2480874061584488E-2</v>
      </c>
      <c r="CA35" s="158">
        <v>6.2272410392761227E-2</v>
      </c>
      <c r="CB35" s="158">
        <v>5.165544986724855E-2</v>
      </c>
      <c r="CC35" s="158">
        <v>4.0591263771057123E-2</v>
      </c>
      <c r="CD35" s="158">
        <v>2.9035105705261226E-2</v>
      </c>
      <c r="CE35" s="158">
        <v>1.6934847831726076E-2</v>
      </c>
      <c r="CF35" s="158">
        <v>9.4968829154968265E-2</v>
      </c>
      <c r="CG35" s="158">
        <v>8.4930205345153803E-2</v>
      </c>
      <c r="CH35" s="158">
        <v>7.5072798728942874E-2</v>
      </c>
      <c r="CI35" s="158">
        <v>6.4961514472961446E-2</v>
      </c>
      <c r="CJ35" s="158">
        <v>5.4489445686340329E-2</v>
      </c>
      <c r="CK35" s="158">
        <v>4.3546013832092285E-2</v>
      </c>
      <c r="CL35" s="158">
        <v>3.2122950553894039E-2</v>
      </c>
      <c r="CM35" s="158">
        <v>2.0170207023620604E-2</v>
      </c>
      <c r="CN35" s="158">
        <v>7.6290941238403324E-3</v>
      </c>
      <c r="CO35" s="158">
        <v>-5.5698442459106443E-3</v>
      </c>
      <c r="CP35" s="158">
        <v>-1.950972612947225E-2</v>
      </c>
      <c r="CQ35" s="158">
        <v>6.9959845542907739E-2</v>
      </c>
      <c r="CR35" s="158">
        <v>5.9108271598815917E-2</v>
      </c>
      <c r="CS35" s="158">
        <v>4.8265252113342282E-2</v>
      </c>
      <c r="CT35" s="158">
        <v>3.7048611640930179E-2</v>
      </c>
      <c r="CU35" s="158">
        <v>2.536756992340088E-2</v>
      </c>
      <c r="CV35" s="158">
        <v>1.3085761070251466E-2</v>
      </c>
      <c r="CW35" s="158">
        <v>1.7731189727783204E-4</v>
      </c>
      <c r="CX35" s="158">
        <v>-1.3434650786221025E-2</v>
      </c>
      <c r="CY35" s="158">
        <v>-2.7842721231281758E-2</v>
      </c>
      <c r="CZ35" s="158">
        <v>-4.3160010911524306E-2</v>
      </c>
      <c r="DA35" s="158">
        <v>-5.9526739008724704E-2</v>
      </c>
      <c r="DB35" s="158">
        <v>4.1857571601867677E-2</v>
      </c>
      <c r="DC35" s="158">
        <v>2.930351734161377E-2</v>
      </c>
      <c r="DD35" s="158">
        <v>1.6445879936218263E-2</v>
      </c>
      <c r="DE35" s="158">
        <v>2.9563188552856447E-3</v>
      </c>
      <c r="DF35" s="158">
        <v>-1.1251030229032042E-2</v>
      </c>
      <c r="DG35" s="158">
        <v>-2.637568634003401E-2</v>
      </c>
      <c r="DH35" s="158">
        <v>-4.2503850050270561E-2</v>
      </c>
      <c r="DI35" s="158">
        <v>-5.9798989929258826E-2</v>
      </c>
      <c r="DJ35" s="158">
        <v>-7.8470173440873647E-2</v>
      </c>
      <c r="DK35" s="158">
        <v>-9.8791237361729151E-2</v>
      </c>
      <c r="DL35" s="158">
        <v>-0.12113148700445892</v>
      </c>
      <c r="DM35" s="158">
        <v>-9.2241334915161149E-3</v>
      </c>
      <c r="DN35" s="158">
        <v>-2.4160887114703655E-2</v>
      </c>
      <c r="DO35" s="158">
        <v>-4.0088605992496008E-2</v>
      </c>
      <c r="DP35" s="158">
        <v>-5.7208283804357059E-2</v>
      </c>
      <c r="DQ35" s="158">
        <v>-7.5605460889637488E-2</v>
      </c>
      <c r="DR35" s="158">
        <v>-9.5663825906813132E-2</v>
      </c>
      <c r="DS35" s="158">
        <v>-0.11767943236976862</v>
      </c>
      <c r="DT35" s="158">
        <v>-0.14214256059378388</v>
      </c>
      <c r="DU35" s="158">
        <v>-0.16976602707058186</v>
      </c>
      <c r="DV35" s="158">
        <v>-0.20164930950850249</v>
      </c>
      <c r="DW35" s="158">
        <v>-0.23963364951312544</v>
      </c>
      <c r="DX35" s="158">
        <v>-6.9841722287237645E-2</v>
      </c>
      <c r="DY35" s="158">
        <v>-8.8479565940797339E-2</v>
      </c>
      <c r="DZ35" s="158">
        <v>-0.10950276579707863</v>
      </c>
      <c r="EA35" s="158">
        <v>-0.13302528958767654</v>
      </c>
      <c r="EB35" s="158">
        <v>-0.15932427857071157</v>
      </c>
      <c r="EC35" s="158">
        <v>-0.18950361397117377</v>
      </c>
      <c r="ED35" s="158">
        <v>-0.22499435018748046</v>
      </c>
      <c r="EE35" s="158">
        <v>-0.26851412821561099</v>
      </c>
      <c r="EF35" s="158">
        <v>-0.32584975533187388</v>
      </c>
      <c r="EG35" s="158">
        <v>-0.41409331914037467</v>
      </c>
      <c r="EH35" s="158" t="e">
        <v>#NUM!</v>
      </c>
      <c r="EI35" s="158">
        <v>-0.14738809306174513</v>
      </c>
      <c r="EJ35" s="158">
        <v>-0.17287311743944886</v>
      </c>
      <c r="EK35" s="158">
        <v>-0.20445167947560547</v>
      </c>
      <c r="EL35" s="158">
        <v>-0.24306541625410316</v>
      </c>
      <c r="EM35" s="158">
        <v>-0.29149983603507279</v>
      </c>
      <c r="EN35" s="158">
        <v>-0.35886348392814404</v>
      </c>
      <c r="EO35" s="158">
        <v>-0.47975644802674644</v>
      </c>
      <c r="EP35" s="158" t="e">
        <v>#NUM!</v>
      </c>
      <c r="EQ35" s="158" t="e">
        <v>#NUM!</v>
      </c>
      <c r="ER35" s="158" t="e">
        <v>#NUM!</v>
      </c>
      <c r="ES35" s="158" t="e">
        <v>#NUM!</v>
      </c>
      <c r="ET35" s="158">
        <v>-0.26460316739976414</v>
      </c>
      <c r="EU35" s="158">
        <v>-0.3094783065468073</v>
      </c>
      <c r="EV35" s="158">
        <v>-0.38225575545802704</v>
      </c>
      <c r="EW35" s="158">
        <v>-0.54406654663383969</v>
      </c>
      <c r="EX35" s="158" t="e">
        <v>#NUM!</v>
      </c>
      <c r="EY35" s="158" t="e">
        <v>#NUM!</v>
      </c>
      <c r="EZ35" s="158" t="e">
        <v>#NUM!</v>
      </c>
      <c r="FA35" s="158" t="e">
        <v>#NUM!</v>
      </c>
      <c r="FB35" s="158" t="e">
        <v>#NUM!</v>
      </c>
      <c r="FC35" s="158" t="e">
        <v>#NUM!</v>
      </c>
      <c r="FD35" s="158" t="e">
        <v>#NUM!</v>
      </c>
    </row>
  </sheetData>
  <phoneticPr fontId="2" type="noConversion"/>
  <printOptions horizontalCentered="1"/>
  <pageMargins left="0.31496062992125984" right="0.31496062992125984" top="0.55118110236220474" bottom="0.55118110236220474" header="0.31496062992125984" footer="0.31496062992125984"/>
  <pageSetup paperSize="8" scale="70" orientation="landscape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8</vt:i4>
      </vt:variant>
      <vt:variant>
        <vt:lpstr>이름 지정된 범위</vt:lpstr>
      </vt:variant>
      <vt:variant>
        <vt:i4>12</vt:i4>
      </vt:variant>
    </vt:vector>
  </HeadingPairs>
  <TitlesOfParts>
    <vt:vector size="20" baseType="lpstr">
      <vt:lpstr>A&amp;R</vt:lpstr>
      <vt:lpstr>운영수입</vt:lpstr>
      <vt:lpstr>운영비용</vt:lpstr>
      <vt:lpstr>보유세</vt:lpstr>
      <vt:lpstr>펀드비용</vt:lpstr>
      <vt:lpstr>현금흐름</vt:lpstr>
      <vt:lpstr>배당</vt:lpstr>
      <vt:lpstr>민감도분석</vt:lpstr>
      <vt:lpstr>acq</vt:lpstr>
      <vt:lpstr>Cir</vt:lpstr>
      <vt:lpstr>ES</vt:lpstr>
      <vt:lpstr>exit</vt:lpstr>
      <vt:lpstr>Output</vt:lpstr>
      <vt:lpstr>period</vt:lpstr>
      <vt:lpstr>py</vt:lpstr>
      <vt:lpstr>Ref</vt:lpstr>
      <vt:lpstr>Result</vt:lpstr>
      <vt:lpstr>SS</vt:lpstr>
      <vt:lpstr>start</vt:lpstr>
      <vt:lpstr>unit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Fastcampus</dc:creator>
  <cp:lastModifiedBy>fc</cp:lastModifiedBy>
  <cp:lastPrinted>2021-07-18T07:35:46Z</cp:lastPrinted>
  <dcterms:created xsi:type="dcterms:W3CDTF">2021-07-04T01:49:30Z</dcterms:created>
  <dcterms:modified xsi:type="dcterms:W3CDTF">2021-07-24T01:37:16Z</dcterms:modified>
</cp:coreProperties>
</file>