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wchae23\QuantifyPro\workplace\KPD\회귀분석 및 딥러닝\"/>
    </mc:Choice>
  </mc:AlternateContent>
  <xr:revisionPtr revIDLastSave="0" documentId="13_ncr:1_{788A2CCF-4147-40B5-BD5A-512D02548718}" xr6:coauthVersionLast="47" xr6:coauthVersionMax="47" xr10:uidLastSave="{00000000-0000-0000-0000-000000000000}"/>
  <bookViews>
    <workbookView xWindow="28680" yWindow="-120" windowWidth="29040" windowHeight="15720" xr2:uid="{6E6738BD-ACEE-4BD3-B4C0-5CEE9EDC9CEB}"/>
  </bookViews>
  <sheets>
    <sheet name="test" sheetId="1" r:id="rId1"/>
    <sheet name="numbers" sheetId="2" r:id="rId2"/>
  </sheets>
  <calcPr calcId="191029" iterate="1" iterateCount="200" iterateDelta="0.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1" i="2" l="1"/>
  <c r="G31" i="2"/>
  <c r="C31" i="2"/>
  <c r="F31" i="2" s="1"/>
  <c r="H30" i="2"/>
  <c r="G30" i="2"/>
  <c r="C30" i="2"/>
  <c r="F30" i="2" s="1"/>
  <c r="H29" i="2"/>
  <c r="G29" i="2"/>
  <c r="C29" i="2"/>
  <c r="F29" i="2" s="1"/>
  <c r="H28" i="2"/>
  <c r="G28" i="2"/>
  <c r="C28" i="2"/>
  <c r="F28" i="2" s="1"/>
  <c r="H27" i="2"/>
  <c r="G27" i="2"/>
  <c r="C27" i="2"/>
  <c r="F27" i="2" s="1"/>
  <c r="H26" i="2"/>
  <c r="G26" i="2"/>
  <c r="F26" i="2"/>
  <c r="C26" i="2"/>
  <c r="H25" i="2"/>
  <c r="G25" i="2"/>
  <c r="C25" i="2"/>
  <c r="F25" i="2" s="1"/>
  <c r="H24" i="2"/>
  <c r="G24" i="2"/>
  <c r="C24" i="2"/>
  <c r="F24" i="2" s="1"/>
  <c r="H23" i="2"/>
  <c r="G23" i="2"/>
  <c r="C23" i="2"/>
  <c r="F23" i="2" s="1"/>
  <c r="H22" i="2"/>
  <c r="G22" i="2"/>
  <c r="C22" i="2"/>
  <c r="F22" i="2" s="1"/>
  <c r="H21" i="2"/>
  <c r="G21" i="2"/>
  <c r="C21" i="2"/>
  <c r="F21" i="2" s="1"/>
  <c r="H20" i="2"/>
  <c r="G20" i="2"/>
  <c r="C20" i="2"/>
  <c r="F20" i="2" s="1"/>
  <c r="H19" i="2"/>
  <c r="G19" i="2"/>
  <c r="C19" i="2"/>
  <c r="F19" i="2" s="1"/>
  <c r="H18" i="2"/>
  <c r="G18" i="2"/>
  <c r="C18" i="2"/>
  <c r="F18" i="2" s="1"/>
  <c r="H17" i="2"/>
  <c r="G17" i="2"/>
  <c r="C17" i="2"/>
  <c r="F17" i="2" s="1"/>
  <c r="H16" i="2"/>
  <c r="G16" i="2"/>
  <c r="C16" i="2"/>
  <c r="F16" i="2" s="1"/>
  <c r="H15" i="2"/>
  <c r="G15" i="2"/>
  <c r="C15" i="2"/>
  <c r="F15" i="2" s="1"/>
  <c r="H14" i="2"/>
  <c r="G14" i="2"/>
  <c r="C14" i="2"/>
  <c r="F14" i="2" s="1"/>
  <c r="H13" i="2"/>
  <c r="G13" i="2"/>
  <c r="C13" i="2"/>
  <c r="F13" i="2" s="1"/>
  <c r="H12" i="2"/>
  <c r="G12" i="2"/>
  <c r="C12" i="2"/>
  <c r="F12" i="2" s="1"/>
  <c r="H11" i="2"/>
  <c r="G11" i="2"/>
  <c r="C11" i="2"/>
  <c r="F11" i="2" s="1"/>
  <c r="H10" i="2"/>
  <c r="G10" i="2"/>
  <c r="C10" i="2"/>
  <c r="F10" i="2" s="1"/>
  <c r="H9" i="2"/>
  <c r="G9" i="2"/>
  <c r="C9" i="2"/>
  <c r="F9" i="2" s="1"/>
  <c r="H8" i="2"/>
  <c r="G8" i="2"/>
  <c r="C8" i="2"/>
  <c r="F8" i="2" s="1"/>
  <c r="H7" i="2"/>
  <c r="G7" i="2"/>
  <c r="C7" i="2"/>
  <c r="F7" i="2" s="1"/>
  <c r="H6" i="2"/>
  <c r="G6" i="2"/>
  <c r="C6" i="2"/>
  <c r="F6" i="2" s="1"/>
  <c r="H5" i="2"/>
  <c r="G5" i="2"/>
  <c r="C5" i="2"/>
  <c r="F5" i="2" s="1"/>
  <c r="H4" i="2"/>
  <c r="G4" i="2"/>
  <c r="C4" i="2"/>
  <c r="F4" i="2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H3" i="2"/>
  <c r="G3" i="2"/>
  <c r="C3" i="2"/>
  <c r="F3" i="2" s="1"/>
  <c r="H2" i="2"/>
  <c r="G2" i="2"/>
  <c r="C2" i="2"/>
  <c r="F2" i="2" s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</calcChain>
</file>

<file path=xl/sharedStrings.xml><?xml version="1.0" encoding="utf-8"?>
<sst xmlns="http://schemas.openxmlformats.org/spreadsheetml/2006/main" count="13" uniqueCount="8">
  <si>
    <t>기업</t>
    <phoneticPr fontId="2" type="noConversion"/>
  </si>
  <si>
    <t>매출</t>
    <phoneticPr fontId="2" type="noConversion"/>
  </si>
  <si>
    <t>매출원가</t>
    <phoneticPr fontId="2" type="noConversion"/>
  </si>
  <si>
    <t>변동비</t>
    <phoneticPr fontId="2" type="noConversion"/>
  </si>
  <si>
    <t>고정비</t>
    <phoneticPr fontId="2" type="noConversion"/>
  </si>
  <si>
    <t>원가율</t>
    <phoneticPr fontId="2" type="noConversion"/>
  </si>
  <si>
    <t>매출대비변동비율</t>
    <phoneticPr fontId="2" type="noConversion"/>
  </si>
  <si>
    <t>매출대비고정비율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</si>
</sst>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8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41" fontId="0" fillId="0" borderId="0" xfId="1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32E0-6C04-4FB5-B37C-DACAD90AE4CB}">
  <dimension ref="A1:E31"/>
  <sheetViews>
    <sheetView tabSelected="1" workbookViewId="0">
      <selection activeCell="G1" sqref="G1"/>
    </sheetView>
  </sheetViews>
  <sheetFormatPr defaultRowHeight="12" x14ac:dyDescent="0.2"/>
  <cols>
    <col min="2" max="5" width="17.7109375" customWidth="1"/>
    <col min="7" max="8" width="16.1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1</v>
      </c>
      <c r="B2" s="1">
        <v>1092434.9547999999</v>
      </c>
      <c r="C2" s="1">
        <f>SUM(D2:E2)</f>
        <v>512329</v>
      </c>
      <c r="D2" s="1">
        <v>204813</v>
      </c>
      <c r="E2" s="1">
        <v>307516</v>
      </c>
    </row>
    <row r="3" spans="1:5" x14ac:dyDescent="0.2">
      <c r="A3">
        <v>2</v>
      </c>
      <c r="B3" s="1">
        <v>230043.59679000004</v>
      </c>
      <c r="C3" s="1">
        <f t="shared" ref="C3:C31" si="0">SUM(D3:E3)</f>
        <v>219845</v>
      </c>
      <c r="D3" s="1">
        <v>175032</v>
      </c>
      <c r="E3" s="1">
        <v>44813</v>
      </c>
    </row>
    <row r="4" spans="1:5" x14ac:dyDescent="0.2">
      <c r="A4">
        <f>A3+1</f>
        <v>3</v>
      </c>
      <c r="B4" s="1">
        <v>116973.84742999998</v>
      </c>
      <c r="C4" s="1">
        <f t="shared" si="0"/>
        <v>47393.596393125001</v>
      </c>
      <c r="D4" s="1">
        <v>21932.596393124997</v>
      </c>
      <c r="E4" s="1">
        <v>25461</v>
      </c>
    </row>
    <row r="5" spans="1:5" x14ac:dyDescent="0.2">
      <c r="A5">
        <f t="shared" ref="A5:A31" si="1">A4+1</f>
        <v>4</v>
      </c>
      <c r="B5" s="1">
        <v>201443.58650999999</v>
      </c>
      <c r="C5" s="1">
        <f t="shared" si="0"/>
        <v>99281</v>
      </c>
      <c r="D5" s="1">
        <v>44158</v>
      </c>
      <c r="E5" s="1">
        <v>55123</v>
      </c>
    </row>
    <row r="6" spans="1:5" x14ac:dyDescent="0.2">
      <c r="A6">
        <f t="shared" si="1"/>
        <v>5</v>
      </c>
      <c r="B6" s="1">
        <v>38056.678569999996</v>
      </c>
      <c r="C6" s="1">
        <f t="shared" si="0"/>
        <v>26426</v>
      </c>
      <c r="D6" s="1">
        <v>22013</v>
      </c>
      <c r="E6" s="1">
        <v>4413</v>
      </c>
    </row>
    <row r="7" spans="1:5" x14ac:dyDescent="0.2">
      <c r="A7">
        <f t="shared" si="1"/>
        <v>6</v>
      </c>
      <c r="B7" s="1">
        <v>3538368.0881699994</v>
      </c>
      <c r="C7" s="1">
        <f t="shared" si="0"/>
        <v>2102255</v>
      </c>
      <c r="D7" s="1">
        <v>1548132</v>
      </c>
      <c r="E7" s="1">
        <v>554123</v>
      </c>
    </row>
    <row r="8" spans="1:5" x14ac:dyDescent="0.2">
      <c r="A8">
        <f t="shared" si="1"/>
        <v>7</v>
      </c>
      <c r="B8" s="1">
        <v>166435.63034</v>
      </c>
      <c r="C8" s="1">
        <f t="shared" si="0"/>
        <v>114542</v>
      </c>
      <c r="D8" s="1">
        <v>88761</v>
      </c>
      <c r="E8" s="1">
        <v>25781</v>
      </c>
    </row>
    <row r="9" spans="1:5" x14ac:dyDescent="0.2">
      <c r="A9">
        <f t="shared" si="1"/>
        <v>8</v>
      </c>
      <c r="B9" s="1">
        <v>2379091.3913400001</v>
      </c>
      <c r="C9" s="1">
        <f t="shared" si="0"/>
        <v>2019695</v>
      </c>
      <c r="D9" s="1">
        <v>887621</v>
      </c>
      <c r="E9" s="1">
        <v>1132074</v>
      </c>
    </row>
    <row r="10" spans="1:5" x14ac:dyDescent="0.2">
      <c r="A10">
        <f t="shared" si="1"/>
        <v>9</v>
      </c>
      <c r="B10" s="1">
        <v>34875.201950000002</v>
      </c>
      <c r="C10" s="1">
        <f t="shared" si="0"/>
        <v>25959</v>
      </c>
      <c r="D10" s="1">
        <v>20418</v>
      </c>
      <c r="E10" s="1">
        <v>5541</v>
      </c>
    </row>
    <row r="11" spans="1:5" x14ac:dyDescent="0.2">
      <c r="A11">
        <f t="shared" si="1"/>
        <v>10</v>
      </c>
      <c r="B11" s="1">
        <v>660334.41209999984</v>
      </c>
      <c r="C11" s="1">
        <f t="shared" si="0"/>
        <v>635332</v>
      </c>
      <c r="D11" s="1">
        <v>330481</v>
      </c>
      <c r="E11" s="1">
        <v>304851</v>
      </c>
    </row>
    <row r="12" spans="1:5" x14ac:dyDescent="0.2">
      <c r="A12">
        <f t="shared" si="1"/>
        <v>11</v>
      </c>
      <c r="B12" s="1">
        <v>1495401.3734299997</v>
      </c>
      <c r="C12" s="1">
        <f t="shared" si="0"/>
        <v>1297646</v>
      </c>
      <c r="D12" s="1">
        <v>841231</v>
      </c>
      <c r="E12" s="1">
        <v>456415</v>
      </c>
    </row>
    <row r="13" spans="1:5" x14ac:dyDescent="0.2">
      <c r="A13">
        <f t="shared" si="1"/>
        <v>12</v>
      </c>
      <c r="B13" s="1">
        <v>26542.830010000001</v>
      </c>
      <c r="C13" s="1">
        <f t="shared" si="0"/>
        <v>22644</v>
      </c>
      <c r="D13" s="1">
        <v>11413</v>
      </c>
      <c r="E13" s="1">
        <v>11231</v>
      </c>
    </row>
    <row r="14" spans="1:5" x14ac:dyDescent="0.2">
      <c r="A14">
        <f t="shared" si="1"/>
        <v>13</v>
      </c>
      <c r="B14" s="1">
        <v>1233063.7818700001</v>
      </c>
      <c r="C14" s="1">
        <f t="shared" si="0"/>
        <v>959975</v>
      </c>
      <c r="D14" s="1">
        <v>409843</v>
      </c>
      <c r="E14" s="1">
        <v>550132</v>
      </c>
    </row>
    <row r="15" spans="1:5" x14ac:dyDescent="0.2">
      <c r="A15">
        <f t="shared" si="1"/>
        <v>14</v>
      </c>
      <c r="B15" s="1">
        <v>1991031.4221399999</v>
      </c>
      <c r="C15" s="1">
        <f t="shared" si="0"/>
        <v>1903497</v>
      </c>
      <c r="D15" s="1">
        <v>776513</v>
      </c>
      <c r="E15" s="1">
        <v>1126984</v>
      </c>
    </row>
    <row r="16" spans="1:5" x14ac:dyDescent="0.2">
      <c r="A16">
        <f t="shared" si="1"/>
        <v>15</v>
      </c>
      <c r="B16" s="1">
        <v>484321</v>
      </c>
      <c r="C16" s="1">
        <f t="shared" si="0"/>
        <v>344528</v>
      </c>
      <c r="D16" s="1">
        <v>200015</v>
      </c>
      <c r="E16" s="1">
        <v>144513</v>
      </c>
    </row>
    <row r="17" spans="1:5" x14ac:dyDescent="0.2">
      <c r="A17">
        <f t="shared" si="1"/>
        <v>16</v>
      </c>
      <c r="B17" s="1">
        <v>156423</v>
      </c>
      <c r="C17" s="1">
        <f t="shared" si="0"/>
        <v>140896</v>
      </c>
      <c r="D17" s="1">
        <v>110484</v>
      </c>
      <c r="E17" s="1">
        <v>30412</v>
      </c>
    </row>
    <row r="18" spans="1:5" x14ac:dyDescent="0.2">
      <c r="A18">
        <f t="shared" si="1"/>
        <v>17</v>
      </c>
      <c r="B18" s="1">
        <v>8756413</v>
      </c>
      <c r="C18" s="1">
        <f t="shared" si="0"/>
        <v>7114311</v>
      </c>
      <c r="D18" s="1">
        <v>5536179</v>
      </c>
      <c r="E18" s="1">
        <v>1578132</v>
      </c>
    </row>
    <row r="19" spans="1:5" x14ac:dyDescent="0.2">
      <c r="A19">
        <f t="shared" si="1"/>
        <v>18</v>
      </c>
      <c r="B19" s="1">
        <v>84135</v>
      </c>
      <c r="C19" s="1">
        <f t="shared" si="0"/>
        <v>60486</v>
      </c>
      <c r="D19" s="1">
        <v>45163</v>
      </c>
      <c r="E19" s="1">
        <v>15323</v>
      </c>
    </row>
    <row r="20" spans="1:5" x14ac:dyDescent="0.2">
      <c r="A20">
        <f t="shared" si="1"/>
        <v>19</v>
      </c>
      <c r="B20" s="1">
        <v>4561327</v>
      </c>
      <c r="C20" s="1">
        <f t="shared" si="0"/>
        <v>2806038</v>
      </c>
      <c r="D20" s="1">
        <v>2254915</v>
      </c>
      <c r="E20" s="1">
        <v>551123</v>
      </c>
    </row>
    <row r="21" spans="1:5" x14ac:dyDescent="0.2">
      <c r="A21">
        <f t="shared" si="1"/>
        <v>20</v>
      </c>
      <c r="B21" s="1">
        <v>789456</v>
      </c>
      <c r="C21" s="1">
        <f t="shared" si="0"/>
        <v>628555</v>
      </c>
      <c r="D21" s="1">
        <v>443152</v>
      </c>
      <c r="E21" s="1">
        <v>185403</v>
      </c>
    </row>
    <row r="22" spans="1:5" x14ac:dyDescent="0.2">
      <c r="A22">
        <f t="shared" si="1"/>
        <v>21</v>
      </c>
      <c r="B22" s="1">
        <v>15312</v>
      </c>
      <c r="C22" s="1">
        <f t="shared" si="0"/>
        <v>9423</v>
      </c>
      <c r="D22" s="1">
        <v>8097</v>
      </c>
      <c r="E22" s="1">
        <v>1326</v>
      </c>
    </row>
    <row r="23" spans="1:5" x14ac:dyDescent="0.2">
      <c r="A23">
        <f t="shared" si="1"/>
        <v>22</v>
      </c>
      <c r="B23" s="1">
        <v>41563</v>
      </c>
      <c r="C23" s="1">
        <f t="shared" si="0"/>
        <v>37206</v>
      </c>
      <c r="D23" s="1">
        <v>11763</v>
      </c>
      <c r="E23" s="1">
        <v>25443</v>
      </c>
    </row>
    <row r="24" spans="1:5" x14ac:dyDescent="0.2">
      <c r="A24">
        <f t="shared" si="1"/>
        <v>23</v>
      </c>
      <c r="B24" s="1">
        <v>456132</v>
      </c>
      <c r="C24" s="1">
        <f t="shared" si="0"/>
        <v>305145</v>
      </c>
      <c r="D24" s="1">
        <v>85132</v>
      </c>
      <c r="E24" s="1">
        <v>220013</v>
      </c>
    </row>
    <row r="25" spans="1:5" x14ac:dyDescent="0.2">
      <c r="A25">
        <f t="shared" si="1"/>
        <v>24</v>
      </c>
      <c r="B25" s="1">
        <v>78415</v>
      </c>
      <c r="C25" s="1">
        <f t="shared" si="0"/>
        <v>63894</v>
      </c>
      <c r="D25" s="1">
        <v>18762</v>
      </c>
      <c r="E25" s="1">
        <v>45132</v>
      </c>
    </row>
    <row r="26" spans="1:5" x14ac:dyDescent="0.2">
      <c r="A26">
        <f t="shared" si="1"/>
        <v>25</v>
      </c>
      <c r="B26" s="1">
        <v>78816</v>
      </c>
      <c r="C26" s="1">
        <f t="shared" si="0"/>
        <v>48936</v>
      </c>
      <c r="D26" s="1">
        <v>18813</v>
      </c>
      <c r="E26" s="1">
        <v>30123</v>
      </c>
    </row>
    <row r="27" spans="1:5" x14ac:dyDescent="0.2">
      <c r="A27">
        <f t="shared" si="1"/>
        <v>26</v>
      </c>
      <c r="B27" s="1">
        <v>546512</v>
      </c>
      <c r="C27" s="1">
        <f t="shared" si="0"/>
        <v>356668</v>
      </c>
      <c r="D27" s="1">
        <v>102481</v>
      </c>
      <c r="E27" s="1">
        <v>254187</v>
      </c>
    </row>
    <row r="28" spans="1:5" x14ac:dyDescent="0.2">
      <c r="A28">
        <f t="shared" si="1"/>
        <v>27</v>
      </c>
      <c r="B28" s="1">
        <v>31234</v>
      </c>
      <c r="C28" s="1">
        <f t="shared" si="0"/>
        <v>15675</v>
      </c>
      <c r="D28" s="1">
        <v>7814</v>
      </c>
      <c r="E28" s="1">
        <v>7861</v>
      </c>
    </row>
    <row r="29" spans="1:5" x14ac:dyDescent="0.2">
      <c r="A29">
        <f t="shared" si="1"/>
        <v>28</v>
      </c>
      <c r="B29" s="1">
        <v>248135</v>
      </c>
      <c r="C29" s="1">
        <f t="shared" si="0"/>
        <v>160896</v>
      </c>
      <c r="D29" s="1">
        <v>51324</v>
      </c>
      <c r="E29" s="1">
        <v>109572</v>
      </c>
    </row>
    <row r="30" spans="1:5" x14ac:dyDescent="0.2">
      <c r="A30">
        <f t="shared" si="1"/>
        <v>29</v>
      </c>
      <c r="B30" s="1">
        <v>8945</v>
      </c>
      <c r="C30" s="1">
        <f t="shared" si="0"/>
        <v>7451</v>
      </c>
      <c r="D30" s="1">
        <v>4436</v>
      </c>
      <c r="E30" s="1">
        <v>3015</v>
      </c>
    </row>
    <row r="31" spans="1:5" x14ac:dyDescent="0.2">
      <c r="A31">
        <f t="shared" si="1"/>
        <v>30</v>
      </c>
      <c r="B31" s="1">
        <v>48942</v>
      </c>
      <c r="C31" s="1">
        <f t="shared" si="0"/>
        <v>37968</v>
      </c>
      <c r="D31" s="1">
        <v>15662</v>
      </c>
      <c r="E31" s="1">
        <v>22306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46CED-56E0-4BC3-8FE3-F2CC8D24CCE4}">
  <dimension ref="A1:H31"/>
  <sheetViews>
    <sheetView workbookViewId="0">
      <selection activeCell="D30" sqref="D30"/>
    </sheetView>
  </sheetViews>
  <sheetFormatPr defaultRowHeight="12" x14ac:dyDescent="0.2"/>
  <cols>
    <col min="2" max="5" width="17.7109375" customWidth="1"/>
    <col min="7" max="8" width="16.140625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1</v>
      </c>
      <c r="B2" s="1">
        <v>1092434.9547999999</v>
      </c>
      <c r="C2" s="1">
        <f>SUM(D2:E2)</f>
        <v>512329</v>
      </c>
      <c r="D2" s="1">
        <v>204813</v>
      </c>
      <c r="E2" s="1">
        <v>307516</v>
      </c>
      <c r="F2">
        <f>C2/B2</f>
        <v>0.46897895178921278</v>
      </c>
      <c r="G2">
        <f t="shared" ref="G2:G31" si="0">D2/B2</f>
        <v>0.18748301589955679</v>
      </c>
      <c r="H2">
        <f t="shared" ref="H2:H31" si="1">E2/B2</f>
        <v>0.28149593588965599</v>
      </c>
    </row>
    <row r="3" spans="1:8" x14ac:dyDescent="0.2">
      <c r="A3">
        <v>2</v>
      </c>
      <c r="B3" s="1">
        <v>230043.59679000004</v>
      </c>
      <c r="C3" s="1">
        <f t="shared" ref="C3:C31" si="2">SUM(D3:E3)</f>
        <v>219845</v>
      </c>
      <c r="D3" s="1">
        <v>175032</v>
      </c>
      <c r="E3" s="1">
        <v>44813</v>
      </c>
      <c r="F3">
        <f t="shared" ref="F3:F31" si="3">C3/B3</f>
        <v>0.95566667826312057</v>
      </c>
      <c r="G3">
        <f t="shared" si="0"/>
        <v>0.76086447283199765</v>
      </c>
      <c r="H3">
        <f t="shared" si="1"/>
        <v>0.19480220543112292</v>
      </c>
    </row>
    <row r="4" spans="1:8" x14ac:dyDescent="0.2">
      <c r="A4">
        <f>A3+1</f>
        <v>3</v>
      </c>
      <c r="B4" s="1">
        <v>116973.84742999998</v>
      </c>
      <c r="C4" s="1">
        <f t="shared" si="2"/>
        <v>47393.596393125001</v>
      </c>
      <c r="D4" s="1">
        <v>21932.596393124997</v>
      </c>
      <c r="E4" s="1">
        <v>25461</v>
      </c>
      <c r="F4">
        <f t="shared" si="3"/>
        <v>0.40516403823928671</v>
      </c>
      <c r="G4">
        <f t="shared" si="0"/>
        <v>0.1875</v>
      </c>
      <c r="H4">
        <f t="shared" si="1"/>
        <v>0.21766403823928668</v>
      </c>
    </row>
    <row r="5" spans="1:8" x14ac:dyDescent="0.2">
      <c r="A5">
        <f t="shared" ref="A5:A31" si="4">A4+1</f>
        <v>4</v>
      </c>
      <c r="B5" s="1">
        <v>201443.58650999999</v>
      </c>
      <c r="C5" s="1">
        <f t="shared" si="2"/>
        <v>99281</v>
      </c>
      <c r="D5" s="1">
        <v>44158</v>
      </c>
      <c r="E5" s="1">
        <v>55123</v>
      </c>
      <c r="F5">
        <f t="shared" si="3"/>
        <v>0.49284765884105985</v>
      </c>
      <c r="G5">
        <f t="shared" si="0"/>
        <v>0.21920777307947664</v>
      </c>
      <c r="H5">
        <f t="shared" si="1"/>
        <v>0.27363988576158321</v>
      </c>
    </row>
    <row r="6" spans="1:8" x14ac:dyDescent="0.2">
      <c r="A6">
        <f t="shared" si="4"/>
        <v>5</v>
      </c>
      <c r="B6" s="1">
        <v>38056.678569999996</v>
      </c>
      <c r="C6" s="1">
        <f t="shared" si="2"/>
        <v>26426</v>
      </c>
      <c r="D6" s="1">
        <v>22013</v>
      </c>
      <c r="E6" s="1">
        <v>4413</v>
      </c>
      <c r="F6">
        <f t="shared" si="3"/>
        <v>0.69438534819566633</v>
      </c>
      <c r="G6">
        <f t="shared" si="0"/>
        <v>0.57842672632374192</v>
      </c>
      <c r="H6">
        <f t="shared" si="1"/>
        <v>0.11595862187192445</v>
      </c>
    </row>
    <row r="7" spans="1:8" x14ac:dyDescent="0.2">
      <c r="A7">
        <f t="shared" si="4"/>
        <v>6</v>
      </c>
      <c r="B7" s="1">
        <v>3538368.0881699994</v>
      </c>
      <c r="C7" s="1">
        <f t="shared" si="2"/>
        <v>2102255</v>
      </c>
      <c r="D7" s="1">
        <v>1548132</v>
      </c>
      <c r="E7" s="1">
        <v>554123</v>
      </c>
      <c r="F7">
        <f t="shared" si="3"/>
        <v>0.59413123440395388</v>
      </c>
      <c r="G7">
        <f t="shared" si="0"/>
        <v>0.43752712024957102</v>
      </c>
      <c r="H7">
        <f t="shared" si="1"/>
        <v>0.15660411415438286</v>
      </c>
    </row>
    <row r="8" spans="1:8" x14ac:dyDescent="0.2">
      <c r="A8">
        <f t="shared" si="4"/>
        <v>7</v>
      </c>
      <c r="B8" s="1">
        <v>166435.63034</v>
      </c>
      <c r="C8" s="1">
        <f t="shared" si="2"/>
        <v>114542</v>
      </c>
      <c r="D8" s="1">
        <v>88761</v>
      </c>
      <c r="E8" s="1">
        <v>25781</v>
      </c>
      <c r="F8">
        <f t="shared" si="3"/>
        <v>0.68820600352226236</v>
      </c>
      <c r="G8">
        <f t="shared" si="0"/>
        <v>0.53330527735363042</v>
      </c>
      <c r="H8">
        <f t="shared" si="1"/>
        <v>0.15490072616863199</v>
      </c>
    </row>
    <row r="9" spans="1:8" x14ac:dyDescent="0.2">
      <c r="A9">
        <f t="shared" si="4"/>
        <v>8</v>
      </c>
      <c r="B9" s="1">
        <v>2379091.3913400001</v>
      </c>
      <c r="C9" s="1">
        <f t="shared" si="2"/>
        <v>2019695</v>
      </c>
      <c r="D9" s="1">
        <v>887621</v>
      </c>
      <c r="E9" s="1">
        <v>1132074</v>
      </c>
      <c r="F9">
        <f t="shared" si="3"/>
        <v>0.84893544121582754</v>
      </c>
      <c r="G9">
        <f t="shared" si="0"/>
        <v>0.37309243488122418</v>
      </c>
      <c r="H9">
        <f t="shared" si="1"/>
        <v>0.47584300633460336</v>
      </c>
    </row>
    <row r="10" spans="1:8" x14ac:dyDescent="0.2">
      <c r="A10">
        <f t="shared" si="4"/>
        <v>9</v>
      </c>
      <c r="B10" s="1">
        <v>34875.201950000002</v>
      </c>
      <c r="C10" s="1">
        <f t="shared" si="2"/>
        <v>25959</v>
      </c>
      <c r="D10" s="1">
        <v>20418</v>
      </c>
      <c r="E10" s="1">
        <v>5541</v>
      </c>
      <c r="F10">
        <f t="shared" si="3"/>
        <v>0.74433977578730548</v>
      </c>
      <c r="G10">
        <f t="shared" si="0"/>
        <v>0.58545897538523062</v>
      </c>
      <c r="H10">
        <f t="shared" si="1"/>
        <v>0.15888080040207481</v>
      </c>
    </row>
    <row r="11" spans="1:8" x14ac:dyDescent="0.2">
      <c r="A11">
        <f t="shared" si="4"/>
        <v>10</v>
      </c>
      <c r="B11" s="1">
        <v>660334.41209999984</v>
      </c>
      <c r="C11" s="1">
        <f t="shared" si="2"/>
        <v>635332</v>
      </c>
      <c r="D11" s="1">
        <v>330481</v>
      </c>
      <c r="E11" s="1">
        <v>304851</v>
      </c>
      <c r="F11">
        <f t="shared" si="3"/>
        <v>0.96213674216903677</v>
      </c>
      <c r="G11">
        <f t="shared" si="0"/>
        <v>0.50047520459974537</v>
      </c>
      <c r="H11">
        <f t="shared" si="1"/>
        <v>0.46166153756929135</v>
      </c>
    </row>
    <row r="12" spans="1:8" x14ac:dyDescent="0.2">
      <c r="A12">
        <f t="shared" si="4"/>
        <v>11</v>
      </c>
      <c r="B12" s="1">
        <v>1495401.3734299997</v>
      </c>
      <c r="C12" s="1">
        <f t="shared" si="2"/>
        <v>1297646</v>
      </c>
      <c r="D12" s="1">
        <v>841231</v>
      </c>
      <c r="E12" s="1">
        <v>456415</v>
      </c>
      <c r="F12">
        <f t="shared" si="3"/>
        <v>0.8677576622947667</v>
      </c>
      <c r="G12">
        <f t="shared" si="0"/>
        <v>0.56254529047975244</v>
      </c>
      <c r="H12">
        <f t="shared" si="1"/>
        <v>0.30521237181501421</v>
      </c>
    </row>
    <row r="13" spans="1:8" x14ac:dyDescent="0.2">
      <c r="A13">
        <f t="shared" si="4"/>
        <v>12</v>
      </c>
      <c r="B13" s="1">
        <v>26542.830010000001</v>
      </c>
      <c r="C13" s="1">
        <f t="shared" si="2"/>
        <v>22644</v>
      </c>
      <c r="D13" s="1">
        <v>11413</v>
      </c>
      <c r="E13" s="1">
        <v>11231</v>
      </c>
      <c r="F13">
        <f t="shared" si="3"/>
        <v>0.85311174398015888</v>
      </c>
      <c r="G13">
        <f t="shared" si="0"/>
        <v>0.42998429314809899</v>
      </c>
      <c r="H13">
        <f t="shared" si="1"/>
        <v>0.42312745083205994</v>
      </c>
    </row>
    <row r="14" spans="1:8" x14ac:dyDescent="0.2">
      <c r="A14">
        <f t="shared" si="4"/>
        <v>13</v>
      </c>
      <c r="B14" s="1">
        <v>1233063.7818700001</v>
      </c>
      <c r="C14" s="1">
        <f t="shared" si="2"/>
        <v>959975</v>
      </c>
      <c r="D14" s="1">
        <v>409843</v>
      </c>
      <c r="E14" s="1">
        <v>550132</v>
      </c>
      <c r="F14">
        <f t="shared" si="3"/>
        <v>0.77852825953913929</v>
      </c>
      <c r="G14">
        <f t="shared" si="0"/>
        <v>0.33237777804036506</v>
      </c>
      <c r="H14">
        <f t="shared" si="1"/>
        <v>0.44615048149877418</v>
      </c>
    </row>
    <row r="15" spans="1:8" x14ac:dyDescent="0.2">
      <c r="A15">
        <f t="shared" si="4"/>
        <v>14</v>
      </c>
      <c r="B15" s="1">
        <v>1991031.4221399999</v>
      </c>
      <c r="C15" s="1">
        <f t="shared" si="2"/>
        <v>1903497</v>
      </c>
      <c r="D15" s="1">
        <v>776513</v>
      </c>
      <c r="E15" s="1">
        <v>1126984</v>
      </c>
      <c r="F15">
        <f t="shared" si="3"/>
        <v>0.95603564003730479</v>
      </c>
      <c r="G15">
        <f t="shared" si="0"/>
        <v>0.39000539688388669</v>
      </c>
      <c r="H15">
        <f t="shared" si="1"/>
        <v>0.5660302431534181</v>
      </c>
    </row>
    <row r="16" spans="1:8" x14ac:dyDescent="0.2">
      <c r="A16">
        <f t="shared" si="4"/>
        <v>15</v>
      </c>
      <c r="B16" s="1">
        <v>484321</v>
      </c>
      <c r="C16" s="1">
        <f t="shared" si="2"/>
        <v>344528</v>
      </c>
      <c r="D16" s="1">
        <v>200015</v>
      </c>
      <c r="E16" s="1">
        <v>144513</v>
      </c>
      <c r="F16">
        <f t="shared" si="3"/>
        <v>0.71136291839503141</v>
      </c>
      <c r="G16">
        <f t="shared" si="0"/>
        <v>0.41298023418352703</v>
      </c>
      <c r="H16">
        <f t="shared" si="1"/>
        <v>0.29838268421150438</v>
      </c>
    </row>
    <row r="17" spans="1:8" x14ac:dyDescent="0.2">
      <c r="A17">
        <f t="shared" si="4"/>
        <v>16</v>
      </c>
      <c r="B17" s="1">
        <v>156423</v>
      </c>
      <c r="C17" s="1">
        <f t="shared" si="2"/>
        <v>140896</v>
      </c>
      <c r="D17" s="1">
        <v>110484</v>
      </c>
      <c r="E17" s="1">
        <v>30412</v>
      </c>
      <c r="F17">
        <f t="shared" si="3"/>
        <v>0.90073710387858563</v>
      </c>
      <c r="G17">
        <f t="shared" si="0"/>
        <v>0.70631556740377055</v>
      </c>
      <c r="H17">
        <f t="shared" si="1"/>
        <v>0.19442153647481508</v>
      </c>
    </row>
    <row r="18" spans="1:8" x14ac:dyDescent="0.2">
      <c r="A18">
        <f t="shared" si="4"/>
        <v>17</v>
      </c>
      <c r="B18" s="1">
        <v>8756413</v>
      </c>
      <c r="C18" s="1">
        <f t="shared" si="2"/>
        <v>7114311</v>
      </c>
      <c r="D18" s="1">
        <v>5536179</v>
      </c>
      <c r="E18" s="1">
        <v>1578132</v>
      </c>
      <c r="F18">
        <f t="shared" si="3"/>
        <v>0.81246864440953159</v>
      </c>
      <c r="G18">
        <f t="shared" si="0"/>
        <v>0.6322427916545279</v>
      </c>
      <c r="H18">
        <f t="shared" si="1"/>
        <v>0.18022585275500366</v>
      </c>
    </row>
    <row r="19" spans="1:8" x14ac:dyDescent="0.2">
      <c r="A19">
        <f t="shared" si="4"/>
        <v>18</v>
      </c>
      <c r="B19" s="1">
        <v>84135</v>
      </c>
      <c r="C19" s="1">
        <f t="shared" si="2"/>
        <v>60486</v>
      </c>
      <c r="D19" s="1">
        <v>45163</v>
      </c>
      <c r="E19" s="1">
        <v>15323</v>
      </c>
      <c r="F19">
        <f t="shared" si="3"/>
        <v>0.71891602781244424</v>
      </c>
      <c r="G19">
        <f t="shared" si="0"/>
        <v>0.5367920603791525</v>
      </c>
      <c r="H19">
        <f t="shared" si="1"/>
        <v>0.18212396743329173</v>
      </c>
    </row>
    <row r="20" spans="1:8" x14ac:dyDescent="0.2">
      <c r="A20">
        <f t="shared" si="4"/>
        <v>19</v>
      </c>
      <c r="B20" s="1">
        <v>4561327</v>
      </c>
      <c r="C20" s="1">
        <f t="shared" si="2"/>
        <v>2806038</v>
      </c>
      <c r="D20" s="1">
        <v>2254915</v>
      </c>
      <c r="E20" s="1">
        <v>551123</v>
      </c>
      <c r="F20">
        <f t="shared" si="3"/>
        <v>0.61518018769537897</v>
      </c>
      <c r="G20">
        <f t="shared" si="0"/>
        <v>0.49435504185514434</v>
      </c>
      <c r="H20">
        <f t="shared" si="1"/>
        <v>0.12082514584023465</v>
      </c>
    </row>
    <row r="21" spans="1:8" x14ac:dyDescent="0.2">
      <c r="A21">
        <f t="shared" si="4"/>
        <v>20</v>
      </c>
      <c r="B21" s="1">
        <v>789456</v>
      </c>
      <c r="C21" s="1">
        <f t="shared" si="2"/>
        <v>628555</v>
      </c>
      <c r="D21" s="1">
        <v>443152</v>
      </c>
      <c r="E21" s="1">
        <v>185403</v>
      </c>
      <c r="F21">
        <f t="shared" si="3"/>
        <v>0.79618750126669502</v>
      </c>
      <c r="G21">
        <f t="shared" si="0"/>
        <v>0.56133844064773719</v>
      </c>
      <c r="H21">
        <f t="shared" si="1"/>
        <v>0.23484906061895786</v>
      </c>
    </row>
    <row r="22" spans="1:8" x14ac:dyDescent="0.2">
      <c r="A22">
        <f t="shared" si="4"/>
        <v>21</v>
      </c>
      <c r="B22" s="1">
        <v>15312</v>
      </c>
      <c r="C22" s="1">
        <f t="shared" si="2"/>
        <v>9423</v>
      </c>
      <c r="D22" s="1">
        <v>8097</v>
      </c>
      <c r="E22" s="1">
        <v>1326</v>
      </c>
      <c r="F22">
        <f t="shared" si="3"/>
        <v>0.61539968652037613</v>
      </c>
      <c r="G22">
        <f t="shared" si="0"/>
        <v>0.52880094043887149</v>
      </c>
      <c r="H22">
        <f t="shared" si="1"/>
        <v>8.6598746081504696E-2</v>
      </c>
    </row>
    <row r="23" spans="1:8" x14ac:dyDescent="0.2">
      <c r="A23">
        <f t="shared" si="4"/>
        <v>22</v>
      </c>
      <c r="B23" s="1">
        <v>41563</v>
      </c>
      <c r="C23" s="1">
        <f t="shared" si="2"/>
        <v>37206</v>
      </c>
      <c r="D23" s="1">
        <v>11763</v>
      </c>
      <c r="E23" s="1">
        <v>25443</v>
      </c>
      <c r="F23">
        <f t="shared" si="3"/>
        <v>0.89517118591054545</v>
      </c>
      <c r="G23">
        <f t="shared" si="0"/>
        <v>0.28301614416668669</v>
      </c>
      <c r="H23">
        <f t="shared" si="1"/>
        <v>0.61215504174385871</v>
      </c>
    </row>
    <row r="24" spans="1:8" x14ac:dyDescent="0.2">
      <c r="A24">
        <f t="shared" si="4"/>
        <v>23</v>
      </c>
      <c r="B24" s="1">
        <v>456132</v>
      </c>
      <c r="C24" s="1">
        <f t="shared" si="2"/>
        <v>305145</v>
      </c>
      <c r="D24" s="1">
        <v>85132</v>
      </c>
      <c r="E24" s="1">
        <v>220013</v>
      </c>
      <c r="F24">
        <f t="shared" si="3"/>
        <v>0.66898397832206469</v>
      </c>
      <c r="G24">
        <f t="shared" si="0"/>
        <v>0.18663895539010636</v>
      </c>
      <c r="H24">
        <f t="shared" si="1"/>
        <v>0.4823450229319583</v>
      </c>
    </row>
    <row r="25" spans="1:8" x14ac:dyDescent="0.2">
      <c r="A25">
        <f t="shared" si="4"/>
        <v>24</v>
      </c>
      <c r="B25" s="1">
        <v>78415</v>
      </c>
      <c r="C25" s="1">
        <f t="shared" si="2"/>
        <v>63894</v>
      </c>
      <c r="D25" s="1">
        <v>18762</v>
      </c>
      <c r="E25" s="1">
        <v>45132</v>
      </c>
      <c r="F25">
        <f t="shared" si="3"/>
        <v>0.81481859338136831</v>
      </c>
      <c r="G25">
        <f t="shared" si="0"/>
        <v>0.23926544666199068</v>
      </c>
      <c r="H25">
        <f t="shared" si="1"/>
        <v>0.57555314671937763</v>
      </c>
    </row>
    <row r="26" spans="1:8" x14ac:dyDescent="0.2">
      <c r="A26">
        <f t="shared" si="4"/>
        <v>25</v>
      </c>
      <c r="B26" s="1">
        <v>78816</v>
      </c>
      <c r="C26" s="1">
        <f t="shared" si="2"/>
        <v>48936</v>
      </c>
      <c r="D26" s="1">
        <v>18813</v>
      </c>
      <c r="E26" s="1">
        <v>30123</v>
      </c>
      <c r="F26">
        <f t="shared" si="3"/>
        <v>0.62088915956151036</v>
      </c>
      <c r="G26">
        <f t="shared" si="0"/>
        <v>0.23869518879415347</v>
      </c>
      <c r="H26">
        <f t="shared" si="1"/>
        <v>0.38219397076735689</v>
      </c>
    </row>
    <row r="27" spans="1:8" x14ac:dyDescent="0.2">
      <c r="A27">
        <f t="shared" si="4"/>
        <v>26</v>
      </c>
      <c r="B27" s="1">
        <v>546512</v>
      </c>
      <c r="C27" s="1">
        <f t="shared" si="2"/>
        <v>356668</v>
      </c>
      <c r="D27" s="1">
        <v>102481</v>
      </c>
      <c r="E27" s="1">
        <v>254187</v>
      </c>
      <c r="F27">
        <f t="shared" si="3"/>
        <v>0.65262610885030892</v>
      </c>
      <c r="G27">
        <f t="shared" si="0"/>
        <v>0.1875182978598823</v>
      </c>
      <c r="H27">
        <f t="shared" si="1"/>
        <v>0.46510781099042658</v>
      </c>
    </row>
    <row r="28" spans="1:8" x14ac:dyDescent="0.2">
      <c r="A28">
        <f t="shared" si="4"/>
        <v>27</v>
      </c>
      <c r="B28" s="1">
        <v>31234</v>
      </c>
      <c r="C28" s="1">
        <f t="shared" si="2"/>
        <v>15675</v>
      </c>
      <c r="D28" s="1">
        <v>7814</v>
      </c>
      <c r="E28" s="1">
        <v>7861</v>
      </c>
      <c r="F28">
        <f t="shared" si="3"/>
        <v>0.50185695075878844</v>
      </c>
      <c r="G28">
        <f t="shared" si="0"/>
        <v>0.250176090158161</v>
      </c>
      <c r="H28">
        <f t="shared" si="1"/>
        <v>0.2516808606006275</v>
      </c>
    </row>
    <row r="29" spans="1:8" x14ac:dyDescent="0.2">
      <c r="A29">
        <f t="shared" si="4"/>
        <v>28</v>
      </c>
      <c r="B29" s="1">
        <v>248135</v>
      </c>
      <c r="C29" s="1">
        <f t="shared" si="2"/>
        <v>160896</v>
      </c>
      <c r="D29" s="1">
        <v>51324</v>
      </c>
      <c r="E29" s="1">
        <v>109572</v>
      </c>
      <c r="F29">
        <f t="shared" si="3"/>
        <v>0.64842122231849597</v>
      </c>
      <c r="G29">
        <f t="shared" si="0"/>
        <v>0.20683901908235436</v>
      </c>
      <c r="H29">
        <f t="shared" si="1"/>
        <v>0.44158220323614161</v>
      </c>
    </row>
    <row r="30" spans="1:8" x14ac:dyDescent="0.2">
      <c r="A30">
        <f t="shared" si="4"/>
        <v>29</v>
      </c>
      <c r="B30" s="1">
        <v>8945</v>
      </c>
      <c r="C30" s="1">
        <f t="shared" si="2"/>
        <v>7451</v>
      </c>
      <c r="D30" s="1">
        <v>4436</v>
      </c>
      <c r="E30" s="1">
        <v>3015</v>
      </c>
      <c r="F30">
        <f t="shared" si="3"/>
        <v>0.83297931805477921</v>
      </c>
      <c r="G30">
        <f t="shared" si="0"/>
        <v>0.49591950810508661</v>
      </c>
      <c r="H30">
        <f t="shared" si="1"/>
        <v>0.33705980994969259</v>
      </c>
    </row>
    <row r="31" spans="1:8" x14ac:dyDescent="0.2">
      <c r="A31">
        <f t="shared" si="4"/>
        <v>30</v>
      </c>
      <c r="B31" s="1">
        <v>48942</v>
      </c>
      <c r="C31" s="1">
        <f t="shared" si="2"/>
        <v>37968</v>
      </c>
      <c r="D31" s="1">
        <v>15662</v>
      </c>
      <c r="E31" s="1">
        <v>22306</v>
      </c>
      <c r="F31">
        <f t="shared" si="3"/>
        <v>0.77577540762535246</v>
      </c>
      <c r="G31">
        <f>D31/B31</f>
        <v>0.3200114421151567</v>
      </c>
      <c r="H31">
        <f>E31/B31</f>
        <v>0.45576396551019577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test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다.채동우</dc:creator>
  <cp:lastModifiedBy>다.채동우</cp:lastModifiedBy>
  <dcterms:created xsi:type="dcterms:W3CDTF">2025-04-28T04:26:50Z</dcterms:created>
  <dcterms:modified xsi:type="dcterms:W3CDTF">2025-04-28T04:38:44Z</dcterms:modified>
</cp:coreProperties>
</file>